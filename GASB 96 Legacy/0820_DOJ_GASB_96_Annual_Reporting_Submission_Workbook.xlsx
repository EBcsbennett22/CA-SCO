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https://eidebailly-my.sharepoint.com/personal/pschick_eidebailly_com/Documents/Current Projects/State of California/Accounting Standards/Current Year/GASB 96/Completed Templates/"/>
    </mc:Choice>
  </mc:AlternateContent>
  <xr:revisionPtr revIDLastSave="19" documentId="13_ncr:1_{F3D25C74-A755-4490-BD32-F5EA132513A7}" xr6:coauthVersionLast="47" xr6:coauthVersionMax="47" xr10:uidLastSave="{0BD67D71-973F-4BFA-BCFF-617F7C4786C6}"/>
  <bookViews>
    <workbookView xWindow="19090" yWindow="-10800" windowWidth="38620" windowHeight="21360" tabRatio="837" activeTab="18" xr2:uid="{00000000-000D-0000-FFFF-FFFF00000000}"/>
  </bookViews>
  <sheets>
    <sheet name="0001 Journal" sheetId="10" r:id="rId1"/>
    <sheet name="0012 Journal" sheetId="11" r:id="rId2"/>
    <sheet name="0017 Journal" sheetId="12" r:id="rId3"/>
    <sheet name="0044 Journal" sheetId="26" r:id="rId4"/>
    <sheet name="0158 Journal" sheetId="13" r:id="rId5"/>
    <sheet name="0367 Journal" sheetId="14" r:id="rId6"/>
    <sheet name="0378 Journal" sheetId="15" r:id="rId7"/>
    <sheet name="0460 Journal" sheetId="24" r:id="rId8"/>
    <sheet name="0567 Journal" sheetId="16" r:id="rId9"/>
    <sheet name="0569 Journal" sheetId="17" r:id="rId10"/>
    <sheet name="0890 Journal" sheetId="27" r:id="rId11"/>
    <sheet name="1008 Journal" sheetId="18" r:id="rId12"/>
    <sheet name="3053 Journal" sheetId="19" r:id="rId13"/>
    <sheet name="3086 Journal" sheetId="20" r:id="rId14"/>
    <sheet name="3088 Journal" sheetId="21" r:id="rId15"/>
    <sheet name="3297 Journal" sheetId="28" r:id="rId16"/>
    <sheet name="3320 Journal" sheetId="25" r:id="rId17"/>
    <sheet name="9731 Journal" sheetId="22" r:id="rId18"/>
    <sheet name="9740 Journal" sheetId="23" r:id="rId19"/>
    <sheet name="Department Note Disclosure" sheetId="31" r:id="rId20"/>
    <sheet name="SBITA Liabilities" sheetId="32" r:id="rId21"/>
    <sheet name="Check Figures " sheetId="33" r:id="rId22"/>
    <sheet name="Drop Down Menus" sheetId="1" state="hidden" r:id="rId23"/>
    <sheet name="GAAP02Aindex" sheetId="7" state="hidden" r:id="rId24"/>
  </sheet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 localSheetId="21">#REF!</definedName>
    <definedName name="AgencyCode" localSheetId="19">#REF!</definedName>
    <definedName name="AgencyCode" localSheetId="20">#REF!</definedName>
    <definedName name="AgencyCode">#REF!</definedName>
    <definedName name="AgencyCode1" localSheetId="21">#REF!</definedName>
    <definedName name="AgencyCode1" localSheetId="19">#REF!</definedName>
    <definedName name="AgencyCode1" localSheetId="20">#REF!</definedName>
    <definedName name="AgencyCode1">#REF!</definedName>
    <definedName name="AnalystGASB">#REF!</definedName>
    <definedName name="Annuity" localSheetId="21">#REF!</definedName>
    <definedName name="Annuity" localSheetId="19">#REF!</definedName>
    <definedName name="Annuity" localSheetId="20">#REF!</definedName>
    <definedName name="Annuity">#REF!</definedName>
    <definedName name="Annuity1" localSheetId="21">#REF!</definedName>
    <definedName name="Annuity1" localSheetId="19">#REF!</definedName>
    <definedName name="Annuity1" localSheetId="20">#REF!</definedName>
    <definedName name="Annuity1">#REF!</definedName>
    <definedName name="AnnuityLY" localSheetId="21">#REF!</definedName>
    <definedName name="AnnuityLY" localSheetId="19">#REF!</definedName>
    <definedName name="AnnuityLY" localSheetId="20">#REF!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 localSheetId="21">#REF!</definedName>
    <definedName name="EmployerRates" localSheetId="19">#REF!</definedName>
    <definedName name="EmployerRates" localSheetId="20">#REF!</definedName>
    <definedName name="EmployerRates">#REF!</definedName>
    <definedName name="EmployerRates1" localSheetId="21">#REF!</definedName>
    <definedName name="EmployerRates1" localSheetId="19">#REF!</definedName>
    <definedName name="EmployerRates1" localSheetId="20">#REF!</definedName>
    <definedName name="EmployerRates1">#REF!</definedName>
    <definedName name="EmployerRatesLEO" localSheetId="21">#REF!</definedName>
    <definedName name="EmployerRatesLEO" localSheetId="19">#REF!</definedName>
    <definedName name="EmployerRatesLEO" localSheetId="20">#REF!</definedName>
    <definedName name="EmployerRatesLEO">#REF!</definedName>
    <definedName name="EmployerRatesLEO1" localSheetId="21">#REF!</definedName>
    <definedName name="EmployerRatesLEO1" localSheetId="19">#REF!</definedName>
    <definedName name="EmployerRatesLEO1" localSheetId="20">#REF!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 localSheetId="21">#REF!</definedName>
    <definedName name="Pension" localSheetId="19">#REF!</definedName>
    <definedName name="Pension" localSheetId="20">#REF!</definedName>
    <definedName name="Pension">#REF!</definedName>
    <definedName name="Pension1" localSheetId="21">#REF!</definedName>
    <definedName name="Pension1" localSheetId="19">#REF!</definedName>
    <definedName name="Pension1" localSheetId="20">#REF!</definedName>
    <definedName name="Pension1">#REF!</definedName>
    <definedName name="PensionLY" localSheetId="21">#REF!</definedName>
    <definedName name="PensionLY" localSheetId="19">#REF!</definedName>
    <definedName name="PensionLY" localSheetId="20">#REF!</definedName>
    <definedName name="PensionLY">#REF!</definedName>
    <definedName name="PlanNameLongGASB">#REF!</definedName>
    <definedName name="PlanNameShortGASB">#REF!</definedName>
    <definedName name="_xlnm.Print_Area" localSheetId="0">'0001 Journal'!$A$3:$K$70</definedName>
    <definedName name="_xlnm.Print_Area" localSheetId="1">'0012 Journal'!$A$3:$K$70</definedName>
    <definedName name="_xlnm.Print_Area" localSheetId="2">'0017 Journal'!$A$3:$K$70</definedName>
    <definedName name="_xlnm.Print_Area" localSheetId="3">'0044 Journal'!$A$3:$K$70</definedName>
    <definedName name="_xlnm.Print_Area" localSheetId="4">'0158 Journal'!$A$3:$K$70</definedName>
    <definedName name="_xlnm.Print_Area" localSheetId="5">'0367 Journal'!$A$3:$K$70</definedName>
    <definedName name="_xlnm.Print_Area" localSheetId="6">'0378 Journal'!$A$3:$K$70</definedName>
    <definedName name="_xlnm.Print_Area" localSheetId="7">'0460 Journal'!$A$3:$K$70</definedName>
    <definedName name="_xlnm.Print_Area" localSheetId="8">'0567 Journal'!$A$3:$K$70</definedName>
    <definedName name="_xlnm.Print_Area" localSheetId="9">'0569 Journal'!$A$3:$K$70</definedName>
    <definedName name="_xlnm.Print_Area" localSheetId="10">'0890 Journal'!$A$3:$K$70</definedName>
    <definedName name="_xlnm.Print_Area" localSheetId="11">'1008 Journal'!$A$3:$K$70</definedName>
    <definedName name="_xlnm.Print_Area" localSheetId="12">'3053 Journal'!$A$3:$K$70</definedName>
    <definedName name="_xlnm.Print_Area" localSheetId="13">'3086 Journal'!$A$3:$K$70</definedName>
    <definedName name="_xlnm.Print_Area" localSheetId="14">'3088 Journal'!$A$3:$K$70</definedName>
    <definedName name="_xlnm.Print_Area" localSheetId="15">'3297 Journal'!$A$3:$K$70</definedName>
    <definedName name="_xlnm.Print_Area" localSheetId="16">'3320 Journal'!$A$3:$K$70</definedName>
    <definedName name="_xlnm.Print_Area" localSheetId="17">'9731 Journal'!$A$3:$K$70</definedName>
    <definedName name="_xlnm.Print_Area" localSheetId="18">'9740 Journal'!$A$3:$K$70</definedName>
    <definedName name="_xlnm.Print_Area" localSheetId="19">'Department Note Disclosure'!$A$3:$D$101</definedName>
    <definedName name="_xlnm.Print_Area" localSheetId="20">'SBITA Liabilities'!$B$2:$Q$21</definedName>
    <definedName name="ProjDisc?">#REF!</definedName>
    <definedName name="ProValResults" localSheetId="21">#REF!</definedName>
    <definedName name="ProValResults" localSheetId="19">#REF!</definedName>
    <definedName name="ProValResults" localSheetId="20">#REF!</definedName>
    <definedName name="ProValResults">#REF!</definedName>
    <definedName name="ProValResults1" localSheetId="21">#REF!</definedName>
    <definedName name="ProValResults1" localSheetId="19">#REF!</definedName>
    <definedName name="ProValResults1" localSheetId="20">#REF!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 localSheetId="21">#REF!</definedName>
    <definedName name="TableData" localSheetId="19">#REF!</definedName>
    <definedName name="TableData" localSheetId="20">#REF!</definedName>
    <definedName name="TableData">#REF!</definedName>
    <definedName name="TableData1" localSheetId="21">#REF!</definedName>
    <definedName name="TableData1" localSheetId="19">#REF!</definedName>
    <definedName name="TableData1" localSheetId="20">#REF!</definedName>
    <definedName name="TableData1">#REF!</definedName>
    <definedName name="Type" localSheetId="21">#REF!</definedName>
    <definedName name="Type" localSheetId="19">#REF!</definedName>
    <definedName name="Type" localSheetId="20">#REF!</definedName>
    <definedName name="Type">#REF!</definedName>
    <definedName name="TypeAnnuity" localSheetId="21">#REF!</definedName>
    <definedName name="TypeAnnuity" localSheetId="19">#REF!</definedName>
    <definedName name="TypeAnnuity" localSheetId="20">#REF!</definedName>
    <definedName name="TypeAnnuity">#REF!</definedName>
    <definedName name="TypeAnnuity1" localSheetId="21">#REF!</definedName>
    <definedName name="TypeAnnuity1" localSheetId="19">#REF!</definedName>
    <definedName name="TypeAnnuity1" localSheetId="20">#REF!</definedName>
    <definedName name="TypeAnnuity1">#REF!</definedName>
    <definedName name="TypePension" localSheetId="21">#REF!</definedName>
    <definedName name="TypePension" localSheetId="19">#REF!</definedName>
    <definedName name="TypePension" localSheetId="20">#REF!</definedName>
    <definedName name="TypePension">#REF!</definedName>
    <definedName name="TypePension1" localSheetId="21">#REF!</definedName>
    <definedName name="TypePension1" localSheetId="19">#REF!</definedName>
    <definedName name="TypePension1" localSheetId="20">#REF!</definedName>
    <definedName name="TypePension1">#REF!</definedName>
    <definedName name="UnfundedData" localSheetId="21">#REF!</definedName>
    <definedName name="UnfundedData" localSheetId="19">#REF!</definedName>
    <definedName name="UnfundedData" localSheetId="20">#REF!</definedName>
    <definedName name="UnfundedData">#REF!</definedName>
    <definedName name="UnfundedData1" localSheetId="21">#REF!</definedName>
    <definedName name="UnfundedData1" localSheetId="19">#REF!</definedName>
    <definedName name="UnfundedData1" localSheetId="20">#REF!</definedName>
    <definedName name="UnfundedData1">#REF!</definedName>
    <definedName name="UnfundedLY" localSheetId="21">#REF!</definedName>
    <definedName name="UnfundedLY" localSheetId="19">#REF!</definedName>
    <definedName name="UnfundedLY" localSheetId="20">#REF!</definedName>
    <definedName name="UnfundedLY">#REF!</definedName>
    <definedName name="UnfundedLY1" localSheetId="21">#REF!</definedName>
    <definedName name="UnfundedLY1" localSheetId="19">#REF!</definedName>
    <definedName name="UnfundedLY1" localSheetId="20">#REF!</definedName>
    <definedName name="UnfundedLY1">#REF!</definedName>
    <definedName name="UnfundedLYLEO1" localSheetId="21">#REF!</definedName>
    <definedName name="UnfundedLYLEO1" localSheetId="19">#REF!</definedName>
    <definedName name="UnfundedLYLEO1" localSheetId="20">#REF!</definedName>
    <definedName name="UnfundedLYLEO1">#REF!</definedName>
    <definedName name="UnfunedLYLEO" localSheetId="21">#REF!</definedName>
    <definedName name="UnfunedLYLEO" localSheetId="19">#REF!</definedName>
    <definedName name="UnfunedLYLEO" localSheetId="20">#REF!</definedName>
    <definedName name="UnfunedLYLEO">#REF!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1" i="33" l="1"/>
  <c r="H71" i="33"/>
  <c r="H61" i="33"/>
  <c r="B18" i="31"/>
  <c r="B17" i="31"/>
  <c r="B19" i="31"/>
  <c r="K95" i="10"/>
  <c r="N14" i="32" l="1"/>
  <c r="J14" i="32"/>
  <c r="H14" i="32"/>
  <c r="F14" i="32"/>
  <c r="B16" i="31"/>
  <c r="N10" i="32"/>
  <c r="J10" i="32"/>
  <c r="H10" i="32"/>
  <c r="F10" i="32"/>
  <c r="J56" i="27"/>
  <c r="K29" i="12"/>
  <c r="K19" i="12"/>
  <c r="J35" i="11"/>
  <c r="K37" i="11"/>
  <c r="K36" i="11"/>
  <c r="J34" i="11"/>
  <c r="K29" i="11"/>
  <c r="K57" i="10"/>
  <c r="J56" i="10"/>
  <c r="K37" i="10"/>
  <c r="J34" i="10"/>
  <c r="J35" i="10"/>
  <c r="K36" i="10"/>
  <c r="K29" i="10"/>
  <c r="F46" i="33"/>
  <c r="F39" i="33"/>
  <c r="D23" i="33"/>
  <c r="B23" i="33"/>
  <c r="D16" i="33"/>
  <c r="B16" i="33"/>
  <c r="G5" i="32"/>
  <c r="L8" i="32"/>
  <c r="F8" i="32"/>
  <c r="D92" i="31"/>
  <c r="D61" i="31"/>
  <c r="D89" i="31"/>
  <c r="D58" i="31"/>
  <c r="D30" i="31"/>
  <c r="D27" i="31"/>
  <c r="C52" i="11"/>
  <c r="C52" i="12"/>
  <c r="C52" i="26"/>
  <c r="C52" i="13"/>
  <c r="C52" i="14"/>
  <c r="C52" i="15"/>
  <c r="C52" i="16"/>
  <c r="C52" i="17"/>
  <c r="C52" i="27"/>
  <c r="C52" i="18"/>
  <c r="C52" i="19"/>
  <c r="C52" i="20"/>
  <c r="C52" i="21"/>
  <c r="C52" i="28"/>
  <c r="C52" i="25"/>
  <c r="C52" i="22"/>
  <c r="C52" i="23"/>
  <c r="C52" i="10"/>
  <c r="C38" i="11"/>
  <c r="C38" i="12"/>
  <c r="C38" i="26"/>
  <c r="C38" i="13"/>
  <c r="C38" i="14"/>
  <c r="C38" i="15"/>
  <c r="C38" i="16"/>
  <c r="C38" i="17"/>
  <c r="C38" i="27"/>
  <c r="C38" i="18"/>
  <c r="C38" i="19"/>
  <c r="C38" i="20"/>
  <c r="C38" i="21"/>
  <c r="C38" i="28"/>
  <c r="C38" i="25"/>
  <c r="C38" i="22"/>
  <c r="C38" i="23"/>
  <c r="C38" i="10"/>
  <c r="C30" i="11"/>
  <c r="C30" i="12"/>
  <c r="C30" i="26"/>
  <c r="C30" i="13"/>
  <c r="C30" i="14"/>
  <c r="C30" i="15"/>
  <c r="C30" i="16"/>
  <c r="C30" i="17"/>
  <c r="C30" i="27"/>
  <c r="C30" i="18"/>
  <c r="C30" i="19"/>
  <c r="C30" i="20"/>
  <c r="C30" i="21"/>
  <c r="C30" i="28"/>
  <c r="C30" i="25"/>
  <c r="C30" i="22"/>
  <c r="C30" i="23"/>
  <c r="C30" i="10"/>
  <c r="F8" i="11"/>
  <c r="F8" i="12"/>
  <c r="F8" i="26"/>
  <c r="F8" i="13"/>
  <c r="F8" i="14"/>
  <c r="F8" i="15"/>
  <c r="F8" i="24"/>
  <c r="C30" i="24" s="1"/>
  <c r="F8" i="16"/>
  <c r="F8" i="17"/>
  <c r="F8" i="27"/>
  <c r="F8" i="18"/>
  <c r="F8" i="19"/>
  <c r="F8" i="20"/>
  <c r="F8" i="21"/>
  <c r="F8" i="28"/>
  <c r="F8" i="25"/>
  <c r="F8" i="22"/>
  <c r="F8" i="23"/>
  <c r="F8" i="10"/>
  <c r="C38" i="24" l="1"/>
  <c r="C52" i="24"/>
  <c r="J74" i="33" l="1"/>
  <c r="D74" i="33"/>
  <c r="J73" i="33"/>
  <c r="J71" i="33"/>
  <c r="D71" i="33"/>
  <c r="J64" i="33"/>
  <c r="D64" i="33"/>
  <c r="J63" i="33"/>
  <c r="J62" i="33"/>
  <c r="D62" i="33"/>
  <c r="J61" i="33"/>
  <c r="D61" i="33"/>
  <c r="J53" i="33"/>
  <c r="D84" i="33"/>
  <c r="J46" i="33"/>
  <c r="L46" i="33" s="1"/>
  <c r="D47" i="33" s="1"/>
  <c r="J39" i="33"/>
  <c r="L39" i="33" s="1"/>
  <c r="D40" i="33" s="1"/>
  <c r="J31" i="33"/>
  <c r="D82" i="33"/>
  <c r="D81" i="33"/>
  <c r="J23" i="33"/>
  <c r="J16" i="33"/>
  <c r="J84" i="33"/>
  <c r="J83" i="33"/>
  <c r="H19" i="32"/>
  <c r="F19" i="32"/>
  <c r="N15" i="32"/>
  <c r="J15" i="32"/>
  <c r="F15" i="32"/>
  <c r="H15" i="32"/>
  <c r="N11" i="32"/>
  <c r="J11" i="32"/>
  <c r="H11" i="32"/>
  <c r="F11" i="32"/>
  <c r="L10" i="32"/>
  <c r="P10" i="32" s="1"/>
  <c r="P11" i="32" s="1"/>
  <c r="G4" i="32"/>
  <c r="D15" i="31"/>
  <c r="A16" i="3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D19" i="31"/>
  <c r="D21" i="31"/>
  <c r="D24" i="31"/>
  <c r="B42" i="31"/>
  <c r="A47" i="31" s="1"/>
  <c r="B43" i="31"/>
  <c r="B44" i="31"/>
  <c r="D46" i="31"/>
  <c r="D50" i="31"/>
  <c r="D52" i="31"/>
  <c r="D55" i="31"/>
  <c r="B73" i="31"/>
  <c r="A78" i="31" s="1"/>
  <c r="A79" i="31" s="1"/>
  <c r="A80" i="31" s="1"/>
  <c r="A81" i="31" s="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B74" i="31"/>
  <c r="B75" i="31"/>
  <c r="D77" i="31"/>
  <c r="D81" i="31"/>
  <c r="D83" i="31"/>
  <c r="D86" i="31"/>
  <c r="L64" i="33" l="1"/>
  <c r="L62" i="33"/>
  <c r="L61" i="33"/>
  <c r="L74" i="33"/>
  <c r="L11" i="32"/>
  <c r="A48" i="3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J45" i="33"/>
  <c r="J52" i="33"/>
  <c r="L71" i="33"/>
  <c r="J19" i="32"/>
  <c r="H31" i="33"/>
  <c r="L31" i="33" s="1"/>
  <c r="D32" i="33" s="1"/>
  <c r="D72" i="33"/>
  <c r="J81" i="33"/>
  <c r="L81" i="33" s="1"/>
  <c r="L84" i="33"/>
  <c r="J72" i="33"/>
  <c r="N19" i="32"/>
  <c r="J38" i="33"/>
  <c r="J82" i="33"/>
  <c r="L82" i="33" s="1"/>
  <c r="L53" i="33"/>
  <c r="D54" i="33" s="1"/>
  <c r="D83" i="33"/>
  <c r="L83" i="33" s="1"/>
  <c r="L18" i="32"/>
  <c r="L14" i="32"/>
  <c r="D85" i="33" l="1"/>
  <c r="L72" i="33"/>
  <c r="P14" i="32"/>
  <c r="P15" i="32" s="1"/>
  <c r="L15" i="32"/>
  <c r="L19" i="32"/>
  <c r="P18" i="32"/>
  <c r="P19" i="32" s="1"/>
  <c r="K86" i="28" l="1"/>
  <c r="J86" i="28"/>
  <c r="L86" i="28" s="1"/>
  <c r="K81" i="28"/>
  <c r="J81" i="28"/>
  <c r="L81" i="28" s="1"/>
  <c r="J70" i="28"/>
  <c r="K69" i="28"/>
  <c r="K94" i="28" s="1"/>
  <c r="J63" i="28"/>
  <c r="K62" i="28"/>
  <c r="K63" i="28" s="1"/>
  <c r="K57" i="28"/>
  <c r="K58" i="28" s="1"/>
  <c r="J56" i="28"/>
  <c r="J58" i="28" s="1"/>
  <c r="L58" i="28" s="1"/>
  <c r="J53" i="28"/>
  <c r="K52" i="28"/>
  <c r="K53" i="28" s="1"/>
  <c r="B51" i="28"/>
  <c r="J47" i="28"/>
  <c r="K46" i="28"/>
  <c r="K47" i="28" s="1"/>
  <c r="K39" i="28"/>
  <c r="J39" i="28"/>
  <c r="L39" i="28" s="1"/>
  <c r="K31" i="28"/>
  <c r="J31" i="28"/>
  <c r="L31" i="28" s="1"/>
  <c r="A26" i="28"/>
  <c r="K22" i="28"/>
  <c r="J22" i="28"/>
  <c r="B14" i="28"/>
  <c r="A12" i="28"/>
  <c r="L22" i="28" l="1"/>
  <c r="K95" i="28"/>
  <c r="K96" i="28"/>
  <c r="L53" i="28"/>
  <c r="K97" i="28"/>
  <c r="L63" i="28"/>
  <c r="L47" i="28"/>
  <c r="K70" i="28"/>
  <c r="L70" i="28" s="1"/>
  <c r="K96" i="27" l="1"/>
  <c r="K86" i="27"/>
  <c r="J86" i="27"/>
  <c r="L86" i="27" s="1"/>
  <c r="K81" i="27"/>
  <c r="J81" i="27"/>
  <c r="K70" i="27"/>
  <c r="J70" i="27"/>
  <c r="K69" i="27"/>
  <c r="K94" i="27" s="1"/>
  <c r="J63" i="27"/>
  <c r="K62" i="27"/>
  <c r="K63" i="27" s="1"/>
  <c r="J58" i="27"/>
  <c r="K57" i="27"/>
  <c r="K58" i="27" s="1"/>
  <c r="J53" i="27"/>
  <c r="K52" i="27"/>
  <c r="K53" i="27" s="1"/>
  <c r="B51" i="27"/>
  <c r="J47" i="27"/>
  <c r="K46" i="27"/>
  <c r="K47" i="27" s="1"/>
  <c r="K39" i="27"/>
  <c r="J39" i="27"/>
  <c r="L39" i="27" s="1"/>
  <c r="K31" i="27"/>
  <c r="L31" i="27" s="1"/>
  <c r="J31" i="27"/>
  <c r="A26" i="27"/>
  <c r="K22" i="27"/>
  <c r="J22" i="27"/>
  <c r="B14" i="27"/>
  <c r="A12" i="27"/>
  <c r="L53" i="27" l="1"/>
  <c r="L22" i="27"/>
  <c r="L81" i="27"/>
  <c r="K95" i="27"/>
  <c r="L70" i="27"/>
  <c r="K97" i="27"/>
  <c r="L63" i="27"/>
  <c r="L47" i="27"/>
  <c r="L58" i="27"/>
  <c r="K86" i="26" l="1"/>
  <c r="J86" i="26"/>
  <c r="L86" i="26" s="1"/>
  <c r="K81" i="26"/>
  <c r="J81" i="26"/>
  <c r="L81" i="26" s="1"/>
  <c r="K70" i="26"/>
  <c r="J70" i="26"/>
  <c r="K69" i="26"/>
  <c r="K94" i="26" s="1"/>
  <c r="J63" i="26"/>
  <c r="K62" i="26"/>
  <c r="K63" i="26" s="1"/>
  <c r="K57" i="26"/>
  <c r="K58" i="26" s="1"/>
  <c r="J53" i="26"/>
  <c r="K52" i="26"/>
  <c r="K53" i="26" s="1"/>
  <c r="B51" i="26"/>
  <c r="J47" i="26"/>
  <c r="K46" i="26"/>
  <c r="K95" i="26" s="1"/>
  <c r="K39" i="26"/>
  <c r="J39" i="26"/>
  <c r="K31" i="26"/>
  <c r="J31" i="26"/>
  <c r="A26" i="26"/>
  <c r="K22" i="26"/>
  <c r="J22" i="26"/>
  <c r="B14" i="26"/>
  <c r="A12" i="26"/>
  <c r="J56" i="26" l="1"/>
  <c r="J58" i="26" s="1"/>
  <c r="L58" i="26" s="1"/>
  <c r="L53" i="26"/>
  <c r="L39" i="26"/>
  <c r="L31" i="26"/>
  <c r="L22" i="26"/>
  <c r="L70" i="26"/>
  <c r="K96" i="26"/>
  <c r="K97" i="26"/>
  <c r="L63" i="26"/>
  <c r="K47" i="26"/>
  <c r="L47" i="26" s="1"/>
  <c r="K86" i="25" l="1"/>
  <c r="J86" i="25"/>
  <c r="L86" i="25" s="1"/>
  <c r="K81" i="25"/>
  <c r="J81" i="25"/>
  <c r="L81" i="25" s="1"/>
  <c r="J70" i="25"/>
  <c r="K69" i="25"/>
  <c r="K70" i="25" s="1"/>
  <c r="J63" i="25"/>
  <c r="K62" i="25"/>
  <c r="K97" i="25" s="1"/>
  <c r="K57" i="25"/>
  <c r="J56" i="25" s="1"/>
  <c r="J53" i="25"/>
  <c r="K52" i="25"/>
  <c r="K53" i="25" s="1"/>
  <c r="B51" i="25"/>
  <c r="J47" i="25"/>
  <c r="K46" i="25"/>
  <c r="K95" i="25" s="1"/>
  <c r="L39" i="25"/>
  <c r="K39" i="25"/>
  <c r="J39" i="25"/>
  <c r="K31" i="25"/>
  <c r="J31" i="25"/>
  <c r="L31" i="25" s="1"/>
  <c r="A26" i="25"/>
  <c r="K22" i="25"/>
  <c r="J22" i="25"/>
  <c r="B14" i="25"/>
  <c r="A12" i="25"/>
  <c r="L22" i="25" l="1"/>
  <c r="L53" i="25"/>
  <c r="K96" i="25"/>
  <c r="J58" i="25"/>
  <c r="L70" i="25"/>
  <c r="K58" i="25"/>
  <c r="K47" i="25"/>
  <c r="L47" i="25" s="1"/>
  <c r="K63" i="25"/>
  <c r="L63" i="25" s="1"/>
  <c r="K94" i="25"/>
  <c r="L58" i="25" l="1"/>
  <c r="K86" i="24" l="1"/>
  <c r="J86" i="24"/>
  <c r="L86" i="24" s="1"/>
  <c r="K81" i="24"/>
  <c r="J81" i="24"/>
  <c r="J70" i="24"/>
  <c r="K69" i="24"/>
  <c r="K94" i="24" s="1"/>
  <c r="J63" i="24"/>
  <c r="K62" i="24"/>
  <c r="K63" i="24" s="1"/>
  <c r="K57" i="24"/>
  <c r="K58" i="24" s="1"/>
  <c r="J53" i="24"/>
  <c r="K52" i="24"/>
  <c r="K53" i="24" s="1"/>
  <c r="B51" i="24"/>
  <c r="J47" i="24"/>
  <c r="K46" i="24"/>
  <c r="K95" i="24" s="1"/>
  <c r="K39" i="24"/>
  <c r="J39" i="24"/>
  <c r="K31" i="24"/>
  <c r="J31" i="24"/>
  <c r="A26" i="24"/>
  <c r="K22" i="24"/>
  <c r="J22" i="24"/>
  <c r="B14" i="24"/>
  <c r="A12" i="24"/>
  <c r="L53" i="24" l="1"/>
  <c r="K70" i="24"/>
  <c r="L70" i="24" s="1"/>
  <c r="J56" i="24"/>
  <c r="J58" i="24" s="1"/>
  <c r="L58" i="24" s="1"/>
  <c r="L39" i="24"/>
  <c r="L22" i="24"/>
  <c r="L31" i="24"/>
  <c r="L81" i="24"/>
  <c r="K97" i="24"/>
  <c r="L63" i="24"/>
  <c r="K47" i="24"/>
  <c r="L47" i="24" s="1"/>
  <c r="K96" i="24" l="1"/>
  <c r="K86" i="23"/>
  <c r="J86" i="23"/>
  <c r="L86" i="23" s="1"/>
  <c r="K81" i="23"/>
  <c r="J81" i="23"/>
  <c r="L81" i="23" s="1"/>
  <c r="J70" i="23"/>
  <c r="K69" i="23"/>
  <c r="K70" i="23" s="1"/>
  <c r="J63" i="23"/>
  <c r="K62" i="23"/>
  <c r="K97" i="23" s="1"/>
  <c r="K57" i="23"/>
  <c r="J56" i="23" s="1"/>
  <c r="J53" i="23"/>
  <c r="K52" i="23"/>
  <c r="K53" i="23" s="1"/>
  <c r="B51" i="23"/>
  <c r="J47" i="23"/>
  <c r="K46" i="23"/>
  <c r="K95" i="23" s="1"/>
  <c r="L39" i="23"/>
  <c r="K39" i="23"/>
  <c r="J39" i="23"/>
  <c r="K31" i="23"/>
  <c r="J31" i="23"/>
  <c r="L31" i="23" s="1"/>
  <c r="A26" i="23"/>
  <c r="K22" i="23"/>
  <c r="J22" i="23"/>
  <c r="B14" i="23"/>
  <c r="A12" i="23"/>
  <c r="L22" i="23" l="1"/>
  <c r="L53" i="23"/>
  <c r="L70" i="23"/>
  <c r="K96" i="23"/>
  <c r="J58" i="23"/>
  <c r="K63" i="23"/>
  <c r="L63" i="23" s="1"/>
  <c r="K58" i="23"/>
  <c r="K47" i="23"/>
  <c r="L47" i="23" s="1"/>
  <c r="K94" i="23"/>
  <c r="L58" i="23" l="1"/>
  <c r="K86" i="22" l="1"/>
  <c r="J86" i="22"/>
  <c r="L86" i="22" s="1"/>
  <c r="K81" i="22"/>
  <c r="J81" i="22"/>
  <c r="J70" i="22"/>
  <c r="K69" i="22"/>
  <c r="K70" i="22" s="1"/>
  <c r="J63" i="22"/>
  <c r="K62" i="22"/>
  <c r="K97" i="22" s="1"/>
  <c r="K57" i="22"/>
  <c r="J56" i="22" s="1"/>
  <c r="F23" i="33" s="1"/>
  <c r="J53" i="22"/>
  <c r="K52" i="22"/>
  <c r="K53" i="22" s="1"/>
  <c r="B51" i="22"/>
  <c r="J47" i="22"/>
  <c r="K46" i="22"/>
  <c r="K47" i="22" s="1"/>
  <c r="K39" i="22"/>
  <c r="J39" i="22"/>
  <c r="L39" i="22" s="1"/>
  <c r="K31" i="22"/>
  <c r="J31" i="22"/>
  <c r="A26" i="22"/>
  <c r="K22" i="22"/>
  <c r="J22" i="22"/>
  <c r="B14" i="22"/>
  <c r="A12" i="22"/>
  <c r="H23" i="33" l="1"/>
  <c r="L23" i="33" s="1"/>
  <c r="D25" i="33" s="1"/>
  <c r="D73" i="33"/>
  <c r="L73" i="33" s="1"/>
  <c r="D75" i="33" s="1"/>
  <c r="L22" i="22"/>
  <c r="L53" i="22"/>
  <c r="L81" i="22"/>
  <c r="L31" i="22"/>
  <c r="K95" i="22"/>
  <c r="K96" i="22"/>
  <c r="J58" i="22"/>
  <c r="L70" i="22"/>
  <c r="L47" i="22"/>
  <c r="K58" i="22"/>
  <c r="K63" i="22"/>
  <c r="L63" i="22" s="1"/>
  <c r="K94" i="22"/>
  <c r="L58" i="22" l="1"/>
  <c r="K86" i="21" l="1"/>
  <c r="J86" i="21"/>
  <c r="L86" i="21" s="1"/>
  <c r="K81" i="21"/>
  <c r="J81" i="21"/>
  <c r="L81" i="21" s="1"/>
  <c r="J70" i="21"/>
  <c r="K69" i="21"/>
  <c r="K70" i="21" s="1"/>
  <c r="J63" i="21"/>
  <c r="K62" i="21"/>
  <c r="K97" i="21" s="1"/>
  <c r="K57" i="21"/>
  <c r="J56" i="21" s="1"/>
  <c r="J53" i="21"/>
  <c r="K52" i="21"/>
  <c r="K53" i="21" s="1"/>
  <c r="B51" i="21"/>
  <c r="J47" i="21"/>
  <c r="K46" i="21"/>
  <c r="K95" i="21" s="1"/>
  <c r="K39" i="21"/>
  <c r="J39" i="21"/>
  <c r="K31" i="21"/>
  <c r="J31" i="21"/>
  <c r="A26" i="21"/>
  <c r="K22" i="21"/>
  <c r="J22" i="21"/>
  <c r="B14" i="21"/>
  <c r="A12" i="21"/>
  <c r="L39" i="21" l="1"/>
  <c r="L31" i="21"/>
  <c r="L22" i="21"/>
  <c r="L53" i="21"/>
  <c r="K96" i="21"/>
  <c r="J58" i="21"/>
  <c r="L70" i="21"/>
  <c r="K58" i="21"/>
  <c r="K63" i="21"/>
  <c r="L63" i="21" s="1"/>
  <c r="K47" i="21"/>
  <c r="L47" i="21" s="1"/>
  <c r="K94" i="21"/>
  <c r="L58" i="21" l="1"/>
  <c r="K86" i="20" l="1"/>
  <c r="J86" i="20"/>
  <c r="K81" i="20"/>
  <c r="J81" i="20"/>
  <c r="L81" i="20" s="1"/>
  <c r="J70" i="20"/>
  <c r="K69" i="20"/>
  <c r="K70" i="20" s="1"/>
  <c r="J63" i="20"/>
  <c r="K62" i="20"/>
  <c r="K97" i="20" s="1"/>
  <c r="K57" i="20"/>
  <c r="J56" i="20" s="1"/>
  <c r="J53" i="20"/>
  <c r="K52" i="20"/>
  <c r="K53" i="20" s="1"/>
  <c r="B51" i="20"/>
  <c r="J47" i="20"/>
  <c r="K46" i="20"/>
  <c r="K95" i="20" s="1"/>
  <c r="K39" i="20"/>
  <c r="L39" i="20" s="1"/>
  <c r="J39" i="20"/>
  <c r="K31" i="20"/>
  <c r="J31" i="20"/>
  <c r="L31" i="20" s="1"/>
  <c r="A26" i="20"/>
  <c r="K22" i="20"/>
  <c r="J22" i="20"/>
  <c r="B14" i="20"/>
  <c r="A12" i="20"/>
  <c r="L22" i="20" l="1"/>
  <c r="L86" i="20"/>
  <c r="K96" i="20"/>
  <c r="J58" i="20"/>
  <c r="L70" i="20"/>
  <c r="L53" i="20"/>
  <c r="K47" i="20"/>
  <c r="L47" i="20" s="1"/>
  <c r="K63" i="20"/>
  <c r="L63" i="20" s="1"/>
  <c r="K58" i="20"/>
  <c r="K94" i="20"/>
  <c r="L58" i="20" l="1"/>
  <c r="K86" i="19"/>
  <c r="J86" i="19"/>
  <c r="L86" i="19" s="1"/>
  <c r="K81" i="19"/>
  <c r="J81" i="19"/>
  <c r="J70" i="19"/>
  <c r="K69" i="19"/>
  <c r="K94" i="19" s="1"/>
  <c r="J63" i="19"/>
  <c r="K62" i="19"/>
  <c r="K97" i="19" s="1"/>
  <c r="K57" i="19"/>
  <c r="J56" i="19" s="1"/>
  <c r="J53" i="19"/>
  <c r="K52" i="19"/>
  <c r="K53" i="19" s="1"/>
  <c r="L53" i="19" s="1"/>
  <c r="B51" i="19"/>
  <c r="J47" i="19"/>
  <c r="K46" i="19"/>
  <c r="K95" i="19" s="1"/>
  <c r="K39" i="19"/>
  <c r="J39" i="19"/>
  <c r="K31" i="19"/>
  <c r="J31" i="19"/>
  <c r="L31" i="19" s="1"/>
  <c r="A26" i="19"/>
  <c r="K22" i="19"/>
  <c r="J22" i="19"/>
  <c r="B14" i="19"/>
  <c r="A12" i="19"/>
  <c r="L22" i="19" l="1"/>
  <c r="K70" i="19"/>
  <c r="L81" i="19"/>
  <c r="L70" i="19"/>
  <c r="L39" i="19"/>
  <c r="J58" i="19"/>
  <c r="K96" i="19"/>
  <c r="K47" i="19"/>
  <c r="L47" i="19" s="1"/>
  <c r="K63" i="19"/>
  <c r="L63" i="19" s="1"/>
  <c r="K58" i="19"/>
  <c r="L58" i="19" l="1"/>
  <c r="K86" i="18" l="1"/>
  <c r="J86" i="18"/>
  <c r="L86" i="18" s="1"/>
  <c r="K81" i="18"/>
  <c r="J81" i="18"/>
  <c r="L81" i="18" s="1"/>
  <c r="J70" i="18"/>
  <c r="K69" i="18"/>
  <c r="K70" i="18" s="1"/>
  <c r="J63" i="18"/>
  <c r="K62" i="18"/>
  <c r="K97" i="18" s="1"/>
  <c r="K57" i="18"/>
  <c r="J56" i="18" s="1"/>
  <c r="J53" i="18"/>
  <c r="K52" i="18"/>
  <c r="K53" i="18" s="1"/>
  <c r="B51" i="18"/>
  <c r="J47" i="18"/>
  <c r="K46" i="18"/>
  <c r="K95" i="18" s="1"/>
  <c r="L39" i="18"/>
  <c r="K39" i="18"/>
  <c r="J39" i="18"/>
  <c r="K31" i="18"/>
  <c r="J31" i="18"/>
  <c r="L31" i="18" s="1"/>
  <c r="A26" i="18"/>
  <c r="K22" i="18"/>
  <c r="J22" i="18"/>
  <c r="B14" i="18"/>
  <c r="A12" i="18"/>
  <c r="L22" i="18" l="1"/>
  <c r="L53" i="18"/>
  <c r="K96" i="18"/>
  <c r="J58" i="18"/>
  <c r="L70" i="18"/>
  <c r="L47" i="18"/>
  <c r="K63" i="18"/>
  <c r="L63" i="18" s="1"/>
  <c r="K94" i="18"/>
  <c r="K58" i="18"/>
  <c r="K47" i="18"/>
  <c r="L58" i="18" l="1"/>
  <c r="K86" i="17" l="1"/>
  <c r="J86" i="17"/>
  <c r="L86" i="17" s="1"/>
  <c r="K81" i="17"/>
  <c r="J81" i="17"/>
  <c r="L81" i="17" s="1"/>
  <c r="J70" i="17"/>
  <c r="K69" i="17"/>
  <c r="K94" i="17" s="1"/>
  <c r="J63" i="17"/>
  <c r="K62" i="17"/>
  <c r="K97" i="17" s="1"/>
  <c r="K57" i="17"/>
  <c r="J56" i="17" s="1"/>
  <c r="J53" i="17"/>
  <c r="K52" i="17"/>
  <c r="K53" i="17" s="1"/>
  <c r="L53" i="17" s="1"/>
  <c r="B51" i="17"/>
  <c r="J47" i="17"/>
  <c r="K46" i="17"/>
  <c r="K47" i="17" s="1"/>
  <c r="K39" i="17"/>
  <c r="J39" i="17"/>
  <c r="K31" i="17"/>
  <c r="J31" i="17"/>
  <c r="A26" i="17"/>
  <c r="K22" i="17"/>
  <c r="J22" i="17"/>
  <c r="B14" i="17"/>
  <c r="A12" i="17"/>
  <c r="L39" i="17" l="1"/>
  <c r="L31" i="17"/>
  <c r="K70" i="17"/>
  <c r="L70" i="17"/>
  <c r="L22" i="17"/>
  <c r="K95" i="17"/>
  <c r="L47" i="17"/>
  <c r="J58" i="17"/>
  <c r="K96" i="17"/>
  <c r="K63" i="17"/>
  <c r="L63" i="17" s="1"/>
  <c r="K58" i="17"/>
  <c r="L58" i="17" l="1"/>
  <c r="K86" i="16" l="1"/>
  <c r="J86" i="16"/>
  <c r="L86" i="16" s="1"/>
  <c r="K81" i="16"/>
  <c r="J81" i="16"/>
  <c r="L81" i="16" s="1"/>
  <c r="J70" i="16"/>
  <c r="K69" i="16"/>
  <c r="K70" i="16" s="1"/>
  <c r="J63" i="16"/>
  <c r="K62" i="16"/>
  <c r="K97" i="16" s="1"/>
  <c r="K57" i="16"/>
  <c r="J56" i="16" s="1"/>
  <c r="J53" i="16"/>
  <c r="K52" i="16"/>
  <c r="K53" i="16" s="1"/>
  <c r="B51" i="16"/>
  <c r="J47" i="16"/>
  <c r="K46" i="16"/>
  <c r="K47" i="16" s="1"/>
  <c r="K39" i="16"/>
  <c r="J39" i="16"/>
  <c r="L39" i="16" s="1"/>
  <c r="K31" i="16"/>
  <c r="J31" i="16"/>
  <c r="L31" i="16" s="1"/>
  <c r="A26" i="16"/>
  <c r="K22" i="16"/>
  <c r="J22" i="16"/>
  <c r="B14" i="16"/>
  <c r="A12" i="16"/>
  <c r="L22" i="16" l="1"/>
  <c r="L53" i="16"/>
  <c r="K95" i="16"/>
  <c r="L47" i="16"/>
  <c r="K96" i="16"/>
  <c r="J58" i="16"/>
  <c r="L70" i="16"/>
  <c r="K58" i="16"/>
  <c r="K63" i="16"/>
  <c r="L63" i="16" s="1"/>
  <c r="K94" i="16"/>
  <c r="L58" i="16" l="1"/>
  <c r="K86" i="15" l="1"/>
  <c r="J86" i="15"/>
  <c r="L86" i="15" s="1"/>
  <c r="K81" i="15"/>
  <c r="J81" i="15"/>
  <c r="L81" i="15" s="1"/>
  <c r="J70" i="15"/>
  <c r="K69" i="15"/>
  <c r="K70" i="15" s="1"/>
  <c r="J63" i="15"/>
  <c r="K62" i="15"/>
  <c r="K97" i="15" s="1"/>
  <c r="K57" i="15"/>
  <c r="J56" i="15" s="1"/>
  <c r="J53" i="15"/>
  <c r="K52" i="15"/>
  <c r="K53" i="15" s="1"/>
  <c r="B51" i="15"/>
  <c r="J47" i="15"/>
  <c r="K46" i="15"/>
  <c r="K47" i="15" s="1"/>
  <c r="K39" i="15"/>
  <c r="J39" i="15"/>
  <c r="K31" i="15"/>
  <c r="J31" i="15"/>
  <c r="A26" i="15"/>
  <c r="K22" i="15"/>
  <c r="J22" i="15"/>
  <c r="B14" i="15"/>
  <c r="A12" i="15"/>
  <c r="L39" i="15" l="1"/>
  <c r="L31" i="15"/>
  <c r="L53" i="15"/>
  <c r="L70" i="15"/>
  <c r="L22" i="15"/>
  <c r="K95" i="15"/>
  <c r="K96" i="15"/>
  <c r="J58" i="15"/>
  <c r="L47" i="15"/>
  <c r="K58" i="15"/>
  <c r="K63" i="15"/>
  <c r="L63" i="15" s="1"/>
  <c r="K94" i="15"/>
  <c r="L58" i="15" l="1"/>
  <c r="K86" i="14" l="1"/>
  <c r="J86" i="14"/>
  <c r="L86" i="14" s="1"/>
  <c r="K81" i="14"/>
  <c r="J81" i="14"/>
  <c r="L81" i="14" s="1"/>
  <c r="J70" i="14"/>
  <c r="K69" i="14"/>
  <c r="K94" i="14" s="1"/>
  <c r="J63" i="14"/>
  <c r="K62" i="14"/>
  <c r="K97" i="14" s="1"/>
  <c r="K57" i="14"/>
  <c r="J56" i="14" s="1"/>
  <c r="J53" i="14"/>
  <c r="K52" i="14"/>
  <c r="K53" i="14" s="1"/>
  <c r="B51" i="14"/>
  <c r="J47" i="14"/>
  <c r="K46" i="14"/>
  <c r="K95" i="14" s="1"/>
  <c r="K39" i="14"/>
  <c r="J39" i="14"/>
  <c r="K31" i="14"/>
  <c r="J31" i="14"/>
  <c r="A26" i="14"/>
  <c r="K22" i="14"/>
  <c r="J22" i="14"/>
  <c r="B14" i="14"/>
  <c r="A12" i="14"/>
  <c r="L22" i="14" l="1"/>
  <c r="L53" i="14"/>
  <c r="L31" i="14"/>
  <c r="K70" i="14"/>
  <c r="L70" i="14" s="1"/>
  <c r="L39" i="14"/>
  <c r="K96" i="14"/>
  <c r="J58" i="14"/>
  <c r="K63" i="14"/>
  <c r="L63" i="14" s="1"/>
  <c r="K58" i="14"/>
  <c r="K47" i="14"/>
  <c r="L47" i="14" s="1"/>
  <c r="L58" i="14" l="1"/>
  <c r="K86" i="13" l="1"/>
  <c r="J86" i="13"/>
  <c r="L86" i="13" s="1"/>
  <c r="K81" i="13"/>
  <c r="J81" i="13"/>
  <c r="L81" i="13" s="1"/>
  <c r="J70" i="13"/>
  <c r="K69" i="13"/>
  <c r="K70" i="13" s="1"/>
  <c r="J63" i="13"/>
  <c r="K62" i="13"/>
  <c r="K97" i="13" s="1"/>
  <c r="K57" i="13"/>
  <c r="J56" i="13" s="1"/>
  <c r="J53" i="13"/>
  <c r="K52" i="13"/>
  <c r="K53" i="13" s="1"/>
  <c r="B51" i="13"/>
  <c r="J47" i="13"/>
  <c r="K46" i="13"/>
  <c r="K95" i="13" s="1"/>
  <c r="K39" i="13"/>
  <c r="J39" i="13"/>
  <c r="K31" i="13"/>
  <c r="J31" i="13"/>
  <c r="A26" i="13"/>
  <c r="K22" i="13"/>
  <c r="J22" i="13"/>
  <c r="B14" i="13"/>
  <c r="A12" i="13"/>
  <c r="L39" i="13" l="1"/>
  <c r="L31" i="13"/>
  <c r="L22" i="13"/>
  <c r="L70" i="13"/>
  <c r="K96" i="13"/>
  <c r="J58" i="13"/>
  <c r="L53" i="13"/>
  <c r="K58" i="13"/>
  <c r="K47" i="13"/>
  <c r="L47" i="13" s="1"/>
  <c r="K63" i="13"/>
  <c r="L63" i="13" s="1"/>
  <c r="K94" i="13"/>
  <c r="L58" i="13" l="1"/>
  <c r="K86" i="12" l="1"/>
  <c r="J86" i="12"/>
  <c r="L86" i="12" s="1"/>
  <c r="K81" i="12"/>
  <c r="J81" i="12"/>
  <c r="L81" i="12" s="1"/>
  <c r="J70" i="12"/>
  <c r="K69" i="12"/>
  <c r="K70" i="12" s="1"/>
  <c r="J63" i="12"/>
  <c r="K62" i="12"/>
  <c r="K97" i="12" s="1"/>
  <c r="K57" i="12"/>
  <c r="J56" i="12" s="1"/>
  <c r="J53" i="12"/>
  <c r="K52" i="12"/>
  <c r="K53" i="12" s="1"/>
  <c r="B51" i="12"/>
  <c r="J47" i="12"/>
  <c r="K46" i="12"/>
  <c r="K95" i="12" s="1"/>
  <c r="K39" i="12"/>
  <c r="J39" i="12"/>
  <c r="K31" i="12"/>
  <c r="J31" i="12"/>
  <c r="A26" i="12"/>
  <c r="K22" i="12"/>
  <c r="J22" i="12"/>
  <c r="B14" i="12"/>
  <c r="A12" i="12"/>
  <c r="L39" i="12" l="1"/>
  <c r="L31" i="12"/>
  <c r="L22" i="12"/>
  <c r="L53" i="12"/>
  <c r="K96" i="12"/>
  <c r="J58" i="12"/>
  <c r="L70" i="12"/>
  <c r="K63" i="12"/>
  <c r="L63" i="12" s="1"/>
  <c r="K94" i="12"/>
  <c r="K58" i="12"/>
  <c r="K47" i="12"/>
  <c r="L47" i="12" s="1"/>
  <c r="L58" i="12" l="1"/>
  <c r="K86" i="11" l="1"/>
  <c r="J86" i="11"/>
  <c r="L86" i="11" s="1"/>
  <c r="K81" i="11"/>
  <c r="J81" i="11"/>
  <c r="L81" i="11" s="1"/>
  <c r="J70" i="11"/>
  <c r="K69" i="11"/>
  <c r="K70" i="11" s="1"/>
  <c r="J63" i="11"/>
  <c r="K62" i="11"/>
  <c r="K97" i="11" s="1"/>
  <c r="K57" i="11"/>
  <c r="J56" i="11" s="1"/>
  <c r="F16" i="33" s="1"/>
  <c r="J53" i="11"/>
  <c r="K52" i="11"/>
  <c r="K53" i="11" s="1"/>
  <c r="B51" i="11"/>
  <c r="J47" i="11"/>
  <c r="K46" i="11"/>
  <c r="K95" i="11" s="1"/>
  <c r="K39" i="11"/>
  <c r="J39" i="11"/>
  <c r="K31" i="11"/>
  <c r="J31" i="11"/>
  <c r="L31" i="11" s="1"/>
  <c r="A26" i="11"/>
  <c r="K22" i="11"/>
  <c r="J22" i="11"/>
  <c r="B14" i="11"/>
  <c r="A12" i="11"/>
  <c r="D63" i="33" l="1"/>
  <c r="L63" i="33" s="1"/>
  <c r="D65" i="33" s="1"/>
  <c r="H16" i="33"/>
  <c r="L16" i="33" s="1"/>
  <c r="D17" i="33" s="1"/>
  <c r="L39" i="11"/>
  <c r="L22" i="11"/>
  <c r="L53" i="11"/>
  <c r="K96" i="11"/>
  <c r="J58" i="11"/>
  <c r="L70" i="11"/>
  <c r="K58" i="11"/>
  <c r="K47" i="11"/>
  <c r="L47" i="11" s="1"/>
  <c r="K63" i="11"/>
  <c r="L63" i="11" s="1"/>
  <c r="K94" i="11"/>
  <c r="L58" i="11" l="1"/>
  <c r="K96" i="10" l="1"/>
  <c r="K86" i="10"/>
  <c r="J86" i="10"/>
  <c r="L86" i="10" s="1"/>
  <c r="K81" i="10"/>
  <c r="J81" i="10"/>
  <c r="L81" i="10" s="1"/>
  <c r="J70" i="10"/>
  <c r="K69" i="10"/>
  <c r="K70" i="10" s="1"/>
  <c r="L70" i="10" s="1"/>
  <c r="J63" i="10"/>
  <c r="K62" i="10"/>
  <c r="K63" i="10" s="1"/>
  <c r="K58" i="10"/>
  <c r="J58" i="10"/>
  <c r="J53" i="10"/>
  <c r="K52" i="10"/>
  <c r="K53" i="10" s="1"/>
  <c r="B51" i="10"/>
  <c r="J47" i="10"/>
  <c r="K46" i="10"/>
  <c r="K39" i="10"/>
  <c r="J39" i="10"/>
  <c r="K31" i="10"/>
  <c r="J31" i="10"/>
  <c r="A26" i="10"/>
  <c r="K22" i="10"/>
  <c r="J22" i="10"/>
  <c r="B14" i="10"/>
  <c r="A12" i="10"/>
  <c r="L58" i="10" l="1"/>
  <c r="L22" i="10"/>
  <c r="L53" i="10"/>
  <c r="L31" i="10"/>
  <c r="L39" i="10"/>
  <c r="K97" i="10"/>
  <c r="L63" i="10"/>
  <c r="K47" i="10"/>
  <c r="L47" i="10" s="1"/>
  <c r="K94" i="10"/>
</calcChain>
</file>

<file path=xl/sharedStrings.xml><?xml version="1.0" encoding="utf-8"?>
<sst xmlns="http://schemas.openxmlformats.org/spreadsheetml/2006/main" count="8729" uniqueCount="1645">
  <si>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</si>
  <si>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</si>
  <si>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</si>
  <si>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</si>
  <si>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</si>
  <si>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</si>
  <si>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</si>
  <si>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</si>
  <si>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</si>
  <si>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</si>
  <si>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</si>
  <si>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</si>
  <si>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</si>
  <si>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</si>
  <si>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</si>
  <si>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</si>
  <si>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</si>
  <si>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</si>
  <si>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</si>
  <si>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</si>
  <si>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</si>
  <si>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</si>
  <si>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</si>
  <si>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</si>
  <si>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</si>
  <si>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</si>
  <si>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</si>
  <si>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</si>
  <si>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</si>
  <si>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</si>
  <si>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</si>
  <si>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</si>
  <si>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</si>
  <si>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</si>
  <si>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</si>
  <si>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</si>
  <si>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</si>
  <si>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</si>
  <si>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</si>
  <si>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</si>
  <si>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</si>
  <si>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</si>
  <si>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</si>
  <si>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</si>
  <si>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</si>
  <si>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</si>
  <si>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</si>
  <si>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</si>
  <si>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</si>
  <si>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</si>
  <si>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</si>
  <si>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</si>
  <si>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</si>
  <si>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</si>
  <si>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</si>
  <si>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</si>
  <si>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</si>
  <si>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</si>
  <si>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</si>
  <si>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</si>
  <si>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</si>
  <si>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</si>
  <si>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</si>
  <si>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</si>
  <si>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</si>
  <si>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</si>
  <si>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</si>
  <si>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</si>
  <si>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</si>
  <si>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</si>
  <si>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</si>
  <si>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</si>
  <si>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</si>
  <si>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</si>
  <si>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</si>
  <si>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</si>
  <si>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</si>
  <si>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</si>
  <si>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</si>
  <si>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</si>
  <si>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</si>
  <si>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</si>
  <si>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</si>
  <si>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</si>
  <si>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</si>
  <si>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</si>
  <si>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</si>
  <si>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</si>
  <si>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</si>
  <si>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</si>
  <si>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</si>
  <si>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</si>
  <si>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</si>
  <si>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</si>
  <si>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</si>
  <si>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</si>
  <si>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</si>
  <si>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</si>
  <si>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</si>
  <si>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</si>
  <si>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</si>
  <si>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</si>
  <si>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</si>
  <si>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</si>
  <si>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</si>
  <si>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</si>
  <si>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</si>
  <si>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</si>
  <si>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</si>
  <si>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</si>
  <si>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</si>
  <si>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</si>
  <si>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</si>
  <si>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</si>
  <si>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</si>
  <si>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</si>
  <si>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</si>
  <si>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</si>
  <si>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</si>
  <si>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</si>
  <si>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</si>
  <si>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</si>
  <si>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</si>
  <si>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</si>
  <si>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</si>
  <si>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</si>
  <si>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</si>
  <si>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</si>
  <si>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</si>
  <si>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</si>
  <si>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</si>
  <si>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</si>
  <si>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</si>
  <si>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</si>
  <si>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</si>
  <si>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</si>
  <si>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</si>
  <si>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</si>
  <si>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</si>
  <si>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</si>
  <si>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</si>
  <si>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</si>
  <si>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</si>
  <si>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</si>
  <si>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</si>
  <si>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</si>
  <si>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</si>
  <si>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</si>
  <si>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</si>
  <si>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</si>
  <si>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</si>
  <si>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</si>
  <si>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</si>
  <si>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</si>
  <si>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</si>
  <si>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</si>
  <si>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</si>
  <si>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</si>
  <si>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</si>
  <si>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</si>
  <si>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</si>
  <si>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</si>
  <si>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</si>
  <si>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</si>
  <si>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</si>
  <si>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</si>
  <si>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</si>
  <si>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</si>
  <si>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</si>
  <si>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</si>
  <si>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</si>
  <si>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</si>
  <si>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</si>
  <si>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</si>
  <si>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</si>
  <si>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</si>
  <si>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</si>
  <si>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</si>
  <si>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</si>
  <si>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</si>
  <si>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</si>
  <si>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</si>
  <si>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</si>
  <si>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</si>
  <si>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</si>
  <si>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</si>
  <si>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</si>
  <si>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</si>
  <si>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</si>
  <si>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</si>
  <si>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</si>
  <si>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</si>
  <si>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</si>
  <si>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</si>
  <si>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</si>
  <si>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</si>
  <si>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</si>
  <si>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</si>
  <si>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</si>
  <si>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</si>
  <si>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</si>
  <si>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</si>
  <si>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</si>
  <si>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</si>
  <si>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</si>
  <si>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</si>
  <si>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</si>
  <si>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</si>
  <si>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</si>
  <si>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</si>
  <si>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</si>
  <si>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</si>
  <si>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</si>
  <si>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</si>
  <si>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</si>
  <si>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</si>
  <si>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</si>
  <si>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</si>
  <si>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</si>
  <si>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</si>
  <si>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</si>
  <si>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</si>
  <si>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</si>
  <si>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</si>
  <si>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</si>
  <si>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</si>
  <si>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</si>
  <si>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</si>
  <si>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</si>
  <si>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</si>
  <si>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</si>
  <si>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</si>
  <si>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</si>
  <si>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</si>
  <si>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</si>
  <si>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</si>
  <si>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</si>
  <si>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</si>
  <si>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</si>
  <si>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</si>
  <si>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</si>
  <si>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</si>
  <si>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</si>
  <si>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</si>
  <si>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</si>
  <si>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</si>
  <si>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</si>
  <si>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</si>
  <si>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</si>
  <si>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</si>
  <si>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</si>
  <si>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</si>
  <si>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</si>
  <si>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</si>
  <si>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</si>
  <si>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</si>
  <si>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</si>
  <si>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</si>
  <si>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</si>
  <si>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</si>
  <si>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</si>
  <si>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</si>
  <si>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</si>
  <si>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</si>
  <si>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</si>
  <si>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</si>
  <si>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</si>
  <si>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</si>
  <si>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</si>
  <si>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</si>
  <si>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</si>
  <si>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</si>
  <si>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</si>
  <si>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</si>
  <si>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</si>
  <si>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</si>
  <si>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</si>
  <si>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</si>
  <si>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</si>
  <si>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</si>
  <si>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</si>
  <si>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</si>
  <si>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</si>
  <si>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</si>
  <si>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</si>
  <si>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</si>
  <si>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</si>
  <si>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</si>
  <si>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</si>
  <si>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</si>
  <si>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</si>
  <si>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</si>
  <si>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</si>
  <si>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</si>
  <si>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</si>
  <si>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</si>
  <si>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</si>
  <si>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</si>
  <si>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</si>
  <si>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</si>
  <si>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</si>
  <si>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</si>
  <si>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</si>
  <si>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</si>
  <si>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</si>
  <si>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</si>
  <si>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</si>
  <si>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</si>
  <si>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</si>
  <si>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</si>
  <si>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</si>
  <si>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</si>
  <si>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</si>
  <si>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</si>
  <si>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</si>
  <si>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</si>
  <si>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</si>
  <si>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</si>
  <si>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</si>
  <si>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</si>
  <si>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</si>
  <si>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</si>
  <si>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</si>
  <si>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</si>
  <si>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</si>
  <si>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</si>
  <si>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</si>
  <si>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</si>
  <si>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</si>
  <si>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</si>
  <si>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</si>
  <si>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</si>
  <si>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</si>
  <si>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</si>
  <si>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</si>
  <si>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</si>
  <si>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</si>
  <si>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</si>
  <si>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</si>
  <si>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</si>
  <si>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</si>
  <si>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</si>
  <si>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</si>
  <si>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</si>
  <si>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</si>
  <si>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</si>
  <si>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</si>
  <si>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</si>
  <si>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</si>
  <si>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</si>
  <si>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</si>
  <si>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</si>
  <si>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</si>
  <si>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</si>
  <si>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</si>
  <si>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</si>
  <si>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</si>
  <si>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</si>
  <si>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</si>
  <si>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</si>
  <si>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</si>
  <si>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</si>
  <si>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</si>
  <si>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</si>
  <si>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</si>
  <si>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</si>
  <si>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</si>
  <si>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</si>
  <si>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</si>
  <si>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</si>
  <si>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</si>
  <si>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</si>
  <si>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</si>
  <si>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</si>
  <si>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</si>
  <si>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</si>
  <si>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</si>
  <si>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</si>
  <si>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</si>
  <si>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</si>
  <si>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</si>
  <si>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</si>
  <si>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</si>
  <si>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</si>
  <si>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</si>
  <si>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</si>
  <si>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</si>
  <si>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</si>
  <si>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</si>
  <si>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</si>
  <si>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</si>
  <si>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</si>
  <si>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</si>
  <si>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</si>
  <si>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</si>
  <si>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</si>
  <si>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</si>
  <si>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</si>
  <si>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</si>
  <si>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</si>
  <si>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</si>
  <si>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</si>
  <si>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</si>
  <si>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</si>
  <si>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</si>
  <si>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</si>
  <si>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</si>
  <si>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</si>
  <si>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</si>
  <si>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</si>
  <si>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</si>
  <si>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</si>
  <si>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</si>
  <si>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</si>
  <si>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</si>
  <si>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</si>
  <si>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</si>
  <si>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</si>
  <si>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</si>
  <si>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</si>
  <si>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</si>
  <si>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</si>
  <si>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</si>
  <si>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</si>
  <si>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</si>
  <si>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</si>
  <si>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</si>
  <si>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</si>
  <si>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</si>
  <si>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</si>
  <si>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</si>
  <si>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</si>
  <si>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</si>
  <si>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</si>
  <si>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</si>
  <si>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</si>
  <si>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</si>
  <si>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</si>
  <si>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</si>
  <si>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</si>
  <si>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</si>
  <si>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</si>
  <si>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</si>
  <si>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</si>
  <si>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</si>
  <si>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</si>
  <si>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</si>
  <si>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</si>
  <si>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</si>
  <si>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</si>
  <si>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</si>
  <si>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</si>
  <si>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</si>
  <si>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</si>
  <si>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</si>
  <si>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</si>
  <si>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</si>
  <si>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</si>
  <si>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</si>
  <si>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</si>
  <si>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</si>
  <si>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</si>
  <si>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</si>
  <si>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</si>
  <si>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</si>
  <si>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</si>
  <si>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</si>
  <si>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</si>
  <si>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</si>
  <si>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</si>
  <si>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</si>
  <si>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</si>
  <si>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</si>
  <si>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</si>
  <si>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</si>
  <si>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</si>
  <si>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</si>
  <si>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</si>
  <si>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</si>
  <si>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</si>
  <si>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</si>
  <si>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</si>
  <si>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</si>
  <si>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</si>
  <si>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</si>
  <si>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</si>
  <si>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</si>
  <si>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</si>
  <si>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</si>
  <si>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</si>
  <si>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</si>
  <si>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</si>
  <si>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</si>
  <si>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</si>
  <si>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</si>
  <si>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</si>
  <si>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</si>
  <si>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</si>
  <si>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</si>
  <si>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</si>
  <si>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</si>
  <si>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</si>
  <si>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</si>
  <si>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</si>
  <si>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</si>
  <si>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</si>
  <si>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</si>
  <si>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</si>
  <si>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</si>
  <si>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</si>
  <si>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</si>
  <si>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</si>
  <si>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</si>
  <si>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</si>
  <si>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</si>
  <si>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</si>
  <si>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</si>
  <si>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</si>
  <si>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</si>
  <si>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</si>
  <si>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</si>
  <si>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</si>
  <si>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</si>
  <si>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</si>
  <si>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</si>
  <si>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</si>
  <si>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</si>
  <si>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</si>
  <si>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</si>
  <si>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</si>
  <si>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</si>
  <si>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</si>
  <si>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</si>
  <si>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</si>
  <si>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</si>
  <si>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</si>
  <si>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</si>
  <si>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</si>
  <si>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</si>
  <si>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</si>
  <si>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</si>
  <si>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</si>
  <si>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</si>
  <si>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</si>
  <si>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</si>
  <si>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</si>
  <si>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</si>
  <si>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</si>
  <si>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</si>
  <si>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</si>
  <si>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</si>
  <si>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</si>
  <si>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</si>
  <si>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</si>
  <si>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</si>
  <si>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</si>
  <si>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</si>
  <si>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</si>
  <si>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</si>
  <si>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</si>
  <si>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</si>
  <si>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</si>
  <si>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</si>
  <si>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</si>
  <si>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</si>
  <si>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</si>
  <si>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</si>
  <si>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</si>
  <si>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</si>
  <si>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</si>
  <si>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</si>
  <si>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</si>
  <si>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</si>
  <si>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</si>
  <si>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</si>
  <si>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</si>
  <si>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</si>
  <si>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</si>
  <si>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</si>
  <si>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</si>
  <si>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</si>
  <si>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</si>
  <si>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</si>
  <si>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</si>
  <si>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</si>
  <si>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</si>
  <si>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</si>
  <si>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</si>
  <si>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</si>
  <si>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</si>
  <si>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</si>
  <si>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</si>
  <si>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</si>
  <si>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</si>
  <si>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</si>
  <si>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</si>
  <si>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</si>
  <si>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</si>
  <si>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</si>
  <si>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</si>
  <si>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</si>
  <si>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</si>
  <si>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</si>
  <si>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</si>
  <si>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</si>
  <si>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</si>
  <si>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</si>
  <si>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</si>
  <si>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</si>
  <si>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</si>
  <si>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</si>
  <si>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</si>
  <si>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</si>
  <si>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</si>
  <si>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</si>
  <si>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</si>
  <si>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</si>
  <si>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</si>
  <si>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</si>
  <si>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</si>
  <si>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</si>
  <si>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</si>
  <si>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</si>
  <si>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</si>
  <si>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</si>
  <si>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</si>
  <si>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</si>
  <si>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</si>
  <si>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</si>
  <si>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</si>
  <si>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</si>
  <si>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</si>
  <si>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</si>
  <si>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</si>
  <si>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</si>
  <si>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</si>
  <si>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</si>
  <si>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</si>
  <si>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</si>
  <si>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</si>
  <si>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</si>
  <si>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</si>
  <si>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</si>
  <si>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</si>
  <si>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</si>
  <si>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</si>
  <si>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</si>
  <si>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</si>
  <si>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</si>
  <si>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</si>
  <si>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</si>
  <si>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</si>
  <si>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</si>
  <si>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</si>
  <si>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</si>
  <si>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</si>
  <si>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</si>
  <si>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</si>
  <si>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</si>
  <si>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</si>
  <si>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</si>
  <si>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</si>
  <si>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</si>
  <si>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</si>
  <si>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</si>
  <si>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</si>
  <si>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</si>
  <si>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</si>
  <si>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</si>
  <si>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</si>
  <si>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</si>
  <si>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</si>
  <si>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</si>
  <si>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</si>
  <si>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</si>
  <si>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</si>
  <si>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</si>
  <si>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</si>
  <si>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</si>
  <si>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</si>
  <si>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</si>
  <si>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</si>
  <si>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</si>
  <si>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</si>
  <si>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</si>
  <si>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</si>
  <si>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</si>
  <si>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</si>
  <si>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</si>
  <si>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</si>
  <si>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</si>
  <si>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</si>
  <si>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</si>
  <si>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</si>
  <si>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</si>
  <si>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</si>
  <si>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</si>
  <si>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</si>
  <si>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</si>
  <si>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</si>
  <si>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</si>
  <si>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</si>
  <si>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</si>
  <si>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</si>
  <si>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</si>
  <si>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</si>
  <si>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</si>
  <si>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</si>
  <si>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</si>
  <si>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</si>
  <si>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</si>
  <si>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</si>
  <si>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</si>
  <si>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</si>
  <si>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</si>
  <si>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</si>
  <si>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</si>
  <si>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</si>
  <si>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</si>
  <si>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</si>
  <si>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</si>
  <si>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</si>
  <si>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</si>
  <si>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</si>
  <si>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</si>
  <si>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</si>
  <si>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</si>
  <si>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</si>
  <si>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</si>
  <si>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</si>
  <si>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</si>
  <si>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</si>
  <si>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</si>
  <si>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</si>
  <si>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</si>
  <si>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</si>
  <si>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</si>
  <si>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</si>
  <si>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</si>
  <si>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</si>
  <si>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</si>
  <si>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</si>
  <si>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</si>
  <si>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</si>
  <si>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</si>
  <si>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</si>
  <si>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</si>
  <si>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</si>
  <si>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</si>
  <si>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</si>
  <si>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</si>
  <si>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</si>
  <si>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</si>
  <si>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</si>
  <si>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</si>
  <si>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</si>
  <si>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</si>
  <si>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</si>
  <si>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</si>
  <si>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</si>
  <si>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</si>
  <si>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</si>
  <si>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</si>
  <si>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</si>
  <si>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</si>
  <si>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</si>
  <si>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</si>
  <si>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</si>
  <si>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</si>
  <si>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</si>
  <si>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</si>
  <si>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</si>
  <si>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</si>
  <si>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</si>
  <si>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</si>
  <si>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</si>
  <si>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</si>
  <si>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</si>
  <si>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</si>
  <si>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</si>
  <si>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</si>
  <si>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</si>
  <si>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</si>
  <si>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</si>
  <si>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</si>
  <si>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</si>
  <si>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</si>
  <si>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</si>
  <si>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</si>
  <si>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</si>
  <si>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</si>
  <si>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</si>
  <si>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</si>
  <si>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</si>
  <si>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</si>
  <si>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</si>
  <si>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</si>
  <si>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</si>
  <si>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</si>
  <si>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</si>
  <si>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</si>
  <si>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</si>
  <si>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</si>
  <si>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</si>
  <si>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</si>
  <si>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</si>
  <si>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</si>
  <si>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</si>
  <si>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</si>
  <si>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</si>
  <si>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</si>
  <si>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</si>
  <si>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</si>
  <si>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</si>
  <si>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</si>
  <si>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</si>
  <si>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</si>
  <si>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</si>
  <si>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</si>
  <si>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</si>
  <si>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</si>
  <si>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</si>
  <si>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</si>
  <si>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</si>
  <si>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</si>
  <si>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</si>
  <si>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</si>
  <si>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</si>
  <si>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</si>
  <si>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</si>
  <si>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</si>
  <si>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</si>
  <si>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</si>
  <si>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</si>
  <si>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</si>
  <si>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</si>
  <si>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</si>
  <si>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</si>
  <si>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</si>
  <si>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</si>
  <si>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</si>
  <si>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</si>
  <si>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</si>
  <si>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</si>
  <si>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</si>
  <si>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</si>
  <si>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</si>
  <si>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</si>
  <si>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</si>
  <si>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</si>
  <si>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</si>
  <si>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</si>
  <si>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</si>
  <si>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</si>
  <si>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</si>
  <si>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</si>
  <si>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</si>
  <si>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</si>
  <si>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</si>
  <si>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</si>
  <si>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</si>
  <si>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</si>
  <si>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</si>
  <si>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</si>
  <si>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</si>
  <si>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</si>
  <si>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</si>
  <si>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</si>
  <si>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</si>
  <si>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</si>
  <si>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</si>
  <si>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</si>
  <si>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</si>
  <si>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</si>
  <si>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</si>
  <si>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</si>
  <si>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</si>
  <si>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</si>
  <si>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</si>
  <si>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</si>
  <si>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</si>
  <si>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</si>
  <si>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</si>
  <si>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</si>
  <si>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</si>
  <si>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</si>
  <si>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</si>
  <si>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</si>
  <si>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</si>
  <si>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</si>
  <si>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</si>
  <si>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</si>
  <si>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</si>
  <si>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</si>
  <si>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</si>
  <si>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</si>
  <si>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</si>
  <si>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</si>
  <si>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</si>
  <si>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</si>
  <si>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</si>
  <si>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</si>
  <si>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</si>
  <si>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</si>
  <si>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</si>
  <si>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</si>
  <si>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</si>
  <si>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</si>
  <si>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</si>
  <si>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</si>
  <si>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</si>
  <si>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</si>
  <si>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</si>
  <si>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</si>
  <si>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</si>
  <si>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</si>
  <si>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</si>
  <si>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</si>
  <si>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</si>
  <si>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</si>
  <si>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</si>
  <si>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</si>
  <si>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</si>
  <si>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</si>
  <si>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</si>
  <si>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</si>
  <si>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</si>
  <si>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</si>
  <si>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</si>
  <si>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</si>
  <si>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</si>
  <si>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</si>
  <si>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</si>
  <si>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</si>
  <si>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</si>
  <si>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</si>
  <si>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</si>
  <si>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</si>
  <si>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</si>
  <si>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</si>
  <si>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</si>
  <si>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</si>
  <si>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</si>
  <si>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</si>
  <si>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</si>
  <si>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</si>
  <si>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</si>
  <si>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</si>
  <si>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</si>
  <si>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</si>
  <si>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</si>
  <si>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</si>
  <si>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</si>
  <si>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</si>
  <si>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</si>
  <si>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</si>
  <si>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</si>
  <si>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</si>
  <si>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</si>
  <si>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</si>
  <si>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</si>
  <si>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</si>
  <si>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</si>
  <si>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</si>
  <si>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</si>
  <si>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</si>
  <si>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</si>
  <si>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</si>
  <si>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</si>
  <si>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</si>
  <si>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</si>
  <si>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</si>
  <si>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</si>
  <si>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</si>
  <si>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</si>
  <si>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</si>
  <si>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</si>
  <si>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</si>
  <si>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</si>
  <si>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</si>
  <si>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</si>
  <si>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</si>
  <si>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</si>
  <si>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</si>
  <si>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</si>
  <si>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</si>
  <si>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</si>
  <si>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</si>
  <si>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</si>
  <si>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</si>
  <si>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</si>
  <si>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</si>
  <si>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</si>
  <si>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</si>
  <si>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</si>
  <si>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</si>
  <si>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</si>
  <si>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</si>
  <si>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</si>
  <si>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</si>
  <si>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</si>
  <si>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</si>
  <si>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</si>
  <si>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</si>
  <si>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</si>
  <si>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</si>
  <si>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</si>
  <si>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</si>
  <si>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</si>
  <si>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</si>
  <si>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</si>
  <si>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</si>
  <si>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</si>
  <si>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</si>
  <si>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</si>
  <si>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</si>
  <si>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</si>
  <si>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</si>
  <si>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</si>
  <si>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</si>
  <si>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</si>
  <si>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</si>
  <si>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</si>
  <si>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</si>
  <si>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</si>
  <si>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</si>
  <si>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</si>
  <si>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</si>
  <si>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</si>
  <si>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</si>
  <si>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</si>
  <si>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</si>
  <si>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</si>
  <si>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</si>
  <si>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</si>
  <si>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</si>
  <si>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</si>
  <si>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</si>
  <si>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</si>
  <si>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</si>
  <si>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</si>
  <si>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</si>
  <si>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</si>
  <si>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</si>
  <si>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</si>
  <si>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</si>
  <si>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</si>
  <si>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</si>
  <si>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</si>
  <si>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</si>
  <si>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</si>
  <si>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</si>
  <si>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</si>
  <si>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</si>
  <si>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</si>
  <si>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</si>
  <si>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</si>
  <si>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</si>
  <si>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</si>
  <si>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</si>
  <si>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</si>
  <si>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</si>
  <si>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</si>
  <si>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</si>
  <si>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</si>
  <si>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</si>
  <si>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</si>
  <si>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</si>
  <si>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</si>
  <si>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</si>
  <si>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</si>
  <si>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</si>
  <si>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</si>
  <si>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</si>
  <si>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</si>
  <si>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</si>
  <si>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</si>
  <si>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</si>
  <si>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</si>
  <si>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</si>
  <si>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</si>
  <si>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</si>
  <si>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</si>
  <si>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</si>
  <si>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</si>
  <si>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</si>
  <si>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</si>
  <si>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</si>
  <si>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</si>
  <si>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</si>
  <si>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</si>
  <si>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</si>
  <si>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</si>
  <si>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</si>
  <si>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</si>
  <si>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</si>
  <si>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</si>
  <si>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</si>
  <si>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</si>
  <si>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</si>
  <si>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</si>
  <si>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</si>
  <si>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</si>
  <si>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</si>
  <si>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</si>
  <si>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</si>
  <si>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</si>
  <si>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</si>
  <si>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</si>
  <si>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</si>
  <si>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</si>
  <si>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</si>
  <si>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</si>
  <si>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</si>
  <si>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</si>
  <si>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</si>
  <si>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</si>
  <si>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</si>
  <si>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</si>
  <si>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</si>
  <si>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</si>
  <si>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</si>
  <si>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</si>
  <si>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</si>
  <si>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</si>
  <si>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</si>
  <si>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</si>
  <si>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</si>
  <si>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</si>
  <si>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</si>
  <si>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</si>
  <si>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</si>
  <si>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</si>
  <si>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</si>
  <si>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</si>
  <si>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</si>
  <si>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</si>
  <si>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</si>
  <si>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</si>
  <si>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</si>
  <si>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</si>
  <si>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</si>
  <si>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</si>
  <si>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</si>
  <si>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</si>
  <si>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</si>
  <si>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</si>
  <si>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</si>
  <si>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</si>
  <si>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</si>
  <si>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</si>
  <si>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</si>
  <si>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</si>
  <si>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</si>
  <si>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</si>
  <si>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</si>
  <si>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</si>
  <si>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</si>
  <si>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</si>
  <si>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</si>
  <si>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</si>
  <si>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</si>
  <si>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</si>
  <si>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</si>
  <si>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</si>
  <si>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</si>
  <si>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</si>
  <si>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</si>
  <si>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</si>
  <si>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</si>
  <si>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</si>
  <si>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</si>
  <si>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</si>
  <si>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</si>
  <si>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</si>
  <si>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</si>
  <si>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</si>
  <si>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</si>
  <si>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</si>
  <si>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</si>
  <si>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</si>
  <si>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</si>
  <si>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</si>
  <si>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</si>
  <si>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</si>
  <si>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</si>
  <si>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</si>
  <si>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</si>
  <si>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</si>
  <si>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</si>
  <si>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</si>
  <si>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</si>
  <si>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</si>
  <si>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</si>
  <si>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</si>
  <si>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</si>
  <si>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</si>
  <si>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</si>
  <si>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</si>
  <si>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</si>
  <si>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</si>
  <si>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</si>
  <si>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</si>
  <si>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</si>
  <si>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</si>
  <si>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</si>
  <si>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</si>
  <si>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</si>
  <si>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</si>
  <si>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</si>
  <si>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</si>
  <si>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</si>
  <si>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</si>
  <si>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</si>
  <si>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</si>
  <si>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</si>
  <si>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</si>
  <si>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</si>
  <si>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</si>
  <si>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</si>
  <si>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</si>
  <si>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</si>
  <si>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</si>
  <si>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</si>
  <si>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</si>
  <si>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</si>
  <si>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</si>
  <si>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</si>
  <si>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</si>
  <si>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</si>
  <si>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</si>
  <si>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</si>
  <si>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</si>
  <si>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</si>
  <si>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</si>
  <si>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</si>
  <si>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</si>
  <si>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</si>
  <si>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</si>
  <si>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</si>
  <si>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</si>
  <si>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</si>
  <si>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</si>
  <si>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</si>
  <si>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</si>
  <si>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</si>
  <si>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</si>
  <si>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</si>
  <si>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</si>
  <si>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</si>
  <si>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</si>
  <si>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</si>
  <si>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</si>
  <si>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</si>
  <si>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</si>
  <si>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</si>
  <si>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</si>
  <si>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</si>
  <si>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</si>
  <si>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</si>
  <si>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</si>
  <si>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</si>
  <si>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</si>
  <si>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</si>
  <si>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</si>
  <si>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</si>
  <si>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</si>
  <si>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</si>
  <si>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</si>
  <si>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</si>
  <si>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</si>
  <si>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</si>
  <si>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</si>
  <si>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</si>
  <si>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</si>
  <si>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</si>
  <si>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</si>
  <si>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</si>
  <si>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</si>
  <si>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</si>
  <si>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</si>
  <si>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</si>
  <si>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</si>
  <si>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</si>
  <si>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</si>
  <si>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</si>
  <si>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</si>
  <si>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</si>
  <si>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</si>
  <si>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</si>
  <si>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</si>
  <si>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</si>
  <si>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</si>
  <si>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</si>
  <si>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</si>
  <si>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</si>
  <si>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</si>
  <si>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</si>
  <si>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</si>
  <si>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</si>
  <si>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</si>
  <si>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</si>
  <si>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</si>
  <si>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</si>
  <si>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</si>
  <si>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</si>
  <si>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</si>
  <si>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</si>
  <si>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</si>
  <si>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</si>
  <si>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</si>
  <si>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</si>
  <si>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</si>
  <si>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</si>
  <si>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</si>
  <si>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</si>
  <si>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</si>
  <si>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</si>
  <si>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</si>
  <si>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</si>
  <si>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</si>
  <si>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</si>
  <si>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</si>
  <si>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</si>
  <si>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</si>
  <si>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</si>
  <si>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</si>
  <si>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</si>
  <si>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</si>
  <si>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</si>
  <si>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</si>
  <si>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</si>
  <si>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</si>
  <si>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</si>
  <si>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</si>
  <si>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</si>
  <si>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</si>
  <si>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</si>
  <si>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</si>
  <si>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</si>
  <si>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</si>
  <si>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</si>
  <si>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</si>
  <si>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</si>
  <si>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</si>
  <si>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</si>
  <si>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</si>
  <si>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</si>
  <si>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</si>
  <si>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</si>
  <si>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</si>
  <si>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</si>
  <si>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</si>
  <si>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</si>
  <si>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</si>
  <si>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</si>
  <si>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</si>
  <si>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</si>
  <si>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</si>
  <si>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</si>
  <si>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</si>
  <si>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</si>
  <si>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</si>
  <si>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</si>
  <si>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</si>
  <si>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</si>
  <si>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</si>
  <si>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</si>
  <si>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</si>
  <si>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</si>
  <si>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</si>
  <si>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</si>
  <si>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</si>
  <si>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</si>
  <si>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</si>
  <si>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</si>
  <si>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</si>
  <si>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</si>
  <si>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</si>
  <si>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</si>
  <si>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</si>
  <si>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</si>
  <si>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</si>
  <si>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</si>
  <si>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</si>
  <si>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</si>
  <si>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</si>
  <si>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</si>
  <si>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</si>
  <si>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</si>
  <si>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</si>
  <si>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</si>
  <si>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</si>
  <si>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</si>
  <si>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</si>
  <si>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</si>
  <si>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</si>
  <si>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</si>
  <si>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</si>
  <si>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</si>
  <si>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</si>
  <si>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</si>
  <si>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</si>
  <si>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</si>
  <si>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</si>
  <si>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</si>
  <si>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</si>
  <si>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</si>
  <si>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</si>
  <si>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</si>
  <si>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</si>
  <si>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</si>
  <si>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</si>
  <si>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</si>
  <si>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</si>
  <si>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</si>
  <si>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</si>
  <si>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</si>
  <si>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</si>
  <si>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</si>
  <si>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</si>
  <si>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</si>
  <si>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</si>
  <si>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</si>
  <si>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</si>
  <si>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</si>
  <si>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</si>
  <si>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</si>
  <si>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</si>
  <si>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</si>
  <si>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</si>
  <si>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</si>
  <si>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</si>
  <si>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</si>
  <si>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</si>
  <si>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</si>
  <si>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</si>
  <si>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</si>
  <si>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</si>
  <si>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</si>
  <si>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</si>
  <si>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</si>
  <si>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</si>
  <si>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</si>
  <si>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</si>
  <si>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</si>
  <si>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</si>
  <si>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</si>
  <si>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</si>
  <si>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</si>
  <si>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</si>
  <si>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</si>
  <si>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</si>
  <si>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</si>
  <si>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</si>
  <si>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</si>
  <si>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</si>
  <si>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</si>
  <si>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</si>
  <si>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</si>
  <si>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</si>
  <si>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</si>
  <si>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</si>
  <si>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</si>
  <si>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</si>
  <si>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</si>
  <si>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</si>
  <si>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</si>
  <si>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</si>
  <si>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</si>
  <si>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</si>
  <si>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</si>
  <si>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</si>
  <si>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</si>
  <si>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</si>
  <si>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</si>
  <si>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</si>
  <si>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</si>
  <si>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</si>
  <si>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</si>
  <si>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</si>
  <si>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</si>
  <si>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</si>
  <si>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</si>
  <si>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</si>
  <si>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</si>
  <si>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</si>
  <si>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</si>
  <si>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</si>
  <si>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</si>
  <si>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</si>
  <si>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</si>
  <si>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</si>
  <si>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</si>
  <si>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</si>
  <si>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</si>
  <si>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</si>
  <si>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</si>
  <si>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</si>
  <si>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</si>
  <si>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</si>
  <si>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</si>
  <si>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</si>
  <si>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</si>
  <si>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</si>
  <si>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</si>
  <si>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</si>
  <si>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</si>
  <si>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</si>
  <si>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</si>
  <si>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</si>
  <si>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</si>
  <si>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</si>
  <si>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</si>
  <si>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</si>
  <si>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</si>
  <si>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</si>
  <si>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</si>
  <si>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</si>
  <si>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</si>
  <si>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</si>
  <si>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</si>
  <si>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</si>
  <si>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</si>
  <si>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</si>
  <si>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</si>
  <si>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</si>
  <si>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</si>
  <si>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</si>
  <si>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</si>
  <si>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</si>
  <si>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</si>
  <si>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</si>
  <si>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</si>
  <si>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</si>
  <si>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</si>
  <si>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</si>
  <si>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</si>
  <si>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</si>
  <si>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</si>
  <si>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</si>
  <si>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</si>
  <si>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</si>
  <si>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</si>
  <si>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</si>
  <si>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</si>
  <si>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</si>
  <si>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</si>
  <si>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</si>
  <si>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</si>
  <si>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</si>
  <si>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</si>
  <si>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</si>
  <si>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</si>
  <si>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</si>
  <si>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</si>
  <si>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</si>
  <si>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</si>
  <si>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</si>
  <si>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</si>
  <si>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</si>
  <si>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</si>
  <si>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</si>
  <si>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</si>
  <si>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</si>
  <si>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</si>
  <si>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</si>
  <si>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</si>
  <si>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</si>
  <si>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</si>
  <si>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</si>
  <si>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</si>
  <si>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</si>
  <si>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</si>
  <si>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</si>
  <si>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</si>
  <si>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</si>
  <si>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</si>
  <si>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</si>
  <si>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</si>
  <si>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</si>
  <si>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</si>
  <si>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</si>
  <si>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</si>
  <si>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</si>
  <si>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</si>
  <si>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</si>
  <si>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</si>
  <si>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</si>
  <si>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</si>
  <si>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</si>
  <si>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</si>
  <si>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</si>
  <si>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</si>
  <si>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</si>
  <si>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</si>
  <si>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</si>
  <si>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</si>
  <si>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</si>
  <si>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</si>
  <si>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</si>
  <si>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</si>
  <si>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</si>
  <si>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</si>
  <si>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</si>
  <si>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</si>
  <si>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</si>
  <si>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</si>
  <si>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</si>
  <si>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</si>
  <si>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</si>
  <si>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</si>
  <si>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</si>
  <si>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</si>
  <si>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</si>
  <si>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</si>
  <si>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</si>
  <si>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</si>
  <si>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</si>
  <si>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</si>
  <si>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</si>
  <si>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</si>
  <si>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</si>
  <si>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</si>
  <si>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</si>
  <si>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</si>
  <si>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</si>
  <si>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</si>
  <si>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</si>
  <si>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</si>
  <si>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</si>
  <si>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</si>
  <si>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</si>
  <si>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</si>
  <si>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</si>
  <si>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</si>
  <si>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</si>
  <si>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</si>
  <si>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</si>
  <si>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</si>
  <si>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</si>
  <si>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</si>
  <si>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Department of Justice</t>
  </si>
  <si>
    <t xml:space="preserve">Department of Justice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</si>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</sst>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7" fillId="0" borderId="0" xfId="0" applyNumberFormat="1" applyFont="1"/>
    <xf numFmtId="0" fontId="6" fillId="2" borderId="0" xfId="0" applyFont="1" applyFill="1" applyProtection="1">
      <protection locked="0"/>
    </xf>
    <xf numFmtId="0" fontId="4" fillId="0" borderId="0" xfId="0" applyFont="1" applyAlignment="1">
      <alignment vertical="top"/>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0" fontId="37" fillId="0" borderId="0" xfId="0" applyFont="1" applyAlignment="1">
      <alignment horizontal="left"/>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165" fontId="3" fillId="0" borderId="0" xfId="0" applyNumberFormat="1" applyFont="1" applyAlignment="1" applyProtection="1">
      <alignment horizontal="left"/>
      <protection hidden="1"/>
    </xf>
    <xf numFmtId="165" fontId="38"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165" fontId="42" fillId="0" borderId="0" xfId="0" applyNumberFormat="1" applyFont="1" applyAlignment="1">
      <alignment horizontal="left" wrapText="1"/>
    </xf>
    <xf numFmtId="165" fontId="37" fillId="0" borderId="14" xfId="0" applyNumberFormat="1" applyFont="1" applyBorder="1"/>
    <xf numFmtId="165" fontId="37" fillId="0" borderId="0" xfId="0" applyNumberFormat="1" applyFont="1"/>
    <xf numFmtId="0" fontId="2" fillId="0" borderId="0" xfId="0" applyFont="1" applyAlignment="1">
      <alignment horizontal="left" vertical="top"/>
    </xf>
    <xf numFmtId="164" fontId="6" fillId="0" borderId="0" xfId="0" quotePrefix="1" applyNumberFormat="1" applyFont="1" applyAlignment="1">
      <alignment horizontal="left" vertical="top"/>
    </xf>
    <xf numFmtId="0" fontId="35" fillId="7" borderId="0" xfId="0" applyFont="1" applyFill="1" applyAlignment="1">
      <alignment horizontal="left"/>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2" borderId="0" xfId="0" applyFont="1" applyFill="1" applyAlignment="1" applyProtection="1">
      <alignment horizontal="left" vertical="top"/>
      <protection locked="0"/>
    </xf>
    <xf numFmtId="0" fontId="39" fillId="0" borderId="0" xfId="0" applyFont="1" applyAlignment="1">
      <alignment horizontal="center" vertical="top" wrapText="1"/>
    </xf>
    <xf numFmtId="0" fontId="41" fillId="0" borderId="0" xfId="0" applyFont="1" applyAlignment="1">
      <alignment horizontal="left" vertical="center"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14" fillId="3" borderId="0" xfId="0" applyFont="1" applyFill="1" applyAlignment="1">
      <alignment horizontal="left"/>
    </xf>
    <xf numFmtId="0" fontId="46" fillId="2" borderId="0" xfId="3" applyFont="1" applyFill="1" applyAlignment="1">
      <alignment horizontal="left" vertical="top" wrapText="1"/>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2" fillId="0" borderId="0" xfId="3" applyFont="1" applyAlignment="1">
      <alignment horizontal="left" vertical="top" wrapText="1"/>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00000000-0005-0000-0000-000002000000}"/>
    <cellStyle name="Normal" xfId="0" builtinId="0"/>
    <cellStyle name="Normal 2" xfId="3" xr:uid="{00000000-0005-0000-0000-000004000000}"/>
  </cellStyles>
  <dxfs count="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Q115"/>
  <sheetViews>
    <sheetView zoomScale="85" zoomScaleNormal="85" workbookViewId="0">
      <selection activeCell="J17" sqref="J17"/>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1</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3402299</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3402299</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3402299</v>
      </c>
      <c r="K22" s="28">
        <f>ROUND(SUM(K18:K21),2)</f>
        <v>3402299</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253151</v>
      </c>
      <c r="K28" s="32"/>
      <c r="L28" s="48"/>
    </row>
    <row r="29" spans="1:17" ht="16.5" customHeight="1" x14ac:dyDescent="0.3">
      <c r="A29" s="50"/>
      <c r="B29" s="142"/>
      <c r="C29" s="166" t="s">
        <v>20</v>
      </c>
      <c r="D29" s="166"/>
      <c r="E29" s="166"/>
      <c r="F29" s="166"/>
      <c r="G29" s="166"/>
      <c r="H29" s="166"/>
      <c r="I29" s="166"/>
      <c r="J29" s="32"/>
      <c r="K29" s="31">
        <f>J28</f>
        <v>253151</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253151</v>
      </c>
      <c r="K31" s="28">
        <f>ROUND(SUM(K28:K30),2)</f>
        <v>253151</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f>K36</f>
        <v>253151</v>
      </c>
      <c r="K34" s="139"/>
      <c r="L34" s="48"/>
    </row>
    <row r="35" spans="1:12" ht="16.5" customHeight="1" x14ac:dyDescent="0.25">
      <c r="B35" s="166" t="s">
        <v>22</v>
      </c>
      <c r="C35" s="166"/>
      <c r="D35" s="166"/>
      <c r="E35" s="166"/>
      <c r="F35" s="166"/>
      <c r="G35" s="166"/>
      <c r="H35" s="166"/>
      <c r="I35" s="166"/>
      <c r="J35" s="31">
        <f>K29</f>
        <v>253151</v>
      </c>
      <c r="K35" s="35"/>
    </row>
    <row r="36" spans="1:12" ht="16.5" customHeight="1" x14ac:dyDescent="0.25">
      <c r="A36" s="50"/>
      <c r="B36" s="61"/>
      <c r="C36" s="166" t="s">
        <v>23</v>
      </c>
      <c r="D36" s="166"/>
      <c r="E36" s="166"/>
      <c r="F36" s="166"/>
      <c r="G36" s="166"/>
      <c r="H36" s="166"/>
      <c r="I36" s="166"/>
      <c r="J36" s="35"/>
      <c r="K36" s="31">
        <f>J28</f>
        <v>253151</v>
      </c>
    </row>
    <row r="37" spans="1:12" ht="16.5" customHeight="1" x14ac:dyDescent="0.25">
      <c r="A37" s="50"/>
      <c r="C37" s="166" t="s">
        <v>14</v>
      </c>
      <c r="D37" s="166"/>
      <c r="E37" s="166"/>
      <c r="F37" s="166"/>
      <c r="G37" s="166"/>
      <c r="H37" s="166"/>
      <c r="I37" s="166"/>
      <c r="J37" s="35"/>
      <c r="K37" s="31">
        <f>J35</f>
        <v>253151</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506302</v>
      </c>
      <c r="K39" s="28">
        <f>ROUND(SUM(K36:K38),2)</f>
        <v>506302</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2247186</v>
      </c>
      <c r="K45" s="32"/>
    </row>
    <row r="46" spans="1:12" ht="16.5" customHeight="1" x14ac:dyDescent="0.25">
      <c r="A46" s="50"/>
      <c r="B46" s="61"/>
      <c r="C46" s="166" t="s">
        <v>13</v>
      </c>
      <c r="D46" s="166"/>
      <c r="E46" s="166"/>
      <c r="F46" s="166"/>
      <c r="G46" s="166"/>
      <c r="H46" s="166"/>
      <c r="I46" s="166"/>
      <c r="J46" s="35"/>
      <c r="K46" s="31">
        <f>J45</f>
        <v>2247186</v>
      </c>
    </row>
    <row r="47" spans="1:12" ht="16.5" customHeight="1" x14ac:dyDescent="0.3">
      <c r="A47" s="59"/>
      <c r="B47" s="51"/>
      <c r="C47" s="51"/>
      <c r="D47" s="51"/>
      <c r="E47" s="51"/>
      <c r="F47" s="51"/>
      <c r="G47" s="51"/>
      <c r="H47" s="51"/>
      <c r="I47" s="51"/>
      <c r="J47" s="38">
        <f>ROUND(SUM(J45:J45),2)</f>
        <v>2247186</v>
      </c>
      <c r="K47" s="38">
        <f>ROUND(SUM(K46),2)</f>
        <v>2247186</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2686492</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36173</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2722665</v>
      </c>
    </row>
    <row r="53" spans="1:12" ht="16.5" customHeight="1" x14ac:dyDescent="0.3">
      <c r="A53" s="59"/>
      <c r="B53" s="51"/>
      <c r="C53" s="51"/>
      <c r="D53" s="51"/>
      <c r="E53" s="51"/>
      <c r="F53" s="51"/>
      <c r="G53" s="51"/>
      <c r="H53" s="51"/>
      <c r="I53" s="51"/>
      <c r="J53" s="38">
        <f>ROUND(SUM(J50:J51),2)</f>
        <v>2722665</v>
      </c>
      <c r="K53" s="38">
        <f>ROUND(SUM(K52,),2)</f>
        <v>2722665</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J50</f>
        <v>2686492</v>
      </c>
      <c r="K56" s="35"/>
    </row>
    <row r="57" spans="1:12" ht="16.5" customHeight="1" x14ac:dyDescent="0.3">
      <c r="A57" s="50"/>
      <c r="B57" s="142"/>
      <c r="C57" s="166" t="s">
        <v>32</v>
      </c>
      <c r="D57" s="166"/>
      <c r="E57" s="166"/>
      <c r="F57" s="166"/>
      <c r="G57" s="166"/>
      <c r="H57" s="166"/>
      <c r="I57" s="166"/>
      <c r="J57" s="35"/>
      <c r="K57" s="31">
        <f>J56</f>
        <v>2686492</v>
      </c>
    </row>
    <row r="58" spans="1:12" ht="16.5" customHeight="1" x14ac:dyDescent="0.3">
      <c r="A58" s="59"/>
      <c r="B58" s="51"/>
      <c r="C58" s="51"/>
      <c r="D58" s="51"/>
      <c r="E58" s="51"/>
      <c r="F58" s="51"/>
      <c r="G58" s="51"/>
      <c r="H58" s="51"/>
      <c r="I58" s="51"/>
      <c r="J58" s="38">
        <f>ROUND(SUM(J56:J56),2)</f>
        <v>2686492</v>
      </c>
      <c r="K58" s="38">
        <f>ROUND(SUM(K57),2)</f>
        <v>2686492</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656798</v>
      </c>
      <c r="K61" s="32"/>
    </row>
    <row r="62" spans="1:12" ht="16.5" customHeight="1" x14ac:dyDescent="0.3">
      <c r="A62" s="50"/>
      <c r="B62" s="142"/>
      <c r="C62" s="166" t="s">
        <v>34</v>
      </c>
      <c r="D62" s="166"/>
      <c r="E62" s="166"/>
      <c r="F62" s="166"/>
      <c r="G62" s="166"/>
      <c r="H62" s="166"/>
      <c r="I62" s="166"/>
      <c r="J62" s="32"/>
      <c r="K62" s="31">
        <f>J61</f>
        <v>656798</v>
      </c>
    </row>
    <row r="63" spans="1:12" ht="16.5" customHeight="1" x14ac:dyDescent="0.25">
      <c r="A63" s="50"/>
      <c r="B63" s="171" t="s">
        <v>35</v>
      </c>
      <c r="C63" s="171"/>
      <c r="D63" s="171"/>
      <c r="E63" s="171"/>
      <c r="F63" s="171"/>
      <c r="G63" s="171"/>
      <c r="H63" s="171"/>
      <c r="I63" s="171"/>
      <c r="J63" s="38">
        <f>ROUND(SUM(J61:J61),2)</f>
        <v>656798</v>
      </c>
      <c r="K63" s="38">
        <f>ROUND(SUM(K62),2)</f>
        <v>656798</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3655450</v>
      </c>
    </row>
    <row r="95" spans="1:12" ht="16.5" customHeight="1" x14ac:dyDescent="0.3">
      <c r="D95" s="142" t="s">
        <v>48</v>
      </c>
      <c r="E95"/>
      <c r="F95"/>
      <c r="G95"/>
      <c r="H95" s="141"/>
      <c r="I95"/>
      <c r="J95"/>
      <c r="K95" s="148">
        <f>-K18-K46+J68+J77</f>
        <v>-2247186</v>
      </c>
    </row>
    <row r="96" spans="1:12" ht="16.5" customHeight="1" x14ac:dyDescent="0.3">
      <c r="D96" s="142" t="s">
        <v>49</v>
      </c>
      <c r="E96"/>
      <c r="F96"/>
      <c r="G96"/>
      <c r="H96" s="141"/>
      <c r="I96"/>
      <c r="J96"/>
      <c r="K96" s="148">
        <f>-K19-K37+J56+J61+J76-K85</f>
        <v>-312160</v>
      </c>
    </row>
    <row r="97" spans="1:11" ht="16.5" customHeight="1" x14ac:dyDescent="0.3">
      <c r="D97" s="142" t="s">
        <v>50</v>
      </c>
      <c r="E97"/>
      <c r="F97"/>
      <c r="G97"/>
      <c r="H97" s="141"/>
      <c r="I97"/>
      <c r="J97"/>
      <c r="K97" s="148">
        <f>-K62</f>
        <v>-656798</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sdKz6VWKj4opjxz5F6NSfwr/yk57bzAyxgQU6xIoa+8zspBvzBg34Hkuuyti8H0phsV0TIigpiwhfe+MQvBxPQ==" saltValue="WnxMx4k8UfWM7FnhZEDybA=="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9"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000-000000000000}">
      <formula1>4</formula1>
    </dataValidation>
    <dataValidation type="textLength" operator="lessThan" allowBlank="1" showInputMessage="1" showErrorMessage="1" sqref="E11 A6:A8" xr:uid="{00000000-0002-0000-0000-000001000000}">
      <formula1>0</formula1>
    </dataValidation>
    <dataValidation operator="lessThan" allowBlank="1" showInputMessage="1" showErrorMessage="1" sqref="A3:A5 A7:A8 A11" xr:uid="{00000000-0002-0000-0000-000002000000}"/>
    <dataValidation type="list" allowBlank="1" showInputMessage="1" showErrorMessage="1" sqref="F7 F3" xr:uid="{00000000-0002-0000-00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pageSetUpPr fitToPage="1"/>
  </sheetPr>
  <dimension ref="A1:Q115"/>
  <sheetViews>
    <sheetView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12</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639</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639</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639</v>
      </c>
      <c r="K22" s="28">
        <f>ROUND(SUM(K18:K21),2)</f>
        <v>639</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78</v>
      </c>
      <c r="K28" s="32"/>
      <c r="L28" s="48"/>
    </row>
    <row r="29" spans="1:17" ht="16.5" customHeight="1" x14ac:dyDescent="0.3">
      <c r="A29" s="50"/>
      <c r="B29" s="142"/>
      <c r="C29" s="166" t="s">
        <v>20</v>
      </c>
      <c r="D29" s="166"/>
      <c r="E29" s="166"/>
      <c r="F29" s="166"/>
      <c r="G29" s="166"/>
      <c r="H29" s="166"/>
      <c r="I29" s="166"/>
      <c r="J29" s="32"/>
      <c r="K29" s="31">
        <f>J28</f>
        <v>78</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78</v>
      </c>
      <c r="K31" s="28">
        <f>ROUND(SUM(K28:K30),2)</f>
        <v>78</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f>K29</f>
        <v>78</v>
      </c>
      <c r="K34" s="139"/>
      <c r="L34" s="48"/>
    </row>
    <row r="35" spans="1:12" ht="16.5" customHeight="1" x14ac:dyDescent="0.25">
      <c r="B35" s="166" t="s">
        <v>22</v>
      </c>
      <c r="C35" s="166"/>
      <c r="D35" s="166"/>
      <c r="E35" s="166"/>
      <c r="F35" s="166"/>
      <c r="G35" s="166"/>
      <c r="H35" s="166"/>
      <c r="I35" s="166"/>
      <c r="J35" s="31">
        <f>K29</f>
        <v>78</v>
      </c>
      <c r="K35" s="35"/>
    </row>
    <row r="36" spans="1:12" ht="16.5" customHeight="1" x14ac:dyDescent="0.25">
      <c r="A36" s="50"/>
      <c r="B36" s="61"/>
      <c r="C36" s="166" t="s">
        <v>23</v>
      </c>
      <c r="D36" s="166"/>
      <c r="E36" s="166"/>
      <c r="F36" s="166"/>
      <c r="G36" s="166"/>
      <c r="H36" s="166"/>
      <c r="I36" s="166"/>
      <c r="J36" s="35"/>
      <c r="K36" s="31">
        <f>J28</f>
        <v>78</v>
      </c>
    </row>
    <row r="37" spans="1:12" ht="16.5" customHeight="1" x14ac:dyDescent="0.25">
      <c r="A37" s="50"/>
      <c r="C37" s="166" t="s">
        <v>14</v>
      </c>
      <c r="D37" s="166"/>
      <c r="E37" s="166"/>
      <c r="F37" s="166"/>
      <c r="G37" s="166"/>
      <c r="H37" s="166"/>
      <c r="I37" s="166"/>
      <c r="J37" s="35"/>
      <c r="K37" s="31">
        <f>J35</f>
        <v>78</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156</v>
      </c>
      <c r="K39" s="28">
        <f>ROUND(SUM(K36:K38),2)</f>
        <v>156</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295</v>
      </c>
      <c r="K45" s="32"/>
    </row>
    <row r="46" spans="1:12" ht="16.5" customHeight="1" x14ac:dyDescent="0.25">
      <c r="A46" s="50"/>
      <c r="B46" s="61"/>
      <c r="C46" s="166" t="s">
        <v>13</v>
      </c>
      <c r="D46" s="166"/>
      <c r="E46" s="166"/>
      <c r="F46" s="166"/>
      <c r="G46" s="166"/>
      <c r="H46" s="166"/>
      <c r="I46" s="166"/>
      <c r="J46" s="35"/>
      <c r="K46" s="31">
        <f>J45</f>
        <v>295</v>
      </c>
    </row>
    <row r="47" spans="1:12" ht="16.5" customHeight="1" x14ac:dyDescent="0.3">
      <c r="A47" s="59"/>
      <c r="B47" s="51"/>
      <c r="C47" s="51"/>
      <c r="D47" s="51"/>
      <c r="E47" s="51"/>
      <c r="F47" s="51"/>
      <c r="G47" s="51"/>
      <c r="H47" s="51"/>
      <c r="I47" s="51"/>
      <c r="J47" s="38">
        <f>ROUND(SUM(J45:J45),2)</f>
        <v>295</v>
      </c>
      <c r="K47" s="38">
        <f>ROUND(SUM(K46),2)</f>
        <v>295</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306</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11</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317</v>
      </c>
    </row>
    <row r="53" spans="1:12" ht="16.5" customHeight="1" x14ac:dyDescent="0.3">
      <c r="A53" s="59"/>
      <c r="B53" s="51"/>
      <c r="C53" s="51"/>
      <c r="D53" s="51"/>
      <c r="E53" s="51"/>
      <c r="F53" s="51"/>
      <c r="G53" s="51"/>
      <c r="H53" s="51"/>
      <c r="I53" s="51"/>
      <c r="J53" s="38">
        <f>ROUND(SUM(J50:J51),2)</f>
        <v>317</v>
      </c>
      <c r="K53" s="38">
        <f>ROUND(SUM(K52,),2)</f>
        <v>317</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306</v>
      </c>
      <c r="K56" s="35"/>
    </row>
    <row r="57" spans="1:12" ht="16.5" customHeight="1" x14ac:dyDescent="0.3">
      <c r="A57" s="50"/>
      <c r="B57" s="142"/>
      <c r="C57" s="166" t="s">
        <v>32</v>
      </c>
      <c r="D57" s="166"/>
      <c r="E57" s="166"/>
      <c r="F57" s="166"/>
      <c r="G57" s="166"/>
      <c r="H57" s="166"/>
      <c r="I57" s="166"/>
      <c r="J57" s="35"/>
      <c r="K57" s="31">
        <f>J50</f>
        <v>306</v>
      </c>
    </row>
    <row r="58" spans="1:12" ht="16.5" customHeight="1" x14ac:dyDescent="0.3">
      <c r="A58" s="59"/>
      <c r="B58" s="51"/>
      <c r="C58" s="51"/>
      <c r="D58" s="51"/>
      <c r="E58" s="51"/>
      <c r="F58" s="51"/>
      <c r="G58" s="51"/>
      <c r="H58" s="51"/>
      <c r="I58" s="51"/>
      <c r="J58" s="38">
        <f>ROUND(SUM(J56:J56),2)</f>
        <v>306</v>
      </c>
      <c r="K58" s="38">
        <f>ROUND(SUM(K57),2)</f>
        <v>306</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197</v>
      </c>
      <c r="K61" s="32"/>
    </row>
    <row r="62" spans="1:12" ht="16.5" customHeight="1" x14ac:dyDescent="0.3">
      <c r="A62" s="50"/>
      <c r="B62" s="142"/>
      <c r="C62" s="166" t="s">
        <v>34</v>
      </c>
      <c r="D62" s="166"/>
      <c r="E62" s="166"/>
      <c r="F62" s="166"/>
      <c r="G62" s="166"/>
      <c r="H62" s="166"/>
      <c r="I62" s="166"/>
      <c r="J62" s="32"/>
      <c r="K62" s="31">
        <f>J61</f>
        <v>197</v>
      </c>
    </row>
    <row r="63" spans="1:12" ht="16.5" customHeight="1" x14ac:dyDescent="0.25">
      <c r="A63" s="50"/>
      <c r="B63" s="171" t="s">
        <v>35</v>
      </c>
      <c r="C63" s="171"/>
      <c r="D63" s="171"/>
      <c r="E63" s="171"/>
      <c r="F63" s="171"/>
      <c r="G63" s="171"/>
      <c r="H63" s="171"/>
      <c r="I63" s="171"/>
      <c r="J63" s="38">
        <f>ROUND(SUM(J61:J61),2)</f>
        <v>197</v>
      </c>
      <c r="K63" s="38">
        <f>ROUND(SUM(K62),2)</f>
        <v>197</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717</v>
      </c>
    </row>
    <row r="95" spans="1:12" ht="16.5" customHeight="1" x14ac:dyDescent="0.3">
      <c r="D95" s="142" t="s">
        <v>48</v>
      </c>
      <c r="E95"/>
      <c r="F95"/>
      <c r="G95"/>
      <c r="H95" s="141"/>
      <c r="I95"/>
      <c r="J95"/>
      <c r="K95" s="148">
        <f>-K18-K46+J68+J77</f>
        <v>-295</v>
      </c>
    </row>
    <row r="96" spans="1:12" ht="16.5" customHeight="1" x14ac:dyDescent="0.3">
      <c r="D96" s="142" t="s">
        <v>49</v>
      </c>
      <c r="E96"/>
      <c r="F96"/>
      <c r="G96"/>
      <c r="H96" s="141"/>
      <c r="I96"/>
      <c r="J96"/>
      <c r="K96" s="148">
        <f>-K19-K37+J56+J61+J76-K85</f>
        <v>-214</v>
      </c>
    </row>
    <row r="97" spans="1:11" ht="16.5" customHeight="1" x14ac:dyDescent="0.3">
      <c r="D97" s="142" t="s">
        <v>50</v>
      </c>
      <c r="E97"/>
      <c r="F97"/>
      <c r="G97"/>
      <c r="H97" s="141"/>
      <c r="I97"/>
      <c r="J97"/>
      <c r="K97" s="148">
        <f>-K62</f>
        <v>-197</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6NOJ6veS/3US5j2it2wtjdW2E8kwDEEG09fO6GdHm5bQQWWCCisbG4GDnq7NBOjIezlGkzlizgIC0fo5pjB5fQ==" saltValue="tUsYoxL9YTUkCyl2c3ScFw=="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8"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100-000000000000}">
      <formula1>4</formula1>
    </dataValidation>
    <dataValidation type="textLength" operator="lessThan" allowBlank="1" showInputMessage="1" showErrorMessage="1" sqref="E11 A6:A8" xr:uid="{00000000-0002-0000-0100-000001000000}">
      <formula1>0</formula1>
    </dataValidation>
    <dataValidation operator="lessThan" allowBlank="1" showInputMessage="1" showErrorMessage="1" sqref="A3:A5 A7:A8 A11" xr:uid="{00000000-0002-0000-0100-000002000000}"/>
    <dataValidation type="list" allowBlank="1" showInputMessage="1" showErrorMessage="1" sqref="F7 F3" xr:uid="{00000000-0002-0000-01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pageSetUpPr fitToPage="1"/>
  </sheetPr>
  <dimension ref="A1:Q115"/>
  <sheetViews>
    <sheetView topLeftCell="A43"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17</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219388</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f>J15</f>
        <v>219388</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219388</v>
      </c>
      <c r="K22" s="28">
        <f>ROUND(SUM(K18:K21),2)</f>
        <v>219388</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113480</v>
      </c>
      <c r="K28" s="32"/>
      <c r="L28" s="48"/>
    </row>
    <row r="29" spans="1:17" ht="16.5" customHeight="1" x14ac:dyDescent="0.3">
      <c r="A29" s="50"/>
      <c r="B29" s="142"/>
      <c r="C29" s="166" t="s">
        <v>20</v>
      </c>
      <c r="D29" s="166"/>
      <c r="E29" s="166"/>
      <c r="F29" s="166"/>
      <c r="G29" s="166"/>
      <c r="H29" s="166"/>
      <c r="I29" s="166"/>
      <c r="J29" s="32"/>
      <c r="K29" s="31">
        <f>J28</f>
        <v>113480</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113480</v>
      </c>
      <c r="K31" s="28">
        <f>ROUND(SUM(K28:K30),2)</f>
        <v>113480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v>113480</v>
      </c>
      <c r="K34" s="139"/>
      <c r="L34" s="48"/>
    </row>
    <row r="35" spans="1:12" ht="16.5" customHeight="1" x14ac:dyDescent="0.25">
      <c r="B35" s="166" t="s">
        <v>22</v>
      </c>
      <c r="C35" s="166"/>
      <c r="D35" s="166"/>
      <c r="E35" s="166"/>
      <c r="F35" s="166"/>
      <c r="G35" s="166"/>
      <c r="H35" s="166"/>
      <c r="I35" s="166"/>
      <c r="J35" s="31">
        <v>113480</v>
      </c>
      <c r="K35" s="35"/>
    </row>
    <row r="36" spans="1:12" ht="16.5" customHeight="1" x14ac:dyDescent="0.25">
      <c r="A36" s="50"/>
      <c r="B36" s="61"/>
      <c r="C36" s="166" t="s">
        <v>23</v>
      </c>
      <c r="D36" s="166"/>
      <c r="E36" s="166"/>
      <c r="F36" s="166"/>
      <c r="G36" s="166"/>
      <c r="H36" s="166"/>
      <c r="I36" s="166"/>
      <c r="J36" s="35"/>
      <c r="K36" s="31">
        <v>113480</v>
      </c>
    </row>
    <row r="37" spans="1:12" ht="16.5" customHeight="1" x14ac:dyDescent="0.25">
      <c r="A37" s="50"/>
      <c r="C37" s="166" t="s">
        <v>14</v>
      </c>
      <c r="D37" s="166"/>
      <c r="E37" s="166"/>
      <c r="F37" s="166"/>
      <c r="G37" s="166"/>
      <c r="H37" s="166"/>
      <c r="I37" s="166"/>
      <c r="J37" s="35"/>
      <c r="K37" s="31">
        <v>113480</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226960</v>
      </c>
      <c r="K39" s="28">
        <f>ROUND(SUM(K36:K38),2)</f>
        <v>226960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186858</v>
      </c>
      <c r="K45" s="32"/>
    </row>
    <row r="46" spans="1:12" ht="16.5" customHeight="1" x14ac:dyDescent="0.25">
      <c r="A46" s="50"/>
      <c r="B46" s="61"/>
      <c r="C46" s="166" t="s">
        <v>13</v>
      </c>
      <c r="D46" s="166"/>
      <c r="E46" s="166"/>
      <c r="F46" s="166"/>
      <c r="G46" s="166"/>
      <c r="H46" s="166"/>
      <c r="I46" s="166"/>
      <c r="J46" s="35"/>
      <c r="K46" s="31">
        <f>J45</f>
        <v>186858</v>
      </c>
    </row>
    <row r="47" spans="1:12" ht="16.5" customHeight="1" x14ac:dyDescent="0.3">
      <c r="A47" s="59"/>
      <c r="B47" s="51"/>
      <c r="C47" s="51"/>
      <c r="D47" s="51"/>
      <c r="E47" s="51"/>
      <c r="F47" s="51"/>
      <c r="G47" s="51"/>
      <c r="H47" s="51"/>
      <c r="I47" s="51"/>
      <c r="J47" s="38">
        <f>ROUND(SUM(J45:J45),2)</f>
        <v>186858</v>
      </c>
      <c r="K47" s="38">
        <f>ROUND(SUM(K46),2)</f>
        <v>186858</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207955</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3407</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211362</v>
      </c>
    </row>
    <row r="53" spans="1:12" ht="16.5" customHeight="1" x14ac:dyDescent="0.3">
      <c r="A53" s="59"/>
      <c r="B53" s="51"/>
      <c r="C53" s="51"/>
      <c r="D53" s="51"/>
      <c r="E53" s="51"/>
      <c r="F53" s="51"/>
      <c r="G53" s="51"/>
      <c r="H53" s="51"/>
      <c r="I53" s="51"/>
      <c r="J53" s="38">
        <f>ROUND(SUM(J50:J51),2)</f>
        <v>211362</v>
      </c>
      <c r="K53" s="38">
        <f>ROUND(SUM(K52,),2)</f>
        <v>211362</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207955</v>
      </c>
      <c r="K56" s="35"/>
    </row>
    <row r="57" spans="1:12" ht="16.5" customHeight="1" x14ac:dyDescent="0.3">
      <c r="A57" s="50"/>
      <c r="B57" s="142"/>
      <c r="C57" s="166" t="s">
        <v>32</v>
      </c>
      <c r="D57" s="166"/>
      <c r="E57" s="166"/>
      <c r="F57" s="166"/>
      <c r="G57" s="166"/>
      <c r="H57" s="166"/>
      <c r="I57" s="166"/>
      <c r="J57" s="35"/>
      <c r="K57" s="31">
        <f>J50</f>
        <v>207955</v>
      </c>
    </row>
    <row r="58" spans="1:12" ht="16.5" customHeight="1" x14ac:dyDescent="0.3">
      <c r="A58" s="59"/>
      <c r="B58" s="51"/>
      <c r="C58" s="51"/>
      <c r="D58" s="51"/>
      <c r="E58" s="51"/>
      <c r="F58" s="51"/>
      <c r="G58" s="51"/>
      <c r="H58" s="51"/>
      <c r="I58" s="51"/>
      <c r="J58" s="38">
        <f>ROUND(SUM(J56:J56),2)</f>
        <v>207955</v>
      </c>
      <c r="K58" s="38">
        <f>ROUND(SUM(K57),2)</f>
        <v>207955</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43083</v>
      </c>
      <c r="K61" s="32"/>
    </row>
    <row r="62" spans="1:12" ht="16.5" customHeight="1" x14ac:dyDescent="0.3">
      <c r="A62" s="50"/>
      <c r="B62" s="142"/>
      <c r="C62" s="166" t="s">
        <v>34</v>
      </c>
      <c r="D62" s="166"/>
      <c r="E62" s="166"/>
      <c r="F62" s="166"/>
      <c r="G62" s="166"/>
      <c r="H62" s="166"/>
      <c r="I62" s="166"/>
      <c r="J62" s="32"/>
      <c r="K62" s="31">
        <f>J61</f>
        <v>43083</v>
      </c>
    </row>
    <row r="63" spans="1:12" ht="16.5" customHeight="1" x14ac:dyDescent="0.25">
      <c r="A63" s="50"/>
      <c r="B63" s="171" t="s">
        <v>35</v>
      </c>
      <c r="C63" s="171"/>
      <c r="D63" s="171"/>
      <c r="E63" s="171"/>
      <c r="F63" s="171"/>
      <c r="G63" s="171"/>
      <c r="H63" s="171"/>
      <c r="I63" s="171"/>
      <c r="J63" s="38">
        <f>ROUND(SUM(J61:J61),2)</f>
        <v>43083</v>
      </c>
      <c r="K63" s="38">
        <f>ROUND(SUM(K62),2)</f>
        <v>43083</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332868</v>
      </c>
    </row>
    <row r="95" spans="1:12" ht="16.5" customHeight="1" x14ac:dyDescent="0.3">
      <c r="D95" s="142" t="s">
        <v>48</v>
      </c>
      <c r="E95"/>
      <c r="F95"/>
      <c r="G95"/>
      <c r="H95" s="141"/>
      <c r="I95"/>
      <c r="J95"/>
      <c r="K95" s="148">
        <f>-K18-K46+J68+J77</f>
        <v>-186858</v>
      </c>
    </row>
    <row r="96" spans="1:12" ht="16.5" customHeight="1" x14ac:dyDescent="0.3">
      <c r="D96" s="142" t="s">
        <v>49</v>
      </c>
      <c r="E96"/>
      <c r="F96"/>
      <c r="G96"/>
      <c r="H96" s="141"/>
      <c r="I96"/>
      <c r="J96"/>
      <c r="K96" s="148">
        <f>-K19-K37+J56+J61+J76-K85</f>
        <v>-81830</v>
      </c>
    </row>
    <row r="97" spans="1:11" ht="16.5" customHeight="1" x14ac:dyDescent="0.3">
      <c r="D97" s="142" t="s">
        <v>50</v>
      </c>
      <c r="E97"/>
      <c r="F97"/>
      <c r="G97"/>
      <c r="H97" s="141"/>
      <c r="I97"/>
      <c r="J97"/>
      <c r="K97" s="148">
        <f>-K62</f>
        <v>-43083</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ZsuDbfnLZ5Cbg4m8e6B3a88mmG9nozOV6H5CH89PKy0/QcBvtBsbAPn/H0tXTR8UhGwMnDbmilp7eT+npKPZhw==" saltValue="2VqqZ3BtjIrjRRDP+Yc2vg=="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7"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200-000000000000}">
      <formula1>4</formula1>
    </dataValidation>
    <dataValidation type="textLength" operator="lessThan" allowBlank="1" showInputMessage="1" showErrorMessage="1" sqref="E11 A6:A8" xr:uid="{00000000-0002-0000-0200-000001000000}">
      <formula1>0</formula1>
    </dataValidation>
    <dataValidation operator="lessThan" allowBlank="1" showInputMessage="1" showErrorMessage="1" sqref="A3:A5 A7:A8 A11" xr:uid="{00000000-0002-0000-0200-000002000000}"/>
    <dataValidation type="list" allowBlank="1" showInputMessage="1" showErrorMessage="1" sqref="F7 F3" xr:uid="{00000000-0002-0000-02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A1:Q115"/>
  <sheetViews>
    <sheetView topLeftCell="A37"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1643</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44</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287390</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287390</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287390</v>
      </c>
      <c r="K22" s="28">
        <f>ROUND(SUM(K18:K21),2)</f>
        <v>287390</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148655</v>
      </c>
      <c r="K28" s="32"/>
      <c r="L28" s="48"/>
    </row>
    <row r="29" spans="1:17" ht="16.5" customHeight="1" x14ac:dyDescent="0.3">
      <c r="A29" s="50"/>
      <c r="B29" s="142"/>
      <c r="C29" s="166" t="s">
        <v>20</v>
      </c>
      <c r="D29" s="166"/>
      <c r="E29" s="166"/>
      <c r="F29" s="166"/>
      <c r="G29" s="166"/>
      <c r="H29" s="166"/>
      <c r="I29" s="166"/>
      <c r="J29" s="32"/>
      <c r="K29" s="31">
        <v>148655</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148655</v>
      </c>
      <c r="K31" s="28">
        <f>ROUND(SUM(K28:K30),2)</f>
        <v>148655</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v>148655</v>
      </c>
      <c r="K34" s="139"/>
      <c r="L34" s="48"/>
    </row>
    <row r="35" spans="1:12" ht="16.5" customHeight="1" x14ac:dyDescent="0.25">
      <c r="B35" s="166" t="s">
        <v>22</v>
      </c>
      <c r="C35" s="166"/>
      <c r="D35" s="166"/>
      <c r="E35" s="166"/>
      <c r="F35" s="166"/>
      <c r="G35" s="166"/>
      <c r="H35" s="166"/>
      <c r="I35" s="166"/>
      <c r="J35" s="31">
        <v>148655</v>
      </c>
      <c r="K35" s="35"/>
    </row>
    <row r="36" spans="1:12" ht="16.5" customHeight="1" x14ac:dyDescent="0.25">
      <c r="A36" s="50"/>
      <c r="B36" s="61"/>
      <c r="C36" s="166" t="s">
        <v>23</v>
      </c>
      <c r="D36" s="166"/>
      <c r="E36" s="166"/>
      <c r="F36" s="166"/>
      <c r="G36" s="166"/>
      <c r="H36" s="166"/>
      <c r="I36" s="166"/>
      <c r="J36" s="35"/>
      <c r="K36" s="31">
        <v>148655</v>
      </c>
    </row>
    <row r="37" spans="1:12" ht="16.5" customHeight="1" x14ac:dyDescent="0.25">
      <c r="A37" s="50"/>
      <c r="C37" s="166" t="s">
        <v>14</v>
      </c>
      <c r="D37" s="166"/>
      <c r="E37" s="166"/>
      <c r="F37" s="166"/>
      <c r="G37" s="166"/>
      <c r="H37" s="166"/>
      <c r="I37" s="166"/>
      <c r="J37" s="35"/>
      <c r="K37" s="31">
        <v>148655</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297310</v>
      </c>
      <c r="K39" s="28">
        <f>ROUND(SUM(K36:K38),2)</f>
        <v>297310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244778</v>
      </c>
      <c r="K45" s="32"/>
    </row>
    <row r="46" spans="1:12" ht="16.5" customHeight="1" x14ac:dyDescent="0.25">
      <c r="A46" s="50"/>
      <c r="B46" s="61"/>
      <c r="C46" s="166" t="s">
        <v>13</v>
      </c>
      <c r="D46" s="166"/>
      <c r="E46" s="166"/>
      <c r="F46" s="166"/>
      <c r="G46" s="166"/>
      <c r="H46" s="166"/>
      <c r="I46" s="166"/>
      <c r="J46" s="35"/>
      <c r="K46" s="31">
        <f>J45</f>
        <v>244778</v>
      </c>
    </row>
    <row r="47" spans="1:12" ht="16.5" customHeight="1" x14ac:dyDescent="0.3">
      <c r="A47" s="59"/>
      <c r="B47" s="51"/>
      <c r="C47" s="51"/>
      <c r="D47" s="51"/>
      <c r="E47" s="51"/>
      <c r="F47" s="51"/>
      <c r="G47" s="51"/>
      <c r="H47" s="51"/>
      <c r="I47" s="51"/>
      <c r="J47" s="38">
        <f>ROUND(SUM(J45:J45),2)</f>
        <v>244778</v>
      </c>
      <c r="K47" s="38">
        <f>ROUND(SUM(K46),2)</f>
        <v>244778</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272414</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4462</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276876</v>
      </c>
    </row>
    <row r="53" spans="1:12" ht="16.5" customHeight="1" x14ac:dyDescent="0.3">
      <c r="A53" s="59"/>
      <c r="B53" s="51"/>
      <c r="C53" s="51"/>
      <c r="D53" s="51"/>
      <c r="E53" s="51"/>
      <c r="F53" s="51"/>
      <c r="G53" s="51"/>
      <c r="H53" s="51"/>
      <c r="I53" s="51"/>
      <c r="J53" s="38">
        <f>ROUND(SUM(J50:J51),2)</f>
        <v>276876</v>
      </c>
      <c r="K53" s="38">
        <f>ROUND(SUM(K52,),2)</f>
        <v>276876</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272414</v>
      </c>
      <c r="K56" s="35"/>
    </row>
    <row r="57" spans="1:12" ht="16.5" customHeight="1" x14ac:dyDescent="0.3">
      <c r="A57" s="50"/>
      <c r="B57" s="142"/>
      <c r="C57" s="166" t="s">
        <v>32</v>
      </c>
      <c r="D57" s="166"/>
      <c r="E57" s="166"/>
      <c r="F57" s="166"/>
      <c r="G57" s="166"/>
      <c r="H57" s="166"/>
      <c r="I57" s="166"/>
      <c r="J57" s="35"/>
      <c r="K57" s="31">
        <f>J50</f>
        <v>272414</v>
      </c>
    </row>
    <row r="58" spans="1:12" ht="16.5" customHeight="1" x14ac:dyDescent="0.3">
      <c r="A58" s="59"/>
      <c r="B58" s="51"/>
      <c r="C58" s="51"/>
      <c r="D58" s="51"/>
      <c r="E58" s="51"/>
      <c r="F58" s="51"/>
      <c r="G58" s="51"/>
      <c r="H58" s="51"/>
      <c r="I58" s="51"/>
      <c r="J58" s="38">
        <f>ROUND(SUM(J56:J56),2)</f>
        <v>272414</v>
      </c>
      <c r="K58" s="38">
        <f>ROUND(SUM(K57),2)</f>
        <v>272414</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56438</v>
      </c>
      <c r="K61" s="32"/>
    </row>
    <row r="62" spans="1:12" ht="16.5" customHeight="1" x14ac:dyDescent="0.3">
      <c r="A62" s="50"/>
      <c r="B62" s="142"/>
      <c r="C62" s="166" t="s">
        <v>34</v>
      </c>
      <c r="D62" s="166"/>
      <c r="E62" s="166"/>
      <c r="F62" s="166"/>
      <c r="G62" s="166"/>
      <c r="H62" s="166"/>
      <c r="I62" s="166"/>
      <c r="J62" s="32"/>
      <c r="K62" s="31">
        <f>J61</f>
        <v>56438</v>
      </c>
    </row>
    <row r="63" spans="1:12" ht="16.5" customHeight="1" x14ac:dyDescent="0.25">
      <c r="A63" s="50"/>
      <c r="B63" s="171" t="s">
        <v>35</v>
      </c>
      <c r="C63" s="171"/>
      <c r="D63" s="171"/>
      <c r="E63" s="171"/>
      <c r="F63" s="171"/>
      <c r="G63" s="171"/>
      <c r="H63" s="171"/>
      <c r="I63" s="171"/>
      <c r="J63" s="38">
        <f>ROUND(SUM(J61:J61),2)</f>
        <v>56438</v>
      </c>
      <c r="K63" s="38">
        <f>ROUND(SUM(K62),2)</f>
        <v>56438</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436045</v>
      </c>
    </row>
    <row r="95" spans="1:12" ht="16.5" customHeight="1" x14ac:dyDescent="0.3">
      <c r="D95" s="142" t="s">
        <v>48</v>
      </c>
      <c r="E95"/>
      <c r="F95"/>
      <c r="G95"/>
      <c r="H95" s="141"/>
      <c r="I95"/>
      <c r="J95"/>
      <c r="K95" s="148">
        <f>-K18-K46+J68+J77</f>
        <v>-244778</v>
      </c>
    </row>
    <row r="96" spans="1:12" ht="16.5" customHeight="1" x14ac:dyDescent="0.3">
      <c r="D96" s="142" t="s">
        <v>49</v>
      </c>
      <c r="E96"/>
      <c r="F96"/>
      <c r="G96"/>
      <c r="H96" s="141"/>
      <c r="I96"/>
      <c r="J96"/>
      <c r="K96" s="148">
        <f>-K19-K37+J56+J61+J76-K85</f>
        <v>-107193</v>
      </c>
    </row>
    <row r="97" spans="1:11" ht="16.5" customHeight="1" x14ac:dyDescent="0.3">
      <c r="D97" s="142" t="s">
        <v>50</v>
      </c>
      <c r="E97"/>
      <c r="F97"/>
      <c r="G97"/>
      <c r="H97" s="141"/>
      <c r="I97"/>
      <c r="J97"/>
      <c r="K97" s="148">
        <f>-K62</f>
        <v>-56438</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wPt1aHzinnOS4T3K1zJxNHYiVvOEr05JRDUHRhxSncMu7rkU9VW+YR5NqZW9QnFy+RzZxMaI2KqDdfQRIi+77Q==" saltValue="g2efS0MaTix17MI342pdR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6"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300-000000000000}">
      <formula1>4</formula1>
    </dataValidation>
    <dataValidation type="textLength" operator="lessThan" allowBlank="1" showInputMessage="1" showErrorMessage="1" sqref="E11 A6:A8" xr:uid="{00000000-0002-0000-0300-000001000000}">
      <formula1>0</formula1>
    </dataValidation>
    <dataValidation operator="lessThan" allowBlank="1" showInputMessage="1" showErrorMessage="1" sqref="A3:A5 A7:A8 A11" xr:uid="{00000000-0002-0000-0300-000002000000}"/>
    <dataValidation type="list" allowBlank="1" showInputMessage="1" showErrorMessage="1" sqref="F7 F3" xr:uid="{00000000-0002-0000-03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pageSetUpPr fitToPage="1"/>
  </sheetPr>
  <dimension ref="A1:Q115"/>
  <sheetViews>
    <sheetView topLeftCell="A34"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158</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139</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139</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139</v>
      </c>
      <c r="K22" s="28">
        <f>ROUND(SUM(K18:K21),2)</f>
        <v>139</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72</v>
      </c>
      <c r="K28" s="32"/>
      <c r="L28" s="48"/>
    </row>
    <row r="29" spans="1:17" ht="16.5" customHeight="1" x14ac:dyDescent="0.3">
      <c r="A29" s="50"/>
      <c r="B29" s="142"/>
      <c r="C29" s="166" t="s">
        <v>20</v>
      </c>
      <c r="D29" s="166"/>
      <c r="E29" s="166"/>
      <c r="F29" s="166"/>
      <c r="G29" s="166"/>
      <c r="H29" s="166"/>
      <c r="I29" s="166"/>
      <c r="J29" s="32"/>
      <c r="K29" s="31">
        <v>72</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72</v>
      </c>
      <c r="K31" s="28">
        <f>ROUND(SUM(K28:K30),2)</f>
        <v>72</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v>72</v>
      </c>
      <c r="K34" s="139"/>
      <c r="L34" s="48"/>
    </row>
    <row r="35" spans="1:12" ht="16.5" customHeight="1" x14ac:dyDescent="0.25">
      <c r="B35" s="166" t="s">
        <v>22</v>
      </c>
      <c r="C35" s="166"/>
      <c r="D35" s="166"/>
      <c r="E35" s="166"/>
      <c r="F35" s="166"/>
      <c r="G35" s="166"/>
      <c r="H35" s="166"/>
      <c r="I35" s="166"/>
      <c r="J35" s="31">
        <v>72</v>
      </c>
      <c r="K35" s="35"/>
    </row>
    <row r="36" spans="1:12" ht="16.5" customHeight="1" x14ac:dyDescent="0.25">
      <c r="A36" s="50"/>
      <c r="B36" s="61"/>
      <c r="C36" s="166" t="s">
        <v>23</v>
      </c>
      <c r="D36" s="166"/>
      <c r="E36" s="166"/>
      <c r="F36" s="166"/>
      <c r="G36" s="166"/>
      <c r="H36" s="166"/>
      <c r="I36" s="166"/>
      <c r="J36" s="35"/>
      <c r="K36" s="31">
        <v>72</v>
      </c>
    </row>
    <row r="37" spans="1:12" ht="16.5" customHeight="1" x14ac:dyDescent="0.25">
      <c r="A37" s="50"/>
      <c r="C37" s="166" t="s">
        <v>14</v>
      </c>
      <c r="D37" s="166"/>
      <c r="E37" s="166"/>
      <c r="F37" s="166"/>
      <c r="G37" s="166"/>
      <c r="H37" s="166"/>
      <c r="I37" s="166"/>
      <c r="J37" s="35"/>
      <c r="K37" s="31">
        <v>72</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144</v>
      </c>
      <c r="K39" s="28">
        <f>ROUND(SUM(K36:K38),2)</f>
        <v>144</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119</v>
      </c>
      <c r="K45" s="32"/>
    </row>
    <row r="46" spans="1:12" ht="16.5" customHeight="1" x14ac:dyDescent="0.25">
      <c r="A46" s="50"/>
      <c r="B46" s="61"/>
      <c r="C46" s="166" t="s">
        <v>13</v>
      </c>
      <c r="D46" s="166"/>
      <c r="E46" s="166"/>
      <c r="F46" s="166"/>
      <c r="G46" s="166"/>
      <c r="H46" s="166"/>
      <c r="I46" s="166"/>
      <c r="J46" s="35"/>
      <c r="K46" s="31">
        <f>J45</f>
        <v>119</v>
      </c>
    </row>
    <row r="47" spans="1:12" ht="16.5" customHeight="1" x14ac:dyDescent="0.3">
      <c r="A47" s="59"/>
      <c r="B47" s="51"/>
      <c r="C47" s="51"/>
      <c r="D47" s="51"/>
      <c r="E47" s="51"/>
      <c r="F47" s="51"/>
      <c r="G47" s="51"/>
      <c r="H47" s="51"/>
      <c r="I47" s="51"/>
      <c r="J47" s="38">
        <f>ROUND(SUM(J45:J45),2)</f>
        <v>119</v>
      </c>
      <c r="K47" s="38">
        <f>ROUND(SUM(K46),2)</f>
        <v>119</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132</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2</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134</v>
      </c>
    </row>
    <row r="53" spans="1:12" ht="16.5" customHeight="1" x14ac:dyDescent="0.3">
      <c r="A53" s="59"/>
      <c r="B53" s="51"/>
      <c r="C53" s="51"/>
      <c r="D53" s="51"/>
      <c r="E53" s="51"/>
      <c r="F53" s="51"/>
      <c r="G53" s="51"/>
      <c r="H53" s="51"/>
      <c r="I53" s="51"/>
      <c r="J53" s="38">
        <f>ROUND(SUM(J50:J51),2)</f>
        <v>134</v>
      </c>
      <c r="K53" s="38">
        <f>ROUND(SUM(K52,),2)</f>
        <v>134</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132</v>
      </c>
      <c r="K56" s="35"/>
    </row>
    <row r="57" spans="1:12" ht="16.5" customHeight="1" x14ac:dyDescent="0.3">
      <c r="A57" s="50"/>
      <c r="B57" s="142"/>
      <c r="C57" s="166" t="s">
        <v>32</v>
      </c>
      <c r="D57" s="166"/>
      <c r="E57" s="166"/>
      <c r="F57" s="166"/>
      <c r="G57" s="166"/>
      <c r="H57" s="166"/>
      <c r="I57" s="166"/>
      <c r="J57" s="35"/>
      <c r="K57" s="31">
        <f>J50</f>
        <v>132</v>
      </c>
    </row>
    <row r="58" spans="1:12" ht="16.5" customHeight="1" x14ac:dyDescent="0.3">
      <c r="A58" s="59"/>
      <c r="B58" s="51"/>
      <c r="C58" s="51"/>
      <c r="D58" s="51"/>
      <c r="E58" s="51"/>
      <c r="F58" s="51"/>
      <c r="G58" s="51"/>
      <c r="H58" s="51"/>
      <c r="I58" s="51"/>
      <c r="J58" s="38">
        <f>ROUND(SUM(J56:J56),2)</f>
        <v>132</v>
      </c>
      <c r="K58" s="38">
        <f>ROUND(SUM(K57),2)</f>
        <v>132</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27</v>
      </c>
      <c r="K61" s="32"/>
    </row>
    <row r="62" spans="1:12" ht="16.5" customHeight="1" x14ac:dyDescent="0.3">
      <c r="A62" s="50"/>
      <c r="B62" s="142"/>
      <c r="C62" s="166" t="s">
        <v>34</v>
      </c>
      <c r="D62" s="166"/>
      <c r="E62" s="166"/>
      <c r="F62" s="166"/>
      <c r="G62" s="166"/>
      <c r="H62" s="166"/>
      <c r="I62" s="166"/>
      <c r="J62" s="32"/>
      <c r="K62" s="31">
        <f>J61</f>
        <v>27</v>
      </c>
    </row>
    <row r="63" spans="1:12" ht="16.5" customHeight="1" x14ac:dyDescent="0.25">
      <c r="A63" s="50"/>
      <c r="B63" s="171" t="s">
        <v>35</v>
      </c>
      <c r="C63" s="171"/>
      <c r="D63" s="171"/>
      <c r="E63" s="171"/>
      <c r="F63" s="171"/>
      <c r="G63" s="171"/>
      <c r="H63" s="171"/>
      <c r="I63" s="171"/>
      <c r="J63" s="38">
        <f>ROUND(SUM(J61:J61),2)</f>
        <v>27</v>
      </c>
      <c r="K63" s="38">
        <f>ROUND(SUM(K62),2)</f>
        <v>27</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211</v>
      </c>
    </row>
    <row r="95" spans="1:12" ht="16.5" customHeight="1" x14ac:dyDescent="0.3">
      <c r="D95" s="142" t="s">
        <v>48</v>
      </c>
      <c r="E95"/>
      <c r="F95"/>
      <c r="G95"/>
      <c r="H95" s="141"/>
      <c r="I95"/>
      <c r="J95"/>
      <c r="K95" s="148">
        <f>-K18-K46+J68+J77</f>
        <v>-119</v>
      </c>
    </row>
    <row r="96" spans="1:12" ht="16.5" customHeight="1" x14ac:dyDescent="0.3">
      <c r="D96" s="142" t="s">
        <v>49</v>
      </c>
      <c r="E96"/>
      <c r="F96"/>
      <c r="G96"/>
      <c r="H96" s="141"/>
      <c r="I96"/>
      <c r="J96"/>
      <c r="K96" s="148">
        <f>-K19-K37+J56+J61+J76-K85</f>
        <v>-52</v>
      </c>
    </row>
    <row r="97" spans="1:11" ht="16.5" customHeight="1" x14ac:dyDescent="0.3">
      <c r="D97" s="142" t="s">
        <v>50</v>
      </c>
      <c r="E97"/>
      <c r="F97"/>
      <c r="G97"/>
      <c r="H97" s="141"/>
      <c r="I97"/>
      <c r="J97"/>
      <c r="K97" s="148">
        <f>-K62</f>
        <v>-27</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WgUgTH0Xk01poXemPpTmgqPiLzhNXqNEY4BrrJJ75oLJk0y5Ef97v357qSKizgZJQfQL7j5W415fNoVMdW5LMQ==" saltValue="xvQl4VooveOyP/LX9Rr/pg=="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5"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400-000000000000}">
      <formula1>4</formula1>
    </dataValidation>
    <dataValidation type="textLength" operator="lessThan" allowBlank="1" showInputMessage="1" showErrorMessage="1" sqref="E11 A6:A8" xr:uid="{00000000-0002-0000-0400-000001000000}">
      <formula1>0</formula1>
    </dataValidation>
    <dataValidation operator="lessThan" allowBlank="1" showInputMessage="1" showErrorMessage="1" sqref="A3:A5 A7:A8 A11" xr:uid="{00000000-0002-0000-0400-000002000000}"/>
    <dataValidation type="list" allowBlank="1" showInputMessage="1" showErrorMessage="1" sqref="F7 F3" xr:uid="{00000000-0002-0000-04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pageSetUpPr fitToPage="1"/>
  </sheetPr>
  <dimension ref="A1:Q115"/>
  <sheetViews>
    <sheetView topLeftCell="A36"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367</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285435</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285435</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285435</v>
      </c>
      <c r="K22" s="28">
        <f>ROUND(SUM(K18:K21),2)</f>
        <v>285435</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2315</v>
      </c>
      <c r="K28" s="32"/>
      <c r="L28" s="48"/>
    </row>
    <row r="29" spans="1:17" ht="16.5" customHeight="1" x14ac:dyDescent="0.3">
      <c r="A29" s="50"/>
      <c r="B29" s="142"/>
      <c r="C29" s="166" t="s">
        <v>20</v>
      </c>
      <c r="D29" s="166"/>
      <c r="E29" s="166"/>
      <c r="F29" s="166"/>
      <c r="G29" s="166"/>
      <c r="H29" s="166"/>
      <c r="I29" s="166"/>
      <c r="J29" s="32"/>
      <c r="K29" s="31">
        <v>2315</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2315</v>
      </c>
      <c r="K31" s="28">
        <f>ROUND(SUM(K28:K30),2)</f>
        <v>2315</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v>2315</v>
      </c>
      <c r="K34" s="139"/>
      <c r="L34" s="48"/>
    </row>
    <row r="35" spans="1:12" ht="16.5" customHeight="1" x14ac:dyDescent="0.25">
      <c r="B35" s="166" t="s">
        <v>22</v>
      </c>
      <c r="C35" s="166"/>
      <c r="D35" s="166"/>
      <c r="E35" s="166"/>
      <c r="F35" s="166"/>
      <c r="G35" s="166"/>
      <c r="H35" s="166"/>
      <c r="I35" s="166"/>
      <c r="J35" s="31">
        <v>2315</v>
      </c>
      <c r="K35" s="35"/>
    </row>
    <row r="36" spans="1:12" ht="16.5" customHeight="1" x14ac:dyDescent="0.25">
      <c r="A36" s="50"/>
      <c r="B36" s="61"/>
      <c r="C36" s="166" t="s">
        <v>23</v>
      </c>
      <c r="D36" s="166"/>
      <c r="E36" s="166"/>
      <c r="F36" s="166"/>
      <c r="G36" s="166"/>
      <c r="H36" s="166"/>
      <c r="I36" s="166"/>
      <c r="J36" s="35"/>
      <c r="K36" s="31">
        <v>2315</v>
      </c>
    </row>
    <row r="37" spans="1:12" ht="16.5" customHeight="1" x14ac:dyDescent="0.25">
      <c r="A37" s="50"/>
      <c r="C37" s="166" t="s">
        <v>14</v>
      </c>
      <c r="D37" s="166"/>
      <c r="E37" s="166"/>
      <c r="F37" s="166"/>
      <c r="G37" s="166"/>
      <c r="H37" s="166"/>
      <c r="I37" s="166"/>
      <c r="J37" s="35"/>
      <c r="K37" s="31">
        <v>2315</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4630</v>
      </c>
      <c r="K39" s="28">
        <f>ROUND(SUM(K36:K38),2)</f>
        <v>4630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99336</v>
      </c>
      <c r="K45" s="32"/>
    </row>
    <row r="46" spans="1:12" ht="16.5" customHeight="1" x14ac:dyDescent="0.25">
      <c r="A46" s="50"/>
      <c r="B46" s="61"/>
      <c r="C46" s="166" t="s">
        <v>13</v>
      </c>
      <c r="D46" s="166"/>
      <c r="E46" s="166"/>
      <c r="F46" s="166"/>
      <c r="G46" s="166"/>
      <c r="H46" s="166"/>
      <c r="I46" s="166"/>
      <c r="J46" s="35"/>
      <c r="K46" s="31">
        <f>J45</f>
        <v>99336</v>
      </c>
    </row>
    <row r="47" spans="1:12" ht="16.5" customHeight="1" x14ac:dyDescent="0.3">
      <c r="A47" s="59"/>
      <c r="B47" s="51"/>
      <c r="C47" s="51"/>
      <c r="D47" s="51"/>
      <c r="E47" s="51"/>
      <c r="F47" s="51"/>
      <c r="G47" s="51"/>
      <c r="H47" s="51"/>
      <c r="I47" s="51"/>
      <c r="J47" s="38">
        <f>ROUND(SUM(J45:J45),2)</f>
        <v>99336</v>
      </c>
      <c r="K47" s="38">
        <f>ROUND(SUM(K46),2)</f>
        <v>99336</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97836</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5282</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103118</v>
      </c>
    </row>
    <row r="53" spans="1:12" ht="16.5" customHeight="1" x14ac:dyDescent="0.3">
      <c r="A53" s="59"/>
      <c r="B53" s="51"/>
      <c r="C53" s="51"/>
      <c r="D53" s="51"/>
      <c r="E53" s="51"/>
      <c r="F53" s="51"/>
      <c r="G53" s="51"/>
      <c r="H53" s="51"/>
      <c r="I53" s="51"/>
      <c r="J53" s="38">
        <f>ROUND(SUM(J50:J51),2)</f>
        <v>103118</v>
      </c>
      <c r="K53" s="38">
        <f>ROUND(SUM(K52,),2)</f>
        <v>103118</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97836</v>
      </c>
      <c r="K56" s="35"/>
    </row>
    <row r="57" spans="1:12" ht="16.5" customHeight="1" x14ac:dyDescent="0.3">
      <c r="A57" s="50"/>
      <c r="B57" s="142"/>
      <c r="C57" s="166" t="s">
        <v>32</v>
      </c>
      <c r="D57" s="166"/>
      <c r="E57" s="166"/>
      <c r="F57" s="166"/>
      <c r="G57" s="166"/>
      <c r="H57" s="166"/>
      <c r="I57" s="166"/>
      <c r="J57" s="35"/>
      <c r="K57" s="31">
        <f>J50</f>
        <v>97836</v>
      </c>
    </row>
    <row r="58" spans="1:12" ht="16.5" customHeight="1" x14ac:dyDescent="0.3">
      <c r="A58" s="59"/>
      <c r="B58" s="51"/>
      <c r="C58" s="51"/>
      <c r="D58" s="51"/>
      <c r="E58" s="51"/>
      <c r="F58" s="51"/>
      <c r="G58" s="51"/>
      <c r="H58" s="51"/>
      <c r="I58" s="51"/>
      <c r="J58" s="38">
        <f>ROUND(SUM(J56:J56),2)</f>
        <v>97836</v>
      </c>
      <c r="K58" s="38">
        <f>ROUND(SUM(K57),2)</f>
        <v>97836</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96354</v>
      </c>
      <c r="K61" s="32"/>
    </row>
    <row r="62" spans="1:12" ht="16.5" customHeight="1" x14ac:dyDescent="0.3">
      <c r="A62" s="50"/>
      <c r="B62" s="142"/>
      <c r="C62" s="166" t="s">
        <v>34</v>
      </c>
      <c r="D62" s="166"/>
      <c r="E62" s="166"/>
      <c r="F62" s="166"/>
      <c r="G62" s="166"/>
      <c r="H62" s="166"/>
      <c r="I62" s="166"/>
      <c r="J62" s="32"/>
      <c r="K62" s="31">
        <f>J61</f>
        <v>96354</v>
      </c>
    </row>
    <row r="63" spans="1:12" ht="16.5" customHeight="1" x14ac:dyDescent="0.25">
      <c r="A63" s="50"/>
      <c r="B63" s="171" t="s">
        <v>35</v>
      </c>
      <c r="C63" s="171"/>
      <c r="D63" s="171"/>
      <c r="E63" s="171"/>
      <c r="F63" s="171"/>
      <c r="G63" s="171"/>
      <c r="H63" s="171"/>
      <c r="I63" s="171"/>
      <c r="J63" s="38">
        <f>ROUND(SUM(J61:J61),2)</f>
        <v>96354</v>
      </c>
      <c r="K63" s="38">
        <f>ROUND(SUM(K62),2)</f>
        <v>96354</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287750</v>
      </c>
    </row>
    <row r="95" spans="1:12" ht="16.5" customHeight="1" x14ac:dyDescent="0.3">
      <c r="D95" s="142" t="s">
        <v>48</v>
      </c>
      <c r="E95"/>
      <c r="F95"/>
      <c r="G95"/>
      <c r="H95" s="141"/>
      <c r="I95"/>
      <c r="J95"/>
      <c r="K95" s="148">
        <f>-K18-K46+J68+J77</f>
        <v>-99336</v>
      </c>
    </row>
    <row r="96" spans="1:12" ht="16.5" customHeight="1" x14ac:dyDescent="0.3">
      <c r="D96" s="142" t="s">
        <v>49</v>
      </c>
      <c r="E96"/>
      <c r="F96"/>
      <c r="G96"/>
      <c r="H96" s="141"/>
      <c r="I96"/>
      <c r="J96"/>
      <c r="K96" s="148">
        <f>-K19-K37+J56+J61+J76-K85</f>
        <v>-93560</v>
      </c>
    </row>
    <row r="97" spans="1:11" ht="16.5" customHeight="1" x14ac:dyDescent="0.3">
      <c r="D97" s="142" t="s">
        <v>50</v>
      </c>
      <c r="E97"/>
      <c r="F97"/>
      <c r="G97"/>
      <c r="H97" s="141"/>
      <c r="I97"/>
      <c r="J97"/>
      <c r="K97" s="148">
        <f>-K62</f>
        <v>-96354</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UinOwOJPfU7jBX9aa+QVTDI5fHssUl7m20mzDHIDIDQ0LMAlcyYlKsWG6jPMYZVFS36l5Mw14phAsXAIL9AxsA==" saltValue="fHPF4qrQ1KuP5kkiPWus8g=="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4"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500-000000000000}">
      <formula1>4</formula1>
    </dataValidation>
    <dataValidation type="textLength" operator="lessThan" allowBlank="1" showInputMessage="1" showErrorMessage="1" sqref="E11 A6:A8" xr:uid="{00000000-0002-0000-0500-000001000000}">
      <formula1>0</formula1>
    </dataValidation>
    <dataValidation operator="lessThan" allowBlank="1" showInputMessage="1" showErrorMessage="1" sqref="A3:A5 A7:A8 A11" xr:uid="{00000000-0002-0000-0500-000002000000}"/>
    <dataValidation type="list" allowBlank="1" showInputMessage="1" showErrorMessage="1" sqref="F7 F3" xr:uid="{00000000-0002-0000-05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pageSetUpPr fitToPage="1"/>
  </sheetPr>
  <dimension ref="A1:Q115"/>
  <sheetViews>
    <sheetView topLeftCell="A33"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378</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10908</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10908</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10908</v>
      </c>
      <c r="K22" s="28">
        <f>ROUND(SUM(K18:K21),2)</f>
        <v>10908</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3547</v>
      </c>
      <c r="K28" s="32"/>
      <c r="L28" s="48"/>
    </row>
    <row r="29" spans="1:17" ht="16.5" customHeight="1" x14ac:dyDescent="0.3">
      <c r="A29" s="50"/>
      <c r="B29" s="142"/>
      <c r="C29" s="166" t="s">
        <v>20</v>
      </c>
      <c r="D29" s="166"/>
      <c r="E29" s="166"/>
      <c r="F29" s="166"/>
      <c r="G29" s="166"/>
      <c r="H29" s="166"/>
      <c r="I29" s="166"/>
      <c r="J29" s="32"/>
      <c r="K29" s="31">
        <v>3547</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3547</v>
      </c>
      <c r="K31" s="28">
        <f>ROUND(SUM(K28:K30),2)</f>
        <v>3547</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v>3547</v>
      </c>
      <c r="K34" s="139"/>
      <c r="L34" s="48"/>
    </row>
    <row r="35" spans="1:12" ht="16.5" customHeight="1" x14ac:dyDescent="0.25">
      <c r="B35" s="166" t="s">
        <v>22</v>
      </c>
      <c r="C35" s="166"/>
      <c r="D35" s="166"/>
      <c r="E35" s="166"/>
      <c r="F35" s="166"/>
      <c r="G35" s="166"/>
      <c r="H35" s="166"/>
      <c r="I35" s="166"/>
      <c r="J35" s="31">
        <v>3547</v>
      </c>
      <c r="K35" s="35"/>
    </row>
    <row r="36" spans="1:12" ht="16.5" customHeight="1" x14ac:dyDescent="0.25">
      <c r="A36" s="50"/>
      <c r="B36" s="61"/>
      <c r="C36" s="166" t="s">
        <v>23</v>
      </c>
      <c r="D36" s="166"/>
      <c r="E36" s="166"/>
      <c r="F36" s="166"/>
      <c r="G36" s="166"/>
      <c r="H36" s="166"/>
      <c r="I36" s="166"/>
      <c r="J36" s="35"/>
      <c r="K36" s="31">
        <v>3547</v>
      </c>
    </row>
    <row r="37" spans="1:12" ht="16.5" customHeight="1" x14ac:dyDescent="0.25">
      <c r="A37" s="50"/>
      <c r="C37" s="166" t="s">
        <v>14</v>
      </c>
      <c r="D37" s="166"/>
      <c r="E37" s="166"/>
      <c r="F37" s="166"/>
      <c r="G37" s="166"/>
      <c r="H37" s="166"/>
      <c r="I37" s="166"/>
      <c r="J37" s="35"/>
      <c r="K37" s="31">
        <v>3547</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7094</v>
      </c>
      <c r="K39" s="28">
        <f>ROUND(SUM(K36:K38),2)</f>
        <v>7094</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7866</v>
      </c>
      <c r="K45" s="32"/>
    </row>
    <row r="46" spans="1:12" ht="16.5" customHeight="1" x14ac:dyDescent="0.25">
      <c r="A46" s="50"/>
      <c r="B46" s="61"/>
      <c r="C46" s="166" t="s">
        <v>13</v>
      </c>
      <c r="D46" s="166"/>
      <c r="E46" s="166"/>
      <c r="F46" s="166"/>
      <c r="G46" s="166"/>
      <c r="H46" s="166"/>
      <c r="I46" s="166"/>
      <c r="J46" s="35"/>
      <c r="K46" s="31">
        <f>J45</f>
        <v>7866</v>
      </c>
    </row>
    <row r="47" spans="1:12" ht="16.5" customHeight="1" x14ac:dyDescent="0.3">
      <c r="A47" s="59"/>
      <c r="B47" s="51"/>
      <c r="C47" s="51"/>
      <c r="D47" s="51"/>
      <c r="E47" s="51"/>
      <c r="F47" s="51"/>
      <c r="G47" s="51"/>
      <c r="H47" s="51"/>
      <c r="I47" s="51"/>
      <c r="J47" s="38">
        <f>ROUND(SUM(J45:J45),2)</f>
        <v>7866</v>
      </c>
      <c r="K47" s="38">
        <f>ROUND(SUM(K46),2)</f>
        <v>7866</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8472</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196</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8668</v>
      </c>
    </row>
    <row r="53" spans="1:12" ht="16.5" customHeight="1" x14ac:dyDescent="0.3">
      <c r="A53" s="59"/>
      <c r="B53" s="51"/>
      <c r="C53" s="51"/>
      <c r="D53" s="51"/>
      <c r="E53" s="51"/>
      <c r="F53" s="51"/>
      <c r="G53" s="51"/>
      <c r="H53" s="51"/>
      <c r="I53" s="51"/>
      <c r="J53" s="38">
        <f>ROUND(SUM(J50:J51),2)</f>
        <v>8668</v>
      </c>
      <c r="K53" s="38">
        <f>ROUND(SUM(K52,),2)</f>
        <v>8668</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8472</v>
      </c>
      <c r="K56" s="35"/>
    </row>
    <row r="57" spans="1:12" ht="16.5" customHeight="1" x14ac:dyDescent="0.3">
      <c r="A57" s="50"/>
      <c r="B57" s="142"/>
      <c r="C57" s="166" t="s">
        <v>32</v>
      </c>
      <c r="D57" s="166"/>
      <c r="E57" s="166"/>
      <c r="F57" s="166"/>
      <c r="G57" s="166"/>
      <c r="H57" s="166"/>
      <c r="I57" s="166"/>
      <c r="J57" s="35"/>
      <c r="K57" s="31">
        <f>J50</f>
        <v>8472</v>
      </c>
    </row>
    <row r="58" spans="1:12" ht="16.5" customHeight="1" x14ac:dyDescent="0.3">
      <c r="A58" s="59"/>
      <c r="B58" s="51"/>
      <c r="C58" s="51"/>
      <c r="D58" s="51"/>
      <c r="E58" s="51"/>
      <c r="F58" s="51"/>
      <c r="G58" s="51"/>
      <c r="H58" s="51"/>
      <c r="I58" s="51"/>
      <c r="J58" s="38">
        <f>ROUND(SUM(J56:J56),2)</f>
        <v>8472</v>
      </c>
      <c r="K58" s="38">
        <f>ROUND(SUM(K57),2)</f>
        <v>8472</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3425</v>
      </c>
      <c r="K61" s="32"/>
    </row>
    <row r="62" spans="1:12" ht="16.5" customHeight="1" x14ac:dyDescent="0.3">
      <c r="A62" s="50"/>
      <c r="B62" s="142"/>
      <c r="C62" s="166" t="s">
        <v>34</v>
      </c>
      <c r="D62" s="166"/>
      <c r="E62" s="166"/>
      <c r="F62" s="166"/>
      <c r="G62" s="166"/>
      <c r="H62" s="166"/>
      <c r="I62" s="166"/>
      <c r="J62" s="32"/>
      <c r="K62" s="31">
        <f>J61</f>
        <v>3425</v>
      </c>
    </row>
    <row r="63" spans="1:12" ht="16.5" customHeight="1" x14ac:dyDescent="0.25">
      <c r="A63" s="50"/>
      <c r="B63" s="171" t="s">
        <v>35</v>
      </c>
      <c r="C63" s="171"/>
      <c r="D63" s="171"/>
      <c r="E63" s="171"/>
      <c r="F63" s="171"/>
      <c r="G63" s="171"/>
      <c r="H63" s="171"/>
      <c r="I63" s="171"/>
      <c r="J63" s="38">
        <f>ROUND(SUM(J61:J61),2)</f>
        <v>3425</v>
      </c>
      <c r="K63" s="38">
        <f>ROUND(SUM(K62),2)</f>
        <v>3425</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14455</v>
      </c>
    </row>
    <row r="95" spans="1:12" ht="16.5" customHeight="1" x14ac:dyDescent="0.3">
      <c r="D95" s="142" t="s">
        <v>48</v>
      </c>
      <c r="E95"/>
      <c r="F95"/>
      <c r="G95"/>
      <c r="H95" s="141"/>
      <c r="I95"/>
      <c r="J95"/>
      <c r="K95" s="148">
        <f>-K18-K46+J68+J77</f>
        <v>-7866</v>
      </c>
    </row>
    <row r="96" spans="1:12" ht="16.5" customHeight="1" x14ac:dyDescent="0.3">
      <c r="D96" s="142" t="s">
        <v>49</v>
      </c>
      <c r="E96"/>
      <c r="F96"/>
      <c r="G96"/>
      <c r="H96" s="141"/>
      <c r="I96"/>
      <c r="J96"/>
      <c r="K96" s="148">
        <f>-K19-K37+J56+J61+J76-K85</f>
        <v>-2558</v>
      </c>
    </row>
    <row r="97" spans="1:11" ht="16.5" customHeight="1" x14ac:dyDescent="0.3">
      <c r="D97" s="142" t="s">
        <v>50</v>
      </c>
      <c r="E97"/>
      <c r="F97"/>
      <c r="G97"/>
      <c r="H97" s="141"/>
      <c r="I97"/>
      <c r="J97"/>
      <c r="K97" s="148">
        <f>-K62</f>
        <v>-3425</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3AhhW3LRjzUsaT6q9QqHcglXQRn54GiKQ//SzeIvT+uV7UDG9RpFIJjDbHEnmDojO+u+4OQD8bu88S0Y3m5Q3A==" saltValue="7r9caQ5ARZldeMBKOuyRNA=="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3"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600-000000000000}">
      <formula1>4</formula1>
    </dataValidation>
    <dataValidation type="textLength" operator="lessThan" allowBlank="1" showInputMessage="1" showErrorMessage="1" sqref="E11 A6:A8" xr:uid="{00000000-0002-0000-0600-000001000000}">
      <formula1>0</formula1>
    </dataValidation>
    <dataValidation operator="lessThan" allowBlank="1" showInputMessage="1" showErrorMessage="1" sqref="A3:A5 A7:A8 A11" xr:uid="{00000000-0002-0000-0600-000002000000}"/>
    <dataValidation type="list" allowBlank="1" showInputMessage="1" showErrorMessage="1" sqref="F7 F3" xr:uid="{00000000-0002-0000-06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pageSetUpPr fitToPage="1"/>
  </sheetPr>
  <dimension ref="A1:Q115"/>
  <sheetViews>
    <sheetView topLeftCell="A32"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460</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121760</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121760</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121760</v>
      </c>
      <c r="K22" s="28">
        <f>ROUND(SUM(K18:K21),2)</f>
        <v>121760</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62716</v>
      </c>
      <c r="K28" s="32"/>
      <c r="L28" s="48"/>
    </row>
    <row r="29" spans="1:17" ht="16.5" customHeight="1" x14ac:dyDescent="0.3">
      <c r="A29" s="50"/>
      <c r="B29" s="142"/>
      <c r="C29" s="166" t="s">
        <v>20</v>
      </c>
      <c r="D29" s="166"/>
      <c r="E29" s="166"/>
      <c r="F29" s="166"/>
      <c r="G29" s="166"/>
      <c r="H29" s="166"/>
      <c r="I29" s="166"/>
      <c r="J29" s="32"/>
      <c r="K29" s="31">
        <v>62716</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62716</v>
      </c>
      <c r="K31" s="28">
        <f>ROUND(SUM(K28:K30),2)</f>
        <v>62716</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v>62716</v>
      </c>
      <c r="K34" s="139"/>
      <c r="L34" s="48"/>
    </row>
    <row r="35" spans="1:12" ht="16.5" customHeight="1" x14ac:dyDescent="0.25">
      <c r="B35" s="166" t="s">
        <v>22</v>
      </c>
      <c r="C35" s="166"/>
      <c r="D35" s="166"/>
      <c r="E35" s="166"/>
      <c r="F35" s="166"/>
      <c r="G35" s="166"/>
      <c r="H35" s="166"/>
      <c r="I35" s="166"/>
      <c r="J35" s="31">
        <v>62716</v>
      </c>
      <c r="K35" s="35"/>
    </row>
    <row r="36" spans="1:12" ht="16.5" customHeight="1" x14ac:dyDescent="0.25">
      <c r="A36" s="50"/>
      <c r="B36" s="61"/>
      <c r="C36" s="166" t="s">
        <v>23</v>
      </c>
      <c r="D36" s="166"/>
      <c r="E36" s="166"/>
      <c r="F36" s="166"/>
      <c r="G36" s="166"/>
      <c r="H36" s="166"/>
      <c r="I36" s="166"/>
      <c r="J36" s="35"/>
      <c r="K36" s="31">
        <v>62716</v>
      </c>
    </row>
    <row r="37" spans="1:12" ht="16.5" customHeight="1" x14ac:dyDescent="0.25">
      <c r="A37" s="50"/>
      <c r="C37" s="166" t="s">
        <v>14</v>
      </c>
      <c r="D37" s="166"/>
      <c r="E37" s="166"/>
      <c r="F37" s="166"/>
      <c r="G37" s="166"/>
      <c r="H37" s="166"/>
      <c r="I37" s="166"/>
      <c r="J37" s="35"/>
      <c r="K37" s="31">
        <v>62716</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125432</v>
      </c>
      <c r="K39" s="28">
        <f>ROUND(SUM(K36:K38),2)</f>
        <v>125432</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103526</v>
      </c>
      <c r="K45" s="32"/>
    </row>
    <row r="46" spans="1:12" ht="16.5" customHeight="1" x14ac:dyDescent="0.25">
      <c r="A46" s="50"/>
      <c r="B46" s="61"/>
      <c r="C46" s="166" t="s">
        <v>13</v>
      </c>
      <c r="D46" s="166"/>
      <c r="E46" s="166"/>
      <c r="F46" s="166"/>
      <c r="G46" s="166"/>
      <c r="H46" s="166"/>
      <c r="I46" s="166"/>
      <c r="J46" s="35"/>
      <c r="K46" s="31">
        <f>J45</f>
        <v>103526</v>
      </c>
    </row>
    <row r="47" spans="1:12" ht="16.5" customHeight="1" x14ac:dyDescent="0.3">
      <c r="A47" s="59"/>
      <c r="B47" s="51"/>
      <c r="C47" s="51"/>
      <c r="D47" s="51"/>
      <c r="E47" s="51"/>
      <c r="F47" s="51"/>
      <c r="G47" s="51"/>
      <c r="H47" s="51"/>
      <c r="I47" s="51"/>
      <c r="J47" s="38">
        <f>ROUND(SUM(J45:J45),2)</f>
        <v>103526</v>
      </c>
      <c r="K47" s="38">
        <f>ROUND(SUM(K46),2)</f>
        <v>103526</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115179</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1894</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117073</v>
      </c>
    </row>
    <row r="53" spans="1:12" ht="16.5" customHeight="1" x14ac:dyDescent="0.3">
      <c r="A53" s="59"/>
      <c r="B53" s="51"/>
      <c r="C53" s="51"/>
      <c r="D53" s="51"/>
      <c r="E53" s="51"/>
      <c r="F53" s="51"/>
      <c r="G53" s="51"/>
      <c r="H53" s="51"/>
      <c r="I53" s="51"/>
      <c r="J53" s="38">
        <f>ROUND(SUM(J50:J51),2)</f>
        <v>117073</v>
      </c>
      <c r="K53" s="38">
        <f>ROUND(SUM(K52,),2)</f>
        <v>117073</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115179</v>
      </c>
      <c r="K56" s="35"/>
    </row>
    <row r="57" spans="1:12" ht="16.5" customHeight="1" x14ac:dyDescent="0.3">
      <c r="A57" s="50"/>
      <c r="B57" s="142"/>
      <c r="C57" s="166" t="s">
        <v>32</v>
      </c>
      <c r="D57" s="166"/>
      <c r="E57" s="166"/>
      <c r="F57" s="166"/>
      <c r="G57" s="166"/>
      <c r="H57" s="166"/>
      <c r="I57" s="166"/>
      <c r="J57" s="35"/>
      <c r="K57" s="31">
        <f>J50</f>
        <v>115179</v>
      </c>
    </row>
    <row r="58" spans="1:12" ht="16.5" customHeight="1" x14ac:dyDescent="0.3">
      <c r="A58" s="59"/>
      <c r="B58" s="51"/>
      <c r="C58" s="51"/>
      <c r="D58" s="51"/>
      <c r="E58" s="51"/>
      <c r="F58" s="51"/>
      <c r="G58" s="51"/>
      <c r="H58" s="51"/>
      <c r="I58" s="51"/>
      <c r="J58" s="38">
        <f>ROUND(SUM(J56:J56),2)</f>
        <v>115179</v>
      </c>
      <c r="K58" s="38">
        <f>ROUND(SUM(K57),2)</f>
        <v>115179</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24073</v>
      </c>
      <c r="K61" s="32"/>
    </row>
    <row r="62" spans="1:12" ht="16.5" customHeight="1" x14ac:dyDescent="0.3">
      <c r="A62" s="50"/>
      <c r="B62" s="142"/>
      <c r="C62" s="166" t="s">
        <v>34</v>
      </c>
      <c r="D62" s="166"/>
      <c r="E62" s="166"/>
      <c r="F62" s="166"/>
      <c r="G62" s="166"/>
      <c r="H62" s="166"/>
      <c r="I62" s="166"/>
      <c r="J62" s="32"/>
      <c r="K62" s="31">
        <f>J61</f>
        <v>24073</v>
      </c>
    </row>
    <row r="63" spans="1:12" ht="16.5" customHeight="1" x14ac:dyDescent="0.25">
      <c r="A63" s="50"/>
      <c r="B63" s="171" t="s">
        <v>35</v>
      </c>
      <c r="C63" s="171"/>
      <c r="D63" s="171"/>
      <c r="E63" s="171"/>
      <c r="F63" s="171"/>
      <c r="G63" s="171"/>
      <c r="H63" s="171"/>
      <c r="I63" s="171"/>
      <c r="J63" s="38">
        <f>ROUND(SUM(J61:J61),2)</f>
        <v>24073</v>
      </c>
      <c r="K63" s="38">
        <f>ROUND(SUM(K62),2)</f>
        <v>24073</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184476</v>
      </c>
    </row>
    <row r="95" spans="1:12" ht="16.5" customHeight="1" x14ac:dyDescent="0.3">
      <c r="D95" s="142" t="s">
        <v>48</v>
      </c>
      <c r="E95"/>
      <c r="F95"/>
      <c r="G95"/>
      <c r="H95" s="141"/>
      <c r="I95"/>
      <c r="J95"/>
      <c r="K95" s="148">
        <f>-K18-K46+J68+J77</f>
        <v>-103526</v>
      </c>
    </row>
    <row r="96" spans="1:12" ht="16.5" customHeight="1" x14ac:dyDescent="0.3">
      <c r="D96" s="142" t="s">
        <v>49</v>
      </c>
      <c r="E96"/>
      <c r="F96"/>
      <c r="G96"/>
      <c r="H96" s="141"/>
      <c r="I96"/>
      <c r="J96"/>
      <c r="K96" s="148">
        <f>-K19-K37+J56+J61+J76-K85</f>
        <v>-45224</v>
      </c>
    </row>
    <row r="97" spans="1:11" ht="16.5" customHeight="1" x14ac:dyDescent="0.3">
      <c r="D97" s="142" t="s">
        <v>50</v>
      </c>
      <c r="E97"/>
      <c r="F97"/>
      <c r="G97"/>
      <c r="H97" s="141"/>
      <c r="I97"/>
      <c r="J97"/>
      <c r="K97" s="148">
        <f>-K62</f>
        <v>-24073</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Gxa49rNueOOHTnJxLUP3Sh4WjEmQ6D3qS8gDArNPDR/cDthMzarmhhC1uQfLpsKTEolpa1yUi6jTnyG9l1oxTw==" saltValue="i9ohT0UTznGWxkhVP3NRxA=="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2"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700-000000000000}">
      <formula1>4</formula1>
    </dataValidation>
    <dataValidation type="textLength" operator="lessThan" allowBlank="1" showInputMessage="1" showErrorMessage="1" sqref="E11 A6:A8" xr:uid="{00000000-0002-0000-0700-000001000000}">
      <formula1>0</formula1>
    </dataValidation>
    <dataValidation operator="lessThan" allowBlank="1" showInputMessage="1" showErrorMessage="1" sqref="A3:A5 A7:A8 A11" xr:uid="{00000000-0002-0000-0700-000002000000}"/>
    <dataValidation type="list" allowBlank="1" showInputMessage="1" showErrorMessage="1" sqref="F7 F3" xr:uid="{00000000-0002-0000-07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pageSetUpPr fitToPage="1"/>
  </sheetPr>
  <dimension ref="A1:Q115"/>
  <sheetViews>
    <sheetView topLeftCell="A36"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567</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145210</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145210</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145210</v>
      </c>
      <c r="K22" s="28">
        <f>ROUND(SUM(K18:K21),2)</f>
        <v>145210</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c r="K28" s="32"/>
      <c r="L28" s="48"/>
    </row>
    <row r="29" spans="1:17" ht="16.5" customHeight="1" x14ac:dyDescent="0.3">
      <c r="A29" s="50"/>
      <c r="B29" s="142"/>
      <c r="C29" s="166" t="s">
        <v>20</v>
      </c>
      <c r="D29" s="166"/>
      <c r="E29" s="166"/>
      <c r="F29" s="166"/>
      <c r="G29" s="166"/>
      <c r="H29" s="166"/>
      <c r="I29" s="166"/>
      <c r="J29" s="32"/>
      <c r="K29" s="31"/>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0</v>
      </c>
      <c r="K31" s="28">
        <f>ROUND(SUM(K28:K30),2)</f>
        <v>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c r="K34" s="139"/>
      <c r="L34" s="48"/>
    </row>
    <row r="35" spans="1:12" ht="16.5" customHeight="1" x14ac:dyDescent="0.25">
      <c r="B35" s="166" t="s">
        <v>22</v>
      </c>
      <c r="C35" s="166"/>
      <c r="D35" s="166"/>
      <c r="E35" s="166"/>
      <c r="F35" s="166"/>
      <c r="G35" s="166"/>
      <c r="H35" s="166"/>
      <c r="I35" s="166"/>
      <c r="J35" s="31"/>
      <c r="K35" s="35"/>
    </row>
    <row r="36" spans="1:12" ht="16.5" customHeight="1" x14ac:dyDescent="0.25">
      <c r="A36" s="50"/>
      <c r="B36" s="61"/>
      <c r="C36" s="166" t="s">
        <v>23</v>
      </c>
      <c r="D36" s="166"/>
      <c r="E36" s="166"/>
      <c r="F36" s="166"/>
      <c r="G36" s="166"/>
      <c r="H36" s="166"/>
      <c r="I36" s="166"/>
      <c r="J36" s="35"/>
      <c r="K36" s="31"/>
    </row>
    <row r="37" spans="1:12" ht="16.5" customHeight="1" x14ac:dyDescent="0.25">
      <c r="A37" s="50"/>
      <c r="C37" s="166" t="s">
        <v>14</v>
      </c>
      <c r="D37" s="166"/>
      <c r="E37" s="166"/>
      <c r="F37" s="166"/>
      <c r="G37" s="166"/>
      <c r="H37" s="166"/>
      <c r="I37" s="166"/>
      <c r="J37" s="35"/>
      <c r="K37" s="31"/>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0</v>
      </c>
      <c r="K39" s="28">
        <f>ROUND(SUM(K36:K38),2)</f>
        <v>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50401</v>
      </c>
      <c r="K45" s="32"/>
    </row>
    <row r="46" spans="1:12" ht="16.5" customHeight="1" x14ac:dyDescent="0.25">
      <c r="A46" s="50"/>
      <c r="B46" s="61"/>
      <c r="C46" s="166" t="s">
        <v>13</v>
      </c>
      <c r="D46" s="166"/>
      <c r="E46" s="166"/>
      <c r="F46" s="166"/>
      <c r="G46" s="166"/>
      <c r="H46" s="166"/>
      <c r="I46" s="166"/>
      <c r="J46" s="35"/>
      <c r="K46" s="31">
        <f>J45</f>
        <v>50401</v>
      </c>
    </row>
    <row r="47" spans="1:12" ht="16.5" customHeight="1" x14ac:dyDescent="0.3">
      <c r="A47" s="59"/>
      <c r="B47" s="51"/>
      <c r="C47" s="51"/>
      <c r="D47" s="51"/>
      <c r="E47" s="51"/>
      <c r="F47" s="51"/>
      <c r="G47" s="51"/>
      <c r="H47" s="51"/>
      <c r="I47" s="51"/>
      <c r="J47" s="38">
        <f>ROUND(SUM(J45:J45),2)</f>
        <v>50401</v>
      </c>
      <c r="K47" s="38">
        <f>ROUND(SUM(K46),2)</f>
        <v>50401</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49363</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2718</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52081</v>
      </c>
    </row>
    <row r="53" spans="1:12" ht="16.5" customHeight="1" x14ac:dyDescent="0.3">
      <c r="A53" s="59"/>
      <c r="B53" s="51"/>
      <c r="C53" s="51"/>
      <c r="D53" s="51"/>
      <c r="E53" s="51"/>
      <c r="F53" s="51"/>
      <c r="G53" s="51"/>
      <c r="H53" s="51"/>
      <c r="I53" s="51"/>
      <c r="J53" s="38">
        <f>ROUND(SUM(J50:J51),2)</f>
        <v>52081</v>
      </c>
      <c r="K53" s="38">
        <f>ROUND(SUM(K52,),2)</f>
        <v>52081</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49363</v>
      </c>
      <c r="K56" s="35"/>
    </row>
    <row r="57" spans="1:12" ht="16.5" customHeight="1" x14ac:dyDescent="0.3">
      <c r="A57" s="50"/>
      <c r="B57" s="142"/>
      <c r="C57" s="166" t="s">
        <v>32</v>
      </c>
      <c r="D57" s="166"/>
      <c r="E57" s="166"/>
      <c r="F57" s="166"/>
      <c r="G57" s="166"/>
      <c r="H57" s="166"/>
      <c r="I57" s="166"/>
      <c r="J57" s="35"/>
      <c r="K57" s="31">
        <f>J50</f>
        <v>49363</v>
      </c>
    </row>
    <row r="58" spans="1:12" ht="16.5" customHeight="1" x14ac:dyDescent="0.3">
      <c r="A58" s="59"/>
      <c r="B58" s="51"/>
      <c r="C58" s="51"/>
      <c r="D58" s="51"/>
      <c r="E58" s="51"/>
      <c r="F58" s="51"/>
      <c r="G58" s="51"/>
      <c r="H58" s="51"/>
      <c r="I58" s="51"/>
      <c r="J58" s="38">
        <f>ROUND(SUM(J56:J56),2)</f>
        <v>49363</v>
      </c>
      <c r="K58" s="38">
        <f>ROUND(SUM(K57),2)</f>
        <v>49363</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50461</v>
      </c>
      <c r="K61" s="32"/>
    </row>
    <row r="62" spans="1:12" ht="16.5" customHeight="1" x14ac:dyDescent="0.3">
      <c r="A62" s="50"/>
      <c r="B62" s="142"/>
      <c r="C62" s="166" t="s">
        <v>34</v>
      </c>
      <c r="D62" s="166"/>
      <c r="E62" s="166"/>
      <c r="F62" s="166"/>
      <c r="G62" s="166"/>
      <c r="H62" s="166"/>
      <c r="I62" s="166"/>
      <c r="J62" s="32"/>
      <c r="K62" s="31">
        <f>J61</f>
        <v>50461</v>
      </c>
    </row>
    <row r="63" spans="1:12" ht="16.5" customHeight="1" x14ac:dyDescent="0.25">
      <c r="A63" s="50"/>
      <c r="B63" s="171" t="s">
        <v>35</v>
      </c>
      <c r="C63" s="171"/>
      <c r="D63" s="171"/>
      <c r="E63" s="171"/>
      <c r="F63" s="171"/>
      <c r="G63" s="171"/>
      <c r="H63" s="171"/>
      <c r="I63" s="171"/>
      <c r="J63" s="38">
        <f>ROUND(SUM(J61:J61),2)</f>
        <v>50461</v>
      </c>
      <c r="K63" s="38">
        <f>ROUND(SUM(K62),2)</f>
        <v>50461</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145210</v>
      </c>
    </row>
    <row r="95" spans="1:12" ht="16.5" customHeight="1" x14ac:dyDescent="0.3">
      <c r="D95" s="142" t="s">
        <v>48</v>
      </c>
      <c r="E95"/>
      <c r="F95"/>
      <c r="G95"/>
      <c r="H95" s="141"/>
      <c r="I95"/>
      <c r="J95"/>
      <c r="K95" s="148">
        <f>-K18-K46+J68+J77</f>
        <v>-50401</v>
      </c>
    </row>
    <row r="96" spans="1:12" ht="16.5" customHeight="1" x14ac:dyDescent="0.3">
      <c r="D96" s="142" t="s">
        <v>49</v>
      </c>
      <c r="E96"/>
      <c r="F96"/>
      <c r="G96"/>
      <c r="H96" s="141"/>
      <c r="I96"/>
      <c r="J96"/>
      <c r="K96" s="148">
        <f>-K19-K37+J56+J61+J76-K85</f>
        <v>-45386</v>
      </c>
    </row>
    <row r="97" spans="1:11" ht="16.5" customHeight="1" x14ac:dyDescent="0.3">
      <c r="D97" s="142" t="s">
        <v>50</v>
      </c>
      <c r="E97"/>
      <c r="F97"/>
      <c r="G97"/>
      <c r="H97" s="141"/>
      <c r="I97"/>
      <c r="J97"/>
      <c r="K97" s="148">
        <f>-K62</f>
        <v>-50461</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FNVXygIbxqealGC2mQ1kH6EsjfjjLzJqL7cCIFt3Lhe8rY31pqltxi+1sJCZZi58QRAbu5jix4zivqaqKfaJvQ==" saltValue="hjkq98uUVYCnbMrBpFuGOg=="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1"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800-000000000000}">
      <formula1>4</formula1>
    </dataValidation>
    <dataValidation type="textLength" operator="lessThan" allowBlank="1" showInputMessage="1" showErrorMessage="1" sqref="E11 A6:A8" xr:uid="{00000000-0002-0000-0800-000001000000}">
      <formula1>0</formula1>
    </dataValidation>
    <dataValidation operator="lessThan" allowBlank="1" showInputMessage="1" showErrorMessage="1" sqref="A3:A5 A7:A8 A11" xr:uid="{00000000-0002-0000-0800-000002000000}"/>
    <dataValidation type="list" allowBlank="1" showInputMessage="1" showErrorMessage="1" sqref="F7 F3" xr:uid="{00000000-0002-0000-08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pageSetUpPr fitToPage="1"/>
  </sheetPr>
  <dimension ref="A1:Q115"/>
  <sheetViews>
    <sheetView topLeftCell="A34"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569</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12931</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12931</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12931</v>
      </c>
      <c r="K22" s="28">
        <f>ROUND(SUM(K18:K21),2)</f>
        <v>12931</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5518</v>
      </c>
      <c r="K28" s="32"/>
      <c r="L28" s="48"/>
    </row>
    <row r="29" spans="1:17" ht="16.5" customHeight="1" x14ac:dyDescent="0.3">
      <c r="A29" s="50"/>
      <c r="B29" s="142"/>
      <c r="C29" s="166" t="s">
        <v>20</v>
      </c>
      <c r="D29" s="166"/>
      <c r="E29" s="166"/>
      <c r="F29" s="166"/>
      <c r="G29" s="166"/>
      <c r="H29" s="166"/>
      <c r="I29" s="166"/>
      <c r="J29" s="32"/>
      <c r="K29" s="31">
        <v>5518</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5518</v>
      </c>
      <c r="K31" s="28">
        <f>ROUND(SUM(K28:K30),2)</f>
        <v>5518</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v>5518</v>
      </c>
      <c r="K34" s="139"/>
      <c r="L34" s="48"/>
    </row>
    <row r="35" spans="1:12" ht="16.5" customHeight="1" x14ac:dyDescent="0.25">
      <c r="B35" s="166" t="s">
        <v>22</v>
      </c>
      <c r="C35" s="166"/>
      <c r="D35" s="166"/>
      <c r="E35" s="166"/>
      <c r="F35" s="166"/>
      <c r="G35" s="166"/>
      <c r="H35" s="166"/>
      <c r="I35" s="166"/>
      <c r="J35" s="31">
        <v>5518</v>
      </c>
      <c r="K35" s="35"/>
    </row>
    <row r="36" spans="1:12" ht="16.5" customHeight="1" x14ac:dyDescent="0.25">
      <c r="A36" s="50"/>
      <c r="B36" s="61"/>
      <c r="C36" s="166" t="s">
        <v>23</v>
      </c>
      <c r="D36" s="166"/>
      <c r="E36" s="166"/>
      <c r="F36" s="166"/>
      <c r="G36" s="166"/>
      <c r="H36" s="166"/>
      <c r="I36" s="166"/>
      <c r="J36" s="35"/>
      <c r="K36" s="31">
        <v>5518</v>
      </c>
    </row>
    <row r="37" spans="1:12" ht="16.5" customHeight="1" x14ac:dyDescent="0.25">
      <c r="A37" s="50"/>
      <c r="C37" s="166" t="s">
        <v>14</v>
      </c>
      <c r="D37" s="166"/>
      <c r="E37" s="166"/>
      <c r="F37" s="166"/>
      <c r="G37" s="166"/>
      <c r="H37" s="166"/>
      <c r="I37" s="166"/>
      <c r="J37" s="35"/>
      <c r="K37" s="31">
        <v>5518</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11036</v>
      </c>
      <c r="K39" s="28">
        <f>ROUND(SUM(K36:K38),2)</f>
        <v>11036</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9871</v>
      </c>
      <c r="K45" s="32"/>
    </row>
    <row r="46" spans="1:12" ht="16.5" customHeight="1" x14ac:dyDescent="0.25">
      <c r="A46" s="50"/>
      <c r="B46" s="61"/>
      <c r="C46" s="166" t="s">
        <v>13</v>
      </c>
      <c r="D46" s="166"/>
      <c r="E46" s="166"/>
      <c r="F46" s="166"/>
      <c r="G46" s="166"/>
      <c r="H46" s="166"/>
      <c r="I46" s="166"/>
      <c r="J46" s="35"/>
      <c r="K46" s="31">
        <f>J45</f>
        <v>9871</v>
      </c>
    </row>
    <row r="47" spans="1:12" ht="16.5" customHeight="1" x14ac:dyDescent="0.3">
      <c r="A47" s="59"/>
      <c r="B47" s="51"/>
      <c r="C47" s="51"/>
      <c r="D47" s="51"/>
      <c r="E47" s="51"/>
      <c r="F47" s="51"/>
      <c r="G47" s="51"/>
      <c r="H47" s="51"/>
      <c r="I47" s="51"/>
      <c r="J47" s="38">
        <f>ROUND(SUM(J45:J45),2)</f>
        <v>9871</v>
      </c>
      <c r="K47" s="38">
        <f>ROUND(SUM(K46),2)</f>
        <v>9871</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10881</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208</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11089</v>
      </c>
    </row>
    <row r="53" spans="1:12" ht="16.5" customHeight="1" x14ac:dyDescent="0.3">
      <c r="A53" s="59"/>
      <c r="B53" s="51"/>
      <c r="C53" s="51"/>
      <c r="D53" s="51"/>
      <c r="E53" s="51"/>
      <c r="F53" s="51"/>
      <c r="G53" s="51"/>
      <c r="H53" s="51"/>
      <c r="I53" s="51"/>
      <c r="J53" s="38">
        <f>ROUND(SUM(J50:J51),2)</f>
        <v>11089</v>
      </c>
      <c r="K53" s="38">
        <f>ROUND(SUM(K52,),2)</f>
        <v>11089</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10881</v>
      </c>
      <c r="K56" s="35"/>
    </row>
    <row r="57" spans="1:12" ht="16.5" customHeight="1" x14ac:dyDescent="0.3">
      <c r="A57" s="50"/>
      <c r="B57" s="142"/>
      <c r="C57" s="166" t="s">
        <v>32</v>
      </c>
      <c r="D57" s="166"/>
      <c r="E57" s="166"/>
      <c r="F57" s="166"/>
      <c r="G57" s="166"/>
      <c r="H57" s="166"/>
      <c r="I57" s="166"/>
      <c r="J57" s="35"/>
      <c r="K57" s="31">
        <f>J50</f>
        <v>10881</v>
      </c>
    </row>
    <row r="58" spans="1:12" ht="16.5" customHeight="1" x14ac:dyDescent="0.3">
      <c r="A58" s="59"/>
      <c r="B58" s="51"/>
      <c r="C58" s="51"/>
      <c r="D58" s="51"/>
      <c r="E58" s="51"/>
      <c r="F58" s="51"/>
      <c r="G58" s="51"/>
      <c r="H58" s="51"/>
      <c r="I58" s="51"/>
      <c r="J58" s="38">
        <f>ROUND(SUM(J56:J56),2)</f>
        <v>10881</v>
      </c>
      <c r="K58" s="38">
        <f>ROUND(SUM(K57),2)</f>
        <v>10881</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2880</v>
      </c>
      <c r="K61" s="32"/>
    </row>
    <row r="62" spans="1:12" ht="16.5" customHeight="1" x14ac:dyDescent="0.3">
      <c r="A62" s="50"/>
      <c r="B62" s="142"/>
      <c r="C62" s="166" t="s">
        <v>34</v>
      </c>
      <c r="D62" s="166"/>
      <c r="E62" s="166"/>
      <c r="F62" s="166"/>
      <c r="G62" s="166"/>
      <c r="H62" s="166"/>
      <c r="I62" s="166"/>
      <c r="J62" s="32"/>
      <c r="K62" s="31">
        <f>J61</f>
        <v>2880</v>
      </c>
    </row>
    <row r="63" spans="1:12" ht="16.5" customHeight="1" x14ac:dyDescent="0.25">
      <c r="A63" s="50"/>
      <c r="B63" s="171" t="s">
        <v>35</v>
      </c>
      <c r="C63" s="171"/>
      <c r="D63" s="171"/>
      <c r="E63" s="171"/>
      <c r="F63" s="171"/>
      <c r="G63" s="171"/>
      <c r="H63" s="171"/>
      <c r="I63" s="171"/>
      <c r="J63" s="38">
        <f>ROUND(SUM(J61:J61),2)</f>
        <v>2880</v>
      </c>
      <c r="K63" s="38">
        <f>ROUND(SUM(K62),2)</f>
        <v>2880</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18449</v>
      </c>
    </row>
    <row r="95" spans="1:12" ht="16.5" customHeight="1" x14ac:dyDescent="0.3">
      <c r="D95" s="142" t="s">
        <v>48</v>
      </c>
      <c r="E95"/>
      <c r="F95"/>
      <c r="G95"/>
      <c r="H95" s="141"/>
      <c r="I95"/>
      <c r="J95"/>
      <c r="K95" s="148">
        <f>-K18-K46+J68+J77</f>
        <v>-9871</v>
      </c>
    </row>
    <row r="96" spans="1:12" ht="16.5" customHeight="1" x14ac:dyDescent="0.3">
      <c r="D96" s="142" t="s">
        <v>49</v>
      </c>
      <c r="E96"/>
      <c r="F96"/>
      <c r="G96"/>
      <c r="H96" s="141"/>
      <c r="I96"/>
      <c r="J96"/>
      <c r="K96" s="148">
        <f>-K19-K37+J56+J61+J76-K85</f>
        <v>-4688</v>
      </c>
    </row>
    <row r="97" spans="1:11" ht="16.5" customHeight="1" x14ac:dyDescent="0.3">
      <c r="D97" s="142" t="s">
        <v>50</v>
      </c>
      <c r="E97"/>
      <c r="F97"/>
      <c r="G97"/>
      <c r="H97" s="141"/>
      <c r="I97"/>
      <c r="J97"/>
      <c r="K97" s="148">
        <f>-K62</f>
        <v>-2880</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tVXT0ke4G9ZALT9BgGtQXggtAV+gmPRiRNyPzXrJKcw6CTB97OGMqW+V4npENWqsISLaqJ1G2P6edSfYvNP6Xg==" saltValue="dOrFbJUkqphwehbOZUsCRA=="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0"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900-000000000000}">
      <formula1>4</formula1>
    </dataValidation>
    <dataValidation type="textLength" operator="lessThan" allowBlank="1" showInputMessage="1" showErrorMessage="1" sqref="E11 A6:A8" xr:uid="{00000000-0002-0000-0900-000001000000}">
      <formula1>0</formula1>
    </dataValidation>
    <dataValidation operator="lessThan" allowBlank="1" showInputMessage="1" showErrorMessage="1" sqref="A3:A5 A7:A8 A11" xr:uid="{00000000-0002-0000-0900-000002000000}"/>
    <dataValidation type="list" allowBlank="1" showInputMessage="1" showErrorMessage="1" sqref="F7 F3" xr:uid="{00000000-0002-0000-09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Q115"/>
  <sheetViews>
    <sheetView topLeftCell="A31"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890</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17865</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17865</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17865</v>
      </c>
      <c r="K22" s="28">
        <f>ROUND(SUM(K18:K21),2)</f>
        <v>17865</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c r="K28" s="32"/>
      <c r="L28" s="48"/>
    </row>
    <row r="29" spans="1:17" ht="16.5" customHeight="1" x14ac:dyDescent="0.3">
      <c r="A29" s="50"/>
      <c r="B29" s="142"/>
      <c r="C29" s="166" t="s">
        <v>20</v>
      </c>
      <c r="D29" s="166"/>
      <c r="E29" s="166"/>
      <c r="F29" s="166"/>
      <c r="G29" s="166"/>
      <c r="H29" s="166"/>
      <c r="I29" s="166"/>
      <c r="J29" s="32"/>
      <c r="K29" s="31"/>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0</v>
      </c>
      <c r="K31" s="28">
        <f>ROUND(SUM(K28:K30),2)</f>
        <v>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c r="K34" s="139"/>
      <c r="L34" s="48"/>
    </row>
    <row r="35" spans="1:12" ht="16.5" customHeight="1" x14ac:dyDescent="0.25">
      <c r="B35" s="166" t="s">
        <v>22</v>
      </c>
      <c r="C35" s="166"/>
      <c r="D35" s="166"/>
      <c r="E35" s="166"/>
      <c r="F35" s="166"/>
      <c r="G35" s="166"/>
      <c r="H35" s="166"/>
      <c r="I35" s="166"/>
      <c r="J35" s="31"/>
      <c r="K35" s="35"/>
    </row>
    <row r="36" spans="1:12" ht="16.5" customHeight="1" x14ac:dyDescent="0.25">
      <c r="A36" s="50"/>
      <c r="B36" s="61"/>
      <c r="C36" s="166" t="s">
        <v>23</v>
      </c>
      <c r="D36" s="166"/>
      <c r="E36" s="166"/>
      <c r="F36" s="166"/>
      <c r="G36" s="166"/>
      <c r="H36" s="166"/>
      <c r="I36" s="166"/>
      <c r="J36" s="35"/>
      <c r="K36" s="31"/>
    </row>
    <row r="37" spans="1:12" ht="16.5" customHeight="1" x14ac:dyDescent="0.25">
      <c r="A37" s="50"/>
      <c r="C37" s="166" t="s">
        <v>14</v>
      </c>
      <c r="D37" s="166"/>
      <c r="E37" s="166"/>
      <c r="F37" s="166"/>
      <c r="G37" s="166"/>
      <c r="H37" s="166"/>
      <c r="I37" s="166"/>
      <c r="J37" s="35"/>
      <c r="K37" s="31"/>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0</v>
      </c>
      <c r="K39" s="28">
        <f>ROUND(SUM(K36:K38),2)</f>
        <v>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8932</v>
      </c>
      <c r="K45" s="32"/>
    </row>
    <row r="46" spans="1:12" ht="16.5" customHeight="1" x14ac:dyDescent="0.25">
      <c r="A46" s="50"/>
      <c r="B46" s="61"/>
      <c r="C46" s="166" t="s">
        <v>13</v>
      </c>
      <c r="D46" s="166"/>
      <c r="E46" s="166"/>
      <c r="F46" s="166"/>
      <c r="G46" s="166"/>
      <c r="H46" s="166"/>
      <c r="I46" s="166"/>
      <c r="J46" s="35"/>
      <c r="K46" s="31">
        <f>J45</f>
        <v>8932</v>
      </c>
    </row>
    <row r="47" spans="1:12" ht="16.5" customHeight="1" x14ac:dyDescent="0.3">
      <c r="A47" s="59"/>
      <c r="B47" s="51"/>
      <c r="C47" s="51"/>
      <c r="D47" s="51"/>
      <c r="E47" s="51"/>
      <c r="F47" s="51"/>
      <c r="G47" s="51"/>
      <c r="H47" s="51"/>
      <c r="I47" s="51"/>
      <c r="J47" s="38">
        <f>ROUND(SUM(J45:J45),2)</f>
        <v>8932</v>
      </c>
      <c r="K47" s="38">
        <f>ROUND(SUM(K46),2)</f>
        <v>8932</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8698</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397</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9095</v>
      </c>
    </row>
    <row r="53" spans="1:12" ht="16.5" customHeight="1" x14ac:dyDescent="0.3">
      <c r="A53" s="59"/>
      <c r="B53" s="51"/>
      <c r="C53" s="51"/>
      <c r="D53" s="51"/>
      <c r="E53" s="51"/>
      <c r="F53" s="51"/>
      <c r="G53" s="51"/>
      <c r="H53" s="51"/>
      <c r="I53" s="51"/>
      <c r="J53" s="38">
        <f>ROUND(SUM(J50:J51),2)</f>
        <v>9095</v>
      </c>
      <c r="K53" s="38">
        <f>ROUND(SUM(K52,),2)</f>
        <v>9095</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J50</f>
        <v>8698</v>
      </c>
      <c r="K56" s="35"/>
    </row>
    <row r="57" spans="1:12" ht="16.5" customHeight="1" x14ac:dyDescent="0.3">
      <c r="A57" s="50"/>
      <c r="B57" s="142"/>
      <c r="C57" s="166" t="s">
        <v>32</v>
      </c>
      <c r="D57" s="166"/>
      <c r="E57" s="166"/>
      <c r="F57" s="166"/>
      <c r="G57" s="166"/>
      <c r="H57" s="166"/>
      <c r="I57" s="166"/>
      <c r="J57" s="35"/>
      <c r="K57" s="31">
        <f>J50</f>
        <v>8698</v>
      </c>
    </row>
    <row r="58" spans="1:12" ht="16.5" customHeight="1" x14ac:dyDescent="0.3">
      <c r="A58" s="59"/>
      <c r="B58" s="51"/>
      <c r="C58" s="51"/>
      <c r="D58" s="51"/>
      <c r="E58" s="51"/>
      <c r="F58" s="51"/>
      <c r="G58" s="51"/>
      <c r="H58" s="51"/>
      <c r="I58" s="51"/>
      <c r="J58" s="38">
        <f>ROUND(SUM(J56:J56),2)</f>
        <v>8698</v>
      </c>
      <c r="K58" s="38">
        <f>ROUND(SUM(K57),2)</f>
        <v>8698</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9166</v>
      </c>
      <c r="K61" s="32"/>
    </row>
    <row r="62" spans="1:12" ht="16.5" customHeight="1" x14ac:dyDescent="0.3">
      <c r="A62" s="50"/>
      <c r="B62" s="142"/>
      <c r="C62" s="166" t="s">
        <v>34</v>
      </c>
      <c r="D62" s="166"/>
      <c r="E62" s="166"/>
      <c r="F62" s="166"/>
      <c r="G62" s="166"/>
      <c r="H62" s="166"/>
      <c r="I62" s="166"/>
      <c r="J62" s="32"/>
      <c r="K62" s="31">
        <f>J61</f>
        <v>9166</v>
      </c>
    </row>
    <row r="63" spans="1:12" ht="16.5" customHeight="1" x14ac:dyDescent="0.25">
      <c r="A63" s="50"/>
      <c r="B63" s="171" t="s">
        <v>35</v>
      </c>
      <c r="C63" s="171"/>
      <c r="D63" s="171"/>
      <c r="E63" s="171"/>
      <c r="F63" s="171"/>
      <c r="G63" s="171"/>
      <c r="H63" s="171"/>
      <c r="I63" s="171"/>
      <c r="J63" s="38">
        <f>ROUND(SUM(J61:J61),2)</f>
        <v>9166</v>
      </c>
      <c r="K63" s="38">
        <f>ROUND(SUM(K62),2)</f>
        <v>9166</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17865</v>
      </c>
    </row>
    <row r="95" spans="1:12" ht="16.5" customHeight="1" x14ac:dyDescent="0.3">
      <c r="D95" s="142" t="s">
        <v>48</v>
      </c>
      <c r="E95"/>
      <c r="F95"/>
      <c r="G95"/>
      <c r="H95" s="141"/>
      <c r="I95"/>
      <c r="J95"/>
      <c r="K95" s="148">
        <f>-K18-K46+J68+J77</f>
        <v>-8932</v>
      </c>
    </row>
    <row r="96" spans="1:12" ht="16.5" customHeight="1" x14ac:dyDescent="0.3">
      <c r="D96" s="142" t="s">
        <v>49</v>
      </c>
      <c r="E96"/>
      <c r="F96"/>
      <c r="G96"/>
      <c r="H96" s="141"/>
      <c r="I96"/>
      <c r="J96"/>
      <c r="K96" s="148">
        <f>-K19-K37+J56+J61+J76-K85</f>
        <v>-1</v>
      </c>
    </row>
    <row r="97" spans="1:11" ht="16.5" customHeight="1" x14ac:dyDescent="0.3">
      <c r="D97" s="142" t="s">
        <v>50</v>
      </c>
      <c r="E97"/>
      <c r="F97"/>
      <c r="G97"/>
      <c r="H97" s="141"/>
      <c r="I97"/>
      <c r="J97"/>
      <c r="K97" s="148">
        <f>-K62</f>
        <v>-9166</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Ce3G/lEjlwBGd+cBkjiIjfMUM5AKOUK+CcLjAk5XPEApwhJUTAuXukmP11jZ3Yc/OBEFF+yyY1rJi2IpGzDHiQ==" saltValue="yMsJ6mq0Sh/mPdbaKkymSw=="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9"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A00-000000000000}">
      <formula1>4</formula1>
    </dataValidation>
    <dataValidation type="textLength" operator="lessThan" allowBlank="1" showInputMessage="1" showErrorMessage="1" sqref="E11 A6:A8" xr:uid="{00000000-0002-0000-0A00-000001000000}">
      <formula1>0</formula1>
    </dataValidation>
    <dataValidation operator="lessThan" allowBlank="1" showInputMessage="1" showErrorMessage="1" sqref="A3:A5 A7:A8 A11" xr:uid="{00000000-0002-0000-0A00-000002000000}"/>
    <dataValidation type="list" allowBlank="1" showInputMessage="1" showErrorMessage="1" sqref="F7 F3" xr:uid="{00000000-0002-0000-0A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92D050"/>
    <pageSetUpPr fitToPage="1"/>
  </sheetPr>
  <dimension ref="A1:Q115"/>
  <sheetViews>
    <sheetView topLeftCell="A31" zoomScale="85" zoomScaleNormal="85" workbookViewId="0">
      <selection activeCell="J56" sqref="J56"/>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1008</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30776</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30776</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30776</v>
      </c>
      <c r="K22" s="28">
        <f>ROUND(SUM(K18:K21),2)</f>
        <v>30776</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c r="K28" s="32"/>
      <c r="L28" s="48"/>
    </row>
    <row r="29" spans="1:17" ht="16.5" customHeight="1" x14ac:dyDescent="0.3">
      <c r="A29" s="50"/>
      <c r="B29" s="142"/>
      <c r="C29" s="166" t="s">
        <v>20</v>
      </c>
      <c r="D29" s="166"/>
      <c r="E29" s="166"/>
      <c r="F29" s="166"/>
      <c r="G29" s="166"/>
      <c r="H29" s="166"/>
      <c r="I29" s="166"/>
      <c r="J29" s="32"/>
      <c r="K29" s="31"/>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0</v>
      </c>
      <c r="K31" s="28">
        <f>ROUND(SUM(K28:K30),2)</f>
        <v>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c r="K34" s="139"/>
      <c r="L34" s="48"/>
    </row>
    <row r="35" spans="1:12" ht="16.5" customHeight="1" x14ac:dyDescent="0.25">
      <c r="B35" s="166" t="s">
        <v>22</v>
      </c>
      <c r="C35" s="166"/>
      <c r="D35" s="166"/>
      <c r="E35" s="166"/>
      <c r="F35" s="166"/>
      <c r="G35" s="166"/>
      <c r="H35" s="166"/>
      <c r="I35" s="166"/>
      <c r="J35" s="31"/>
      <c r="K35" s="35"/>
    </row>
    <row r="36" spans="1:12" ht="16.5" customHeight="1" x14ac:dyDescent="0.25">
      <c r="A36" s="50"/>
      <c r="B36" s="61"/>
      <c r="C36" s="166" t="s">
        <v>23</v>
      </c>
      <c r="D36" s="166"/>
      <c r="E36" s="166"/>
      <c r="F36" s="166"/>
      <c r="G36" s="166"/>
      <c r="H36" s="166"/>
      <c r="I36" s="166"/>
      <c r="J36" s="35"/>
      <c r="K36" s="31"/>
    </row>
    <row r="37" spans="1:12" ht="16.5" customHeight="1" x14ac:dyDescent="0.25">
      <c r="A37" s="50"/>
      <c r="C37" s="166" t="s">
        <v>14</v>
      </c>
      <c r="D37" s="166"/>
      <c r="E37" s="166"/>
      <c r="F37" s="166"/>
      <c r="G37" s="166"/>
      <c r="H37" s="166"/>
      <c r="I37" s="166"/>
      <c r="J37" s="35"/>
      <c r="K37" s="31"/>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0</v>
      </c>
      <c r="K39" s="28">
        <f>ROUND(SUM(K36:K38),2)</f>
        <v>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15388</v>
      </c>
      <c r="K45" s="32"/>
    </row>
    <row r="46" spans="1:12" ht="16.5" customHeight="1" x14ac:dyDescent="0.25">
      <c r="A46" s="50"/>
      <c r="B46" s="61"/>
      <c r="C46" s="166" t="s">
        <v>13</v>
      </c>
      <c r="D46" s="166"/>
      <c r="E46" s="166"/>
      <c r="F46" s="166"/>
      <c r="G46" s="166"/>
      <c r="H46" s="166"/>
      <c r="I46" s="166"/>
      <c r="J46" s="35"/>
      <c r="K46" s="31">
        <f>J45</f>
        <v>15388</v>
      </c>
    </row>
    <row r="47" spans="1:12" ht="16.5" customHeight="1" x14ac:dyDescent="0.3">
      <c r="A47" s="59"/>
      <c r="B47" s="51"/>
      <c r="C47" s="51"/>
      <c r="D47" s="51"/>
      <c r="E47" s="51"/>
      <c r="F47" s="51"/>
      <c r="G47" s="51"/>
      <c r="H47" s="51"/>
      <c r="I47" s="51"/>
      <c r="J47" s="38">
        <f>ROUND(SUM(J45:J45),2)</f>
        <v>15388</v>
      </c>
      <c r="K47" s="38">
        <f>ROUND(SUM(K46),2)</f>
        <v>15388</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14985</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684</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15669</v>
      </c>
    </row>
    <row r="53" spans="1:12" ht="16.5" customHeight="1" x14ac:dyDescent="0.3">
      <c r="A53" s="59"/>
      <c r="B53" s="51"/>
      <c r="C53" s="51"/>
      <c r="D53" s="51"/>
      <c r="E53" s="51"/>
      <c r="F53" s="51"/>
      <c r="G53" s="51"/>
      <c r="H53" s="51"/>
      <c r="I53" s="51"/>
      <c r="J53" s="38">
        <f>ROUND(SUM(J50:J51),2)</f>
        <v>15669</v>
      </c>
      <c r="K53" s="38">
        <f>ROUND(SUM(K52,),2)</f>
        <v>15669</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14985</v>
      </c>
      <c r="K56" s="35"/>
    </row>
    <row r="57" spans="1:12" ht="16.5" customHeight="1" x14ac:dyDescent="0.3">
      <c r="A57" s="50"/>
      <c r="B57" s="142"/>
      <c r="C57" s="166" t="s">
        <v>32</v>
      </c>
      <c r="D57" s="166"/>
      <c r="E57" s="166"/>
      <c r="F57" s="166"/>
      <c r="G57" s="166"/>
      <c r="H57" s="166"/>
      <c r="I57" s="166"/>
      <c r="J57" s="35"/>
      <c r="K57" s="31">
        <f>J50</f>
        <v>14985</v>
      </c>
    </row>
    <row r="58" spans="1:12" ht="16.5" customHeight="1" x14ac:dyDescent="0.3">
      <c r="A58" s="59"/>
      <c r="B58" s="51"/>
      <c r="C58" s="51"/>
      <c r="D58" s="51"/>
      <c r="E58" s="51"/>
      <c r="F58" s="51"/>
      <c r="G58" s="51"/>
      <c r="H58" s="51"/>
      <c r="I58" s="51"/>
      <c r="J58" s="38">
        <f>ROUND(SUM(J56:J56),2)</f>
        <v>14985</v>
      </c>
      <c r="K58" s="38">
        <f>ROUND(SUM(K57),2)</f>
        <v>14985</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15791</v>
      </c>
      <c r="K61" s="32"/>
    </row>
    <row r="62" spans="1:12" ht="16.5" customHeight="1" x14ac:dyDescent="0.3">
      <c r="A62" s="50"/>
      <c r="B62" s="142"/>
      <c r="C62" s="166" t="s">
        <v>34</v>
      </c>
      <c r="D62" s="166"/>
      <c r="E62" s="166"/>
      <c r="F62" s="166"/>
      <c r="G62" s="166"/>
      <c r="H62" s="166"/>
      <c r="I62" s="166"/>
      <c r="J62" s="32"/>
      <c r="K62" s="31">
        <f>J61</f>
        <v>15791</v>
      </c>
    </row>
    <row r="63" spans="1:12" ht="16.5" customHeight="1" x14ac:dyDescent="0.25">
      <c r="A63" s="50"/>
      <c r="B63" s="171" t="s">
        <v>35</v>
      </c>
      <c r="C63" s="171"/>
      <c r="D63" s="171"/>
      <c r="E63" s="171"/>
      <c r="F63" s="171"/>
      <c r="G63" s="171"/>
      <c r="H63" s="171"/>
      <c r="I63" s="171"/>
      <c r="J63" s="38">
        <f>ROUND(SUM(J61:J61),2)</f>
        <v>15791</v>
      </c>
      <c r="K63" s="38">
        <f>ROUND(SUM(K62),2)</f>
        <v>15791</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30776</v>
      </c>
    </row>
    <row r="95" spans="1:12" ht="16.5" customHeight="1" x14ac:dyDescent="0.3">
      <c r="D95" s="142" t="s">
        <v>48</v>
      </c>
      <c r="E95"/>
      <c r="F95"/>
      <c r="G95"/>
      <c r="H95" s="141"/>
      <c r="I95"/>
      <c r="J95"/>
      <c r="K95" s="148">
        <f>-K18-K46+J68+J77</f>
        <v>-15388</v>
      </c>
    </row>
    <row r="96" spans="1:12" ht="16.5" customHeight="1" x14ac:dyDescent="0.3">
      <c r="D96" s="142" t="s">
        <v>49</v>
      </c>
      <c r="E96"/>
      <c r="F96"/>
      <c r="G96"/>
      <c r="H96" s="141"/>
      <c r="I96"/>
      <c r="J96"/>
      <c r="K96" s="148">
        <f>-K19-K37+J56+J61+J76-K85</f>
        <v>0</v>
      </c>
    </row>
    <row r="97" spans="1:11" ht="16.5" customHeight="1" x14ac:dyDescent="0.3">
      <c r="D97" s="142" t="s">
        <v>50</v>
      </c>
      <c r="E97"/>
      <c r="F97"/>
      <c r="G97"/>
      <c r="H97" s="141"/>
      <c r="I97"/>
      <c r="J97"/>
      <c r="K97" s="148">
        <f>-K62</f>
        <v>-15791</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MT+22xq5tNXgX5A9kq8wLrVSgQbxEGKt1eqxpyPRztak2OxKFq4ttWattNX28TrOJiIRm81H991PttLswpMUPA==" saltValue="64Tqvke4Inr4xeOtgBgPz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8"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B00-000000000000}">
      <formula1>4</formula1>
    </dataValidation>
    <dataValidation type="textLength" operator="lessThan" allowBlank="1" showInputMessage="1" showErrorMessage="1" sqref="E11 A6:A8" xr:uid="{00000000-0002-0000-0B00-000001000000}">
      <formula1>0</formula1>
    </dataValidation>
    <dataValidation operator="lessThan" allowBlank="1" showInputMessage="1" showErrorMessage="1" sqref="A3:A5 A7:A8 A11" xr:uid="{00000000-0002-0000-0B00-000002000000}"/>
    <dataValidation type="list" allowBlank="1" showInputMessage="1" showErrorMessage="1" sqref="F7 F3" xr:uid="{00000000-0002-0000-0B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92D050"/>
    <pageSetUpPr fitToPage="1"/>
  </sheetPr>
  <dimension ref="A1:Q115"/>
  <sheetViews>
    <sheetView topLeftCell="A34"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3053</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1671</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1671</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1671</v>
      </c>
      <c r="K22" s="28">
        <f>ROUND(SUM(K18:K21),2)</f>
        <v>1671</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c r="K28" s="32"/>
      <c r="L28" s="48"/>
    </row>
    <row r="29" spans="1:17" ht="16.5" customHeight="1" x14ac:dyDescent="0.3">
      <c r="A29" s="50"/>
      <c r="B29" s="142"/>
      <c r="C29" s="166" t="s">
        <v>20</v>
      </c>
      <c r="D29" s="166"/>
      <c r="E29" s="166"/>
      <c r="F29" s="166"/>
      <c r="G29" s="166"/>
      <c r="H29" s="166"/>
      <c r="I29" s="166"/>
      <c r="J29" s="32"/>
      <c r="K29" s="31"/>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0</v>
      </c>
      <c r="K31" s="28">
        <f>ROUND(SUM(K28:K30),2)</f>
        <v>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c r="K34" s="139"/>
      <c r="L34" s="48"/>
    </row>
    <row r="35" spans="1:12" ht="16.5" customHeight="1" x14ac:dyDescent="0.25">
      <c r="B35" s="166" t="s">
        <v>22</v>
      </c>
      <c r="C35" s="166"/>
      <c r="D35" s="166"/>
      <c r="E35" s="166"/>
      <c r="F35" s="166"/>
      <c r="G35" s="166"/>
      <c r="H35" s="166"/>
      <c r="I35" s="166"/>
      <c r="J35" s="31"/>
      <c r="K35" s="35"/>
    </row>
    <row r="36" spans="1:12" ht="16.5" customHeight="1" x14ac:dyDescent="0.25">
      <c r="A36" s="50"/>
      <c r="B36" s="61"/>
      <c r="C36" s="166" t="s">
        <v>23</v>
      </c>
      <c r="D36" s="166"/>
      <c r="E36" s="166"/>
      <c r="F36" s="166"/>
      <c r="G36" s="166"/>
      <c r="H36" s="166"/>
      <c r="I36" s="166"/>
      <c r="J36" s="35"/>
      <c r="K36" s="31"/>
    </row>
    <row r="37" spans="1:12" ht="16.5" customHeight="1" x14ac:dyDescent="0.25">
      <c r="A37" s="50"/>
      <c r="C37" s="166" t="s">
        <v>14</v>
      </c>
      <c r="D37" s="166"/>
      <c r="E37" s="166"/>
      <c r="F37" s="166"/>
      <c r="G37" s="166"/>
      <c r="H37" s="166"/>
      <c r="I37" s="166"/>
      <c r="J37" s="35"/>
      <c r="K37" s="31"/>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0</v>
      </c>
      <c r="K39" s="28">
        <f>ROUND(SUM(K36:K38),2)</f>
        <v>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835</v>
      </c>
      <c r="K45" s="32"/>
    </row>
    <row r="46" spans="1:12" ht="16.5" customHeight="1" x14ac:dyDescent="0.25">
      <c r="A46" s="50"/>
      <c r="B46" s="61"/>
      <c r="C46" s="166" t="s">
        <v>13</v>
      </c>
      <c r="D46" s="166"/>
      <c r="E46" s="166"/>
      <c r="F46" s="166"/>
      <c r="G46" s="166"/>
      <c r="H46" s="166"/>
      <c r="I46" s="166"/>
      <c r="J46" s="35"/>
      <c r="K46" s="31">
        <f>J45</f>
        <v>835</v>
      </c>
    </row>
    <row r="47" spans="1:12" ht="16.5" customHeight="1" x14ac:dyDescent="0.3">
      <c r="A47" s="59"/>
      <c r="B47" s="51"/>
      <c r="C47" s="51"/>
      <c r="D47" s="51"/>
      <c r="E47" s="51"/>
      <c r="F47" s="51"/>
      <c r="G47" s="51"/>
      <c r="H47" s="51"/>
      <c r="I47" s="51"/>
      <c r="J47" s="38">
        <f>ROUND(SUM(J45:J45),2)</f>
        <v>835</v>
      </c>
      <c r="K47" s="38">
        <f>ROUND(SUM(K46),2)</f>
        <v>835</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827</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28</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855</v>
      </c>
    </row>
    <row r="53" spans="1:12" ht="16.5" customHeight="1" x14ac:dyDescent="0.3">
      <c r="A53" s="59"/>
      <c r="B53" s="51"/>
      <c r="C53" s="51"/>
      <c r="D53" s="51"/>
      <c r="E53" s="51"/>
      <c r="F53" s="51"/>
      <c r="G53" s="51"/>
      <c r="H53" s="51"/>
      <c r="I53" s="51"/>
      <c r="J53" s="38">
        <f>ROUND(SUM(J50:J51),2)</f>
        <v>855</v>
      </c>
      <c r="K53" s="38">
        <f>ROUND(SUM(K52,),2)</f>
        <v>855</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827</v>
      </c>
      <c r="K56" s="35"/>
    </row>
    <row r="57" spans="1:12" ht="16.5" customHeight="1" x14ac:dyDescent="0.3">
      <c r="A57" s="50"/>
      <c r="B57" s="142"/>
      <c r="C57" s="166" t="s">
        <v>32</v>
      </c>
      <c r="D57" s="166"/>
      <c r="E57" s="166"/>
      <c r="F57" s="166"/>
      <c r="G57" s="166"/>
      <c r="H57" s="166"/>
      <c r="I57" s="166"/>
      <c r="J57" s="35"/>
      <c r="K57" s="31">
        <f>J50</f>
        <v>827</v>
      </c>
    </row>
    <row r="58" spans="1:12" ht="16.5" customHeight="1" x14ac:dyDescent="0.3">
      <c r="A58" s="59"/>
      <c r="B58" s="51"/>
      <c r="C58" s="51"/>
      <c r="D58" s="51"/>
      <c r="E58" s="51"/>
      <c r="F58" s="51"/>
      <c r="G58" s="51"/>
      <c r="H58" s="51"/>
      <c r="I58" s="51"/>
      <c r="J58" s="38">
        <f>ROUND(SUM(J56:J56),2)</f>
        <v>827</v>
      </c>
      <c r="K58" s="38">
        <f>ROUND(SUM(K57),2)</f>
        <v>827</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844</v>
      </c>
      <c r="K61" s="32"/>
    </row>
    <row r="62" spans="1:12" ht="16.5" customHeight="1" x14ac:dyDescent="0.3">
      <c r="A62" s="50"/>
      <c r="B62" s="142"/>
      <c r="C62" s="166" t="s">
        <v>34</v>
      </c>
      <c r="D62" s="166"/>
      <c r="E62" s="166"/>
      <c r="F62" s="166"/>
      <c r="G62" s="166"/>
      <c r="H62" s="166"/>
      <c r="I62" s="166"/>
      <c r="J62" s="32"/>
      <c r="K62" s="31">
        <f>J61</f>
        <v>844</v>
      </c>
    </row>
    <row r="63" spans="1:12" ht="16.5" customHeight="1" x14ac:dyDescent="0.25">
      <c r="A63" s="50"/>
      <c r="B63" s="171" t="s">
        <v>35</v>
      </c>
      <c r="C63" s="171"/>
      <c r="D63" s="171"/>
      <c r="E63" s="171"/>
      <c r="F63" s="171"/>
      <c r="G63" s="171"/>
      <c r="H63" s="171"/>
      <c r="I63" s="171"/>
      <c r="J63" s="38">
        <f>ROUND(SUM(J61:J61),2)</f>
        <v>844</v>
      </c>
      <c r="K63" s="38">
        <f>ROUND(SUM(K62),2)</f>
        <v>844</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1671</v>
      </c>
    </row>
    <row r="95" spans="1:12" ht="16.5" customHeight="1" x14ac:dyDescent="0.3">
      <c r="D95" s="142" t="s">
        <v>48</v>
      </c>
      <c r="E95"/>
      <c r="F95"/>
      <c r="G95"/>
      <c r="H95" s="141"/>
      <c r="I95"/>
      <c r="J95"/>
      <c r="K95" s="148">
        <f>-K18-K46+J68+J77</f>
        <v>-835</v>
      </c>
    </row>
    <row r="96" spans="1:12" ht="16.5" customHeight="1" x14ac:dyDescent="0.3">
      <c r="D96" s="142" t="s">
        <v>49</v>
      </c>
      <c r="E96"/>
      <c r="F96"/>
      <c r="G96"/>
      <c r="H96" s="141"/>
      <c r="I96"/>
      <c r="J96"/>
      <c r="K96" s="148">
        <f>-K19-K37+J56+J61+J76-K85</f>
        <v>0</v>
      </c>
    </row>
    <row r="97" spans="1:11" ht="16.5" customHeight="1" x14ac:dyDescent="0.3">
      <c r="D97" s="142" t="s">
        <v>50</v>
      </c>
      <c r="E97"/>
      <c r="F97"/>
      <c r="G97"/>
      <c r="H97" s="141"/>
      <c r="I97"/>
      <c r="J97"/>
      <c r="K97" s="148">
        <f>-K62</f>
        <v>-844</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A/RbqjvCkeP+Axv93dQFDcYxJ7eh9UsA6Uco8mI3nMKPeU4xKkRMHAOlbG7K32hhI2NxTLVThgqnkTffm/q1hg==" saltValue="SzJWsQXQy7iZTKsBtjkUv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7"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C00-000000000000}">
      <formula1>4</formula1>
    </dataValidation>
    <dataValidation type="textLength" operator="lessThan" allowBlank="1" showInputMessage="1" showErrorMessage="1" sqref="E11 A6:A8" xr:uid="{00000000-0002-0000-0C00-000001000000}">
      <formula1>0</formula1>
    </dataValidation>
    <dataValidation operator="lessThan" allowBlank="1" showInputMessage="1" showErrorMessage="1" sqref="A3:A5 A7:A8 A11" xr:uid="{00000000-0002-0000-0C00-000002000000}"/>
    <dataValidation type="list" allowBlank="1" showInputMessage="1" showErrorMessage="1" sqref="F7 F3" xr:uid="{00000000-0002-0000-0C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92D050"/>
    <pageSetUpPr fitToPage="1"/>
  </sheetPr>
  <dimension ref="A1:Q115"/>
  <sheetViews>
    <sheetView topLeftCell="A39"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3086</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54222</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54222</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54222</v>
      </c>
      <c r="K22" s="28">
        <f>ROUND(SUM(K18:K21),2)</f>
        <v>54222</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c r="K28" s="32"/>
      <c r="L28" s="48"/>
    </row>
    <row r="29" spans="1:17" ht="16.5" customHeight="1" x14ac:dyDescent="0.3">
      <c r="A29" s="50"/>
      <c r="B29" s="142"/>
      <c r="C29" s="166" t="s">
        <v>20</v>
      </c>
      <c r="D29" s="166"/>
      <c r="E29" s="166"/>
      <c r="F29" s="166"/>
      <c r="G29" s="166"/>
      <c r="H29" s="166"/>
      <c r="I29" s="166"/>
      <c r="J29" s="32"/>
      <c r="K29" s="31"/>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0</v>
      </c>
      <c r="K31" s="28">
        <f>ROUND(SUM(K28:K30),2)</f>
        <v>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c r="K34" s="139"/>
      <c r="L34" s="48"/>
    </row>
    <row r="35" spans="1:12" ht="16.5" customHeight="1" x14ac:dyDescent="0.25">
      <c r="B35" s="166" t="s">
        <v>22</v>
      </c>
      <c r="C35" s="166"/>
      <c r="D35" s="166"/>
      <c r="E35" s="166"/>
      <c r="F35" s="166"/>
      <c r="G35" s="166"/>
      <c r="H35" s="166"/>
      <c r="I35" s="166"/>
      <c r="J35" s="31"/>
      <c r="K35" s="35"/>
    </row>
    <row r="36" spans="1:12" ht="16.5" customHeight="1" x14ac:dyDescent="0.25">
      <c r="A36" s="50"/>
      <c r="B36" s="61"/>
      <c r="C36" s="166" t="s">
        <v>23</v>
      </c>
      <c r="D36" s="166"/>
      <c r="E36" s="166"/>
      <c r="F36" s="166"/>
      <c r="G36" s="166"/>
      <c r="H36" s="166"/>
      <c r="I36" s="166"/>
      <c r="J36" s="35"/>
      <c r="K36" s="31"/>
    </row>
    <row r="37" spans="1:12" ht="16.5" customHeight="1" x14ac:dyDescent="0.25">
      <c r="A37" s="50"/>
      <c r="C37" s="166" t="s">
        <v>14</v>
      </c>
      <c r="D37" s="166"/>
      <c r="E37" s="166"/>
      <c r="F37" s="166"/>
      <c r="G37" s="166"/>
      <c r="H37" s="166"/>
      <c r="I37" s="166"/>
      <c r="J37" s="35"/>
      <c r="K37" s="31"/>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0</v>
      </c>
      <c r="K39" s="28">
        <f>ROUND(SUM(K36:K38),2)</f>
        <v>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32913</v>
      </c>
      <c r="K45" s="32"/>
    </row>
    <row r="46" spans="1:12" ht="16.5" customHeight="1" x14ac:dyDescent="0.25">
      <c r="A46" s="50"/>
      <c r="B46" s="61"/>
      <c r="C46" s="166" t="s">
        <v>13</v>
      </c>
      <c r="D46" s="166"/>
      <c r="E46" s="166"/>
      <c r="F46" s="166"/>
      <c r="G46" s="166"/>
      <c r="H46" s="166"/>
      <c r="I46" s="166"/>
      <c r="J46" s="35"/>
      <c r="K46" s="31">
        <f>J45</f>
        <v>32913</v>
      </c>
    </row>
    <row r="47" spans="1:12" ht="16.5" customHeight="1" x14ac:dyDescent="0.3">
      <c r="A47" s="59"/>
      <c r="B47" s="51"/>
      <c r="C47" s="51"/>
      <c r="D47" s="51"/>
      <c r="E47" s="51"/>
      <c r="F47" s="51"/>
      <c r="G47" s="51"/>
      <c r="H47" s="51"/>
      <c r="I47" s="51"/>
      <c r="J47" s="38">
        <f>ROUND(SUM(J45:J45),2)</f>
        <v>32913</v>
      </c>
      <c r="K47" s="38">
        <f>ROUND(SUM(K46),2)</f>
        <v>32913</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36324</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930</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37254</v>
      </c>
    </row>
    <row r="53" spans="1:12" ht="16.5" customHeight="1" x14ac:dyDescent="0.3">
      <c r="A53" s="59"/>
      <c r="B53" s="51"/>
      <c r="C53" s="51"/>
      <c r="D53" s="51"/>
      <c r="E53" s="51"/>
      <c r="F53" s="51"/>
      <c r="G53" s="51"/>
      <c r="H53" s="51"/>
      <c r="I53" s="51"/>
      <c r="J53" s="38">
        <f>ROUND(SUM(J50:J51),2)</f>
        <v>37254</v>
      </c>
      <c r="K53" s="38">
        <f>ROUND(SUM(K52,),2)</f>
        <v>37254</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36324</v>
      </c>
      <c r="K56" s="35"/>
    </row>
    <row r="57" spans="1:12" ht="16.5" customHeight="1" x14ac:dyDescent="0.3">
      <c r="A57" s="50"/>
      <c r="B57" s="142"/>
      <c r="C57" s="166" t="s">
        <v>32</v>
      </c>
      <c r="D57" s="166"/>
      <c r="E57" s="166"/>
      <c r="F57" s="166"/>
      <c r="G57" s="166"/>
      <c r="H57" s="166"/>
      <c r="I57" s="166"/>
      <c r="J57" s="35"/>
      <c r="K57" s="31">
        <f>J50</f>
        <v>36324</v>
      </c>
    </row>
    <row r="58" spans="1:12" ht="16.5" customHeight="1" x14ac:dyDescent="0.3">
      <c r="A58" s="59"/>
      <c r="B58" s="51"/>
      <c r="C58" s="51"/>
      <c r="D58" s="51"/>
      <c r="E58" s="51"/>
      <c r="F58" s="51"/>
      <c r="G58" s="51"/>
      <c r="H58" s="51"/>
      <c r="I58" s="51"/>
      <c r="J58" s="38">
        <f>ROUND(SUM(J56:J56),2)</f>
        <v>36324</v>
      </c>
      <c r="K58" s="38">
        <f>ROUND(SUM(K57),2)</f>
        <v>36324</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17898</v>
      </c>
      <c r="K61" s="32"/>
    </row>
    <row r="62" spans="1:12" ht="16.5" customHeight="1" x14ac:dyDescent="0.3">
      <c r="A62" s="50"/>
      <c r="B62" s="142"/>
      <c r="C62" s="166" t="s">
        <v>34</v>
      </c>
      <c r="D62" s="166"/>
      <c r="E62" s="166"/>
      <c r="F62" s="166"/>
      <c r="G62" s="166"/>
      <c r="H62" s="166"/>
      <c r="I62" s="166"/>
      <c r="J62" s="32"/>
      <c r="K62" s="31">
        <f>J61</f>
        <v>17898</v>
      </c>
    </row>
    <row r="63" spans="1:12" ht="16.5" customHeight="1" x14ac:dyDescent="0.25">
      <c r="A63" s="50"/>
      <c r="B63" s="171" t="s">
        <v>35</v>
      </c>
      <c r="C63" s="171"/>
      <c r="D63" s="171"/>
      <c r="E63" s="171"/>
      <c r="F63" s="171"/>
      <c r="G63" s="171"/>
      <c r="H63" s="171"/>
      <c r="I63" s="171"/>
      <c r="J63" s="38">
        <f>ROUND(SUM(J61:J61),2)</f>
        <v>17898</v>
      </c>
      <c r="K63" s="38">
        <f>ROUND(SUM(K62),2)</f>
        <v>17898</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54222</v>
      </c>
    </row>
    <row r="95" spans="1:12" ht="16.5" customHeight="1" x14ac:dyDescent="0.3">
      <c r="D95" s="142" t="s">
        <v>48</v>
      </c>
      <c r="E95"/>
      <c r="F95"/>
      <c r="G95"/>
      <c r="H95" s="141"/>
      <c r="I95"/>
      <c r="J95"/>
      <c r="K95" s="148">
        <f>-K18-K46+J68+J77</f>
        <v>-32913</v>
      </c>
    </row>
    <row r="96" spans="1:12" ht="16.5" customHeight="1" x14ac:dyDescent="0.3">
      <c r="D96" s="142" t="s">
        <v>49</v>
      </c>
      <c r="E96"/>
      <c r="F96"/>
      <c r="G96"/>
      <c r="H96" s="141"/>
      <c r="I96"/>
      <c r="J96"/>
      <c r="K96" s="148">
        <f>-K19-K37+J56+J61+J76-K85</f>
        <v>0</v>
      </c>
    </row>
    <row r="97" spans="1:11" ht="16.5" customHeight="1" x14ac:dyDescent="0.3">
      <c r="D97" s="142" t="s">
        <v>50</v>
      </c>
      <c r="E97"/>
      <c r="F97"/>
      <c r="G97"/>
      <c r="H97" s="141"/>
      <c r="I97"/>
      <c r="J97"/>
      <c r="K97" s="148">
        <f>-K62</f>
        <v>-17898</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XjXnC+Rrty3IQT55Fw8QeFngW6RyX3bY06fe7hgvD/V/K8KxyFQ9qMnwkv/9oP+9sXgk9rN3lZ+pwAXFwkWoQ==" saltValue="mCaRKLOtMUwGCmDFvPXRPg=="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6"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D00-000000000000}">
      <formula1>4</formula1>
    </dataValidation>
    <dataValidation type="textLength" operator="lessThan" allowBlank="1" showInputMessage="1" showErrorMessage="1" sqref="E11 A6:A8" xr:uid="{00000000-0002-0000-0D00-000001000000}">
      <formula1>0</formula1>
    </dataValidation>
    <dataValidation operator="lessThan" allowBlank="1" showInputMessage="1" showErrorMessage="1" sqref="A3:A5 A7:A8 A11" xr:uid="{00000000-0002-0000-0D00-000002000000}"/>
    <dataValidation type="list" allowBlank="1" showInputMessage="1" showErrorMessage="1" sqref="F7 F3" xr:uid="{00000000-0002-0000-0D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92D050"/>
    <pageSetUpPr fitToPage="1"/>
  </sheetPr>
  <dimension ref="A1:Q115"/>
  <sheetViews>
    <sheetView topLeftCell="A34"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3088</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4057</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4057</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4057</v>
      </c>
      <c r="K22" s="28">
        <f>ROUND(SUM(K18:K21),2)</f>
        <v>4057</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v>2099</v>
      </c>
      <c r="K28" s="32"/>
      <c r="L28" s="48"/>
    </row>
    <row r="29" spans="1:17" ht="16.5" customHeight="1" x14ac:dyDescent="0.3">
      <c r="A29" s="50"/>
      <c r="B29" s="142"/>
      <c r="C29" s="166" t="s">
        <v>20</v>
      </c>
      <c r="D29" s="166"/>
      <c r="E29" s="166"/>
      <c r="F29" s="166"/>
      <c r="G29" s="166"/>
      <c r="H29" s="166"/>
      <c r="I29" s="166"/>
      <c r="J29" s="32"/>
      <c r="K29" s="31">
        <v>2099</v>
      </c>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2099</v>
      </c>
      <c r="K31" s="28">
        <f>ROUND(SUM(K28:K30),2)</f>
        <v>2099</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v>2099</v>
      </c>
      <c r="K34" s="139"/>
      <c r="L34" s="48"/>
    </row>
    <row r="35" spans="1:12" ht="16.5" customHeight="1" x14ac:dyDescent="0.25">
      <c r="B35" s="166" t="s">
        <v>22</v>
      </c>
      <c r="C35" s="166"/>
      <c r="D35" s="166"/>
      <c r="E35" s="166"/>
      <c r="F35" s="166"/>
      <c r="G35" s="166"/>
      <c r="H35" s="166"/>
      <c r="I35" s="166"/>
      <c r="J35" s="31">
        <v>2099</v>
      </c>
      <c r="K35" s="35"/>
    </row>
    <row r="36" spans="1:12" ht="16.5" customHeight="1" x14ac:dyDescent="0.25">
      <c r="A36" s="50"/>
      <c r="B36" s="61"/>
      <c r="C36" s="166" t="s">
        <v>23</v>
      </c>
      <c r="D36" s="166"/>
      <c r="E36" s="166"/>
      <c r="F36" s="166"/>
      <c r="G36" s="166"/>
      <c r="H36" s="166"/>
      <c r="I36" s="166"/>
      <c r="J36" s="35"/>
      <c r="K36" s="31">
        <v>2099</v>
      </c>
    </row>
    <row r="37" spans="1:12" ht="16.5" customHeight="1" x14ac:dyDescent="0.25">
      <c r="A37" s="50"/>
      <c r="C37" s="166" t="s">
        <v>14</v>
      </c>
      <c r="D37" s="166"/>
      <c r="E37" s="166"/>
      <c r="F37" s="166"/>
      <c r="G37" s="166"/>
      <c r="H37" s="166"/>
      <c r="I37" s="166"/>
      <c r="J37" s="35"/>
      <c r="K37" s="31">
        <v>2099</v>
      </c>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4198</v>
      </c>
      <c r="K39" s="28">
        <f>ROUND(SUM(K36:K38),2)</f>
        <v>4198</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3455</v>
      </c>
      <c r="K45" s="32"/>
    </row>
    <row r="46" spans="1:12" ht="16.5" customHeight="1" x14ac:dyDescent="0.25">
      <c r="A46" s="50"/>
      <c r="B46" s="61"/>
      <c r="C46" s="166" t="s">
        <v>13</v>
      </c>
      <c r="D46" s="166"/>
      <c r="E46" s="166"/>
      <c r="F46" s="166"/>
      <c r="G46" s="166"/>
      <c r="H46" s="166"/>
      <c r="I46" s="166"/>
      <c r="J46" s="35"/>
      <c r="K46" s="31">
        <f>J45</f>
        <v>3455</v>
      </c>
    </row>
    <row r="47" spans="1:12" ht="16.5" customHeight="1" x14ac:dyDescent="0.3">
      <c r="A47" s="59"/>
      <c r="B47" s="51"/>
      <c r="C47" s="51"/>
      <c r="D47" s="51"/>
      <c r="E47" s="51"/>
      <c r="F47" s="51"/>
      <c r="G47" s="51"/>
      <c r="H47" s="51"/>
      <c r="I47" s="51"/>
      <c r="J47" s="38">
        <f>ROUND(SUM(J45:J45),2)</f>
        <v>3455</v>
      </c>
      <c r="K47" s="38">
        <f>ROUND(SUM(K46),2)</f>
        <v>3455</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3846</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63</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3909</v>
      </c>
    </row>
    <row r="53" spans="1:12" ht="16.5" customHeight="1" x14ac:dyDescent="0.3">
      <c r="A53" s="59"/>
      <c r="B53" s="51"/>
      <c r="C53" s="51"/>
      <c r="D53" s="51"/>
      <c r="E53" s="51"/>
      <c r="F53" s="51"/>
      <c r="G53" s="51"/>
      <c r="H53" s="51"/>
      <c r="I53" s="51"/>
      <c r="J53" s="38">
        <f>ROUND(SUM(J50:J51),2)</f>
        <v>3909</v>
      </c>
      <c r="K53" s="38">
        <f>ROUND(SUM(K52,),2)</f>
        <v>3909</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3846</v>
      </c>
      <c r="K56" s="35"/>
    </row>
    <row r="57" spans="1:12" ht="16.5" customHeight="1" x14ac:dyDescent="0.3">
      <c r="A57" s="50"/>
      <c r="B57" s="142"/>
      <c r="C57" s="166" t="s">
        <v>32</v>
      </c>
      <c r="D57" s="166"/>
      <c r="E57" s="166"/>
      <c r="F57" s="166"/>
      <c r="G57" s="166"/>
      <c r="H57" s="166"/>
      <c r="I57" s="166"/>
      <c r="J57" s="35"/>
      <c r="K57" s="31">
        <f>J50</f>
        <v>3846</v>
      </c>
    </row>
    <row r="58" spans="1:12" ht="16.5" customHeight="1" x14ac:dyDescent="0.3">
      <c r="A58" s="59"/>
      <c r="B58" s="51"/>
      <c r="C58" s="51"/>
      <c r="D58" s="51"/>
      <c r="E58" s="51"/>
      <c r="F58" s="51"/>
      <c r="G58" s="51"/>
      <c r="H58" s="51"/>
      <c r="I58" s="51"/>
      <c r="J58" s="38">
        <f>ROUND(SUM(J56:J56),2)</f>
        <v>3846</v>
      </c>
      <c r="K58" s="38">
        <f>ROUND(SUM(K57),2)</f>
        <v>3846</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797</v>
      </c>
      <c r="K61" s="32"/>
    </row>
    <row r="62" spans="1:12" ht="16.5" customHeight="1" x14ac:dyDescent="0.3">
      <c r="A62" s="50"/>
      <c r="B62" s="142"/>
      <c r="C62" s="166" t="s">
        <v>34</v>
      </c>
      <c r="D62" s="166"/>
      <c r="E62" s="166"/>
      <c r="F62" s="166"/>
      <c r="G62" s="166"/>
      <c r="H62" s="166"/>
      <c r="I62" s="166"/>
      <c r="J62" s="32"/>
      <c r="K62" s="31">
        <f>J61</f>
        <v>797</v>
      </c>
    </row>
    <row r="63" spans="1:12" ht="16.5" customHeight="1" x14ac:dyDescent="0.25">
      <c r="A63" s="50"/>
      <c r="B63" s="171" t="s">
        <v>35</v>
      </c>
      <c r="C63" s="171"/>
      <c r="D63" s="171"/>
      <c r="E63" s="171"/>
      <c r="F63" s="171"/>
      <c r="G63" s="171"/>
      <c r="H63" s="171"/>
      <c r="I63" s="171"/>
      <c r="J63" s="38">
        <f>ROUND(SUM(J61:J61),2)</f>
        <v>797</v>
      </c>
      <c r="K63" s="38">
        <f>ROUND(SUM(K62),2)</f>
        <v>797</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6156</v>
      </c>
    </row>
    <row r="95" spans="1:12" ht="16.5" customHeight="1" x14ac:dyDescent="0.3">
      <c r="D95" s="142" t="s">
        <v>48</v>
      </c>
      <c r="E95"/>
      <c r="F95"/>
      <c r="G95"/>
      <c r="H95" s="141"/>
      <c r="I95"/>
      <c r="J95"/>
      <c r="K95" s="148">
        <f>-K18-K46+J68+J77</f>
        <v>-3455</v>
      </c>
    </row>
    <row r="96" spans="1:12" ht="16.5" customHeight="1" x14ac:dyDescent="0.3">
      <c r="D96" s="142" t="s">
        <v>49</v>
      </c>
      <c r="E96"/>
      <c r="F96"/>
      <c r="G96"/>
      <c r="H96" s="141"/>
      <c r="I96"/>
      <c r="J96"/>
      <c r="K96" s="148">
        <f>-K19-K37+J56+J61+J76-K85</f>
        <v>-1513</v>
      </c>
    </row>
    <row r="97" spans="1:11" ht="16.5" customHeight="1" x14ac:dyDescent="0.3">
      <c r="D97" s="142" t="s">
        <v>50</v>
      </c>
      <c r="E97"/>
      <c r="F97"/>
      <c r="G97"/>
      <c r="H97" s="141"/>
      <c r="I97"/>
      <c r="J97"/>
      <c r="K97" s="148">
        <f>-K62</f>
        <v>-797</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Oc7bVboVFLM6NwaMaz04Um0462NENnpj6LoUwVgI5MXeiNtfNgCCo6CRxLKRA1GBWSBmD0p5IcEaz+WY8L91gw==" saltValue="Mm7DJydvWSggQZQ7ZazGj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5"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E00-000000000000}">
      <formula1>4</formula1>
    </dataValidation>
    <dataValidation type="textLength" operator="lessThan" allowBlank="1" showInputMessage="1" showErrorMessage="1" sqref="E11 A6:A8" xr:uid="{00000000-0002-0000-0E00-000001000000}">
      <formula1>0</formula1>
    </dataValidation>
    <dataValidation operator="lessThan" allowBlank="1" showInputMessage="1" showErrorMessage="1" sqref="A3:A5 A7:A8 A11" xr:uid="{00000000-0002-0000-0E00-000002000000}"/>
    <dataValidation type="list" allowBlank="1" showInputMessage="1" showErrorMessage="1" sqref="F7 F3" xr:uid="{00000000-0002-0000-0E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92D050"/>
    <pageSetUpPr fitToPage="1"/>
  </sheetPr>
  <dimension ref="A1:Q115"/>
  <sheetViews>
    <sheetView topLeftCell="A37"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3297</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395</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395</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395</v>
      </c>
      <c r="K22" s="28">
        <f>ROUND(SUM(K18:K21),2)</f>
        <v>395</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c r="K28" s="32"/>
      <c r="L28" s="48"/>
    </row>
    <row r="29" spans="1:17" ht="16.5" customHeight="1" x14ac:dyDescent="0.3">
      <c r="A29" s="50"/>
      <c r="B29" s="142"/>
      <c r="C29" s="166" t="s">
        <v>20</v>
      </c>
      <c r="D29" s="166"/>
      <c r="E29" s="166"/>
      <c r="F29" s="166"/>
      <c r="G29" s="166"/>
      <c r="H29" s="166"/>
      <c r="I29" s="166"/>
      <c r="J29" s="32"/>
      <c r="K29" s="31"/>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0</v>
      </c>
      <c r="K31" s="28">
        <f>ROUND(SUM(K28:K30),2)</f>
        <v>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c r="K34" s="139"/>
      <c r="L34" s="48"/>
    </row>
    <row r="35" spans="1:12" ht="16.5" customHeight="1" x14ac:dyDescent="0.25">
      <c r="B35" s="166" t="s">
        <v>22</v>
      </c>
      <c r="C35" s="166"/>
      <c r="D35" s="166"/>
      <c r="E35" s="166"/>
      <c r="F35" s="166"/>
      <c r="G35" s="166"/>
      <c r="H35" s="166"/>
      <c r="I35" s="166"/>
      <c r="J35" s="31"/>
      <c r="K35" s="35"/>
    </row>
    <row r="36" spans="1:12" ht="16.5" customHeight="1" x14ac:dyDescent="0.25">
      <c r="A36" s="50"/>
      <c r="B36" s="61"/>
      <c r="C36" s="166" t="s">
        <v>23</v>
      </c>
      <c r="D36" s="166"/>
      <c r="E36" s="166"/>
      <c r="F36" s="166"/>
      <c r="G36" s="166"/>
      <c r="H36" s="166"/>
      <c r="I36" s="166"/>
      <c r="J36" s="35"/>
      <c r="K36" s="31"/>
    </row>
    <row r="37" spans="1:12" ht="16.5" customHeight="1" x14ac:dyDescent="0.25">
      <c r="A37" s="50"/>
      <c r="C37" s="166" t="s">
        <v>14</v>
      </c>
      <c r="D37" s="166"/>
      <c r="E37" s="166"/>
      <c r="F37" s="166"/>
      <c r="G37" s="166"/>
      <c r="H37" s="166"/>
      <c r="I37" s="166"/>
      <c r="J37" s="35"/>
      <c r="K37" s="31"/>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0</v>
      </c>
      <c r="K39" s="28">
        <f>ROUND(SUM(K36:K38),2)</f>
        <v>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197</v>
      </c>
      <c r="K45" s="32"/>
    </row>
    <row r="46" spans="1:12" ht="16.5" customHeight="1" x14ac:dyDescent="0.25">
      <c r="A46" s="50"/>
      <c r="B46" s="61"/>
      <c r="C46" s="166" t="s">
        <v>13</v>
      </c>
      <c r="D46" s="166"/>
      <c r="E46" s="166"/>
      <c r="F46" s="166"/>
      <c r="G46" s="166"/>
      <c r="H46" s="166"/>
      <c r="I46" s="166"/>
      <c r="J46" s="35"/>
      <c r="K46" s="31">
        <f>J45</f>
        <v>197</v>
      </c>
    </row>
    <row r="47" spans="1:12" ht="16.5" customHeight="1" x14ac:dyDescent="0.3">
      <c r="A47" s="59"/>
      <c r="B47" s="51"/>
      <c r="C47" s="51"/>
      <c r="D47" s="51"/>
      <c r="E47" s="51"/>
      <c r="F47" s="51"/>
      <c r="G47" s="51"/>
      <c r="H47" s="51"/>
      <c r="I47" s="51"/>
      <c r="J47" s="38">
        <f>ROUND(SUM(J45:J45),2)</f>
        <v>197</v>
      </c>
      <c r="K47" s="38">
        <f>ROUND(SUM(K46),2)</f>
        <v>197</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192</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9</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201</v>
      </c>
    </row>
    <row r="53" spans="1:12" ht="16.5" customHeight="1" x14ac:dyDescent="0.3">
      <c r="A53" s="59"/>
      <c r="B53" s="51"/>
      <c r="C53" s="51"/>
      <c r="D53" s="51"/>
      <c r="E53" s="51"/>
      <c r="F53" s="51"/>
      <c r="G53" s="51"/>
      <c r="H53" s="51"/>
      <c r="I53" s="51"/>
      <c r="J53" s="38">
        <f>ROUND(SUM(J50:J51),2)</f>
        <v>201</v>
      </c>
      <c r="K53" s="38">
        <f>ROUND(SUM(K52,),2)</f>
        <v>201</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192</v>
      </c>
      <c r="K56" s="35"/>
    </row>
    <row r="57" spans="1:12" ht="16.5" customHeight="1" x14ac:dyDescent="0.3">
      <c r="A57" s="50"/>
      <c r="B57" s="142"/>
      <c r="C57" s="166" t="s">
        <v>32</v>
      </c>
      <c r="D57" s="166"/>
      <c r="E57" s="166"/>
      <c r="F57" s="166"/>
      <c r="G57" s="166"/>
      <c r="H57" s="166"/>
      <c r="I57" s="166"/>
      <c r="J57" s="35"/>
      <c r="K57" s="31">
        <f>J50</f>
        <v>192</v>
      </c>
    </row>
    <row r="58" spans="1:12" ht="16.5" customHeight="1" x14ac:dyDescent="0.3">
      <c r="A58" s="59"/>
      <c r="B58" s="51"/>
      <c r="C58" s="51"/>
      <c r="D58" s="51"/>
      <c r="E58" s="51"/>
      <c r="F58" s="51"/>
      <c r="G58" s="51"/>
      <c r="H58" s="51"/>
      <c r="I58" s="51"/>
      <c r="J58" s="38">
        <f>ROUND(SUM(J56:J56),2)</f>
        <v>192</v>
      </c>
      <c r="K58" s="38">
        <f>ROUND(SUM(K57),2)</f>
        <v>192</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202</v>
      </c>
      <c r="K61" s="32"/>
    </row>
    <row r="62" spans="1:12" ht="16.5" customHeight="1" x14ac:dyDescent="0.3">
      <c r="A62" s="50"/>
      <c r="B62" s="142"/>
      <c r="C62" s="166" t="s">
        <v>34</v>
      </c>
      <c r="D62" s="166"/>
      <c r="E62" s="166"/>
      <c r="F62" s="166"/>
      <c r="G62" s="166"/>
      <c r="H62" s="166"/>
      <c r="I62" s="166"/>
      <c r="J62" s="32"/>
      <c r="K62" s="31">
        <f>J61</f>
        <v>202</v>
      </c>
    </row>
    <row r="63" spans="1:12" ht="16.5" customHeight="1" x14ac:dyDescent="0.25">
      <c r="A63" s="50"/>
      <c r="B63" s="171" t="s">
        <v>35</v>
      </c>
      <c r="C63" s="171"/>
      <c r="D63" s="171"/>
      <c r="E63" s="171"/>
      <c r="F63" s="171"/>
      <c r="G63" s="171"/>
      <c r="H63" s="171"/>
      <c r="I63" s="171"/>
      <c r="J63" s="38">
        <f>ROUND(SUM(J61:J61),2)</f>
        <v>202</v>
      </c>
      <c r="K63" s="38">
        <f>ROUND(SUM(K62),2)</f>
        <v>202</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395</v>
      </c>
    </row>
    <row r="95" spans="1:12" ht="16.5" customHeight="1" x14ac:dyDescent="0.3">
      <c r="D95" s="142" t="s">
        <v>48</v>
      </c>
      <c r="E95"/>
      <c r="F95"/>
      <c r="G95"/>
      <c r="H95" s="141"/>
      <c r="I95"/>
      <c r="J95"/>
      <c r="K95" s="148">
        <f>-K18-K46+J68+J77</f>
        <v>-197</v>
      </c>
    </row>
    <row r="96" spans="1:12" ht="16.5" customHeight="1" x14ac:dyDescent="0.3">
      <c r="D96" s="142" t="s">
        <v>49</v>
      </c>
      <c r="E96"/>
      <c r="F96"/>
      <c r="G96"/>
      <c r="H96" s="141"/>
      <c r="I96"/>
      <c r="J96"/>
      <c r="K96" s="148">
        <f>-K19-K37+J56+J61+J76-K85</f>
        <v>-1</v>
      </c>
    </row>
    <row r="97" spans="1:11" ht="16.5" customHeight="1" x14ac:dyDescent="0.3">
      <c r="D97" s="142" t="s">
        <v>50</v>
      </c>
      <c r="E97"/>
      <c r="F97"/>
      <c r="G97"/>
      <c r="H97" s="141"/>
      <c r="I97"/>
      <c r="J97"/>
      <c r="K97" s="148">
        <f>-K62</f>
        <v>-202</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bSkV4DJwL1Hknqx7YJ1OaGYU1cFquLI4hFKOswBgNSF0Ya549VGx3+G8GfteicL3eXkzj3zKzpAxop4n434ULQ==" saltValue="DyWcAZ8OWrOC8H+FeRCjBw=="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4"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0F00-000000000000}">
      <formula1>4</formula1>
    </dataValidation>
    <dataValidation type="textLength" operator="lessThan" allowBlank="1" showInputMessage="1" showErrorMessage="1" sqref="E11 A6:A8" xr:uid="{00000000-0002-0000-0F00-000001000000}">
      <formula1>0</formula1>
    </dataValidation>
    <dataValidation operator="lessThan" allowBlank="1" showInputMessage="1" showErrorMessage="1" sqref="A3:A5 A7:A8 A11" xr:uid="{00000000-0002-0000-0F00-000002000000}"/>
    <dataValidation type="list" allowBlank="1" showInputMessage="1" showErrorMessage="1" sqref="F7 F3" xr:uid="{00000000-0002-0000-0F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92D050"/>
    <pageSetUpPr fitToPage="1"/>
  </sheetPr>
  <dimension ref="A1:Q115"/>
  <sheetViews>
    <sheetView topLeftCell="A34"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3320</v>
      </c>
      <c r="G6" s="178"/>
      <c r="H6" s="178"/>
      <c r="I6" s="178"/>
      <c r="L6" s="45"/>
      <c r="M6" s="44"/>
      <c r="N6" s="44"/>
      <c r="P6" s="26"/>
    </row>
    <row r="7" spans="1:17" ht="15.6" x14ac:dyDescent="0.25">
      <c r="A7" s="174" t="s">
        <v>7</v>
      </c>
      <c r="B7" s="174"/>
      <c r="C7" s="174"/>
      <c r="D7" s="174"/>
      <c r="E7" s="174"/>
      <c r="F7" s="179" t="s">
        <v>106</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GENERAL GOVERNMENT</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616020</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616020</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616020</v>
      </c>
      <c r="K22" s="28">
        <f>ROUND(SUM(K18:K21),2)</f>
        <v>616020</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c r="K28" s="32"/>
      <c r="L28" s="48"/>
    </row>
    <row r="29" spans="1:17" ht="16.5" customHeight="1" x14ac:dyDescent="0.3">
      <c r="A29" s="50"/>
      <c r="B29" s="142"/>
      <c r="C29" s="166" t="s">
        <v>20</v>
      </c>
      <c r="D29" s="166"/>
      <c r="E29" s="166"/>
      <c r="F29" s="166"/>
      <c r="G29" s="166"/>
      <c r="H29" s="166"/>
      <c r="I29" s="166"/>
      <c r="J29" s="32"/>
      <c r="K29" s="31"/>
      <c r="L29" s="48"/>
    </row>
    <row r="30" spans="1:17" ht="16.5" customHeight="1" x14ac:dyDescent="0.3">
      <c r="A30" s="50"/>
      <c r="B30" s="142"/>
      <c r="C30" s="166" t="str">
        <f>VLOOKUP($F$8,'Drop Down Menus'!$D$2:$G$10,4,FALSE)</f>
        <v>Cr: Acct 0808 - GENERAL GOV. (GAAP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0</v>
      </c>
      <c r="K31" s="28">
        <f>ROUND(SUM(K28:K30),2)</f>
        <v>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c r="K34" s="139"/>
      <c r="L34" s="48"/>
    </row>
    <row r="35" spans="1:12" ht="16.5" customHeight="1" x14ac:dyDescent="0.25">
      <c r="B35" s="166" t="s">
        <v>22</v>
      </c>
      <c r="C35" s="166"/>
      <c r="D35" s="166"/>
      <c r="E35" s="166"/>
      <c r="F35" s="166"/>
      <c r="G35" s="166"/>
      <c r="H35" s="166"/>
      <c r="I35" s="166"/>
      <c r="J35" s="31"/>
      <c r="K35" s="35"/>
    </row>
    <row r="36" spans="1:12" ht="16.5" customHeight="1" x14ac:dyDescent="0.25">
      <c r="A36" s="50"/>
      <c r="B36" s="61"/>
      <c r="C36" s="166" t="s">
        <v>23</v>
      </c>
      <c r="D36" s="166"/>
      <c r="E36" s="166"/>
      <c r="F36" s="166"/>
      <c r="G36" s="166"/>
      <c r="H36" s="166"/>
      <c r="I36" s="166"/>
      <c r="J36" s="35"/>
      <c r="K36" s="31"/>
    </row>
    <row r="37" spans="1:12" ht="16.5" customHeight="1" x14ac:dyDescent="0.25">
      <c r="A37" s="50"/>
      <c r="C37" s="166" t="s">
        <v>14</v>
      </c>
      <c r="D37" s="166"/>
      <c r="E37" s="166"/>
      <c r="F37" s="166"/>
      <c r="G37" s="166"/>
      <c r="H37" s="166"/>
      <c r="I37" s="166"/>
      <c r="J37" s="35"/>
      <c r="K37" s="31"/>
    </row>
    <row r="38" spans="1:12" ht="16.5" customHeight="1" x14ac:dyDescent="0.3">
      <c r="A38" s="50"/>
      <c r="B38" s="142"/>
      <c r="C38" s="166" t="str">
        <f>VLOOKUP($F$8,'Drop Down Menus'!$D$2:$G$10,4,FALSE)</f>
        <v>Cr: Acct 0808 - GENERAL GOV. (GAAP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0</v>
      </c>
      <c r="K39" s="28">
        <f>ROUND(SUM(K36:K38),2)</f>
        <v>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308010</v>
      </c>
      <c r="K45" s="32"/>
    </row>
    <row r="46" spans="1:12" ht="16.5" customHeight="1" x14ac:dyDescent="0.25">
      <c r="A46" s="50"/>
      <c r="B46" s="61"/>
      <c r="C46" s="166" t="s">
        <v>13</v>
      </c>
      <c r="D46" s="166"/>
      <c r="E46" s="166"/>
      <c r="F46" s="166"/>
      <c r="G46" s="166"/>
      <c r="H46" s="166"/>
      <c r="I46" s="166"/>
      <c r="J46" s="35"/>
      <c r="K46" s="31">
        <f>J45</f>
        <v>308010</v>
      </c>
    </row>
    <row r="47" spans="1:12" ht="16.5" customHeight="1" x14ac:dyDescent="0.3">
      <c r="A47" s="59"/>
      <c r="B47" s="51"/>
      <c r="C47" s="51"/>
      <c r="D47" s="51"/>
      <c r="E47" s="51"/>
      <c r="F47" s="51"/>
      <c r="G47" s="51"/>
      <c r="H47" s="51"/>
      <c r="I47" s="51"/>
      <c r="J47" s="38">
        <f>ROUND(SUM(J45:J45),2)</f>
        <v>308010</v>
      </c>
      <c r="K47" s="38">
        <f>ROUND(SUM(K46),2)</f>
        <v>308010</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304938</v>
      </c>
      <c r="K50" s="70"/>
    </row>
    <row r="51" spans="1:12" ht="16.5" customHeight="1" x14ac:dyDescent="0.25">
      <c r="A51" s="50"/>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10201</v>
      </c>
      <c r="K51" s="70"/>
    </row>
    <row r="52" spans="1:12" ht="16.5" customHeight="1" x14ac:dyDescent="0.3">
      <c r="A52" s="50"/>
      <c r="B52" s="142"/>
      <c r="C52" s="166" t="str">
        <f>VLOOKUP($F$8,'Drop Down Menus'!$D$2:$G$10,4,FALSE)</f>
        <v>Cr: Acct 0808 - GENERAL GOV. (GAAP ADJ)</v>
      </c>
      <c r="D52" s="166"/>
      <c r="E52" s="166"/>
      <c r="F52" s="166"/>
      <c r="G52" s="166"/>
      <c r="H52" s="166"/>
      <c r="I52" s="166"/>
      <c r="J52" s="70"/>
      <c r="K52" s="37">
        <f>+J50+J51</f>
        <v>315139</v>
      </c>
    </row>
    <row r="53" spans="1:12" ht="16.5" customHeight="1" x14ac:dyDescent="0.3">
      <c r="A53" s="59"/>
      <c r="B53" s="51"/>
      <c r="C53" s="51"/>
      <c r="D53" s="51"/>
      <c r="E53" s="51"/>
      <c r="F53" s="51"/>
      <c r="G53" s="51"/>
      <c r="H53" s="51"/>
      <c r="I53" s="51"/>
      <c r="J53" s="38">
        <f>ROUND(SUM(J50:J51),2)</f>
        <v>315139</v>
      </c>
      <c r="K53" s="38">
        <f>ROUND(SUM(K52,),2)</f>
        <v>315139</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304938</v>
      </c>
      <c r="K56" s="35"/>
    </row>
    <row r="57" spans="1:12" ht="16.5" customHeight="1" x14ac:dyDescent="0.3">
      <c r="A57" s="50"/>
      <c r="B57" s="142"/>
      <c r="C57" s="166" t="s">
        <v>32</v>
      </c>
      <c r="D57" s="166"/>
      <c r="E57" s="166"/>
      <c r="F57" s="166"/>
      <c r="G57" s="166"/>
      <c r="H57" s="166"/>
      <c r="I57" s="166"/>
      <c r="J57" s="35"/>
      <c r="K57" s="31">
        <f>J50</f>
        <v>304938</v>
      </c>
    </row>
    <row r="58" spans="1:12" ht="16.5" customHeight="1" x14ac:dyDescent="0.3">
      <c r="A58" s="59"/>
      <c r="B58" s="51"/>
      <c r="C58" s="51"/>
      <c r="D58" s="51"/>
      <c r="E58" s="51"/>
      <c r="F58" s="51"/>
      <c r="G58" s="51"/>
      <c r="H58" s="51"/>
      <c r="I58" s="51"/>
      <c r="J58" s="38">
        <f>ROUND(SUM(J56:J56),2)</f>
        <v>304938</v>
      </c>
      <c r="K58" s="38">
        <f>ROUND(SUM(K57),2)</f>
        <v>304938</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311083</v>
      </c>
      <c r="K61" s="32"/>
    </row>
    <row r="62" spans="1:12" ht="16.5" customHeight="1" x14ac:dyDescent="0.3">
      <c r="A62" s="50"/>
      <c r="B62" s="142"/>
      <c r="C62" s="166" t="s">
        <v>34</v>
      </c>
      <c r="D62" s="166"/>
      <c r="E62" s="166"/>
      <c r="F62" s="166"/>
      <c r="G62" s="166"/>
      <c r="H62" s="166"/>
      <c r="I62" s="166"/>
      <c r="J62" s="32"/>
      <c r="K62" s="31">
        <f>J61</f>
        <v>311083</v>
      </c>
    </row>
    <row r="63" spans="1:12" ht="16.5" customHeight="1" x14ac:dyDescent="0.25">
      <c r="A63" s="50"/>
      <c r="B63" s="171" t="s">
        <v>35</v>
      </c>
      <c r="C63" s="171"/>
      <c r="D63" s="171"/>
      <c r="E63" s="171"/>
      <c r="F63" s="171"/>
      <c r="G63" s="171"/>
      <c r="H63" s="171"/>
      <c r="I63" s="171"/>
      <c r="J63" s="38">
        <f>ROUND(SUM(J61:J61),2)</f>
        <v>311083</v>
      </c>
      <c r="K63" s="38">
        <f>ROUND(SUM(K62),2)</f>
        <v>311083</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117</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117</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616020</v>
      </c>
    </row>
    <row r="95" spans="1:12" ht="16.5" customHeight="1" x14ac:dyDescent="0.3">
      <c r="D95" s="142" t="s">
        <v>48</v>
      </c>
      <c r="E95"/>
      <c r="F95"/>
      <c r="G95"/>
      <c r="H95" s="141"/>
      <c r="I95"/>
      <c r="J95"/>
      <c r="K95" s="148">
        <f>-K18-K46+J68+J77</f>
        <v>-308010</v>
      </c>
    </row>
    <row r="96" spans="1:12" ht="16.5" customHeight="1" x14ac:dyDescent="0.3">
      <c r="D96" s="142" t="s">
        <v>49</v>
      </c>
      <c r="E96"/>
      <c r="F96"/>
      <c r="G96"/>
      <c r="H96" s="141"/>
      <c r="I96"/>
      <c r="J96"/>
      <c r="K96" s="148">
        <f>-K19-K37+J56+J61+J76-K85</f>
        <v>1</v>
      </c>
    </row>
    <row r="97" spans="1:11" ht="16.5" customHeight="1" x14ac:dyDescent="0.3">
      <c r="D97" s="142" t="s">
        <v>50</v>
      </c>
      <c r="E97"/>
      <c r="F97"/>
      <c r="G97"/>
      <c r="H97" s="141"/>
      <c r="I97"/>
      <c r="J97"/>
      <c r="K97" s="148">
        <f>-K62</f>
        <v>-311083</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ayusJZpLaMuGSLQ4e1fHXe8xno5J2nvUaAeVKwE9PJwO3Aq5BqPnTuIpAuTOCjG8uJyUIGNXw6xHLlt2dIyUSg==" saltValue="+2Ya4sXDidbsEwqts4evNA=="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3"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1000-000000000000}">
      <formula1>4</formula1>
    </dataValidation>
    <dataValidation type="textLength" operator="lessThan" allowBlank="1" showInputMessage="1" showErrorMessage="1" sqref="E11 A6:A8" xr:uid="{00000000-0002-0000-1000-000001000000}">
      <formula1>0</formula1>
    </dataValidation>
    <dataValidation operator="lessThan" allowBlank="1" showInputMessage="1" showErrorMessage="1" sqref="A3:A5 A7:A8 A11" xr:uid="{00000000-0002-0000-1000-000002000000}"/>
    <dataValidation type="list" allowBlank="1" showInputMessage="1" showErrorMessage="1" sqref="F7 F3" xr:uid="{00000000-0002-0000-10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8" tint="0.59999389629810485"/>
    <pageSetUpPr fitToPage="1"/>
  </sheetPr>
  <dimension ref="A1:Q115"/>
  <sheetViews>
    <sheetView topLeftCell="A41"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9731</v>
      </c>
      <c r="G6" s="178"/>
      <c r="H6" s="178"/>
      <c r="I6" s="178"/>
      <c r="L6" s="45"/>
      <c r="M6" s="44"/>
      <c r="N6" s="44"/>
      <c r="P6" s="26"/>
    </row>
    <row r="7" spans="1:17" ht="15.6" x14ac:dyDescent="0.25">
      <c r="A7" s="174" t="s">
        <v>7</v>
      </c>
      <c r="B7" s="174"/>
      <c r="C7" s="174"/>
      <c r="D7" s="174"/>
      <c r="E7" s="174"/>
      <c r="F7" s="179" t="s">
        <v>112</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PROPRIETARY FUND</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525859</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525859</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525859</v>
      </c>
      <c r="K22" s="28">
        <f>ROUND(SUM(K18:K21),2)</f>
        <v>525859</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c r="K28" s="32"/>
      <c r="L28" s="48"/>
    </row>
    <row r="29" spans="1:17" ht="16.5" customHeight="1" x14ac:dyDescent="0.3">
      <c r="A29" s="50"/>
      <c r="B29" s="142"/>
      <c r="C29" s="166" t="s">
        <v>20</v>
      </c>
      <c r="D29" s="166"/>
      <c r="E29" s="166"/>
      <c r="F29" s="166"/>
      <c r="G29" s="166"/>
      <c r="H29" s="166"/>
      <c r="I29" s="166"/>
      <c r="J29" s="32"/>
      <c r="K29" s="31"/>
      <c r="L29" s="48"/>
    </row>
    <row r="30" spans="1:17" ht="16.5" customHeight="1" x14ac:dyDescent="0.3">
      <c r="A30" s="50"/>
      <c r="B30" s="142"/>
      <c r="C30" s="166" t="str">
        <f>VLOOKUP($F$8,'Drop Down Menus'!$D$2:$G$10,4,FALSE)</f>
        <v>Cr: Acct 0870 - SERVICES &amp; CHARGES (MG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0</v>
      </c>
      <c r="K31" s="28">
        <f>ROUND(SUM(K28:K30),2)</f>
        <v>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c r="K34" s="139"/>
      <c r="L34" s="48"/>
    </row>
    <row r="35" spans="1:12" ht="16.5" customHeight="1" x14ac:dyDescent="0.25">
      <c r="B35" s="166" t="s">
        <v>22</v>
      </c>
      <c r="C35" s="166"/>
      <c r="D35" s="166"/>
      <c r="E35" s="166"/>
      <c r="F35" s="166"/>
      <c r="G35" s="166"/>
      <c r="H35" s="166"/>
      <c r="I35" s="166"/>
      <c r="J35" s="31"/>
      <c r="K35" s="35"/>
    </row>
    <row r="36" spans="1:12" ht="16.5" customHeight="1" x14ac:dyDescent="0.25">
      <c r="A36" s="50"/>
      <c r="B36" s="61"/>
      <c r="C36" s="166" t="s">
        <v>23</v>
      </c>
      <c r="D36" s="166"/>
      <c r="E36" s="166"/>
      <c r="F36" s="166"/>
      <c r="G36" s="166"/>
      <c r="H36" s="166"/>
      <c r="I36" s="166"/>
      <c r="J36" s="35"/>
      <c r="K36" s="31"/>
    </row>
    <row r="37" spans="1:12" ht="16.5" customHeight="1" x14ac:dyDescent="0.25">
      <c r="A37" s="50"/>
      <c r="C37" s="166" t="s">
        <v>14</v>
      </c>
      <c r="D37" s="166"/>
      <c r="E37" s="166"/>
      <c r="F37" s="166"/>
      <c r="G37" s="166"/>
      <c r="H37" s="166"/>
      <c r="I37" s="166"/>
      <c r="J37" s="35"/>
      <c r="K37" s="31"/>
    </row>
    <row r="38" spans="1:12" ht="16.5" customHeight="1" x14ac:dyDescent="0.3">
      <c r="A38" s="50"/>
      <c r="B38" s="142"/>
      <c r="C38" s="166" t="str">
        <f>VLOOKUP($F$8,'Drop Down Menus'!$D$2:$G$10,4,FALSE)</f>
        <v>Cr: Acct 0870 - SERVICES &amp; CHARGES (MG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0</v>
      </c>
      <c r="K39" s="28">
        <f>ROUND(SUM(K36:K38),2)</f>
        <v>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395262</v>
      </c>
      <c r="K45" s="32"/>
    </row>
    <row r="46" spans="1:12" ht="16.5" customHeight="1" x14ac:dyDescent="0.25">
      <c r="A46" s="50"/>
      <c r="B46" s="61"/>
      <c r="C46" s="166" t="s">
        <v>13</v>
      </c>
      <c r="D46" s="166"/>
      <c r="E46" s="166"/>
      <c r="F46" s="166"/>
      <c r="G46" s="166"/>
      <c r="H46" s="166"/>
      <c r="I46" s="166"/>
      <c r="J46" s="35"/>
      <c r="K46" s="31">
        <f>J45</f>
        <v>395262</v>
      </c>
    </row>
    <row r="47" spans="1:12" ht="16.5" customHeight="1" x14ac:dyDescent="0.3">
      <c r="A47" s="59"/>
      <c r="B47" s="51"/>
      <c r="C47" s="51"/>
      <c r="D47" s="51"/>
      <c r="E47" s="51"/>
      <c r="F47" s="51"/>
      <c r="G47" s="51"/>
      <c r="H47" s="51"/>
      <c r="I47" s="51"/>
      <c r="J47" s="38">
        <f>ROUND(SUM(J45:J45),2)</f>
        <v>395262</v>
      </c>
      <c r="K47" s="38">
        <f>ROUND(SUM(K46),2)</f>
        <v>395262</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393914</v>
      </c>
      <c r="K50" s="70"/>
    </row>
    <row r="51" spans="1:12" ht="16.5" customHeight="1" x14ac:dyDescent="0.25">
      <c r="A51" s="50"/>
      <c r="B51" s="166" t="str">
        <f>IF(OR($F$7="Proprietary - Internal Service Fund",$F$7="Proprietary - Enterprise Fund"),"Dr: Acct 0894 - INTEREST EXPENSE AND FISCAL CHARGES","Dr: Acct 0851 - DEBT SERVICE - INTEREST LEASES")</f>
        <v>Dr: Acct 0894 - INTEREST EXPENSE AND FISCAL CHARGES</v>
      </c>
      <c r="C51" s="166"/>
      <c r="D51" s="166"/>
      <c r="E51" s="166"/>
      <c r="F51" s="166"/>
      <c r="G51" s="166"/>
      <c r="H51" s="166"/>
      <c r="I51" s="166"/>
      <c r="J51" s="36">
        <v>7275</v>
      </c>
      <c r="K51" s="70"/>
    </row>
    <row r="52" spans="1:12" ht="16.5" customHeight="1" x14ac:dyDescent="0.3">
      <c r="A52" s="50"/>
      <c r="B52" s="142"/>
      <c r="C52" s="166" t="str">
        <f>VLOOKUP($F$8,'Drop Down Menus'!$D$2:$G$10,4,FALSE)</f>
        <v>Cr: Acct 0870 - SERVICES &amp; CHARGES (MG ADJ)</v>
      </c>
      <c r="D52" s="166"/>
      <c r="E52" s="166"/>
      <c r="F52" s="166"/>
      <c r="G52" s="166"/>
      <c r="H52" s="166"/>
      <c r="I52" s="166"/>
      <c r="J52" s="70"/>
      <c r="K52" s="37">
        <f>+J50+J51</f>
        <v>401189</v>
      </c>
    </row>
    <row r="53" spans="1:12" ht="16.5" customHeight="1" x14ac:dyDescent="0.3">
      <c r="A53" s="59"/>
      <c r="B53" s="51"/>
      <c r="C53" s="51"/>
      <c r="D53" s="51"/>
      <c r="E53" s="51"/>
      <c r="F53" s="51"/>
      <c r="G53" s="51"/>
      <c r="H53" s="51"/>
      <c r="I53" s="51"/>
      <c r="J53" s="38">
        <f>ROUND(SUM(J50:J51),2)</f>
        <v>401189</v>
      </c>
      <c r="K53" s="38">
        <f>ROUND(SUM(K52,),2)</f>
        <v>401189</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393914</v>
      </c>
      <c r="K56" s="35"/>
    </row>
    <row r="57" spans="1:12" ht="16.5" customHeight="1" x14ac:dyDescent="0.3">
      <c r="A57" s="50"/>
      <c r="B57" s="142"/>
      <c r="C57" s="166" t="s">
        <v>32</v>
      </c>
      <c r="D57" s="166"/>
      <c r="E57" s="166"/>
      <c r="F57" s="166"/>
      <c r="G57" s="166"/>
      <c r="H57" s="166"/>
      <c r="I57" s="166"/>
      <c r="J57" s="35"/>
      <c r="K57" s="31">
        <f>J50</f>
        <v>393914</v>
      </c>
    </row>
    <row r="58" spans="1:12" ht="16.5" customHeight="1" x14ac:dyDescent="0.3">
      <c r="A58" s="59"/>
      <c r="B58" s="51"/>
      <c r="C58" s="51"/>
      <c r="D58" s="51"/>
      <c r="E58" s="51"/>
      <c r="F58" s="51"/>
      <c r="G58" s="51"/>
      <c r="H58" s="51"/>
      <c r="I58" s="51"/>
      <c r="J58" s="38">
        <f>ROUND(SUM(J56:J56),2)</f>
        <v>393914</v>
      </c>
      <c r="K58" s="38">
        <f>ROUND(SUM(K57),2)</f>
        <v>393914</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97209</v>
      </c>
      <c r="K61" s="32"/>
    </row>
    <row r="62" spans="1:12" ht="16.5" customHeight="1" x14ac:dyDescent="0.3">
      <c r="A62" s="50"/>
      <c r="B62" s="142"/>
      <c r="C62" s="166" t="s">
        <v>34</v>
      </c>
      <c r="D62" s="166"/>
      <c r="E62" s="166"/>
      <c r="F62" s="166"/>
      <c r="G62" s="166"/>
      <c r="H62" s="166"/>
      <c r="I62" s="166"/>
      <c r="J62" s="32"/>
      <c r="K62" s="31">
        <f>J61</f>
        <v>97209</v>
      </c>
    </row>
    <row r="63" spans="1:12" ht="16.5" customHeight="1" x14ac:dyDescent="0.25">
      <c r="A63" s="50"/>
      <c r="B63" s="171" t="s">
        <v>35</v>
      </c>
      <c r="C63" s="171"/>
      <c r="D63" s="171"/>
      <c r="E63" s="171"/>
      <c r="F63" s="171"/>
      <c r="G63" s="171"/>
      <c r="H63" s="171"/>
      <c r="I63" s="171"/>
      <c r="J63" s="38">
        <f>ROUND(SUM(J61:J61),2)</f>
        <v>97209</v>
      </c>
      <c r="K63" s="38">
        <f>ROUND(SUM(K62),2)</f>
        <v>97209</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153</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153</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525859</v>
      </c>
    </row>
    <row r="95" spans="1:12" ht="16.5" customHeight="1" x14ac:dyDescent="0.3">
      <c r="D95" s="142" t="s">
        <v>48</v>
      </c>
      <c r="E95"/>
      <c r="F95"/>
      <c r="G95"/>
      <c r="H95" s="141"/>
      <c r="I95"/>
      <c r="J95"/>
      <c r="K95" s="148">
        <f>-K18-K46+J68+J77</f>
        <v>-395262</v>
      </c>
    </row>
    <row r="96" spans="1:12" ht="16.5" customHeight="1" x14ac:dyDescent="0.3">
      <c r="D96" s="142" t="s">
        <v>49</v>
      </c>
      <c r="E96"/>
      <c r="F96"/>
      <c r="G96"/>
      <c r="H96" s="141"/>
      <c r="I96"/>
      <c r="J96"/>
      <c r="K96" s="148">
        <f>-K19-K37+J56+J61+J76-K85</f>
        <v>-34736</v>
      </c>
    </row>
    <row r="97" spans="1:11" ht="16.5" customHeight="1" x14ac:dyDescent="0.3">
      <c r="D97" s="142" t="s">
        <v>50</v>
      </c>
      <c r="E97"/>
      <c r="F97"/>
      <c r="G97"/>
      <c r="H97" s="141"/>
      <c r="I97"/>
      <c r="J97"/>
      <c r="K97" s="148">
        <f>-K62</f>
        <v>-97209</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S6GcwDH/VkuZ59vN2IwXO68u7Za1cOcz/3AkNbWDOgWpYYz1bqLP5TlQ1Xvlq2As1B3YERbp1C775RoUbk9/IA==" saltValue="1zGAnqLhCkyRo+8VWNKQ2Q=="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2"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1100-000000000000}">
      <formula1>4</formula1>
    </dataValidation>
    <dataValidation type="textLength" operator="lessThan" allowBlank="1" showInputMessage="1" showErrorMessage="1" sqref="E11 A6:A8" xr:uid="{00000000-0002-0000-1100-000001000000}">
      <formula1>0</formula1>
    </dataValidation>
    <dataValidation operator="lessThan" allowBlank="1" showInputMessage="1" showErrorMessage="1" sqref="A3:A5 A7:A8 A11" xr:uid="{00000000-0002-0000-1100-000002000000}"/>
    <dataValidation type="list" allowBlank="1" showInputMessage="1" showErrorMessage="1" sqref="F7 F3" xr:uid="{00000000-0002-0000-11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theme="8" tint="0.59999389629810485"/>
    <pageSetUpPr fitToPage="1"/>
  </sheetPr>
  <dimension ref="A1:Q115"/>
  <sheetViews>
    <sheetView tabSelected="1" topLeftCell="A43" zoomScale="85" zoomScaleNormal="85" workbookViewId="0">
      <selection activeCell="J62" sqref="J62"/>
    </sheetView>
  </sheetViews>
  <sheetFormatPr defaultColWidth="0" defaultRowHeight="15" zeroHeight="1" x14ac:dyDescent="0.3"/>
  <cols>
    <col min="1" max="1" width="12.109375" style="141" customWidth="1"/>
    <col min="2" max="2" width="9.44140625" style="141" customWidth="1"/>
    <col min="3" max="5" width="7.6640625" style="141" customWidth="1"/>
    <col min="6" max="6" width="17.6640625" style="141" customWidth="1"/>
    <col min="7" max="7" width="19.6640625" style="141" customWidth="1"/>
    <col min="8" max="8" width="21.5546875" style="7" customWidth="1"/>
    <col min="9" max="9" width="19.6640625" style="141" customWidth="1"/>
    <col min="10" max="10" width="26.44140625" style="141" customWidth="1"/>
    <col min="11" max="11" width="23.33203125" style="141" customWidth="1"/>
    <col min="12" max="12" width="50.6640625" style="141" customWidth="1"/>
    <col min="13" max="17" width="0" style="141" hidden="1" customWidth="1"/>
    <col min="18" max="16384" width="9.109375" style="141" hidden="1"/>
  </cols>
  <sheetData>
    <row r="1" spans="1:17" ht="44.25" customHeight="1" x14ac:dyDescent="0.3">
      <c r="A1" s="180" t="s">
        <v>0</v>
      </c>
      <c r="B1" s="180"/>
      <c r="C1" s="180"/>
      <c r="D1" s="180"/>
      <c r="E1" s="180"/>
      <c r="F1" s="180"/>
      <c r="G1" s="180"/>
      <c r="H1" s="180"/>
      <c r="I1" s="180"/>
      <c r="J1" s="180"/>
      <c r="K1" s="180"/>
      <c r="L1" s="41"/>
    </row>
    <row r="2" spans="1:17" ht="17.399999999999999" x14ac:dyDescent="0.3">
      <c r="A2" s="181" t="s">
        <v>1</v>
      </c>
      <c r="B2" s="181"/>
      <c r="C2" s="181"/>
      <c r="D2" s="181"/>
      <c r="E2" s="181"/>
      <c r="F2" s="181"/>
      <c r="G2" s="181"/>
      <c r="H2" s="181"/>
      <c r="I2" s="181"/>
      <c r="J2" s="181"/>
      <c r="K2" s="181"/>
      <c r="L2" s="42"/>
    </row>
    <row r="3" spans="1:17" ht="15.6" x14ac:dyDescent="0.3">
      <c r="A3" s="174" t="s">
        <v>2</v>
      </c>
      <c r="B3" s="174"/>
      <c r="C3" s="174"/>
      <c r="D3" s="174"/>
      <c r="E3" s="174"/>
      <c r="F3" s="179" t="s">
        <v>3</v>
      </c>
      <c r="G3" s="179"/>
      <c r="H3" s="179"/>
      <c r="I3" s="179"/>
    </row>
    <row r="4" spans="1:17" ht="15.6" x14ac:dyDescent="0.3">
      <c r="A4" s="174" t="s">
        <v>4</v>
      </c>
      <c r="B4" s="174"/>
      <c r="C4" s="174"/>
      <c r="D4" s="174"/>
      <c r="E4" s="174"/>
      <c r="F4" s="179" t="s">
        <v>1642</v>
      </c>
      <c r="G4" s="179"/>
      <c r="H4" s="179"/>
      <c r="I4" s="179"/>
    </row>
    <row r="5" spans="1:17" ht="15.6" x14ac:dyDescent="0.25">
      <c r="A5" s="174" t="s">
        <v>5</v>
      </c>
      <c r="B5" s="174"/>
      <c r="C5" s="174"/>
      <c r="D5" s="174"/>
      <c r="E5" s="174"/>
      <c r="F5" s="177" t="s">
        <v>364</v>
      </c>
      <c r="G5" s="177"/>
      <c r="H5" s="177"/>
      <c r="I5" s="177"/>
      <c r="J5" s="43"/>
      <c r="K5" s="43"/>
      <c r="L5" s="44"/>
      <c r="M5" s="44"/>
      <c r="N5" s="44"/>
    </row>
    <row r="6" spans="1:17" ht="15.6" x14ac:dyDescent="0.25">
      <c r="A6" s="174" t="s">
        <v>6</v>
      </c>
      <c r="B6" s="174"/>
      <c r="C6" s="174"/>
      <c r="D6" s="174"/>
      <c r="E6" s="174"/>
      <c r="F6" s="178">
        <v>9740</v>
      </c>
      <c r="G6" s="178"/>
      <c r="H6" s="178"/>
      <c r="I6" s="178"/>
      <c r="L6" s="45"/>
      <c r="M6" s="44"/>
      <c r="N6" s="44"/>
      <c r="P6" s="26"/>
    </row>
    <row r="7" spans="1:17" ht="15.6" x14ac:dyDescent="0.25">
      <c r="A7" s="174" t="s">
        <v>7</v>
      </c>
      <c r="B7" s="174"/>
      <c r="C7" s="174"/>
      <c r="D7" s="174"/>
      <c r="E7" s="174"/>
      <c r="F7" s="179" t="s">
        <v>112</v>
      </c>
      <c r="G7" s="179"/>
      <c r="H7" s="179"/>
      <c r="I7" s="179"/>
      <c r="L7" s="45"/>
      <c r="M7" s="44"/>
      <c r="N7" s="44"/>
      <c r="P7" s="26"/>
    </row>
    <row r="8" spans="1:17" ht="15.6" x14ac:dyDescent="0.25">
      <c r="A8" s="174" t="s">
        <v>8</v>
      </c>
      <c r="B8" s="174"/>
      <c r="C8" s="174"/>
      <c r="D8" s="174"/>
      <c r="E8" s="174"/>
      <c r="F8" s="175" t="str">
        <f>IF(OR($F$7='Drop Down Menus'!B2,$F$7='Drop Down Menus'!$B$3),'Drop Down Menus'!$D$9,IFERROR(VLOOKUP($F$5,GAAP02Aindex!$A$2:$D$900,4,FALSE),"Unidentified"))</f>
        <v>PROPRIETARY FUND</v>
      </c>
      <c r="G8" s="175"/>
      <c r="H8" s="175"/>
      <c r="I8" s="175"/>
      <c r="L8" s="45"/>
      <c r="M8" s="44"/>
      <c r="N8" s="44"/>
      <c r="P8" s="26"/>
    </row>
    <row r="9" spans="1:17" x14ac:dyDescent="0.25">
      <c r="H9" s="141"/>
      <c r="L9" s="45"/>
      <c r="M9" s="44"/>
      <c r="N9" s="44"/>
      <c r="Q9" s="27"/>
    </row>
    <row r="10" spans="1:17" x14ac:dyDescent="0.3">
      <c r="H10" s="141"/>
      <c r="J10" s="46"/>
      <c r="L10" s="45"/>
      <c r="M10" s="44"/>
      <c r="N10" s="44"/>
    </row>
    <row r="11" spans="1:17" ht="15.6" x14ac:dyDescent="0.3">
      <c r="A11" s="152"/>
      <c r="B11" s="152"/>
      <c r="C11" s="152"/>
      <c r="D11" s="152"/>
      <c r="E11" s="152"/>
      <c r="F11" s="155"/>
      <c r="G11" s="155"/>
      <c r="H11" s="155"/>
      <c r="I11" s="155"/>
      <c r="J11" s="155"/>
      <c r="L11" s="45"/>
      <c r="M11" s="44"/>
      <c r="N11" s="44"/>
    </row>
    <row r="12" spans="1:17" ht="21" x14ac:dyDescent="0.4">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4"/>
      <c r="M12" s="44"/>
    </row>
    <row r="13" spans="1:17" ht="16.5" customHeight="1" x14ac:dyDescent="0.25">
      <c r="A13" s="47" t="s">
        <v>9</v>
      </c>
      <c r="H13" s="141"/>
      <c r="L13" s="48"/>
    </row>
    <row r="14" spans="1:17" ht="16.5" customHeight="1" x14ac:dyDescent="0.35">
      <c r="A14" s="49">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8"/>
    </row>
    <row r="15" spans="1:17" ht="16.5" customHeight="1" x14ac:dyDescent="0.25">
      <c r="B15" s="166" t="s">
        <v>10</v>
      </c>
      <c r="C15" s="166"/>
      <c r="D15" s="166"/>
      <c r="E15" s="166"/>
      <c r="F15" s="166"/>
      <c r="G15" s="166"/>
      <c r="H15" s="166"/>
      <c r="I15" s="166"/>
      <c r="J15" s="31">
        <v>14973</v>
      </c>
      <c r="K15" s="32"/>
    </row>
    <row r="16" spans="1:17" ht="16.5" hidden="1" customHeight="1" x14ac:dyDescent="0.25">
      <c r="A16" s="50"/>
      <c r="B16" s="166" t="s">
        <v>11</v>
      </c>
      <c r="C16" s="166"/>
      <c r="D16" s="166"/>
      <c r="E16" s="166"/>
      <c r="F16" s="166"/>
      <c r="G16" s="166"/>
      <c r="H16" s="166"/>
      <c r="I16" s="166"/>
      <c r="J16" s="31"/>
      <c r="K16" s="32"/>
    </row>
    <row r="17" spans="1:17" ht="16.5" customHeight="1" x14ac:dyDescent="0.25">
      <c r="A17" s="50"/>
      <c r="B17" s="166" t="s">
        <v>12</v>
      </c>
      <c r="C17" s="166"/>
      <c r="D17" s="166"/>
      <c r="E17" s="166"/>
      <c r="F17" s="166"/>
      <c r="G17" s="166"/>
      <c r="H17" s="166"/>
      <c r="I17" s="166"/>
      <c r="J17" s="31"/>
      <c r="K17" s="32"/>
    </row>
    <row r="18" spans="1:17" ht="16.5" hidden="1" customHeight="1" x14ac:dyDescent="0.25">
      <c r="A18" s="50"/>
      <c r="B18" s="151"/>
      <c r="C18" s="166" t="s">
        <v>13</v>
      </c>
      <c r="D18" s="166"/>
      <c r="E18" s="166"/>
      <c r="F18" s="166"/>
      <c r="G18" s="166"/>
      <c r="H18" s="166"/>
      <c r="I18" s="166"/>
      <c r="J18" s="32"/>
      <c r="K18" s="31"/>
    </row>
    <row r="19" spans="1:17" ht="16.5" customHeight="1" x14ac:dyDescent="0.3">
      <c r="A19" s="50"/>
      <c r="B19" s="142"/>
      <c r="C19" s="166" t="s">
        <v>14</v>
      </c>
      <c r="D19" s="166"/>
      <c r="E19" s="166"/>
      <c r="F19" s="166"/>
      <c r="G19" s="166"/>
      <c r="H19" s="166"/>
      <c r="I19" s="166"/>
      <c r="J19" s="32"/>
      <c r="K19" s="31">
        <v>14973</v>
      </c>
      <c r="P19" s="26"/>
    </row>
    <row r="20" spans="1:17" ht="16.5" hidden="1" customHeight="1" x14ac:dyDescent="0.3">
      <c r="A20" s="50"/>
      <c r="B20" s="142"/>
      <c r="C20" s="166" t="s">
        <v>15</v>
      </c>
      <c r="D20" s="166"/>
      <c r="E20" s="166"/>
      <c r="F20" s="166"/>
      <c r="G20" s="166"/>
      <c r="H20" s="166"/>
      <c r="I20" s="166"/>
      <c r="K20" s="31"/>
      <c r="Q20" s="27"/>
    </row>
    <row r="21" spans="1:17" ht="16.5" customHeight="1" x14ac:dyDescent="0.3">
      <c r="A21" s="50"/>
      <c r="B21" s="142"/>
      <c r="C21" s="166" t="s">
        <v>16</v>
      </c>
      <c r="D21" s="166"/>
      <c r="E21" s="166"/>
      <c r="F21" s="166"/>
      <c r="G21" s="166"/>
      <c r="H21" s="166"/>
      <c r="I21" s="166"/>
      <c r="J21" s="32"/>
      <c r="K21" s="31"/>
      <c r="Q21" s="27"/>
    </row>
    <row r="22" spans="1:17" ht="16.5" customHeight="1" x14ac:dyDescent="0.3">
      <c r="A22" s="50"/>
      <c r="B22" s="51"/>
      <c r="C22" s="51"/>
      <c r="D22" s="51"/>
      <c r="E22" s="51"/>
      <c r="F22" s="51"/>
      <c r="G22" s="51"/>
      <c r="H22" s="51"/>
      <c r="I22" s="51"/>
      <c r="J22" s="28">
        <f>ROUND(SUM(J15:J17),2)</f>
        <v>14973</v>
      </c>
      <c r="K22" s="28">
        <f>ROUND(SUM(K18:K21),2)</f>
        <v>14973</v>
      </c>
      <c r="L22" s="48" t="str">
        <f>IF(J22=K22,"&lt;- Debits and Credits equal each other.","&lt;- Debits and Credits do not equal each other.")</f>
        <v>&lt;- Debits and Credits equal each other.</v>
      </c>
    </row>
    <row r="23" spans="1:17" ht="16.5" customHeight="1" x14ac:dyDescent="0.3">
      <c r="A23" s="50"/>
      <c r="B23" s="52"/>
      <c r="C23" s="52"/>
      <c r="D23" s="52"/>
      <c r="E23" s="52"/>
      <c r="F23" s="52"/>
      <c r="G23" s="52"/>
      <c r="H23" s="52"/>
      <c r="I23" s="52"/>
      <c r="J23" s="5"/>
      <c r="K23" s="5"/>
      <c r="L23" s="48"/>
    </row>
    <row r="24" spans="1:17" ht="16.5" customHeight="1" x14ac:dyDescent="0.3">
      <c r="A24" s="1"/>
      <c r="B24" s="167" t="s">
        <v>17</v>
      </c>
      <c r="C24" s="167"/>
      <c r="D24" s="167"/>
      <c r="E24" s="167"/>
      <c r="F24" s="167"/>
      <c r="G24" s="167"/>
      <c r="H24" s="167"/>
      <c r="I24" s="167"/>
      <c r="J24" s="167"/>
      <c r="K24" s="167"/>
      <c r="L24" s="48"/>
    </row>
    <row r="25" spans="1:17" ht="16.5" customHeight="1" x14ac:dyDescent="0.3">
      <c r="A25" s="1"/>
      <c r="B25" s="53"/>
      <c r="C25" s="150"/>
      <c r="D25" s="54"/>
      <c r="E25" s="54"/>
      <c r="F25" s="6"/>
      <c r="G25" s="6"/>
      <c r="H25" s="55"/>
      <c r="I25" s="55"/>
      <c r="J25" s="5"/>
      <c r="K25" s="5"/>
      <c r="L25" s="48"/>
    </row>
    <row r="26" spans="1:17" ht="20.25" customHeight="1" x14ac:dyDescent="0.4">
      <c r="A26" s="154" t="str">
        <f>IF($F$3="2022–2023","Record SBITAs Commenced on or after 07/02/2022","Record New SBITAs (new SBITAs only)")</f>
        <v>Record SBITAs Commenced on or after 07/02/2022</v>
      </c>
      <c r="B26" s="56"/>
      <c r="C26" s="57"/>
      <c r="D26" s="57"/>
      <c r="E26" s="57"/>
      <c r="F26" s="29"/>
      <c r="G26" s="29"/>
      <c r="H26" s="58"/>
      <c r="I26" s="58"/>
      <c r="J26" s="29"/>
      <c r="K26" s="29"/>
      <c r="L26" s="48"/>
    </row>
    <row r="27" spans="1:17" ht="18" x14ac:dyDescent="0.35">
      <c r="A27" s="49">
        <v>1</v>
      </c>
      <c r="B27" s="164" t="s">
        <v>18</v>
      </c>
      <c r="C27" s="165"/>
      <c r="D27" s="165"/>
      <c r="E27" s="165"/>
      <c r="F27" s="165"/>
      <c r="G27" s="165"/>
      <c r="H27" s="165"/>
      <c r="I27" s="165"/>
      <c r="J27" s="165"/>
      <c r="K27" s="165"/>
      <c r="L27" s="48"/>
    </row>
    <row r="28" spans="1:17" ht="16.5" customHeight="1" x14ac:dyDescent="0.25">
      <c r="A28" s="50"/>
      <c r="B28" s="166" t="s">
        <v>19</v>
      </c>
      <c r="C28" s="166"/>
      <c r="D28" s="166"/>
      <c r="E28" s="166"/>
      <c r="F28" s="166"/>
      <c r="G28" s="166"/>
      <c r="H28" s="166"/>
      <c r="I28" s="166"/>
      <c r="J28" s="31"/>
      <c r="K28" s="32"/>
      <c r="L28" s="48"/>
    </row>
    <row r="29" spans="1:17" ht="16.5" customHeight="1" x14ac:dyDescent="0.3">
      <c r="A29" s="50"/>
      <c r="B29" s="142"/>
      <c r="C29" s="166" t="s">
        <v>20</v>
      </c>
      <c r="D29" s="166"/>
      <c r="E29" s="166"/>
      <c r="F29" s="166"/>
      <c r="G29" s="166"/>
      <c r="H29" s="166"/>
      <c r="I29" s="166"/>
      <c r="J29" s="32"/>
      <c r="K29" s="31"/>
      <c r="L29" s="48"/>
    </row>
    <row r="30" spans="1:17" ht="16.5" customHeight="1" x14ac:dyDescent="0.3">
      <c r="A30" s="50"/>
      <c r="B30" s="142"/>
      <c r="C30" s="166" t="str">
        <f>VLOOKUP($F$8,'Drop Down Menus'!$D$2:$G$10,4,FALSE)</f>
        <v>Cr: Acct 0870 - SERVICES &amp; CHARGES (MG ADJ)</v>
      </c>
      <c r="D30" s="166"/>
      <c r="E30" s="166"/>
      <c r="F30" s="166"/>
      <c r="G30" s="166"/>
      <c r="H30" s="166"/>
      <c r="I30" s="166"/>
      <c r="J30" s="32"/>
      <c r="K30" s="31"/>
    </row>
    <row r="31" spans="1:17" ht="16.5" customHeight="1" x14ac:dyDescent="0.3">
      <c r="A31" s="59"/>
      <c r="B31" s="51"/>
      <c r="C31" s="51"/>
      <c r="D31" s="51"/>
      <c r="E31" s="51"/>
      <c r="F31" s="51"/>
      <c r="G31" s="51"/>
      <c r="H31" s="51"/>
      <c r="I31" s="51"/>
      <c r="J31" s="28">
        <f>ROUND(SUM(J28:J30),2)</f>
        <v>0</v>
      </c>
      <c r="K31" s="28">
        <f>ROUND(SUM(K28:K30),2)</f>
        <v>0</v>
      </c>
      <c r="L31" s="48" t="str">
        <f>IF(J31=K31,"&lt;- Debits and Credits equal each other.","&lt;- Debits and Credits do not equal each other.")</f>
        <v>&lt;- Debits and Credits equal each other.</v>
      </c>
    </row>
    <row r="32" spans="1:17" ht="16.5" customHeight="1" x14ac:dyDescent="0.3">
      <c r="A32" s="1"/>
      <c r="B32" s="60"/>
      <c r="C32" s="60"/>
      <c r="D32" s="60"/>
      <c r="E32" s="60"/>
      <c r="F32" s="60"/>
      <c r="G32" s="60"/>
      <c r="H32" s="60"/>
      <c r="I32" s="60"/>
      <c r="J32" s="5"/>
      <c r="K32" s="5"/>
      <c r="L32" s="48"/>
    </row>
    <row r="33" spans="1:12" ht="16.5" customHeight="1" x14ac:dyDescent="0.35">
      <c r="A33" s="49">
        <v>2</v>
      </c>
      <c r="B33" s="172" t="s">
        <v>21</v>
      </c>
      <c r="C33" s="173"/>
      <c r="D33" s="173"/>
      <c r="E33" s="173"/>
      <c r="F33" s="173"/>
      <c r="G33" s="173"/>
      <c r="H33" s="173"/>
      <c r="I33" s="173"/>
      <c r="J33" s="173"/>
      <c r="K33" s="173"/>
      <c r="L33" s="48"/>
    </row>
    <row r="34" spans="1:12" ht="16.5" customHeight="1" x14ac:dyDescent="0.35">
      <c r="A34" s="59"/>
      <c r="B34" s="166" t="s">
        <v>10</v>
      </c>
      <c r="C34" s="166"/>
      <c r="D34" s="166"/>
      <c r="E34" s="166"/>
      <c r="F34" s="166"/>
      <c r="G34" s="166"/>
      <c r="H34" s="166"/>
      <c r="I34" s="166"/>
      <c r="J34" s="31"/>
      <c r="K34" s="139"/>
      <c r="L34" s="48"/>
    </row>
    <row r="35" spans="1:12" ht="16.5" customHeight="1" x14ac:dyDescent="0.25">
      <c r="B35" s="166" t="s">
        <v>22</v>
      </c>
      <c r="C35" s="166"/>
      <c r="D35" s="166"/>
      <c r="E35" s="166"/>
      <c r="F35" s="166"/>
      <c r="G35" s="166"/>
      <c r="H35" s="166"/>
      <c r="I35" s="166"/>
      <c r="J35" s="31"/>
      <c r="K35" s="35"/>
    </row>
    <row r="36" spans="1:12" ht="16.5" customHeight="1" x14ac:dyDescent="0.25">
      <c r="A36" s="50"/>
      <c r="B36" s="61"/>
      <c r="C36" s="166" t="s">
        <v>23</v>
      </c>
      <c r="D36" s="166"/>
      <c r="E36" s="166"/>
      <c r="F36" s="166"/>
      <c r="G36" s="166"/>
      <c r="H36" s="166"/>
      <c r="I36" s="166"/>
      <c r="J36" s="35"/>
      <c r="K36" s="31"/>
    </row>
    <row r="37" spans="1:12" ht="16.5" customHeight="1" x14ac:dyDescent="0.25">
      <c r="A37" s="50"/>
      <c r="C37" s="166" t="s">
        <v>14</v>
      </c>
      <c r="D37" s="166"/>
      <c r="E37" s="166"/>
      <c r="F37" s="166"/>
      <c r="G37" s="166"/>
      <c r="H37" s="166"/>
      <c r="I37" s="166"/>
      <c r="J37" s="35"/>
      <c r="K37" s="31"/>
    </row>
    <row r="38" spans="1:12" ht="16.5" customHeight="1" x14ac:dyDescent="0.3">
      <c r="A38" s="50"/>
      <c r="B38" s="142"/>
      <c r="C38" s="166" t="str">
        <f>VLOOKUP($F$8,'Drop Down Menus'!$D$2:$G$10,4,FALSE)</f>
        <v>Cr: Acct 0870 - SERVICES &amp; CHARGES (MG ADJ)</v>
      </c>
      <c r="D38" s="166"/>
      <c r="E38" s="166"/>
      <c r="F38" s="166"/>
      <c r="G38" s="166"/>
      <c r="H38" s="166"/>
      <c r="I38" s="166"/>
      <c r="J38" s="35"/>
      <c r="K38" s="31"/>
    </row>
    <row r="39" spans="1:12" ht="16.5" customHeight="1" x14ac:dyDescent="0.25">
      <c r="A39" s="50"/>
      <c r="B39" s="62"/>
      <c r="C39" s="62"/>
      <c r="D39" s="62"/>
      <c r="E39" s="62"/>
      <c r="F39" s="62"/>
      <c r="G39" s="62"/>
      <c r="H39" s="62"/>
      <c r="I39" s="62"/>
      <c r="J39" s="28">
        <f>ROUND(SUM(J34:J35),2)</f>
        <v>0</v>
      </c>
      <c r="K39" s="28">
        <f>ROUND(SUM(K36:K38),2)</f>
        <v>0</v>
      </c>
      <c r="L39" s="48" t="str">
        <f>IF(J39=K39,"&lt;- Debits and Credits equal each other.","&lt;- Debits and Credits do not equal each other.")</f>
        <v>&lt;- Debits and Credits equal each other.</v>
      </c>
    </row>
    <row r="40" spans="1:12" ht="16.5" customHeight="1" x14ac:dyDescent="0.3">
      <c r="A40" s="50"/>
      <c r="B40" s="52"/>
      <c r="C40" s="52"/>
      <c r="D40" s="52"/>
      <c r="E40" s="52"/>
      <c r="F40" s="52"/>
      <c r="G40" s="52"/>
      <c r="H40" s="52"/>
      <c r="I40" s="52"/>
      <c r="J40" s="63"/>
      <c r="K40" s="63"/>
      <c r="L40" s="48"/>
    </row>
    <row r="41" spans="1:12" ht="16.5" customHeight="1" x14ac:dyDescent="0.3">
      <c r="A41" s="59"/>
      <c r="B41" s="167" t="s">
        <v>24</v>
      </c>
      <c r="C41" s="167"/>
      <c r="D41" s="167"/>
      <c r="E41" s="167"/>
      <c r="F41" s="167"/>
      <c r="G41" s="167"/>
      <c r="H41" s="167"/>
      <c r="I41" s="167"/>
      <c r="J41" s="167"/>
      <c r="K41" s="167"/>
      <c r="L41" s="48"/>
    </row>
    <row r="42" spans="1:12" ht="16.5" customHeight="1" x14ac:dyDescent="0.3">
      <c r="A42" s="59"/>
      <c r="B42" s="60"/>
      <c r="C42" s="60"/>
      <c r="D42" s="60"/>
      <c r="E42" s="60"/>
      <c r="F42" s="60"/>
      <c r="G42" s="60"/>
      <c r="H42" s="60"/>
      <c r="I42" s="60"/>
      <c r="J42" s="63"/>
      <c r="K42" s="63"/>
      <c r="L42" s="48"/>
    </row>
    <row r="43" spans="1:12" ht="20.25" customHeight="1" x14ac:dyDescent="0.4">
      <c r="A43" s="154" t="s">
        <v>25</v>
      </c>
      <c r="B43" s="64"/>
      <c r="C43" s="65"/>
      <c r="D43" s="65"/>
      <c r="E43" s="65"/>
      <c r="F43" s="25"/>
      <c r="G43" s="25"/>
      <c r="H43" s="66"/>
      <c r="I43" s="66"/>
      <c r="J43" s="25"/>
      <c r="K43" s="25"/>
      <c r="L43" s="48"/>
    </row>
    <row r="44" spans="1:12" ht="16.5" customHeight="1" x14ac:dyDescent="0.35">
      <c r="A44" s="49">
        <v>3</v>
      </c>
      <c r="B44" s="156" t="s">
        <v>26</v>
      </c>
      <c r="C44" s="67"/>
      <c r="D44" s="67"/>
      <c r="E44" s="67"/>
      <c r="F44" s="30"/>
      <c r="G44" s="30"/>
      <c r="H44" s="68"/>
      <c r="I44" s="68"/>
      <c r="J44" s="30"/>
      <c r="K44" s="30"/>
      <c r="L44" s="48"/>
    </row>
    <row r="45" spans="1:12" ht="16.5" customHeight="1" x14ac:dyDescent="0.25">
      <c r="A45" s="50"/>
      <c r="B45" s="166" t="s">
        <v>27</v>
      </c>
      <c r="C45" s="166"/>
      <c r="D45" s="166"/>
      <c r="E45" s="166"/>
      <c r="F45" s="166"/>
      <c r="G45" s="166"/>
      <c r="H45" s="166"/>
      <c r="I45" s="166"/>
      <c r="J45" s="31">
        <v>11495</v>
      </c>
      <c r="K45" s="32"/>
    </row>
    <row r="46" spans="1:12" ht="16.5" customHeight="1" x14ac:dyDescent="0.25">
      <c r="A46" s="50"/>
      <c r="B46" s="61"/>
      <c r="C46" s="166" t="s">
        <v>13</v>
      </c>
      <c r="D46" s="166"/>
      <c r="E46" s="166"/>
      <c r="F46" s="166"/>
      <c r="G46" s="166"/>
      <c r="H46" s="166"/>
      <c r="I46" s="166"/>
      <c r="J46" s="35"/>
      <c r="K46" s="31">
        <f>J45</f>
        <v>11495</v>
      </c>
    </row>
    <row r="47" spans="1:12" ht="16.5" customHeight="1" x14ac:dyDescent="0.3">
      <c r="A47" s="59"/>
      <c r="B47" s="51"/>
      <c r="C47" s="51"/>
      <c r="D47" s="51"/>
      <c r="E47" s="51"/>
      <c r="F47" s="51"/>
      <c r="G47" s="51"/>
      <c r="H47" s="51"/>
      <c r="I47" s="51"/>
      <c r="J47" s="38">
        <f>ROUND(SUM(J45:J45),2)</f>
        <v>11495</v>
      </c>
      <c r="K47" s="38">
        <f>ROUND(SUM(K46),2)</f>
        <v>11495</v>
      </c>
      <c r="L47" s="48" t="str">
        <f>IF(J47=K47,"&lt;- Debits and Credits equal each other.","&lt;- Debits and Credits do not equal each other.")</f>
        <v>&lt;- Debits and Credits equal each other.</v>
      </c>
    </row>
    <row r="48" spans="1:12" ht="16.5" customHeight="1" x14ac:dyDescent="0.3">
      <c r="A48" s="59"/>
      <c r="B48" s="69"/>
      <c r="C48" s="69"/>
      <c r="D48" s="69"/>
      <c r="E48" s="69"/>
      <c r="F48" s="69"/>
      <c r="G48" s="69"/>
      <c r="H48" s="69"/>
      <c r="I48" s="69"/>
      <c r="J48" s="5"/>
      <c r="K48" s="5"/>
      <c r="L48" s="48"/>
    </row>
    <row r="49" spans="1:12" ht="16.5" customHeight="1" x14ac:dyDescent="0.35">
      <c r="A49" s="49">
        <v>4</v>
      </c>
      <c r="B49" s="156" t="s">
        <v>28</v>
      </c>
      <c r="C49" s="54"/>
      <c r="D49" s="54"/>
      <c r="E49" s="54"/>
      <c r="F49" s="6"/>
      <c r="G49" s="6"/>
      <c r="H49" s="55"/>
      <c r="I49" s="55"/>
      <c r="J49" s="5"/>
      <c r="K49" s="5"/>
      <c r="L49" s="48"/>
    </row>
    <row r="50" spans="1:12" ht="16.5" customHeight="1" x14ac:dyDescent="0.25">
      <c r="A50" s="50"/>
      <c r="B50" s="166" t="s">
        <v>29</v>
      </c>
      <c r="C50" s="166"/>
      <c r="D50" s="166"/>
      <c r="E50" s="166"/>
      <c r="F50" s="166"/>
      <c r="G50" s="166"/>
      <c r="H50" s="166"/>
      <c r="I50" s="166"/>
      <c r="J50" s="36">
        <v>11461</v>
      </c>
      <c r="K50" s="70"/>
    </row>
    <row r="51" spans="1:12" ht="16.5" customHeight="1" x14ac:dyDescent="0.25">
      <c r="A51" s="50"/>
      <c r="B51" s="166" t="str">
        <f>IF(OR($F$7="Proprietary - Internal Service Fund",$F$7="Proprietary - Enterprise Fund"),"Dr: Acct 0894 - INTEREST EXPENSE AND FISCAL CHARGES","Dr: Acct 0851 - DEBT SERVICE - INTEREST LEASES")</f>
        <v>Dr: Acct 0894 - INTEREST EXPENSE AND FISCAL CHARGES</v>
      </c>
      <c r="C51" s="166"/>
      <c r="D51" s="166"/>
      <c r="E51" s="166"/>
      <c r="F51" s="166"/>
      <c r="G51" s="166"/>
      <c r="H51" s="166"/>
      <c r="I51" s="166"/>
      <c r="J51" s="36">
        <v>204</v>
      </c>
      <c r="K51" s="70"/>
    </row>
    <row r="52" spans="1:12" ht="16.5" customHeight="1" x14ac:dyDescent="0.3">
      <c r="A52" s="50"/>
      <c r="B52" s="142"/>
      <c r="C52" s="166" t="str">
        <f>VLOOKUP($F$8,'Drop Down Menus'!$D$2:$G$10,4,FALSE)</f>
        <v>Cr: Acct 0870 - SERVICES &amp; CHARGES (MG ADJ)</v>
      </c>
      <c r="D52" s="166"/>
      <c r="E52" s="166"/>
      <c r="F52" s="166"/>
      <c r="G52" s="166"/>
      <c r="H52" s="166"/>
      <c r="I52" s="166"/>
      <c r="J52" s="70"/>
      <c r="K52" s="37">
        <f>+J50+J51</f>
        <v>11665</v>
      </c>
    </row>
    <row r="53" spans="1:12" ht="16.5" customHeight="1" x14ac:dyDescent="0.3">
      <c r="A53" s="59"/>
      <c r="B53" s="51"/>
      <c r="C53" s="51"/>
      <c r="D53" s="51"/>
      <c r="E53" s="51"/>
      <c r="F53" s="51"/>
      <c r="G53" s="51"/>
      <c r="H53" s="51"/>
      <c r="I53" s="51"/>
      <c r="J53" s="38">
        <f>ROUND(SUM(J50:J51),2)</f>
        <v>11665</v>
      </c>
      <c r="K53" s="38">
        <f>ROUND(SUM(K52,),2)</f>
        <v>11665</v>
      </c>
      <c r="L53" s="48" t="str">
        <f>IF(J53=K53,"&lt;- Debits and Credits equal each other.","&lt;- Debits and Credits do not equal each other.")</f>
        <v>&lt;- Debits and Credits equal each other.</v>
      </c>
    </row>
    <row r="54" spans="1:12" ht="16.5" customHeight="1" x14ac:dyDescent="0.3">
      <c r="A54" s="1"/>
      <c r="B54" s="150"/>
      <c r="C54" s="150"/>
      <c r="D54" s="150"/>
      <c r="E54" s="150"/>
      <c r="F54" s="150"/>
      <c r="G54" s="150"/>
      <c r="H54" s="150"/>
      <c r="I54" s="150"/>
      <c r="J54" s="5"/>
      <c r="K54" s="5"/>
      <c r="L54" s="48"/>
    </row>
    <row r="55" spans="1:12" ht="16.5" customHeight="1" x14ac:dyDescent="0.35">
      <c r="A55" s="49">
        <v>5</v>
      </c>
      <c r="B55" s="156" t="s">
        <v>30</v>
      </c>
      <c r="C55" s="71"/>
      <c r="D55" s="71"/>
      <c r="E55" s="71"/>
      <c r="F55" s="4"/>
      <c r="G55" s="4"/>
      <c r="H55" s="72"/>
      <c r="I55" s="72"/>
      <c r="J55" s="5"/>
      <c r="K55" s="5"/>
      <c r="L55" s="48"/>
    </row>
    <row r="56" spans="1:12" ht="16.5" customHeight="1" x14ac:dyDescent="0.25">
      <c r="A56" s="50"/>
      <c r="B56" s="166" t="s">
        <v>31</v>
      </c>
      <c r="C56" s="166"/>
      <c r="D56" s="166"/>
      <c r="E56" s="166"/>
      <c r="F56" s="166"/>
      <c r="G56" s="166"/>
      <c r="H56" s="166"/>
      <c r="I56" s="166"/>
      <c r="J56" s="31">
        <f>K57</f>
        <v>11461</v>
      </c>
      <c r="K56" s="35"/>
    </row>
    <row r="57" spans="1:12" ht="16.5" customHeight="1" x14ac:dyDescent="0.3">
      <c r="A57" s="50"/>
      <c r="B57" s="142"/>
      <c r="C57" s="166" t="s">
        <v>32</v>
      </c>
      <c r="D57" s="166"/>
      <c r="E57" s="166"/>
      <c r="F57" s="166"/>
      <c r="G57" s="166"/>
      <c r="H57" s="166"/>
      <c r="I57" s="166"/>
      <c r="J57" s="35"/>
      <c r="K57" s="31">
        <f>J50</f>
        <v>11461</v>
      </c>
    </row>
    <row r="58" spans="1:12" ht="16.5" customHeight="1" x14ac:dyDescent="0.3">
      <c r="A58" s="59"/>
      <c r="B58" s="51"/>
      <c r="C58" s="51"/>
      <c r="D58" s="51"/>
      <c r="E58" s="51"/>
      <c r="F58" s="51"/>
      <c r="G58" s="51"/>
      <c r="H58" s="51"/>
      <c r="I58" s="51"/>
      <c r="J58" s="38">
        <f>ROUND(SUM(J56:J56),2)</f>
        <v>11461</v>
      </c>
      <c r="K58" s="38">
        <f>ROUND(SUM(K57),2)</f>
        <v>11461</v>
      </c>
      <c r="L58" s="48" t="str">
        <f>IF(J58=K58,"&lt;- Debits and Credits equal each other.","&lt;- Debits and Credits do not equal each other.")</f>
        <v>&lt;- Debits and Credits equal each other.</v>
      </c>
    </row>
    <row r="59" spans="1:12" ht="16.5" customHeight="1" x14ac:dyDescent="0.3">
      <c r="A59" s="1"/>
      <c r="B59" s="69"/>
      <c r="C59" s="69"/>
      <c r="D59" s="69"/>
      <c r="E59" s="69"/>
      <c r="F59" s="69"/>
      <c r="G59" s="69"/>
      <c r="H59" s="69"/>
      <c r="I59" s="69"/>
      <c r="J59" s="5"/>
      <c r="K59" s="5"/>
      <c r="L59" s="48"/>
    </row>
    <row r="60" spans="1:12" ht="16.5" customHeight="1" x14ac:dyDescent="0.35">
      <c r="A60" s="49">
        <v>6</v>
      </c>
      <c r="B60" s="156" t="s">
        <v>33</v>
      </c>
      <c r="C60" s="71"/>
      <c r="D60" s="71"/>
      <c r="E60" s="71"/>
      <c r="F60" s="4"/>
      <c r="G60" s="4"/>
      <c r="H60" s="72"/>
      <c r="I60" s="72"/>
      <c r="J60" s="5"/>
      <c r="K60" s="5"/>
      <c r="L60" s="48"/>
    </row>
    <row r="61" spans="1:12" ht="16.5" customHeight="1" x14ac:dyDescent="0.25">
      <c r="B61" s="166" t="s">
        <v>31</v>
      </c>
      <c r="C61" s="166"/>
      <c r="D61" s="166"/>
      <c r="E61" s="166"/>
      <c r="F61" s="166"/>
      <c r="G61" s="166"/>
      <c r="H61" s="166"/>
      <c r="I61" s="166"/>
      <c r="J61" s="40">
        <v>3512</v>
      </c>
      <c r="K61" s="32"/>
    </row>
    <row r="62" spans="1:12" ht="16.5" customHeight="1" x14ac:dyDescent="0.3">
      <c r="A62" s="50"/>
      <c r="B62" s="142"/>
      <c r="C62" s="166" t="s">
        <v>34</v>
      </c>
      <c r="D62" s="166"/>
      <c r="E62" s="166"/>
      <c r="F62" s="166"/>
      <c r="G62" s="166"/>
      <c r="H62" s="166"/>
      <c r="I62" s="166"/>
      <c r="J62" s="32"/>
      <c r="K62" s="31">
        <f>J61</f>
        <v>3512</v>
      </c>
    </row>
    <row r="63" spans="1:12" ht="16.5" customHeight="1" x14ac:dyDescent="0.25">
      <c r="A63" s="50"/>
      <c r="B63" s="171" t="s">
        <v>35</v>
      </c>
      <c r="C63" s="171"/>
      <c r="D63" s="171"/>
      <c r="E63" s="171"/>
      <c r="F63" s="171"/>
      <c r="G63" s="171"/>
      <c r="H63" s="171"/>
      <c r="I63" s="171"/>
      <c r="J63" s="38">
        <f>ROUND(SUM(J61:J61),2)</f>
        <v>3512</v>
      </c>
      <c r="K63" s="38">
        <f>ROUND(SUM(K62),2)</f>
        <v>3512</v>
      </c>
      <c r="L63" s="48" t="str">
        <f>IF(J63=K63,"&lt;- Debits and Credits equal each other.","&lt;- Debits and Credits do not equal each other.")</f>
        <v>&lt;- Debits and Credits equal each other.</v>
      </c>
    </row>
    <row r="64" spans="1:12" ht="16.5" customHeight="1" x14ac:dyDescent="0.25">
      <c r="A64" s="50"/>
      <c r="B64" s="171"/>
      <c r="C64" s="171"/>
      <c r="D64" s="171"/>
      <c r="E64" s="171"/>
      <c r="F64" s="171"/>
      <c r="G64" s="171"/>
      <c r="H64" s="171"/>
      <c r="I64" s="171"/>
      <c r="J64" s="38"/>
      <c r="K64" s="38"/>
      <c r="L64" s="48"/>
    </row>
    <row r="65" spans="1:12" ht="16.5" customHeight="1" x14ac:dyDescent="0.3">
      <c r="A65" s="50"/>
      <c r="B65" s="51"/>
      <c r="C65" s="51"/>
      <c r="D65" s="51"/>
      <c r="E65" s="51"/>
      <c r="F65" s="51"/>
      <c r="G65" s="51"/>
      <c r="H65" s="51"/>
      <c r="I65" s="51"/>
      <c r="J65" s="5"/>
      <c r="K65" s="5"/>
      <c r="L65" s="48"/>
    </row>
    <row r="66" spans="1:12" ht="20.25" hidden="1" customHeight="1" x14ac:dyDescent="0.4">
      <c r="A66" s="154" t="s">
        <v>36</v>
      </c>
      <c r="B66" s="56"/>
      <c r="C66" s="57"/>
      <c r="D66" s="57"/>
      <c r="E66" s="57"/>
      <c r="F66" s="29"/>
      <c r="G66" s="29"/>
      <c r="H66" s="58"/>
      <c r="I66" s="58"/>
      <c r="J66" s="29"/>
      <c r="K66" s="29"/>
      <c r="L66" s="48"/>
    </row>
    <row r="67" spans="1:12" ht="16.5" hidden="1" customHeight="1" x14ac:dyDescent="0.35">
      <c r="A67" s="49">
        <v>7</v>
      </c>
      <c r="B67" s="156" t="s">
        <v>37</v>
      </c>
    </row>
    <row r="68" spans="1:12" ht="16.5" hidden="1" customHeight="1" x14ac:dyDescent="0.25">
      <c r="B68" s="170" t="s">
        <v>38</v>
      </c>
      <c r="C68" s="170"/>
      <c r="D68" s="170"/>
      <c r="E68" s="170"/>
      <c r="F68" s="170"/>
      <c r="G68" s="170"/>
      <c r="H68" s="170"/>
      <c r="I68" s="170"/>
      <c r="J68" s="40"/>
      <c r="K68" s="33"/>
      <c r="L68" s="48"/>
    </row>
    <row r="69" spans="1:12" ht="16.5" hidden="1" customHeight="1" x14ac:dyDescent="0.25">
      <c r="A69" s="50"/>
      <c r="B69" s="73"/>
      <c r="C69" s="170" t="s">
        <v>39</v>
      </c>
      <c r="D69" s="170"/>
      <c r="E69" s="170"/>
      <c r="F69" s="170"/>
      <c r="G69" s="170"/>
      <c r="H69" s="170"/>
      <c r="I69" s="170"/>
      <c r="J69" s="34"/>
      <c r="K69" s="40">
        <f>J68</f>
        <v>0</v>
      </c>
    </row>
    <row r="70" spans="1:12" ht="16.5" hidden="1" customHeight="1" x14ac:dyDescent="0.3">
      <c r="B70" s="51"/>
      <c r="H70" s="141"/>
      <c r="J70" s="28">
        <f>SUM(J68)</f>
        <v>0</v>
      </c>
      <c r="K70" s="28">
        <f>SUM(K69)</f>
        <v>0</v>
      </c>
      <c r="L70" s="48" t="str">
        <f>IF(J70=K70,"&lt;- Debits and Credits equal each other.","&lt;- Debits and Credits do not equal each other.")</f>
        <v>&lt;- Debits and Credits equal each other.</v>
      </c>
    </row>
    <row r="71" spans="1:12" ht="16.5" hidden="1" customHeight="1" x14ac:dyDescent="0.3">
      <c r="B71" s="60"/>
      <c r="H71" s="141"/>
    </row>
    <row r="72" spans="1:12" ht="16.5" hidden="1" customHeight="1" x14ac:dyDescent="0.3">
      <c r="A72" s="50"/>
      <c r="B72" s="167" t="s">
        <v>40</v>
      </c>
      <c r="C72" s="167"/>
      <c r="D72" s="167"/>
      <c r="E72" s="167"/>
      <c r="F72" s="167"/>
      <c r="G72" s="167"/>
      <c r="H72" s="167"/>
      <c r="I72" s="167"/>
      <c r="J72" s="167"/>
      <c r="K72" s="167"/>
      <c r="L72" s="48"/>
    </row>
    <row r="73" spans="1:12" ht="16.5" hidden="1" customHeight="1" x14ac:dyDescent="0.3">
      <c r="A73" s="50"/>
      <c r="H73" s="141"/>
      <c r="J73" s="5"/>
      <c r="K73" s="5"/>
      <c r="L73" s="48"/>
    </row>
    <row r="74" spans="1:12" ht="20.25" hidden="1" customHeight="1" x14ac:dyDescent="0.3">
      <c r="A74" s="74" t="s">
        <v>41</v>
      </c>
      <c r="B74" s="75"/>
      <c r="C74" s="76"/>
      <c r="D74" s="76"/>
      <c r="E74" s="76"/>
      <c r="F74" s="39"/>
      <c r="G74" s="39"/>
      <c r="H74" s="77"/>
      <c r="I74" s="77"/>
      <c r="J74" s="39"/>
      <c r="K74" s="39"/>
      <c r="L74" s="48"/>
    </row>
    <row r="75" spans="1:12" ht="16.5" hidden="1" customHeight="1" x14ac:dyDescent="0.35">
      <c r="A75" s="49">
        <v>8</v>
      </c>
      <c r="B75" s="168" t="s">
        <v>42</v>
      </c>
      <c r="C75" s="169"/>
      <c r="D75" s="169"/>
      <c r="E75" s="169"/>
      <c r="F75" s="169"/>
      <c r="G75" s="169"/>
      <c r="H75" s="169"/>
      <c r="I75" s="169"/>
      <c r="J75" s="169"/>
      <c r="K75" s="169"/>
      <c r="L75" s="48"/>
    </row>
    <row r="76" spans="1:12" ht="16.5" hidden="1" customHeight="1" x14ac:dyDescent="0.25">
      <c r="B76" s="166" t="s">
        <v>14</v>
      </c>
      <c r="C76" s="166"/>
      <c r="D76" s="166"/>
      <c r="E76" s="166"/>
      <c r="F76" s="166"/>
      <c r="G76" s="166"/>
      <c r="H76" s="166"/>
      <c r="I76" s="166"/>
      <c r="J76" s="40"/>
    </row>
    <row r="77" spans="1:12" ht="16.5" hidden="1" customHeight="1" x14ac:dyDescent="0.25">
      <c r="B77" s="170" t="s">
        <v>38</v>
      </c>
      <c r="C77" s="170"/>
      <c r="D77" s="170"/>
      <c r="E77" s="170"/>
      <c r="F77" s="170"/>
      <c r="G77" s="170"/>
      <c r="H77" s="170"/>
      <c r="I77" s="170"/>
      <c r="J77" s="40"/>
    </row>
    <row r="78" spans="1:12" ht="16.5" hidden="1" customHeight="1" x14ac:dyDescent="0.25">
      <c r="B78" s="166" t="s">
        <v>153</v>
      </c>
      <c r="C78" s="166"/>
      <c r="D78" s="166"/>
      <c r="E78" s="166"/>
      <c r="F78" s="166"/>
      <c r="G78" s="166"/>
      <c r="H78" s="166"/>
      <c r="I78" s="166"/>
      <c r="J78" s="40"/>
    </row>
    <row r="79" spans="1:12" ht="16.5" hidden="1" customHeight="1" x14ac:dyDescent="0.25">
      <c r="C79" s="170" t="s">
        <v>39</v>
      </c>
      <c r="D79" s="170"/>
      <c r="E79" s="170"/>
      <c r="F79" s="170"/>
      <c r="G79" s="170"/>
      <c r="H79" s="170"/>
      <c r="I79" s="170"/>
      <c r="K79" s="40"/>
    </row>
    <row r="80" spans="1:12" ht="16.5" hidden="1" customHeight="1" x14ac:dyDescent="0.25">
      <c r="C80" s="166" t="s">
        <v>153</v>
      </c>
      <c r="D80" s="166"/>
      <c r="E80" s="166"/>
      <c r="F80" s="166"/>
      <c r="G80" s="166"/>
      <c r="H80" s="166"/>
      <c r="I80" s="166"/>
      <c r="K80" s="40"/>
    </row>
    <row r="81" spans="1:12" ht="16.5" hidden="1" customHeight="1" x14ac:dyDescent="0.3">
      <c r="B81" s="52"/>
      <c r="H81" s="141"/>
      <c r="J81" s="28">
        <f>ROUND(SUM(J76:J78),2)</f>
        <v>0</v>
      </c>
      <c r="K81" s="28">
        <f>ROUND(SUM(K79:K80),2)</f>
        <v>0</v>
      </c>
      <c r="L81" s="48" t="str">
        <f>IF(J81=K81,"&lt;- Debits and Credits equal each other.","&lt;- Debits and Credits do not equal each other.")</f>
        <v>&lt;- Debits and Credits equal each other.</v>
      </c>
    </row>
    <row r="82" spans="1:12" ht="16.5" hidden="1" customHeight="1" x14ac:dyDescent="0.3">
      <c r="H82" s="141"/>
    </row>
    <row r="83" spans="1:12" ht="16.5" hidden="1" customHeight="1" x14ac:dyDescent="0.35">
      <c r="A83" s="49">
        <v>9</v>
      </c>
      <c r="B83" s="164" t="s">
        <v>43</v>
      </c>
      <c r="C83" s="165"/>
      <c r="D83" s="165"/>
      <c r="E83" s="165"/>
      <c r="F83" s="165"/>
      <c r="G83" s="165"/>
      <c r="H83" s="165"/>
      <c r="I83" s="165"/>
      <c r="J83" s="165"/>
      <c r="K83" s="165"/>
    </row>
    <row r="84" spans="1:12" ht="16.5" hidden="1" customHeight="1" x14ac:dyDescent="0.25">
      <c r="B84" s="166" t="s">
        <v>10</v>
      </c>
      <c r="C84" s="166"/>
      <c r="D84" s="166"/>
      <c r="E84" s="166"/>
      <c r="F84" s="166"/>
      <c r="G84" s="166"/>
      <c r="H84" s="166"/>
      <c r="I84" s="166"/>
      <c r="J84" s="40"/>
    </row>
    <row r="85" spans="1:12" ht="16.5" hidden="1" customHeight="1" x14ac:dyDescent="0.25">
      <c r="C85" s="166" t="s">
        <v>14</v>
      </c>
      <c r="D85" s="166"/>
      <c r="E85" s="166"/>
      <c r="F85" s="166"/>
      <c r="G85" s="166"/>
      <c r="H85" s="166"/>
      <c r="I85" s="166"/>
      <c r="K85" s="40"/>
    </row>
    <row r="86" spans="1:12" ht="16.5" hidden="1" customHeight="1" x14ac:dyDescent="0.25">
      <c r="H86" s="141"/>
      <c r="J86" s="28">
        <f>SUM(J84)</f>
        <v>0</v>
      </c>
      <c r="K86" s="28">
        <f>SUM(K85)</f>
        <v>0</v>
      </c>
      <c r="L86" s="48" t="str">
        <f>IF(J86=K86,"&lt;- Debits and Credits equal each other.","&lt;- Debits and Credits do not equal each other.")</f>
        <v>&lt;- Debits and Credits equal each other.</v>
      </c>
    </row>
    <row r="87" spans="1:12" ht="16.5" hidden="1" customHeight="1" x14ac:dyDescent="0.3">
      <c r="H87" s="141"/>
    </row>
    <row r="88" spans="1:12" ht="16.5" hidden="1" customHeight="1" x14ac:dyDescent="0.3">
      <c r="B88" s="167" t="s">
        <v>44</v>
      </c>
      <c r="C88" s="167"/>
      <c r="D88" s="167"/>
      <c r="E88" s="167"/>
      <c r="F88" s="167"/>
      <c r="G88" s="167"/>
      <c r="H88" s="167"/>
      <c r="I88" s="167"/>
      <c r="J88" s="167"/>
      <c r="K88" s="167"/>
    </row>
    <row r="89" spans="1:12" ht="16.5" hidden="1" customHeight="1" x14ac:dyDescent="0.3">
      <c r="B89" s="153"/>
      <c r="C89" s="153"/>
      <c r="D89" s="153"/>
      <c r="E89" s="153"/>
      <c r="F89" s="153"/>
      <c r="G89" s="153"/>
      <c r="H89" s="153"/>
      <c r="I89" s="153"/>
      <c r="J89" s="153"/>
      <c r="K89" s="153"/>
    </row>
    <row r="90" spans="1:12" ht="16.5" customHeight="1" x14ac:dyDescent="0.3">
      <c r="A90" s="74"/>
      <c r="B90" s="75"/>
      <c r="C90" s="76"/>
      <c r="D90" s="76"/>
      <c r="E90" s="76"/>
      <c r="F90" s="39"/>
      <c r="G90" s="39"/>
      <c r="H90" s="77"/>
      <c r="I90" s="77"/>
      <c r="J90" s="39"/>
      <c r="K90" s="39"/>
    </row>
    <row r="91" spans="1:12" ht="16.5" customHeight="1" x14ac:dyDescent="0.3">
      <c r="H91" s="141"/>
    </row>
    <row r="92" spans="1:12" ht="20.25" customHeight="1" x14ac:dyDescent="0.4">
      <c r="D92" s="143" t="s">
        <v>45</v>
      </c>
      <c r="E92" s="144"/>
      <c r="F92" s="145"/>
      <c r="G92" s="145"/>
      <c r="H92" s="145"/>
      <c r="I92" s="146"/>
      <c r="J92" s="146"/>
      <c r="K92" s="147"/>
    </row>
    <row r="93" spans="1:12" ht="16.5" customHeight="1" x14ac:dyDescent="0.3">
      <c r="D93"/>
      <c r="E93"/>
      <c r="F93"/>
      <c r="G93"/>
      <c r="H93" s="141"/>
      <c r="I93"/>
      <c r="J93"/>
      <c r="K93" s="149" t="s">
        <v>46</v>
      </c>
    </row>
    <row r="94" spans="1:12" ht="16.5" customHeight="1" x14ac:dyDescent="0.3">
      <c r="D94" s="142" t="s">
        <v>47</v>
      </c>
      <c r="E94"/>
      <c r="F94"/>
      <c r="G94"/>
      <c r="H94" s="141"/>
      <c r="I94"/>
      <c r="J94"/>
      <c r="K94" s="148">
        <f>+J15+J34-K69+J76-K85</f>
        <v>14973</v>
      </c>
    </row>
    <row r="95" spans="1:12" ht="16.5" customHeight="1" x14ac:dyDescent="0.3">
      <c r="D95" s="142" t="s">
        <v>48</v>
      </c>
      <c r="E95"/>
      <c r="F95"/>
      <c r="G95"/>
      <c r="H95" s="141"/>
      <c r="I95"/>
      <c r="J95"/>
      <c r="K95" s="148">
        <f>-K18-K46+J68+J77</f>
        <v>-11495</v>
      </c>
    </row>
    <row r="96" spans="1:12" ht="16.5" customHeight="1" x14ac:dyDescent="0.3">
      <c r="D96" s="142" t="s">
        <v>49</v>
      </c>
      <c r="E96"/>
      <c r="F96"/>
      <c r="G96"/>
      <c r="H96" s="141"/>
      <c r="I96"/>
      <c r="J96"/>
      <c r="K96" s="148">
        <f>-K19-K37+J56+J61+J76-K85</f>
        <v>0</v>
      </c>
    </row>
    <row r="97" spans="1:11" ht="16.5" customHeight="1" x14ac:dyDescent="0.3">
      <c r="D97" s="142" t="s">
        <v>50</v>
      </c>
      <c r="E97"/>
      <c r="F97"/>
      <c r="G97"/>
      <c r="H97" s="141"/>
      <c r="I97"/>
      <c r="J97"/>
      <c r="K97" s="148">
        <f>-K62</f>
        <v>-3512</v>
      </c>
    </row>
    <row r="98" spans="1:11" ht="16.5" customHeight="1" x14ac:dyDescent="0.3">
      <c r="H98" s="141"/>
    </row>
    <row r="99" spans="1:11" ht="16.5" customHeight="1" x14ac:dyDescent="0.3">
      <c r="A99" s="74"/>
      <c r="B99" s="75"/>
      <c r="C99" s="76"/>
      <c r="D99" s="76"/>
      <c r="E99" s="76"/>
      <c r="F99" s="39"/>
      <c r="G99" s="39"/>
      <c r="H99" s="77"/>
      <c r="I99" s="77"/>
      <c r="J99" s="39"/>
      <c r="K99" s="39"/>
    </row>
    <row r="100" spans="1:11" ht="16.5" hidden="1" customHeight="1" x14ac:dyDescent="0.3">
      <c r="H100" s="141"/>
    </row>
    <row r="101" spans="1:11" ht="16.5" hidden="1" customHeight="1" x14ac:dyDescent="0.3">
      <c r="H101" s="141"/>
    </row>
    <row r="102" spans="1:11" ht="16.5" hidden="1" customHeight="1" x14ac:dyDescent="0.3">
      <c r="H102" s="141"/>
    </row>
    <row r="103" spans="1:11" ht="16.5" hidden="1" customHeight="1" x14ac:dyDescent="0.3">
      <c r="H103" s="141"/>
    </row>
    <row r="104" spans="1:11" ht="16.5" hidden="1" customHeight="1" x14ac:dyDescent="0.3">
      <c r="H104" s="141"/>
    </row>
    <row r="105" spans="1:11" ht="16.5" hidden="1" customHeight="1" x14ac:dyDescent="0.3">
      <c r="H105" s="141"/>
    </row>
    <row r="106" spans="1:11" ht="16.5" hidden="1" customHeight="1" x14ac:dyDescent="0.3">
      <c r="H106" s="141"/>
    </row>
    <row r="107" spans="1:11" ht="16.5" hidden="1" customHeight="1" x14ac:dyDescent="0.3">
      <c r="H107" s="141"/>
    </row>
    <row r="108" spans="1:11" ht="16.5" hidden="1" customHeight="1" x14ac:dyDescent="0.3">
      <c r="H108" s="141"/>
    </row>
    <row r="109" spans="1:11" ht="16.5" hidden="1" customHeight="1" x14ac:dyDescent="0.3">
      <c r="H109" s="141"/>
    </row>
    <row r="110" spans="1:11" ht="16.5" hidden="1" customHeight="1" x14ac:dyDescent="0.3">
      <c r="H110" s="141"/>
    </row>
    <row r="111" spans="1:11" ht="16.5" hidden="1" customHeight="1" x14ac:dyDescent="0.3">
      <c r="H111" s="141"/>
    </row>
    <row r="112" spans="1:11" ht="16.5" hidden="1" customHeight="1" x14ac:dyDescent="0.3">
      <c r="H112" s="141"/>
    </row>
    <row r="113" spans="8:8" ht="16.5" hidden="1" customHeight="1" x14ac:dyDescent="0.3">
      <c r="H113" s="141"/>
    </row>
    <row r="114" spans="8:8" ht="16.5" hidden="1" customHeight="1" x14ac:dyDescent="0.3">
      <c r="H114" s="141"/>
    </row>
    <row r="115" spans="8:8" ht="16.5" hidden="1" customHeight="1" x14ac:dyDescent="0.3">
      <c r="H115" s="141"/>
    </row>
  </sheetData>
  <sheetProtection algorithmName="SHA-512" hashValue="ddCGh8kfnB8IVBz5dyGzvMURWJ20RlA05Ers2jHPgiwMQHBFfkCGyUP+GLQyVPzjbSDcLYRk+4+iDLqPsi307g==" saltValue="DeMayJSwlytFNnyTf6Uutg==" spinCount="100000" sheet="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4">
    <dataValidation type="textLength" operator="equal" allowBlank="1" showInputMessage="1" showErrorMessage="1" errorTitle="4-Digit Org Code" error="Enter the Org Code/BU as 4 digits." sqref="F5" xr:uid="{00000000-0002-0000-1200-000000000000}">
      <formula1>4</formula1>
    </dataValidation>
    <dataValidation type="textLength" operator="lessThan" allowBlank="1" showInputMessage="1" showErrorMessage="1" sqref="E11 A6:A8" xr:uid="{00000000-0002-0000-1200-000001000000}">
      <formula1>0</formula1>
    </dataValidation>
    <dataValidation operator="lessThan" allowBlank="1" showInputMessage="1" showErrorMessage="1" sqref="A3:A5 A7:A8 A11" xr:uid="{00000000-0002-0000-1200-000002000000}"/>
    <dataValidation type="list" allowBlank="1" showInputMessage="1" showErrorMessage="1" sqref="F7 F3" xr:uid="{00000000-0002-0000-1200-000003000000}"/>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3">
    <tabColor rgb="FF92D050"/>
    <pageSetUpPr fitToPage="1"/>
  </sheetPr>
  <dimension ref="A1:K101"/>
  <sheetViews>
    <sheetView topLeftCell="A27" zoomScaleNormal="100" workbookViewId="0">
      <selection activeCell="B49" sqref="B49"/>
    </sheetView>
  </sheetViews>
  <sheetFormatPr defaultColWidth="8.88671875" defaultRowHeight="15" x14ac:dyDescent="0.25"/>
  <cols>
    <col min="1" max="1" width="33.44140625" style="1" customWidth="1"/>
    <col min="2" max="3" width="33.6640625" style="1" customWidth="1"/>
    <col min="4" max="4" width="92.109375" style="1" customWidth="1"/>
    <col min="5" max="16384" width="8.88671875" style="1"/>
  </cols>
  <sheetData>
    <row r="1" spans="1:11" ht="21" customHeight="1" x14ac:dyDescent="0.25">
      <c r="A1" s="189" t="s">
        <v>51</v>
      </c>
      <c r="B1" s="189"/>
      <c r="C1" s="189"/>
      <c r="D1" s="189"/>
    </row>
    <row r="2" spans="1:11" ht="21.75" customHeight="1" x14ac:dyDescent="0.25">
      <c r="A2" s="189"/>
      <c r="B2" s="189"/>
      <c r="C2" s="189"/>
      <c r="D2" s="189"/>
      <c r="E2" s="41"/>
      <c r="F2" s="41"/>
      <c r="G2" s="41"/>
      <c r="H2" s="41"/>
      <c r="I2" s="41"/>
      <c r="J2" s="41"/>
    </row>
    <row r="3" spans="1:11" ht="32.25" customHeight="1" x14ac:dyDescent="0.3">
      <c r="A3" s="193" t="s">
        <v>52</v>
      </c>
      <c r="B3" s="193"/>
      <c r="C3" s="193"/>
      <c r="D3" s="193"/>
      <c r="E3" s="78"/>
      <c r="F3" s="78"/>
      <c r="G3" s="78"/>
      <c r="H3" s="78"/>
      <c r="I3" s="78"/>
      <c r="J3" s="78"/>
      <c r="K3" s="78"/>
    </row>
    <row r="4" spans="1:11" ht="15.75" customHeight="1" x14ac:dyDescent="0.3">
      <c r="A4" s="184" t="s">
        <v>53</v>
      </c>
      <c r="B4" s="184"/>
      <c r="C4" s="184"/>
      <c r="D4" s="184"/>
      <c r="E4" s="78"/>
      <c r="F4" s="78"/>
      <c r="G4" s="78"/>
      <c r="H4" s="78"/>
      <c r="I4" s="78"/>
      <c r="J4" s="78"/>
      <c r="K4" s="78"/>
    </row>
    <row r="5" spans="1:11" ht="15.75" customHeight="1" x14ac:dyDescent="0.3">
      <c r="A5" s="185" t="s">
        <v>54</v>
      </c>
      <c r="B5" s="185"/>
      <c r="C5" s="185"/>
      <c r="D5" s="158"/>
      <c r="E5" s="78"/>
      <c r="F5" s="78"/>
      <c r="G5" s="78"/>
      <c r="H5" s="78"/>
      <c r="I5" s="78"/>
      <c r="J5" s="78"/>
      <c r="K5" s="78"/>
    </row>
    <row r="6" spans="1:11" ht="15.75" customHeight="1" x14ac:dyDescent="0.3">
      <c r="A6" s="185"/>
      <c r="B6" s="185"/>
      <c r="C6" s="185"/>
      <c r="D6" s="158"/>
      <c r="E6" s="78"/>
      <c r="F6" s="78"/>
      <c r="G6" s="78"/>
      <c r="H6" s="78"/>
      <c r="I6" s="78"/>
      <c r="J6" s="78"/>
      <c r="K6" s="78"/>
    </row>
    <row r="7" spans="1:11" ht="15.75" customHeight="1" x14ac:dyDescent="0.3">
      <c r="A7" s="185" t="s">
        <v>55</v>
      </c>
      <c r="B7" s="185"/>
      <c r="C7" s="185"/>
      <c r="D7" s="158"/>
      <c r="E7" s="78"/>
      <c r="F7" s="78"/>
      <c r="G7" s="78"/>
      <c r="H7" s="78"/>
      <c r="I7" s="78"/>
      <c r="J7" s="78"/>
      <c r="K7" s="78"/>
    </row>
    <row r="8" spans="1:11" ht="15.75" customHeight="1" x14ac:dyDescent="0.3">
      <c r="A8" s="185"/>
      <c r="B8" s="185"/>
      <c r="C8" s="185"/>
      <c r="D8" s="158"/>
      <c r="E8" s="78"/>
      <c r="F8" s="78"/>
      <c r="G8" s="78"/>
      <c r="H8" s="78"/>
      <c r="I8" s="78"/>
      <c r="J8" s="78"/>
      <c r="K8" s="78"/>
    </row>
    <row r="9" spans="1:11" ht="15.6" x14ac:dyDescent="0.3">
      <c r="A9" s="158"/>
      <c r="B9" s="158"/>
      <c r="C9" s="158"/>
      <c r="D9" s="158"/>
      <c r="E9" s="78"/>
      <c r="F9" s="78"/>
      <c r="G9" s="78"/>
      <c r="H9" s="78"/>
      <c r="I9" s="78"/>
      <c r="J9" s="78"/>
      <c r="K9" s="78"/>
    </row>
    <row r="10" spans="1:11" ht="15.6" x14ac:dyDescent="0.3">
      <c r="A10" s="79" t="s">
        <v>56</v>
      </c>
      <c r="B10" s="78"/>
      <c r="C10" s="78"/>
      <c r="D10" s="78"/>
      <c r="E10" s="78"/>
      <c r="F10" s="78"/>
      <c r="G10" s="78"/>
      <c r="H10" s="78"/>
      <c r="I10" s="78"/>
      <c r="J10" s="78"/>
      <c r="K10" s="78"/>
    </row>
    <row r="11" spans="1:11" ht="15.6" x14ac:dyDescent="0.3">
      <c r="A11" s="80" t="s">
        <v>57</v>
      </c>
      <c r="B11" s="187" t="s">
        <v>3</v>
      </c>
      <c r="C11" s="187"/>
    </row>
    <row r="12" spans="1:11" ht="15" customHeight="1" x14ac:dyDescent="0.3">
      <c r="A12" s="80" t="s">
        <v>58</v>
      </c>
      <c r="B12" s="188">
        <v>820</v>
      </c>
      <c r="C12" s="188"/>
    </row>
    <row r="13" spans="1:11" ht="15.6" x14ac:dyDescent="0.3">
      <c r="A13" s="80" t="s">
        <v>59</v>
      </c>
      <c r="B13" s="192" t="s">
        <v>1642</v>
      </c>
      <c r="C13" s="192"/>
      <c r="E13" s="157"/>
      <c r="F13" s="157"/>
      <c r="G13" s="157"/>
      <c r="H13" s="157"/>
      <c r="I13" s="157"/>
      <c r="J13" s="157"/>
      <c r="K13" s="157"/>
    </row>
    <row r="14" spans="1:11" ht="23.25" customHeight="1" x14ac:dyDescent="0.3">
      <c r="A14" s="186" t="s">
        <v>60</v>
      </c>
      <c r="B14" s="186"/>
      <c r="C14" s="186"/>
      <c r="E14" s="157"/>
      <c r="F14" s="157"/>
      <c r="G14" s="157"/>
      <c r="H14" s="157"/>
      <c r="I14" s="157"/>
      <c r="J14" s="157"/>
      <c r="K14" s="157"/>
    </row>
    <row r="15" spans="1:11" ht="15" customHeight="1" x14ac:dyDescent="0.3">
      <c r="A15" s="81"/>
      <c r="B15" s="81" t="s">
        <v>61</v>
      </c>
      <c r="C15" s="81" t="s">
        <v>62</v>
      </c>
      <c r="D15" s="82" t="str">
        <f>"All of the below questions are for Fiscal Year "&amp;$B$11&amp;":"</f>
        <v>All of the below questions are for Fiscal Year 2022–2023:</v>
      </c>
    </row>
    <row r="16" spans="1:11" ht="15" customHeight="1" x14ac:dyDescent="0.25">
      <c r="A16" s="81" t="str">
        <f>RIGHT(B11,4)&amp;"–"&amp;RIGHT(B11,4)+1</f>
        <v>2023–2024</v>
      </c>
      <c r="B16" s="2">
        <f>1289517</f>
        <v>1289517</v>
      </c>
      <c r="C16" s="2">
        <v>33305</v>
      </c>
      <c r="D16" s="183" t="s">
        <v>63</v>
      </c>
      <c r="E16" s="83"/>
      <c r="F16" s="83"/>
      <c r="G16" s="83"/>
      <c r="H16" s="83"/>
      <c r="I16" s="83"/>
      <c r="J16" s="83"/>
      <c r="K16" s="83"/>
    </row>
    <row r="17" spans="1:11" ht="15" customHeight="1" x14ac:dyDescent="0.25">
      <c r="A17" s="81" t="str">
        <f>LEFT(A16,4)+1&amp;"–"&amp;RIGHT(A16,4)+1</f>
        <v>2024–2025</v>
      </c>
      <c r="B17" s="2">
        <f>441387</f>
        <v>441387</v>
      </c>
      <c r="C17" s="2">
        <v>12192</v>
      </c>
      <c r="D17" s="183"/>
      <c r="E17" s="83"/>
      <c r="F17" s="83"/>
      <c r="G17" s="83"/>
      <c r="H17" s="83"/>
      <c r="I17" s="83"/>
      <c r="J17" s="83"/>
      <c r="K17" s="83"/>
    </row>
    <row r="18" spans="1:11" ht="15" customHeight="1" x14ac:dyDescent="0.25">
      <c r="A18" s="81" t="str">
        <f>LEFT(A17,4)+1&amp;"–"&amp;RIGHT(A17,4)+1</f>
        <v>2025–2026</v>
      </c>
      <c r="B18" s="2">
        <f>97925</f>
        <v>97925</v>
      </c>
      <c r="C18" s="2">
        <v>4999</v>
      </c>
      <c r="D18" s="140" t="s">
        <v>113</v>
      </c>
      <c r="E18" s="83"/>
      <c r="F18" s="83"/>
      <c r="G18" s="83"/>
      <c r="H18" s="83"/>
      <c r="I18" s="83"/>
      <c r="J18" s="83"/>
      <c r="K18" s="83"/>
    </row>
    <row r="19" spans="1:11" ht="15" customHeight="1" x14ac:dyDescent="0.25">
      <c r="A19" s="81" t="str">
        <f>LEFT(A18,4)+1&amp;"–"&amp;RIGHT(A18,4)+1</f>
        <v>2026–2027</v>
      </c>
      <c r="B19" s="2">
        <f>102139</f>
        <v>102139</v>
      </c>
      <c r="C19" s="2">
        <v>2603</v>
      </c>
      <c r="D19" s="159" t="str">
        <f>"If yes, record the dollar amount of variable payments below for fiscal year "&amp;$B$11&amp;":"</f>
        <v>If yes, record the dollar amount of variable payments below for fiscal year 2022–2023:</v>
      </c>
      <c r="E19" s="83"/>
      <c r="F19" s="83"/>
      <c r="G19" s="83"/>
      <c r="H19" s="83"/>
      <c r="I19" s="83"/>
      <c r="J19" s="83"/>
      <c r="K19" s="83"/>
    </row>
    <row r="20" spans="1:11" ht="15" customHeight="1" x14ac:dyDescent="0.25">
      <c r="A20" s="81" t="str">
        <f>LEFT(A19,4)+1&amp;"–"&amp;RIGHT(A19,4)+1</f>
        <v>2027–2028</v>
      </c>
      <c r="B20" s="2">
        <v>52928</v>
      </c>
      <c r="C20" s="2">
        <v>371</v>
      </c>
      <c r="D20" s="24">
        <v>0</v>
      </c>
      <c r="E20" s="83"/>
      <c r="F20" s="83"/>
      <c r="G20" s="83"/>
      <c r="H20" s="83"/>
      <c r="I20" s="83"/>
      <c r="J20" s="83"/>
      <c r="K20" s="83"/>
    </row>
    <row r="21" spans="1:11" ht="15" customHeight="1" x14ac:dyDescent="0.3">
      <c r="A21" s="81"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2"/>
      <c r="F21" s="82"/>
      <c r="G21" s="82"/>
      <c r="H21" s="82"/>
      <c r="I21" s="82"/>
      <c r="J21" s="82"/>
      <c r="K21" s="82"/>
    </row>
    <row r="22" spans="1:11" ht="15" customHeight="1" x14ac:dyDescent="0.3">
      <c r="A22" s="81" t="str">
        <f t="shared" ref="A22:A39" si="0">LEFT(A21,4)+5&amp;"–"&amp;RIGHT(A21,4)+5</f>
        <v>2033–2038</v>
      </c>
      <c r="B22" s="2"/>
      <c r="C22" s="2"/>
      <c r="D22" s="182"/>
      <c r="E22" s="82"/>
      <c r="F22" s="82"/>
      <c r="G22" s="82"/>
      <c r="H22" s="82"/>
      <c r="I22" s="82"/>
      <c r="J22" s="82"/>
      <c r="K22" s="82"/>
    </row>
    <row r="23" spans="1:11" ht="15" customHeight="1" x14ac:dyDescent="0.3">
      <c r="A23" s="81" t="str">
        <f t="shared" si="0"/>
        <v>2038–2043</v>
      </c>
      <c r="B23" s="2"/>
      <c r="C23" s="2"/>
      <c r="D23" s="23" t="s">
        <v>1644</v>
      </c>
      <c r="E23" s="82"/>
      <c r="F23" s="82"/>
      <c r="G23" s="82"/>
      <c r="H23" s="82"/>
      <c r="I23" s="82"/>
      <c r="J23" s="82"/>
      <c r="K23" s="82"/>
    </row>
    <row r="24" spans="1:11" ht="15" customHeight="1" x14ac:dyDescent="0.25">
      <c r="A24" s="81"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6" x14ac:dyDescent="0.25">
      <c r="A25" s="81" t="str">
        <f t="shared" si="0"/>
        <v>2048–2053</v>
      </c>
      <c r="B25" s="2"/>
      <c r="C25" s="2"/>
      <c r="D25" s="182"/>
      <c r="E25" s="84"/>
      <c r="F25" s="84"/>
      <c r="G25" s="84"/>
      <c r="H25" s="84"/>
      <c r="I25" s="84"/>
      <c r="J25" s="84"/>
      <c r="K25" s="84"/>
    </row>
    <row r="26" spans="1:11" ht="15" customHeight="1" x14ac:dyDescent="0.25">
      <c r="A26" s="81" t="str">
        <f t="shared" si="0"/>
        <v>2053–2058</v>
      </c>
      <c r="B26" s="2"/>
      <c r="C26" s="2"/>
      <c r="D26" s="23" t="s">
        <v>113</v>
      </c>
      <c r="E26" s="85"/>
      <c r="F26" s="85"/>
      <c r="G26" s="85"/>
      <c r="H26" s="85"/>
      <c r="I26" s="85"/>
    </row>
    <row r="27" spans="1:11" ht="15" customHeight="1" x14ac:dyDescent="0.25">
      <c r="A27" s="81" t="str">
        <f t="shared" si="0"/>
        <v>2058–2063</v>
      </c>
      <c r="B27" s="2"/>
      <c r="C27" s="2"/>
      <c r="D27" s="182" t="str">
        <f>"4. Are there any SBITA commitments known that have yet to commence as of June 30, "&amp;RIGHT($B$11,4)&amp;"?"</f>
        <v>4. Are there any SBITA commitments known that have yet to commence as of June 30, 2023?</v>
      </c>
      <c r="E27" s="85"/>
      <c r="F27" s="85"/>
      <c r="G27" s="85"/>
      <c r="H27" s="85"/>
      <c r="I27" s="85"/>
    </row>
    <row r="28" spans="1:11" ht="15" customHeight="1" x14ac:dyDescent="0.3">
      <c r="A28" s="81" t="str">
        <f t="shared" si="0"/>
        <v>2063–2068</v>
      </c>
      <c r="B28" s="2"/>
      <c r="C28" s="2"/>
      <c r="D28" s="182"/>
      <c r="E28" s="82"/>
      <c r="F28" s="82"/>
      <c r="G28" s="82"/>
      <c r="H28" s="82"/>
      <c r="I28" s="82"/>
      <c r="J28" s="82"/>
      <c r="K28" s="82"/>
    </row>
    <row r="29" spans="1:11" ht="15.75" customHeight="1" x14ac:dyDescent="0.25">
      <c r="A29" s="81" t="str">
        <f t="shared" si="0"/>
        <v>2068–2073</v>
      </c>
      <c r="B29" s="2"/>
      <c r="C29" s="2"/>
      <c r="D29" s="140" t="s">
        <v>113</v>
      </c>
    </row>
    <row r="30" spans="1:11" ht="15.75" customHeight="1" x14ac:dyDescent="0.25">
      <c r="A30" s="81"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84"/>
      <c r="F30" s="84"/>
      <c r="G30" s="84"/>
      <c r="H30" s="84"/>
      <c r="I30" s="84"/>
      <c r="J30" s="84"/>
      <c r="K30" s="84"/>
    </row>
    <row r="31" spans="1:11" ht="15" customHeight="1" x14ac:dyDescent="0.25">
      <c r="A31" s="81" t="str">
        <f t="shared" si="0"/>
        <v>2078–2083</v>
      </c>
      <c r="B31" s="2"/>
      <c r="C31" s="2"/>
      <c r="D31" s="182"/>
    </row>
    <row r="32" spans="1:11" ht="15" customHeight="1" x14ac:dyDescent="0.25">
      <c r="A32" s="81" t="str">
        <f t="shared" si="0"/>
        <v>2083–2088</v>
      </c>
      <c r="B32" s="2"/>
      <c r="C32" s="2"/>
      <c r="D32" s="23">
        <v>0</v>
      </c>
    </row>
    <row r="33" spans="1:11" x14ac:dyDescent="0.25">
      <c r="A33" s="81" t="str">
        <f t="shared" si="0"/>
        <v>2088–2093</v>
      </c>
      <c r="B33" s="2"/>
      <c r="C33" s="2"/>
    </row>
    <row r="34" spans="1:11" x14ac:dyDescent="0.25">
      <c r="A34" s="81" t="str">
        <f t="shared" si="0"/>
        <v>2093–2098</v>
      </c>
      <c r="B34" s="2"/>
      <c r="C34" s="2"/>
    </row>
    <row r="35" spans="1:11" ht="15" customHeight="1" x14ac:dyDescent="0.25">
      <c r="A35" s="81" t="str">
        <f t="shared" si="0"/>
        <v>2098–2103</v>
      </c>
      <c r="B35" s="2"/>
      <c r="C35" s="2"/>
    </row>
    <row r="36" spans="1:11" x14ac:dyDescent="0.25">
      <c r="A36" s="81" t="str">
        <f t="shared" si="0"/>
        <v>2103–2108</v>
      </c>
      <c r="B36" s="2"/>
      <c r="C36" s="2"/>
    </row>
    <row r="37" spans="1:11" ht="15" customHeight="1" x14ac:dyDescent="0.25">
      <c r="A37" s="81" t="str">
        <f t="shared" si="0"/>
        <v>2108–2113</v>
      </c>
      <c r="B37" s="2"/>
      <c r="C37" s="2"/>
    </row>
    <row r="38" spans="1:11" ht="15.6" x14ac:dyDescent="0.25">
      <c r="A38" s="81" t="str">
        <f t="shared" si="0"/>
        <v>2113–2118</v>
      </c>
      <c r="B38" s="2"/>
      <c r="C38" s="2"/>
      <c r="E38" s="86"/>
      <c r="F38" s="86"/>
      <c r="G38" s="86"/>
      <c r="H38" s="86"/>
      <c r="I38" s="86"/>
      <c r="J38" s="86"/>
      <c r="K38" s="86"/>
    </row>
    <row r="39" spans="1:11" ht="15.6" x14ac:dyDescent="0.25">
      <c r="A39" s="81" t="str">
        <f t="shared" si="0"/>
        <v>2118–2123</v>
      </c>
      <c r="B39" s="2"/>
      <c r="C39" s="2"/>
      <c r="E39" s="86"/>
      <c r="F39" s="86"/>
      <c r="G39" s="86"/>
      <c r="H39" s="86"/>
      <c r="I39" s="86"/>
      <c r="J39" s="86"/>
      <c r="K39" s="86"/>
    </row>
    <row r="40" spans="1:11" ht="15.6" x14ac:dyDescent="0.25">
      <c r="E40" s="86"/>
      <c r="F40" s="86"/>
      <c r="G40" s="86"/>
      <c r="H40" s="86"/>
      <c r="I40" s="86"/>
      <c r="J40" s="86"/>
      <c r="K40" s="86"/>
    </row>
    <row r="41" spans="1:11" ht="15.6" x14ac:dyDescent="0.3">
      <c r="A41" s="79" t="s">
        <v>64</v>
      </c>
    </row>
    <row r="42" spans="1:11" ht="15.6" x14ac:dyDescent="0.3">
      <c r="A42" s="80" t="s">
        <v>57</v>
      </c>
      <c r="B42" s="191" t="str">
        <f>B11</f>
        <v>2022–2023</v>
      </c>
      <c r="C42" s="191"/>
    </row>
    <row r="43" spans="1:11" ht="15.75" customHeight="1" x14ac:dyDescent="0.3">
      <c r="A43" s="80" t="s">
        <v>58</v>
      </c>
      <c r="B43" s="190">
        <f>B12</f>
        <v>820</v>
      </c>
      <c r="C43" s="190"/>
    </row>
    <row r="44" spans="1:11" ht="15.6" x14ac:dyDescent="0.3">
      <c r="A44" s="80" t="s">
        <v>59</v>
      </c>
      <c r="B44" s="191" t="str">
        <f>B13</f>
        <v>Department of Justice</v>
      </c>
      <c r="C44" s="191"/>
    </row>
    <row r="45" spans="1:11" ht="15.6" x14ac:dyDescent="0.3">
      <c r="A45" s="186" t="s">
        <v>60</v>
      </c>
      <c r="B45" s="186"/>
      <c r="C45" s="186"/>
    </row>
    <row r="46" spans="1:11" ht="15" customHeight="1" x14ac:dyDescent="0.3">
      <c r="A46" s="81"/>
      <c r="B46" s="81" t="s">
        <v>61</v>
      </c>
      <c r="C46" s="81" t="s">
        <v>62</v>
      </c>
      <c r="D46" s="82" t="str">
        <f>"All of the below questions are for Fiscal Year "&amp;$B$11&amp;":"</f>
        <v>All of the below questions are for Fiscal Year 2022–2023:</v>
      </c>
    </row>
    <row r="47" spans="1:11" x14ac:dyDescent="0.25">
      <c r="A47" s="81" t="str">
        <f>RIGHT(B42,4)&amp;"–"&amp;RIGHT(B42,4)+1</f>
        <v>2023–2024</v>
      </c>
      <c r="B47" s="2">
        <v>100721</v>
      </c>
      <c r="C47" s="2">
        <v>1559</v>
      </c>
      <c r="D47" s="182" t="s">
        <v>63</v>
      </c>
    </row>
    <row r="48" spans="1:11" ht="15" customHeight="1" x14ac:dyDescent="0.25">
      <c r="A48" s="81" t="str">
        <f>LEFT(A47,4)+1&amp;"–"&amp;RIGHT(A47,4)+1</f>
        <v>2024–2025</v>
      </c>
      <c r="B48" s="2">
        <v>34736</v>
      </c>
      <c r="C48" s="2">
        <v>453</v>
      </c>
      <c r="D48" s="182"/>
    </row>
    <row r="49" spans="1:4" x14ac:dyDescent="0.25">
      <c r="A49" s="81" t="str">
        <f>LEFT(A48,4)+1&amp;"–"&amp;RIGHT(A48,4)+1</f>
        <v>2025–2026</v>
      </c>
      <c r="B49" s="2"/>
      <c r="C49" s="2"/>
      <c r="D49" s="140" t="s">
        <v>113</v>
      </c>
    </row>
    <row r="50" spans="1:4" x14ac:dyDescent="0.25">
      <c r="A50" s="81" t="str">
        <f>LEFT(A49,4)+1&amp;"–"&amp;RIGHT(A49,4)+1</f>
        <v>2026–2027</v>
      </c>
      <c r="B50" s="2"/>
      <c r="C50" s="2"/>
      <c r="D50" s="159" t="str">
        <f>"If yes, record the dollar amount of variable payments below for fiscal year "&amp;$B$11&amp;":"</f>
        <v>If yes, record the dollar amount of variable payments below for fiscal year 2022–2023:</v>
      </c>
    </row>
    <row r="51" spans="1:4" ht="15" customHeight="1" x14ac:dyDescent="0.25">
      <c r="A51" s="81" t="str">
        <f>LEFT(A50,4)+1&amp;"–"&amp;RIGHT(A50,4)+1</f>
        <v>2027–2028</v>
      </c>
      <c r="B51" s="2"/>
      <c r="C51" s="2"/>
      <c r="D51" s="24">
        <v>0</v>
      </c>
    </row>
    <row r="52" spans="1:4" x14ac:dyDescent="0.25">
      <c r="A52" s="81"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5">
      <c r="A53" s="81" t="str">
        <f t="shared" ref="A53:A70" si="1">LEFT(A52,4)+5&amp;"–"&amp;RIGHT(A52,4)+5</f>
        <v>2033–2038</v>
      </c>
      <c r="B53" s="2"/>
      <c r="C53" s="2"/>
      <c r="D53" s="182"/>
    </row>
    <row r="54" spans="1:4" ht="15" customHeight="1" x14ac:dyDescent="0.25">
      <c r="A54" s="81" t="str">
        <f t="shared" si="1"/>
        <v>2038–2043</v>
      </c>
      <c r="B54" s="2"/>
      <c r="C54" s="2"/>
      <c r="D54" s="23" t="s">
        <v>1644</v>
      </c>
    </row>
    <row r="55" spans="1:4" ht="15" customHeight="1" x14ac:dyDescent="0.25">
      <c r="A55" s="81"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5">
      <c r="A56" s="81" t="str">
        <f t="shared" si="1"/>
        <v>2048–2053</v>
      </c>
      <c r="B56" s="2"/>
      <c r="C56" s="2"/>
      <c r="D56" s="182"/>
    </row>
    <row r="57" spans="1:4" ht="15.75" customHeight="1" x14ac:dyDescent="0.25">
      <c r="A57" s="81" t="str">
        <f t="shared" si="1"/>
        <v>2053–2058</v>
      </c>
      <c r="B57" s="2"/>
      <c r="C57" s="2"/>
      <c r="D57" s="23" t="s">
        <v>113</v>
      </c>
    </row>
    <row r="58" spans="1:4" ht="15.75" customHeight="1" x14ac:dyDescent="0.25">
      <c r="A58" s="81"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5">
      <c r="A59" s="81" t="str">
        <f t="shared" si="1"/>
        <v>2063–2068</v>
      </c>
      <c r="B59" s="2"/>
      <c r="C59" s="2"/>
      <c r="D59" s="182"/>
    </row>
    <row r="60" spans="1:4" x14ac:dyDescent="0.25">
      <c r="A60" s="81" t="str">
        <f t="shared" si="1"/>
        <v>2068–2073</v>
      </c>
      <c r="B60" s="2"/>
      <c r="C60" s="2"/>
      <c r="D60" s="140" t="s">
        <v>113</v>
      </c>
    </row>
    <row r="61" spans="1:4" ht="15" customHeight="1" x14ac:dyDescent="0.25">
      <c r="A61" s="81"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5">
      <c r="A62" s="81" t="str">
        <f t="shared" si="1"/>
        <v>2078–2083</v>
      </c>
      <c r="B62" s="2"/>
      <c r="C62" s="2"/>
      <c r="D62" s="182"/>
    </row>
    <row r="63" spans="1:4" x14ac:dyDescent="0.25">
      <c r="A63" s="81" t="str">
        <f t="shared" si="1"/>
        <v>2083–2088</v>
      </c>
      <c r="B63" s="2"/>
      <c r="C63" s="2"/>
      <c r="D63" s="23">
        <v>0</v>
      </c>
    </row>
    <row r="64" spans="1:4" x14ac:dyDescent="0.25">
      <c r="A64" s="81" t="str">
        <f t="shared" si="1"/>
        <v>2088–2093</v>
      </c>
      <c r="B64" s="2"/>
      <c r="C64" s="2"/>
    </row>
    <row r="65" spans="1:4" x14ac:dyDescent="0.25">
      <c r="A65" s="81" t="str">
        <f t="shared" si="1"/>
        <v>2093–2098</v>
      </c>
      <c r="B65" s="2"/>
      <c r="C65" s="2"/>
    </row>
    <row r="66" spans="1:4" x14ac:dyDescent="0.25">
      <c r="A66" s="81" t="str">
        <f t="shared" si="1"/>
        <v>2098–2103</v>
      </c>
      <c r="B66" s="2"/>
      <c r="C66" s="2"/>
    </row>
    <row r="67" spans="1:4" x14ac:dyDescent="0.25">
      <c r="A67" s="81" t="str">
        <f t="shared" si="1"/>
        <v>2103–2108</v>
      </c>
      <c r="B67" s="2"/>
      <c r="C67" s="2"/>
    </row>
    <row r="68" spans="1:4" x14ac:dyDescent="0.25">
      <c r="A68" s="81" t="str">
        <f t="shared" si="1"/>
        <v>2108–2113</v>
      </c>
      <c r="B68" s="2"/>
      <c r="C68" s="2"/>
    </row>
    <row r="69" spans="1:4" x14ac:dyDescent="0.25">
      <c r="A69" s="81" t="str">
        <f t="shared" si="1"/>
        <v>2113–2118</v>
      </c>
      <c r="B69" s="2"/>
      <c r="C69" s="2"/>
    </row>
    <row r="70" spans="1:4" x14ac:dyDescent="0.25">
      <c r="A70" s="81" t="str">
        <f t="shared" si="1"/>
        <v>2118–2123</v>
      </c>
      <c r="B70" s="2"/>
      <c r="C70" s="2"/>
    </row>
    <row r="72" spans="1:4" ht="15.6" x14ac:dyDescent="0.3">
      <c r="A72" s="79" t="s">
        <v>65</v>
      </c>
    </row>
    <row r="73" spans="1:4" ht="15.6" x14ac:dyDescent="0.3">
      <c r="A73" s="80" t="s">
        <v>57</v>
      </c>
      <c r="B73" s="191" t="str">
        <f>B11</f>
        <v>2022–2023</v>
      </c>
      <c r="C73" s="191"/>
    </row>
    <row r="74" spans="1:4" ht="15.75" customHeight="1" x14ac:dyDescent="0.3">
      <c r="A74" s="80" t="s">
        <v>58</v>
      </c>
      <c r="B74" s="190">
        <f>B12</f>
        <v>820</v>
      </c>
      <c r="C74" s="190"/>
    </row>
    <row r="75" spans="1:4" ht="15.6" x14ac:dyDescent="0.3">
      <c r="A75" s="80" t="s">
        <v>59</v>
      </c>
      <c r="B75" s="191" t="str">
        <f>B13</f>
        <v>Department of Justice</v>
      </c>
      <c r="C75" s="191"/>
    </row>
    <row r="76" spans="1:4" ht="15.6" x14ac:dyDescent="0.3">
      <c r="A76" s="186" t="s">
        <v>60</v>
      </c>
      <c r="B76" s="186"/>
      <c r="C76" s="186"/>
    </row>
    <row r="77" spans="1:4" ht="15.6" x14ac:dyDescent="0.3">
      <c r="A77" s="81"/>
      <c r="B77" s="81" t="s">
        <v>61</v>
      </c>
      <c r="C77" s="81" t="s">
        <v>62</v>
      </c>
      <c r="D77" s="82" t="str">
        <f>"All of the below questions are for Fiscal Year "&amp;$B$11&amp;":"</f>
        <v>All of the below questions are for Fiscal Year 2022–2023:</v>
      </c>
    </row>
    <row r="78" spans="1:4" x14ac:dyDescent="0.25">
      <c r="A78" s="81" t="str">
        <f>RIGHT(B73,4)&amp;"–"&amp;RIGHT(B73,4)+1</f>
        <v>2023–2024</v>
      </c>
      <c r="B78" s="2"/>
      <c r="C78" s="2"/>
      <c r="D78" s="183" t="s">
        <v>63</v>
      </c>
    </row>
    <row r="79" spans="1:4" ht="15" customHeight="1" x14ac:dyDescent="0.25">
      <c r="A79" s="81" t="str">
        <f>LEFT(A78,4)+1&amp;"–"&amp;RIGHT(A78,4)+1</f>
        <v>2024–2025</v>
      </c>
      <c r="B79" s="2"/>
      <c r="C79" s="2"/>
      <c r="D79" s="183"/>
    </row>
    <row r="80" spans="1:4" x14ac:dyDescent="0.25">
      <c r="A80" s="81" t="str">
        <f>LEFT(A79,4)+1&amp;"–"&amp;RIGHT(A79,4)+1</f>
        <v>2025–2026</v>
      </c>
      <c r="B80" s="2"/>
      <c r="C80" s="2"/>
      <c r="D80" s="140"/>
    </row>
    <row r="81" spans="1:4" x14ac:dyDescent="0.25">
      <c r="A81" s="81" t="str">
        <f>LEFT(A80,4)+1&amp;"–"&amp;RIGHT(A80,4)+1</f>
        <v>2026–2027</v>
      </c>
      <c r="B81" s="2"/>
      <c r="C81" s="2"/>
      <c r="D81" s="159" t="str">
        <f>"If yes, record the dollar amount of variable payments below for fiscal year "&amp;$B$11&amp;":"</f>
        <v>If yes, record the dollar amount of variable payments below for fiscal year 2022–2023:</v>
      </c>
    </row>
    <row r="82" spans="1:4" ht="15" customHeight="1" x14ac:dyDescent="0.25">
      <c r="A82" s="81" t="str">
        <f>LEFT(A81,4)+1&amp;"–"&amp;RIGHT(A81,4)+1</f>
        <v>2027–2028</v>
      </c>
      <c r="B82" s="2"/>
      <c r="C82" s="2"/>
      <c r="D82" s="24"/>
    </row>
    <row r="83" spans="1:4" x14ac:dyDescent="0.25">
      <c r="A83" s="81"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5">
      <c r="A84" s="81" t="str">
        <f t="shared" ref="A84:A101" si="2">LEFT(A83,4)+5&amp;"–"&amp;RIGHT(A83,4)+5</f>
        <v>2033–2038</v>
      </c>
      <c r="B84" s="2"/>
      <c r="C84" s="2"/>
      <c r="D84" s="182"/>
    </row>
    <row r="85" spans="1:4" x14ac:dyDescent="0.25">
      <c r="A85" s="81" t="str">
        <f t="shared" si="2"/>
        <v>2038–2043</v>
      </c>
      <c r="B85" s="2"/>
      <c r="C85" s="2"/>
      <c r="D85" s="23"/>
    </row>
    <row r="86" spans="1:4" ht="15" customHeight="1" x14ac:dyDescent="0.25">
      <c r="A86" s="81"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5">
      <c r="A87" s="81" t="str">
        <f t="shared" si="2"/>
        <v>2048–2053</v>
      </c>
      <c r="B87" s="2"/>
      <c r="C87" s="2"/>
      <c r="D87" s="182"/>
    </row>
    <row r="88" spans="1:4" ht="15" customHeight="1" x14ac:dyDescent="0.25">
      <c r="A88" s="81" t="str">
        <f t="shared" si="2"/>
        <v>2053–2058</v>
      </c>
      <c r="B88" s="2"/>
      <c r="C88" s="2"/>
      <c r="D88" s="23"/>
    </row>
    <row r="89" spans="1:4" ht="15.75" customHeight="1" x14ac:dyDescent="0.25">
      <c r="A89" s="81"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5">
      <c r="A90" s="81" t="str">
        <f t="shared" si="2"/>
        <v>2063–2068</v>
      </c>
      <c r="B90" s="2"/>
      <c r="C90" s="2"/>
      <c r="D90" s="182"/>
    </row>
    <row r="91" spans="1:4" x14ac:dyDescent="0.25">
      <c r="A91" s="81" t="str">
        <f t="shared" si="2"/>
        <v>2068–2073</v>
      </c>
      <c r="B91" s="2"/>
      <c r="C91" s="2"/>
      <c r="D91" s="140"/>
    </row>
    <row r="92" spans="1:4" ht="15" customHeight="1" x14ac:dyDescent="0.25">
      <c r="A92" s="81"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5">
      <c r="A93" s="81" t="str">
        <f t="shared" si="2"/>
        <v>2078–2083</v>
      </c>
      <c r="B93" s="2"/>
      <c r="C93" s="2"/>
      <c r="D93" s="182"/>
    </row>
    <row r="94" spans="1:4" x14ac:dyDescent="0.25">
      <c r="A94" s="81" t="str">
        <f t="shared" si="2"/>
        <v>2083–2088</v>
      </c>
      <c r="B94" s="2"/>
      <c r="C94" s="2"/>
      <c r="D94" s="23"/>
    </row>
    <row r="95" spans="1:4" x14ac:dyDescent="0.25">
      <c r="A95" s="81" t="str">
        <f t="shared" si="2"/>
        <v>2088–2093</v>
      </c>
      <c r="B95" s="2"/>
      <c r="C95" s="2"/>
    </row>
    <row r="96" spans="1:4" x14ac:dyDescent="0.25">
      <c r="A96" s="81" t="str">
        <f t="shared" si="2"/>
        <v>2093–2098</v>
      </c>
      <c r="B96" s="2"/>
      <c r="C96" s="2"/>
    </row>
    <row r="97" spans="1:3" x14ac:dyDescent="0.25">
      <c r="A97" s="81" t="str">
        <f t="shared" si="2"/>
        <v>2098–2103</v>
      </c>
      <c r="B97" s="2"/>
      <c r="C97" s="2"/>
    </row>
    <row r="98" spans="1:3" x14ac:dyDescent="0.25">
      <c r="A98" s="81" t="str">
        <f t="shared" si="2"/>
        <v>2103–2108</v>
      </c>
      <c r="B98" s="2"/>
      <c r="C98" s="2"/>
    </row>
    <row r="99" spans="1:3" x14ac:dyDescent="0.25">
      <c r="A99" s="81" t="str">
        <f t="shared" si="2"/>
        <v>2108–2113</v>
      </c>
      <c r="B99" s="2"/>
      <c r="C99" s="2"/>
    </row>
    <row r="100" spans="1:3" x14ac:dyDescent="0.25">
      <c r="A100" s="81" t="str">
        <f t="shared" si="2"/>
        <v>2113–2118</v>
      </c>
      <c r="B100" s="2"/>
      <c r="C100" s="2"/>
    </row>
    <row r="101" spans="1:3" x14ac:dyDescent="0.25">
      <c r="A101" s="81" t="str">
        <f t="shared" si="2"/>
        <v>2118–2123</v>
      </c>
      <c r="B101" s="2"/>
      <c r="C101" s="2"/>
    </row>
  </sheetData>
  <sheetProtection algorithmName="SHA-512" hashValue="rksGIqAEaupE54aCflUuD994q9t2Wk2kmn3G2jYagkzM+KI0cugk3bNMYExliDwHspqSGt7VthXj0rJ4jx79SA==" saltValue="zU1rKnBOOvYHnLUWKxYILQ==" spinCount="100000" sheet="1" formatColumns="0" formatRows="0"/>
  <mergeCells count="32">
    <mergeCell ref="D58:D59"/>
    <mergeCell ref="A76:C76"/>
    <mergeCell ref="B73:C73"/>
    <mergeCell ref="B74:C74"/>
    <mergeCell ref="B75:C75"/>
    <mergeCell ref="A1:D2"/>
    <mergeCell ref="D47:D48"/>
    <mergeCell ref="D52:D53"/>
    <mergeCell ref="B43:C43"/>
    <mergeCell ref="B42:C42"/>
    <mergeCell ref="B13:C13"/>
    <mergeCell ref="A5:C6"/>
    <mergeCell ref="D30:D31"/>
    <mergeCell ref="B44:C44"/>
    <mergeCell ref="A45:C45"/>
    <mergeCell ref="D24:D25"/>
    <mergeCell ref="D27:D28"/>
    <mergeCell ref="A3:D3"/>
    <mergeCell ref="D16:D17"/>
    <mergeCell ref="D55:D56"/>
    <mergeCell ref="A4:D4"/>
    <mergeCell ref="D21:D22"/>
    <mergeCell ref="A7:C8"/>
    <mergeCell ref="A14:C14"/>
    <mergeCell ref="B11:C11"/>
    <mergeCell ref="B12:C12"/>
    <mergeCell ref="D83:D84"/>
    <mergeCell ref="D92:D93"/>
    <mergeCell ref="D61:D62"/>
    <mergeCell ref="D86:D87"/>
    <mergeCell ref="D89:D90"/>
    <mergeCell ref="D78:D79"/>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list" allowBlank="1" showInputMessage="1" showErrorMessage="1" sqref="D80 D18 D60 D91 D49 D29 B11:C11" xr:uid="{00000000-0002-0000-1300-000000000000}"/>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pageSetUpPr fitToPage="1"/>
  </sheetPr>
  <dimension ref="A1:Q26"/>
  <sheetViews>
    <sheetView topLeftCell="B1" zoomScaleNormal="100" workbookViewId="0">
      <selection activeCell="F8" sqref="F8"/>
    </sheetView>
  </sheetViews>
  <sheetFormatPr defaultColWidth="9.109375" defaultRowHeight="18" x14ac:dyDescent="0.35"/>
  <cols>
    <col min="1" max="1" width="9.109375" style="87"/>
    <col min="2" max="3" width="3.6640625" style="87" customWidth="1"/>
    <col min="4" max="4" width="42.109375" style="87" customWidth="1"/>
    <col min="5" max="5" width="3.6640625" style="87" customWidth="1"/>
    <col min="6" max="6" width="16.88671875" style="88" customWidth="1"/>
    <col min="7" max="7" width="3.6640625" style="87" customWidth="1"/>
    <col min="8" max="8" width="16.88671875" style="88" customWidth="1"/>
    <col min="9" max="9" width="3.6640625" style="87" customWidth="1"/>
    <col min="10" max="10" width="16.88671875" style="88" customWidth="1"/>
    <col min="11" max="11" width="3.6640625" style="87" customWidth="1"/>
    <col min="12" max="12" width="16.88671875" style="88" customWidth="1"/>
    <col min="13" max="13" width="3.6640625" style="87" customWidth="1"/>
    <col min="14" max="14" width="16.88671875" style="88" customWidth="1"/>
    <col min="15" max="15" width="3.6640625" style="87" customWidth="1"/>
    <col min="16" max="16" width="17.6640625" style="88" bestFit="1" customWidth="1"/>
    <col min="17" max="17" width="3.6640625" style="87" customWidth="1"/>
    <col min="18" max="16384" width="9.109375" style="87"/>
  </cols>
  <sheetData>
    <row r="1" spans="2:17" ht="18.600000000000001" thickBot="1" x14ac:dyDescent="0.4"/>
    <row r="2" spans="2:17" x14ac:dyDescent="0.35">
      <c r="B2" s="89"/>
      <c r="C2" s="90"/>
      <c r="D2" s="90"/>
      <c r="E2" s="90"/>
      <c r="F2" s="91"/>
      <c r="G2" s="90"/>
      <c r="H2" s="91"/>
      <c r="I2" s="90"/>
      <c r="J2" s="91"/>
      <c r="K2" s="90"/>
      <c r="L2" s="91"/>
      <c r="M2" s="90"/>
      <c r="N2" s="91"/>
      <c r="O2" s="90"/>
      <c r="P2" s="91"/>
      <c r="Q2" s="92"/>
    </row>
    <row r="3" spans="2:17" ht="20.399999999999999" x14ac:dyDescent="0.35">
      <c r="B3" s="93"/>
      <c r="D3" s="94"/>
      <c r="E3" s="94"/>
      <c r="F3" s="94"/>
      <c r="G3" s="196" t="s">
        <v>66</v>
      </c>
      <c r="H3" s="196"/>
      <c r="I3" s="196"/>
      <c r="J3" s="196"/>
      <c r="K3" s="196"/>
      <c r="L3" s="196"/>
      <c r="M3" s="196"/>
      <c r="N3" s="94"/>
      <c r="O3" s="94"/>
      <c r="P3" s="94"/>
      <c r="Q3" s="95"/>
    </row>
    <row r="4" spans="2:17" ht="20.399999999999999" x14ac:dyDescent="0.35">
      <c r="B4" s="93"/>
      <c r="D4" s="94"/>
      <c r="E4" s="94"/>
      <c r="F4" s="94"/>
      <c r="G4" s="196" t="str">
        <f>"FY "&amp;'Department Note Disclosure'!$B$11</f>
        <v>FY 2022–2023</v>
      </c>
      <c r="H4" s="196"/>
      <c r="I4" s="196"/>
      <c r="J4" s="196"/>
      <c r="K4" s="196"/>
      <c r="L4" s="196"/>
      <c r="M4" s="196"/>
      <c r="N4" s="94"/>
      <c r="O4" s="94"/>
      <c r="P4" s="94"/>
      <c r="Q4" s="95"/>
    </row>
    <row r="5" spans="2:17" ht="20.399999999999999" x14ac:dyDescent="0.35">
      <c r="B5" s="93"/>
      <c r="D5" s="94"/>
      <c r="E5" s="94"/>
      <c r="F5" s="94"/>
      <c r="G5" s="197" t="str">
        <f>"Business Unit "&amp;'0001 Journal'!$F$5&amp;" "&amp;'0001 Journal'!F4</f>
        <v>Business Unit 0820 Department of Justice</v>
      </c>
      <c r="H5" s="197"/>
      <c r="I5" s="197"/>
      <c r="J5" s="197"/>
      <c r="K5" s="197"/>
      <c r="L5" s="197"/>
      <c r="M5" s="197"/>
      <c r="N5" s="94"/>
      <c r="O5" s="94"/>
      <c r="P5" s="94"/>
      <c r="Q5" s="95"/>
    </row>
    <row r="6" spans="2:17" x14ac:dyDescent="0.35">
      <c r="B6" s="93"/>
      <c r="Q6" s="95"/>
    </row>
    <row r="7" spans="2:17" x14ac:dyDescent="0.35">
      <c r="B7" s="93"/>
      <c r="C7" s="198" t="s">
        <v>67</v>
      </c>
      <c r="D7" s="198"/>
      <c r="E7" s="96"/>
      <c r="F7" s="97" t="s">
        <v>68</v>
      </c>
      <c r="G7" s="98"/>
      <c r="H7" s="97" t="s">
        <v>69</v>
      </c>
      <c r="I7" s="98"/>
      <c r="J7" s="97" t="s">
        <v>70</v>
      </c>
      <c r="K7" s="98"/>
      <c r="L7" s="97"/>
      <c r="M7" s="98"/>
      <c r="N7" s="97" t="s">
        <v>71</v>
      </c>
      <c r="O7" s="99"/>
      <c r="P7" s="100"/>
      <c r="Q7" s="95"/>
    </row>
    <row r="8" spans="2:17" ht="36.6" thickBot="1" x14ac:dyDescent="0.4">
      <c r="B8" s="93"/>
      <c r="F8" s="101" t="str">
        <f>"Balance
July 1, "&amp;LEFT('0001 Journal'!$F$3,4)</f>
        <v>Balance
July 1, 2022</v>
      </c>
      <c r="G8" s="102"/>
      <c r="H8" s="103" t="s">
        <v>72</v>
      </c>
      <c r="I8" s="102"/>
      <c r="J8" s="103" t="s">
        <v>73</v>
      </c>
      <c r="K8" s="102"/>
      <c r="L8" s="101" t="str">
        <f>"Balance
July 1, "&amp;RIGHT('0001 Journal'!$F$3,4)</f>
        <v>Balance
July 1, 2023</v>
      </c>
      <c r="M8" s="102"/>
      <c r="N8" s="101" t="s">
        <v>74</v>
      </c>
      <c r="O8" s="102"/>
      <c r="P8" s="101" t="s">
        <v>75</v>
      </c>
      <c r="Q8" s="95"/>
    </row>
    <row r="9" spans="2:17" x14ac:dyDescent="0.35">
      <c r="B9" s="93"/>
      <c r="C9" s="194" t="s">
        <v>76</v>
      </c>
      <c r="D9" s="194"/>
      <c r="Q9" s="95"/>
    </row>
    <row r="10" spans="2:17" ht="18.600000000000001" thickBot="1" x14ac:dyDescent="0.4">
      <c r="B10" s="93"/>
      <c r="D10" s="87" t="s">
        <v>77</v>
      </c>
      <c r="F10" s="3">
        <f>+'0001 Journal'!K19+'0012 Journal'!K19+'0017 Journal'!K19+'0044 Journal'!K19+'0158 Journal'!K19+'0367 Journal'!K19+'0378 Journal'!K19+'0460 Journal'!K19+'0567 Journal'!K19+'0569 Journal'!K19+'0890 Journal'!K19+'1008 Journal'!K19+'3053 Journal'!K19+'3086 Journal'!K19+'3088 Journal'!K19+'3297 Journal'!K19+'3320 Journal'!K19</f>
        <v>5211105</v>
      </c>
      <c r="H10" s="3">
        <f>'0001 Journal'!K37+'0012 Journal'!K37+'0017 Journal'!K37+'0044 Journal'!K37+'0158 Journal'!K37+'0367 Journal'!K37+'0378 Journal'!K37+'0460 Journal'!K37+'0567 Journal'!K37+'0569 Journal'!K37+'0890 Journal'!K37+'1008 Journal'!K37+'3053 Journal'!K37+'3086 Journal'!K37+'3088 Journal'!K37+'3297 Journal'!K37+'3320 Journal'!K37</f>
        <v>591631</v>
      </c>
      <c r="J10" s="3">
        <f>+'0001 Journal'!J56+'0012 Journal'!J56+'0017 Journal'!J56+'0044 Journal'!J56+'0158 Journal'!J56+'0367 Journal'!J56+'0378 Journal'!J56+'0460 Journal'!J56+'0567 Journal'!J56+'0569 Journal'!J56+'0890 Journal'!J56+'1008 Journal'!J56+'3053 Journal'!J56+'3086 Journal'!J56+'3088 Journal'!J56+'3297 Journal'!J56+'3320 Journal'!J56</f>
        <v>3818840</v>
      </c>
      <c r="L10" s="104">
        <f>SUM(F10+H10-J10)</f>
        <v>1983896</v>
      </c>
      <c r="N10" s="3">
        <f>+'0001 Journal'!J61+'0012 Journal'!J61+'0017 Journal'!J61+'0044 Journal'!J61+'0158 Journal'!J61+'0367 Journal'!J61+'0378 Journal'!J61+'0460 Journal'!J61+'0567 Journal'!J61+'0569 Journal'!J61+'0890 Journal'!J61+'1008 Journal'!J61+'3053 Journal'!J61+'3086 Journal'!J61+'3088 Journal'!J61+'3297 Journal'!J61+'3320 Journal'!J61</f>
        <v>1289517</v>
      </c>
      <c r="P10" s="104">
        <f>L10-N10</f>
        <v>694379</v>
      </c>
      <c r="Q10" s="95"/>
    </row>
    <row r="11" spans="2:17" ht="19.2" thickTop="1" thickBot="1" x14ac:dyDescent="0.4">
      <c r="B11" s="93"/>
      <c r="C11" s="194" t="s">
        <v>78</v>
      </c>
      <c r="D11" s="194"/>
      <c r="F11" s="105">
        <f>SUM(F10:F10)</f>
        <v>5211105</v>
      </c>
      <c r="H11" s="105">
        <f>SUM(H10:H10)</f>
        <v>591631</v>
      </c>
      <c r="J11" s="105">
        <f>SUM(J10:J10)</f>
        <v>3818840</v>
      </c>
      <c r="L11" s="105">
        <f>SUM(L10:L10)</f>
        <v>1983896</v>
      </c>
      <c r="N11" s="105">
        <f>SUM(N10:N10)</f>
        <v>1289517</v>
      </c>
      <c r="P11" s="105">
        <f>SUM(P10:P10)</f>
        <v>694379</v>
      </c>
      <c r="Q11" s="95"/>
    </row>
    <row r="12" spans="2:17" ht="18.600000000000001" thickTop="1" x14ac:dyDescent="0.35">
      <c r="B12" s="93"/>
      <c r="G12" s="106"/>
      <c r="Q12" s="95"/>
    </row>
    <row r="13" spans="2:17" x14ac:dyDescent="0.35">
      <c r="B13" s="93"/>
      <c r="C13" s="194" t="s">
        <v>79</v>
      </c>
      <c r="D13" s="194"/>
      <c r="Q13" s="95"/>
    </row>
    <row r="14" spans="2:17" ht="18.600000000000001" thickBot="1" x14ac:dyDescent="0.4">
      <c r="B14" s="93"/>
      <c r="D14" s="87" t="s">
        <v>77</v>
      </c>
      <c r="F14" s="3">
        <f>+'9731 Journal'!K19+'9740 Journal'!K19</f>
        <v>540832</v>
      </c>
      <c r="H14" s="3">
        <f>+'9731 Journal'!K37+'9740 Journal'!K37</f>
        <v>0</v>
      </c>
      <c r="J14" s="3">
        <f>+'9731 Journal'!J56+'9740 Journal'!J56</f>
        <v>405375</v>
      </c>
      <c r="L14" s="104">
        <f>SUM(F14+H14-J14)</f>
        <v>135457</v>
      </c>
      <c r="N14" s="3">
        <f>+'9731 Journal'!J61+'9740 Journal'!J61</f>
        <v>100721</v>
      </c>
      <c r="P14" s="104">
        <f>L14-N14</f>
        <v>34736</v>
      </c>
      <c r="Q14" s="95"/>
    </row>
    <row r="15" spans="2:17" ht="19.2" thickTop="1" thickBot="1" x14ac:dyDescent="0.4">
      <c r="B15" s="93"/>
      <c r="C15" s="194" t="s">
        <v>80</v>
      </c>
      <c r="D15" s="194"/>
      <c r="F15" s="105">
        <f>SUM(F14:F14)</f>
        <v>540832</v>
      </c>
      <c r="H15" s="105">
        <f>SUM(H14:H14)</f>
        <v>0</v>
      </c>
      <c r="J15" s="105">
        <f>SUM(J14:J14)</f>
        <v>405375</v>
      </c>
      <c r="L15" s="105">
        <f>SUM(L14:L14)</f>
        <v>135457</v>
      </c>
      <c r="N15" s="105">
        <f>SUM(N14:N14)</f>
        <v>100721</v>
      </c>
      <c r="P15" s="105">
        <f>SUM(P14:P14)</f>
        <v>34736</v>
      </c>
      <c r="Q15" s="95"/>
    </row>
    <row r="16" spans="2:17" ht="18.600000000000001" thickTop="1" x14ac:dyDescent="0.35">
      <c r="B16" s="93"/>
      <c r="C16" s="160"/>
      <c r="D16" s="160"/>
      <c r="F16" s="104"/>
      <c r="H16" s="104"/>
      <c r="J16" s="104"/>
      <c r="L16" s="104"/>
      <c r="N16" s="104"/>
      <c r="P16" s="104"/>
      <c r="Q16" s="95"/>
    </row>
    <row r="17" spans="1:17" x14ac:dyDescent="0.35">
      <c r="B17" s="93"/>
      <c r="C17" s="194" t="s">
        <v>81</v>
      </c>
      <c r="D17" s="194"/>
      <c r="Q17" s="95"/>
    </row>
    <row r="18" spans="1:17" ht="18.600000000000001" thickBot="1" x14ac:dyDescent="0.4">
      <c r="B18" s="93"/>
      <c r="D18" s="87" t="s">
        <v>77</v>
      </c>
      <c r="F18" s="3">
        <v>0</v>
      </c>
      <c r="H18" s="3">
        <v>0</v>
      </c>
      <c r="J18" s="3">
        <v>0</v>
      </c>
      <c r="L18" s="104">
        <f>SUM(F18+H18-J18)</f>
        <v>0</v>
      </c>
      <c r="N18" s="3">
        <v>0</v>
      </c>
      <c r="P18" s="104">
        <f>L18-N18</f>
        <v>0</v>
      </c>
      <c r="Q18" s="95"/>
    </row>
    <row r="19" spans="1:17" ht="19.2" thickTop="1" thickBot="1" x14ac:dyDescent="0.4">
      <c r="B19" s="93"/>
      <c r="C19" s="194" t="s">
        <v>82</v>
      </c>
      <c r="D19" s="194"/>
      <c r="F19" s="105">
        <f>SUM(F18:F18)</f>
        <v>0</v>
      </c>
      <c r="H19" s="105">
        <f>SUM(H18:H18)</f>
        <v>0</v>
      </c>
      <c r="J19" s="105">
        <f>SUM(J18:J18)</f>
        <v>0</v>
      </c>
      <c r="L19" s="105">
        <f>SUM(L18:L18)</f>
        <v>0</v>
      </c>
      <c r="N19" s="105">
        <f>SUM(N18:N18)</f>
        <v>0</v>
      </c>
      <c r="P19" s="105">
        <f>SUM(P18:P18)</f>
        <v>0</v>
      </c>
      <c r="Q19" s="95"/>
    </row>
    <row r="20" spans="1:17" ht="18.600000000000001" thickTop="1" x14ac:dyDescent="0.35">
      <c r="B20" s="93"/>
      <c r="C20" s="160"/>
      <c r="D20" s="160"/>
      <c r="F20" s="104"/>
      <c r="H20" s="104"/>
      <c r="J20" s="104"/>
      <c r="L20" s="104"/>
      <c r="N20" s="104"/>
      <c r="P20" s="104"/>
      <c r="Q20" s="95"/>
    </row>
    <row r="21" spans="1:17" ht="18.600000000000001" thickBot="1" x14ac:dyDescent="0.4">
      <c r="B21" s="107"/>
      <c r="C21" s="108"/>
      <c r="D21" s="108"/>
      <c r="E21" s="108"/>
      <c r="F21" s="109"/>
      <c r="G21" s="108"/>
      <c r="H21" s="109"/>
      <c r="I21" s="108"/>
      <c r="J21" s="109"/>
      <c r="K21" s="108"/>
      <c r="L21" s="109"/>
      <c r="M21" s="108"/>
      <c r="N21" s="109"/>
      <c r="O21" s="108"/>
      <c r="P21" s="109"/>
      <c r="Q21" s="110"/>
    </row>
    <row r="25" spans="1:17" ht="18" customHeight="1" x14ac:dyDescent="0.35">
      <c r="A25" s="195" t="s">
        <v>83</v>
      </c>
      <c r="B25" s="195"/>
      <c r="C25" s="195"/>
      <c r="D25" s="195"/>
      <c r="E25" s="195"/>
      <c r="F25" s="195"/>
      <c r="G25" s="195"/>
      <c r="H25" s="195"/>
      <c r="I25" s="195"/>
      <c r="J25" s="195"/>
      <c r="K25" s="195"/>
      <c r="L25" s="195"/>
      <c r="M25" s="195"/>
      <c r="N25" s="195"/>
      <c r="O25" s="195"/>
      <c r="P25" s="195"/>
      <c r="Q25" s="195"/>
    </row>
    <row r="26" spans="1:17" x14ac:dyDescent="0.35">
      <c r="A26" s="195"/>
      <c r="B26" s="195"/>
      <c r="C26" s="195"/>
      <c r="D26" s="195"/>
      <c r="E26" s="195"/>
      <c r="F26" s="195"/>
      <c r="G26" s="195"/>
      <c r="H26" s="195"/>
      <c r="I26" s="195"/>
      <c r="J26" s="195"/>
      <c r="K26" s="195"/>
      <c r="L26" s="195"/>
      <c r="M26" s="195"/>
      <c r="N26" s="195"/>
      <c r="O26" s="195"/>
      <c r="P26" s="195"/>
      <c r="Q26" s="195"/>
    </row>
  </sheetData>
  <sheetProtection algorithmName="SHA-512" hashValue="JsYAD9Rk8xYFPTFMuUPXt7vEYdg2Z3qsOoOVOY6wVEFQ3fhqO9SyGHBgGwvaTs5UZ23CuhUidu56CmfwNfxbnw==" saltValue="hDqI6i0dsiZwPu4Vncvn+g==" spinCount="100000" sheet="1" formatColumns="0" formatRows="0"/>
  <mergeCells count="11">
    <mergeCell ref="C11:D11"/>
    <mergeCell ref="G3:M3"/>
    <mergeCell ref="G4:M4"/>
    <mergeCell ref="G5:M5"/>
    <mergeCell ref="C7:D7"/>
    <mergeCell ref="C9:D9"/>
    <mergeCell ref="C13:D13"/>
    <mergeCell ref="C15:D15"/>
    <mergeCell ref="C17:D17"/>
    <mergeCell ref="C19:D19"/>
    <mergeCell ref="A25:Q26"/>
  </mergeCells>
  <dataValidations count="1">
    <dataValidation type="decimal" operator="greaterThanOrEqual" allowBlank="1" showInputMessage="1" showErrorMessage="1" errorTitle="Invalid Entry" error="Do not enter any negative values!" sqref="F10 N18 J10 F14 H14 J14 N10 N14 F18 H18 J18 H10" xr:uid="{00000000-0002-0000-14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7">
    <tabColor rgb="FFC00000"/>
    <pageSetUpPr fitToPage="1"/>
  </sheetPr>
  <dimension ref="A1:O87"/>
  <sheetViews>
    <sheetView showGridLines="0" zoomScale="112" zoomScaleNormal="112" workbookViewId="0">
      <selection activeCell="H82" sqref="H82"/>
    </sheetView>
  </sheetViews>
  <sheetFormatPr defaultColWidth="0" defaultRowHeight="14.4" zeroHeight="1" x14ac:dyDescent="0.3"/>
  <cols>
    <col min="1" max="1" width="4" style="121" customWidth="1"/>
    <col min="2" max="2" width="15.33203125" style="121" customWidth="1"/>
    <col min="3" max="3" width="3.44140625" style="135" customWidth="1"/>
    <col min="4" max="4" width="16.44140625" style="121" customWidth="1"/>
    <col min="5" max="5" width="2.33203125" style="135" customWidth="1"/>
    <col min="6" max="6" width="16.6640625" style="121" customWidth="1"/>
    <col min="7" max="7" width="2.88671875" style="135" customWidth="1"/>
    <col min="8" max="8" width="18.109375" style="121" customWidth="1"/>
    <col min="9" max="9" width="2.33203125" style="135" customWidth="1"/>
    <col min="10" max="10" width="27.44140625" style="121" customWidth="1"/>
    <col min="11" max="11" width="2.33203125" style="121" customWidth="1"/>
    <col min="12" max="12" width="15" style="121" customWidth="1"/>
    <col min="13" max="13" width="4" style="121" customWidth="1"/>
    <col min="14" max="15" width="0" style="121" hidden="1" customWidth="1"/>
    <col min="16" max="16384" width="9.109375" style="121" hidden="1"/>
  </cols>
  <sheetData>
    <row r="1" spans="1:13" s="116" customFormat="1" ht="15.6" x14ac:dyDescent="0.3">
      <c r="A1" s="111" t="s">
        <v>84</v>
      </c>
      <c r="B1" s="112"/>
      <c r="C1" s="113"/>
      <c r="D1" s="112"/>
      <c r="E1" s="113"/>
      <c r="F1" s="114"/>
      <c r="G1" s="115"/>
      <c r="H1" s="114"/>
      <c r="I1" s="115"/>
      <c r="J1" s="112"/>
      <c r="K1" s="112"/>
      <c r="L1" s="112"/>
      <c r="M1" s="112"/>
    </row>
    <row r="2" spans="1:13" s="116" customFormat="1" ht="15.6" x14ac:dyDescent="0.3">
      <c r="A2" s="111" t="s">
        <v>85</v>
      </c>
      <c r="B2" s="112"/>
      <c r="C2" s="113"/>
      <c r="D2" s="112"/>
      <c r="E2" s="113"/>
      <c r="F2" s="112"/>
      <c r="G2" s="113"/>
      <c r="H2" s="112"/>
      <c r="I2" s="113"/>
      <c r="J2" s="112"/>
      <c r="K2" s="112"/>
      <c r="L2" s="112"/>
      <c r="M2" s="112"/>
    </row>
    <row r="3" spans="1:13" s="116" customFormat="1" ht="15.6" x14ac:dyDescent="0.3">
      <c r="C3" s="117"/>
      <c r="E3" s="117"/>
      <c r="G3" s="117"/>
      <c r="I3" s="117"/>
    </row>
    <row r="4" spans="1:13" x14ac:dyDescent="0.3">
      <c r="A4" s="118" t="s">
        <v>86</v>
      </c>
      <c r="B4" s="119"/>
      <c r="C4" s="120"/>
      <c r="D4" s="119"/>
      <c r="E4" s="120"/>
      <c r="F4" s="119"/>
      <c r="G4" s="120"/>
      <c r="H4" s="119"/>
      <c r="I4" s="120"/>
      <c r="J4" s="119"/>
      <c r="K4" s="119"/>
      <c r="L4" s="119"/>
      <c r="M4" s="119"/>
    </row>
    <row r="5" spans="1:13" ht="15" customHeight="1" x14ac:dyDescent="0.3">
      <c r="A5" s="204" t="s">
        <v>87</v>
      </c>
      <c r="B5" s="204"/>
      <c r="C5" s="204"/>
      <c r="D5" s="204"/>
      <c r="E5" s="204"/>
      <c r="F5" s="204"/>
      <c r="G5" s="204"/>
      <c r="H5" s="204"/>
      <c r="I5" s="204"/>
      <c r="J5" s="204"/>
      <c r="K5" s="204"/>
      <c r="L5" s="204"/>
      <c r="M5" s="204"/>
    </row>
    <row r="6" spans="1:13" ht="15" customHeight="1" x14ac:dyDescent="0.3">
      <c r="A6" s="204"/>
      <c r="B6" s="204"/>
      <c r="C6" s="204"/>
      <c r="D6" s="204"/>
      <c r="E6" s="204"/>
      <c r="F6" s="204"/>
      <c r="G6" s="204"/>
      <c r="H6" s="204"/>
      <c r="I6" s="204"/>
      <c r="J6" s="204"/>
      <c r="K6" s="204"/>
      <c r="L6" s="204"/>
      <c r="M6" s="204"/>
    </row>
    <row r="7" spans="1:13" x14ac:dyDescent="0.3">
      <c r="A7" s="204"/>
      <c r="B7" s="204"/>
      <c r="C7" s="204"/>
      <c r="D7" s="204"/>
      <c r="E7" s="204"/>
      <c r="F7" s="204"/>
      <c r="G7" s="204"/>
      <c r="H7" s="204"/>
      <c r="I7" s="204"/>
      <c r="J7" s="204"/>
      <c r="K7" s="204"/>
      <c r="L7" s="204"/>
      <c r="M7" s="204"/>
    </row>
    <row r="8" spans="1:13" ht="15" customHeight="1" x14ac:dyDescent="0.3">
      <c r="A8" s="205" t="s">
        <v>88</v>
      </c>
      <c r="B8" s="205"/>
      <c r="C8" s="205"/>
      <c r="D8" s="205"/>
      <c r="E8" s="205"/>
      <c r="F8" s="205"/>
      <c r="G8" s="205"/>
      <c r="H8" s="205"/>
      <c r="I8" s="205"/>
      <c r="J8" s="205"/>
      <c r="K8" s="205"/>
      <c r="L8" s="205"/>
      <c r="M8" s="205"/>
    </row>
    <row r="9" spans="1:13" ht="15" customHeight="1" x14ac:dyDescent="0.3">
      <c r="A9" s="205"/>
      <c r="B9" s="205"/>
      <c r="C9" s="205"/>
      <c r="D9" s="205"/>
      <c r="E9" s="205"/>
      <c r="F9" s="205"/>
      <c r="G9" s="205"/>
      <c r="H9" s="205"/>
      <c r="I9" s="205"/>
      <c r="J9" s="205"/>
      <c r="K9" s="205"/>
      <c r="L9" s="205"/>
      <c r="M9" s="205"/>
    </row>
    <row r="10" spans="1:13" ht="15" customHeight="1" x14ac:dyDescent="0.3">
      <c r="A10" s="205"/>
      <c r="B10" s="205"/>
      <c r="C10" s="205"/>
      <c r="D10" s="205"/>
      <c r="E10" s="205"/>
      <c r="F10" s="205"/>
      <c r="G10" s="205"/>
      <c r="H10" s="205"/>
      <c r="I10" s="205"/>
      <c r="J10" s="205"/>
      <c r="K10" s="205"/>
      <c r="L10" s="205"/>
      <c r="M10" s="205"/>
    </row>
    <row r="11" spans="1:13" x14ac:dyDescent="0.3">
      <c r="A11" s="118" t="s">
        <v>89</v>
      </c>
      <c r="B11" s="119"/>
      <c r="C11" s="120"/>
      <c r="D11" s="119"/>
      <c r="E11" s="120"/>
      <c r="F11" s="119"/>
      <c r="G11" s="120"/>
      <c r="H11" s="119"/>
      <c r="I11" s="120"/>
      <c r="J11" s="119"/>
      <c r="K11" s="119"/>
      <c r="L11" s="119"/>
      <c r="M11" s="119"/>
    </row>
    <row r="12" spans="1:13" x14ac:dyDescent="0.3">
      <c r="A12" s="163"/>
      <c r="B12" s="201" t="s">
        <v>90</v>
      </c>
      <c r="C12" s="201"/>
      <c r="D12" s="201"/>
      <c r="E12" s="201"/>
      <c r="F12" s="201"/>
      <c r="G12" s="201"/>
      <c r="H12" s="201"/>
      <c r="I12" s="201"/>
      <c r="J12" s="201"/>
      <c r="K12" s="201"/>
      <c r="L12" s="201"/>
      <c r="M12" s="201"/>
    </row>
    <row r="13" spans="1:13" ht="6.75" customHeight="1" x14ac:dyDescent="0.3">
      <c r="A13" s="163"/>
      <c r="B13" s="163"/>
      <c r="C13" s="122"/>
      <c r="D13" s="163"/>
      <c r="E13" s="122"/>
      <c r="F13" s="163"/>
      <c r="G13" s="122"/>
      <c r="H13" s="163"/>
      <c r="I13" s="122"/>
      <c r="J13" s="163"/>
      <c r="K13" s="163"/>
      <c r="L13" s="163"/>
      <c r="M13" s="163"/>
    </row>
    <row r="14" spans="1:13" ht="15" customHeight="1" x14ac:dyDescent="0.3">
      <c r="A14" s="163"/>
      <c r="B14" s="202" t="s">
        <v>91</v>
      </c>
      <c r="C14" s="202"/>
      <c r="D14" s="202"/>
      <c r="E14" s="202"/>
      <c r="F14" s="202"/>
      <c r="G14" s="202"/>
      <c r="H14" s="202"/>
      <c r="I14" s="122"/>
      <c r="J14" s="161" t="s">
        <v>92</v>
      </c>
      <c r="K14" s="123"/>
      <c r="L14" s="123"/>
      <c r="M14" s="163"/>
    </row>
    <row r="15" spans="1:13" ht="15" customHeight="1" x14ac:dyDescent="0.3">
      <c r="A15" s="163"/>
      <c r="B15" s="124" t="s">
        <v>93</v>
      </c>
      <c r="C15" s="125" t="s">
        <v>94</v>
      </c>
      <c r="D15" s="124" t="s">
        <v>95</v>
      </c>
      <c r="E15" s="124" t="s">
        <v>96</v>
      </c>
      <c r="F15" s="124" t="s">
        <v>97</v>
      </c>
      <c r="G15" s="126"/>
      <c r="H15" s="127"/>
      <c r="I15" s="126"/>
      <c r="J15" s="128" t="s">
        <v>98</v>
      </c>
      <c r="K15" s="123"/>
      <c r="L15" s="129" t="s">
        <v>99</v>
      </c>
      <c r="M15" s="163"/>
    </row>
    <row r="16" spans="1:13" ht="15" customHeight="1" x14ac:dyDescent="0.3">
      <c r="A16" s="130"/>
      <c r="B16" s="14">
        <f>+'0001 Journal'!K19+'0012 Journal'!K19+'0017 Journal'!K19+'0044 Journal'!K19+'0158 Journal'!K19+'0367 Journal'!K19+'0378 Journal'!K19+'0460 Journal'!K19+'0567 Journal'!K19+'0569 Journal'!K19+'0890 Journal'!K19+'1008 Journal'!K19+'3053 Journal'!K19+'3086 Journal'!K19+'3088 Journal'!K19+'3297 Journal'!K19+'3320 Journal'!K19</f>
        <v>5211105</v>
      </c>
      <c r="C16" s="15" t="s">
        <v>94</v>
      </c>
      <c r="D16" s="14">
        <f>+'0001 Journal'!K37+'0012 Journal'!K37+'0017 Journal'!K37+'0044 Journal'!K37+'0158 Journal'!K37+'0367 Journal'!K37+'0378 Journal'!K37+'0460 Journal'!K37+'0567 Journal'!K37+'0569 Journal'!K37+'0890 Journal'!K37+'1008 Journal'!K37+'3053 Journal'!K37+'3086 Journal'!K37+'3088 Journal'!K37+'3297 Journal'!K37+'3320 Journal'!K37</f>
        <v>591631</v>
      </c>
      <c r="E16" s="16" t="s">
        <v>96</v>
      </c>
      <c r="F16" s="14">
        <f>+'0001 Journal'!J56+'0012 Journal'!J56+'0017 Journal'!J56+'0044 Journal'!J56+'0158 Journal'!J56+'0367 Journal'!J56+'0378 Journal'!J56+'0460 Journal'!J56+'0567 Journal'!J56+'0569 Journal'!J56+'0890 Journal'!J56+'1008 Journal'!J56+'3053 Journal'!J56+'3086 Journal'!J56+'3088 Journal'!J56+'3297 Journal'!J56+'3320 Journal'!J56</f>
        <v>3818840</v>
      </c>
      <c r="G16" s="16" t="s">
        <v>100</v>
      </c>
      <c r="H16" s="17">
        <f>+B16+D16-F16</f>
        <v>1983896</v>
      </c>
      <c r="I16" s="16"/>
      <c r="J16" s="18">
        <f>ROUND(SUM('Department Note Disclosure'!$B$16:$B$39),0)</f>
        <v>1983896</v>
      </c>
      <c r="K16" s="15"/>
      <c r="L16" s="19">
        <f>H16-J16</f>
        <v>0</v>
      </c>
      <c r="M16" s="163"/>
    </row>
    <row r="17" spans="1:13" ht="15" customHeight="1" x14ac:dyDescent="0.3">
      <c r="A17" s="130"/>
      <c r="B17" s="130"/>
      <c r="C17" s="131"/>
      <c r="D17" s="132" t="str">
        <f>IF(OR(L16&gt;0, (L16&lt;0)), "Please review and correct the variance.","")</f>
        <v/>
      </c>
      <c r="E17" s="131"/>
      <c r="F17" s="130"/>
      <c r="G17" s="131"/>
      <c r="H17" s="130"/>
      <c r="I17" s="131"/>
      <c r="J17" s="130"/>
      <c r="K17" s="130"/>
      <c r="L17" s="130"/>
      <c r="M17" s="163"/>
    </row>
    <row r="18" spans="1:13" ht="6" customHeight="1" x14ac:dyDescent="0.3">
      <c r="A18" s="130"/>
      <c r="B18" s="130"/>
      <c r="C18" s="131"/>
      <c r="D18" s="132"/>
      <c r="E18" s="131"/>
      <c r="F18" s="130"/>
      <c r="G18" s="131"/>
      <c r="H18" s="130"/>
      <c r="I18" s="131"/>
      <c r="J18" s="130"/>
      <c r="K18" s="130"/>
      <c r="L18" s="130"/>
      <c r="M18" s="163"/>
    </row>
    <row r="19" spans="1:13" x14ac:dyDescent="0.3">
      <c r="A19" s="163"/>
      <c r="B19" s="201" t="s">
        <v>101</v>
      </c>
      <c r="C19" s="201"/>
      <c r="D19" s="201"/>
      <c r="E19" s="201"/>
      <c r="F19" s="201"/>
      <c r="G19" s="201"/>
      <c r="H19" s="201"/>
      <c r="I19" s="201"/>
      <c r="J19" s="201"/>
      <c r="K19" s="201"/>
      <c r="L19" s="201"/>
      <c r="M19" s="201"/>
    </row>
    <row r="20" spans="1:13" ht="6" customHeight="1" x14ac:dyDescent="0.3">
      <c r="A20" s="163"/>
      <c r="B20" s="163"/>
      <c r="C20" s="122"/>
      <c r="D20" s="163"/>
      <c r="E20" s="122"/>
      <c r="F20" s="163"/>
      <c r="G20" s="122"/>
      <c r="H20" s="163"/>
      <c r="I20" s="122"/>
      <c r="J20" s="163"/>
      <c r="K20" s="163"/>
      <c r="L20" s="163"/>
      <c r="M20" s="163"/>
    </row>
    <row r="21" spans="1:13" ht="15" customHeight="1" x14ac:dyDescent="0.3">
      <c r="A21" s="163"/>
      <c r="B21" s="202" t="s">
        <v>91</v>
      </c>
      <c r="C21" s="202"/>
      <c r="D21" s="202"/>
      <c r="E21" s="202"/>
      <c r="F21" s="202"/>
      <c r="G21" s="202"/>
      <c r="H21" s="202"/>
      <c r="I21" s="122"/>
      <c r="J21" s="161" t="s">
        <v>92</v>
      </c>
      <c r="K21" s="123"/>
      <c r="L21" s="123"/>
      <c r="M21" s="163"/>
    </row>
    <row r="22" spans="1:13" ht="15" customHeight="1" x14ac:dyDescent="0.3">
      <c r="A22" s="163"/>
      <c r="B22" s="124" t="s">
        <v>93</v>
      </c>
      <c r="C22" s="125" t="s">
        <v>94</v>
      </c>
      <c r="D22" s="124" t="s">
        <v>95</v>
      </c>
      <c r="E22" s="124" t="s">
        <v>96</v>
      </c>
      <c r="F22" s="124" t="s">
        <v>97</v>
      </c>
      <c r="G22" s="126"/>
      <c r="H22" s="127"/>
      <c r="I22" s="126"/>
      <c r="J22" s="128" t="s">
        <v>98</v>
      </c>
      <c r="K22" s="123"/>
      <c r="L22" s="129" t="s">
        <v>99</v>
      </c>
      <c r="M22" s="163"/>
    </row>
    <row r="23" spans="1:13" ht="15" customHeight="1" x14ac:dyDescent="0.3">
      <c r="A23" s="130"/>
      <c r="B23" s="14">
        <f>+'9731 Journal'!K19+'9740 Journal'!K19</f>
        <v>540832</v>
      </c>
      <c r="C23" s="15" t="s">
        <v>94</v>
      </c>
      <c r="D23" s="14">
        <f>+'9731 Journal'!K37+'9740 Journal'!K37</f>
        <v>0</v>
      </c>
      <c r="E23" s="16" t="s">
        <v>96</v>
      </c>
      <c r="F23" s="14">
        <f>+'9731 Journal'!J56+'9740 Journal'!J56</f>
        <v>405375</v>
      </c>
      <c r="G23" s="16" t="s">
        <v>100</v>
      </c>
      <c r="H23" s="17">
        <f>+B23+D23-F23</f>
        <v>135457</v>
      </c>
      <c r="I23" s="16"/>
      <c r="J23" s="18">
        <f>ROUND(SUM('Department Note Disclosure'!$B$47:$B$70),0)</f>
        <v>135457</v>
      </c>
      <c r="K23" s="15"/>
      <c r="L23" s="19">
        <f>H23-J23</f>
        <v>0</v>
      </c>
      <c r="M23" s="163"/>
    </row>
    <row r="24" spans="1:13" ht="6" customHeight="1" x14ac:dyDescent="0.3">
      <c r="A24" s="130"/>
      <c r="B24" s="130"/>
      <c r="C24" s="131"/>
      <c r="D24" s="130"/>
      <c r="E24" s="131"/>
      <c r="F24" s="130"/>
      <c r="G24" s="131"/>
      <c r="H24" s="130"/>
      <c r="I24" s="131"/>
      <c r="J24" s="130"/>
      <c r="K24" s="130"/>
      <c r="L24" s="130"/>
      <c r="M24" s="163"/>
    </row>
    <row r="25" spans="1:13" ht="15" customHeight="1" x14ac:dyDescent="0.3">
      <c r="A25" s="130"/>
      <c r="B25" s="130"/>
      <c r="C25" s="131"/>
      <c r="D25" s="132" t="str">
        <f>IF(OR(L23&gt;0, (L23&lt;0)), "Please review and correct the variance.","")</f>
        <v/>
      </c>
      <c r="E25" s="131"/>
      <c r="F25" s="130"/>
      <c r="G25" s="131"/>
      <c r="H25" s="130"/>
      <c r="I25" s="131"/>
      <c r="J25" s="130"/>
      <c r="K25" s="130"/>
      <c r="L25" s="130"/>
      <c r="M25" s="163"/>
    </row>
    <row r="26" spans="1:13" ht="6" customHeight="1" x14ac:dyDescent="0.3">
      <c r="A26" s="130"/>
      <c r="B26" s="130"/>
      <c r="C26" s="131"/>
      <c r="D26" s="132"/>
      <c r="E26" s="131"/>
      <c r="F26" s="130"/>
      <c r="G26" s="131"/>
      <c r="H26" s="130"/>
      <c r="I26" s="131"/>
      <c r="J26" s="130"/>
      <c r="K26" s="130"/>
      <c r="L26" s="130"/>
      <c r="M26" s="163"/>
    </row>
    <row r="27" spans="1:13" x14ac:dyDescent="0.3">
      <c r="A27" s="163"/>
      <c r="B27" s="201" t="s">
        <v>102</v>
      </c>
      <c r="C27" s="201"/>
      <c r="D27" s="201"/>
      <c r="E27" s="201"/>
      <c r="F27" s="201"/>
      <c r="G27" s="201"/>
      <c r="H27" s="201"/>
      <c r="I27" s="201"/>
      <c r="J27" s="201"/>
      <c r="K27" s="201"/>
      <c r="L27" s="201"/>
      <c r="M27" s="201"/>
    </row>
    <row r="28" spans="1:13" ht="6" customHeight="1" x14ac:dyDescent="0.3">
      <c r="A28" s="163"/>
      <c r="B28" s="163"/>
      <c r="C28" s="122"/>
      <c r="D28" s="163"/>
      <c r="E28" s="122"/>
      <c r="F28" s="163"/>
      <c r="G28" s="122"/>
      <c r="H28" s="163"/>
      <c r="I28" s="122"/>
      <c r="J28" s="163"/>
      <c r="K28" s="163"/>
      <c r="L28" s="163"/>
      <c r="M28" s="163"/>
    </row>
    <row r="29" spans="1:13" ht="15" customHeight="1" x14ac:dyDescent="0.3">
      <c r="A29" s="163"/>
      <c r="B29" s="202" t="s">
        <v>91</v>
      </c>
      <c r="C29" s="202"/>
      <c r="D29" s="202"/>
      <c r="E29" s="202"/>
      <c r="F29" s="202"/>
      <c r="G29" s="202"/>
      <c r="H29" s="202"/>
      <c r="I29" s="122"/>
      <c r="J29" s="161" t="s">
        <v>92</v>
      </c>
      <c r="K29" s="123"/>
      <c r="L29" s="123"/>
      <c r="M29" s="163"/>
    </row>
    <row r="30" spans="1:13" ht="15" customHeight="1" x14ac:dyDescent="0.3">
      <c r="A30" s="163"/>
      <c r="B30" s="124" t="s">
        <v>93</v>
      </c>
      <c r="C30" s="125" t="s">
        <v>94</v>
      </c>
      <c r="D30" s="124" t="s">
        <v>95</v>
      </c>
      <c r="E30" s="124" t="s">
        <v>96</v>
      </c>
      <c r="F30" s="124" t="s">
        <v>97</v>
      </c>
      <c r="G30" s="126"/>
      <c r="H30" s="127"/>
      <c r="I30" s="126"/>
      <c r="J30" s="128" t="s">
        <v>98</v>
      </c>
      <c r="K30" s="123"/>
      <c r="L30" s="129" t="s">
        <v>99</v>
      </c>
      <c r="M30" s="163"/>
    </row>
    <row r="31" spans="1:13" ht="15" customHeight="1" x14ac:dyDescent="0.3">
      <c r="A31" s="130"/>
      <c r="B31" s="14">
        <v>0</v>
      </c>
      <c r="C31" s="15" t="s">
        <v>94</v>
      </c>
      <c r="D31" s="14">
        <v>0</v>
      </c>
      <c r="E31" s="16" t="s">
        <v>96</v>
      </c>
      <c r="F31" s="14">
        <v>0</v>
      </c>
      <c r="G31" s="16" t="s">
        <v>100</v>
      </c>
      <c r="H31" s="17">
        <f>+B31+D31-F31</f>
        <v>0</v>
      </c>
      <c r="I31" s="16"/>
      <c r="J31" s="18">
        <f>ROUND(SUM('Department Note Disclosure'!$B$78:$B$101),0)</f>
        <v>0</v>
      </c>
      <c r="K31" s="15"/>
      <c r="L31" s="19">
        <f>H31-J31</f>
        <v>0</v>
      </c>
      <c r="M31" s="163"/>
    </row>
    <row r="32" spans="1:13" ht="15" customHeight="1" x14ac:dyDescent="0.3">
      <c r="A32" s="163"/>
      <c r="B32" s="133"/>
      <c r="C32" s="122"/>
      <c r="D32" s="132" t="str">
        <f>IF(OR(L31&gt;0, (L31&lt;0)), "Please review and correct the variance.","")</f>
        <v/>
      </c>
      <c r="E32" s="122"/>
      <c r="F32" s="133"/>
      <c r="G32" s="122"/>
      <c r="H32" s="133"/>
      <c r="I32" s="122"/>
      <c r="J32" s="133"/>
      <c r="K32" s="133"/>
      <c r="L32" s="133"/>
      <c r="M32" s="163"/>
    </row>
    <row r="33" spans="1:13" ht="15" customHeight="1" x14ac:dyDescent="0.3">
      <c r="A33" s="163"/>
      <c r="B33" s="133"/>
      <c r="C33" s="122"/>
      <c r="D33" s="133"/>
      <c r="E33" s="122"/>
      <c r="F33" s="133"/>
      <c r="G33" s="122"/>
      <c r="H33" s="133"/>
      <c r="I33" s="122"/>
      <c r="J33" s="133"/>
      <c r="K33" s="133"/>
      <c r="L33" s="133"/>
      <c r="M33" s="163"/>
    </row>
    <row r="34" spans="1:13" x14ac:dyDescent="0.3">
      <c r="A34" s="118" t="s">
        <v>103</v>
      </c>
      <c r="B34" s="119"/>
      <c r="C34" s="120"/>
      <c r="D34" s="119"/>
      <c r="E34" s="120"/>
      <c r="F34" s="119"/>
      <c r="G34" s="120"/>
      <c r="H34" s="119"/>
      <c r="I34" s="120"/>
      <c r="J34" s="119"/>
      <c r="K34" s="119"/>
      <c r="L34" s="119"/>
      <c r="M34" s="119"/>
    </row>
    <row r="35" spans="1:13" ht="15" customHeight="1" x14ac:dyDescent="0.3">
      <c r="A35" s="163"/>
      <c r="B35" s="201" t="s">
        <v>90</v>
      </c>
      <c r="C35" s="201"/>
      <c r="D35" s="201"/>
      <c r="E35" s="201"/>
      <c r="F35" s="201"/>
      <c r="G35" s="201"/>
      <c r="H35" s="201"/>
      <c r="I35" s="201"/>
      <c r="J35" s="201"/>
      <c r="K35" s="201"/>
      <c r="L35" s="201"/>
      <c r="M35" s="201"/>
    </row>
    <row r="36" spans="1:13" ht="6" customHeight="1" x14ac:dyDescent="0.3">
      <c r="A36" s="163"/>
      <c r="B36" s="163"/>
      <c r="C36" s="122"/>
      <c r="D36" s="163"/>
      <c r="E36" s="122"/>
      <c r="F36" s="163"/>
      <c r="G36" s="122"/>
      <c r="H36" s="163"/>
      <c r="I36" s="122"/>
      <c r="J36" s="163"/>
      <c r="K36" s="163"/>
      <c r="L36" s="163"/>
      <c r="M36" s="163"/>
    </row>
    <row r="37" spans="1:13" ht="15" customHeight="1" x14ac:dyDescent="0.3">
      <c r="A37" s="163"/>
      <c r="B37" s="202" t="s">
        <v>91</v>
      </c>
      <c r="C37" s="202"/>
      <c r="D37" s="202"/>
      <c r="E37" s="202"/>
      <c r="F37" s="202"/>
      <c r="G37" s="202"/>
      <c r="H37" s="202"/>
      <c r="I37" s="122"/>
      <c r="J37" s="161" t="s">
        <v>92</v>
      </c>
      <c r="K37" s="123"/>
      <c r="L37" s="123"/>
      <c r="M37" s="163"/>
    </row>
    <row r="38" spans="1:13" ht="15" customHeight="1" x14ac:dyDescent="0.3">
      <c r="A38" s="163"/>
      <c r="B38" s="163"/>
      <c r="C38" s="163"/>
      <c r="E38" s="163"/>
      <c r="F38" s="124" t="s">
        <v>104</v>
      </c>
      <c r="G38" s="163"/>
      <c r="H38" s="163"/>
      <c r="I38" s="126"/>
      <c r="J38" s="128" t="str">
        <f>'Department Note Disclosure'!$A$16&amp;" Principal Payments"</f>
        <v>2023–2024 Principal Payments</v>
      </c>
      <c r="K38" s="123"/>
      <c r="L38" s="129" t="s">
        <v>99</v>
      </c>
      <c r="M38" s="163"/>
    </row>
    <row r="39" spans="1:13" ht="15" customHeight="1" x14ac:dyDescent="0.3">
      <c r="A39" s="163"/>
      <c r="B39" s="133"/>
      <c r="C39" s="133"/>
      <c r="E39" s="133"/>
      <c r="F39" s="14">
        <f>+'0001 Journal'!J61+'0012 Journal'!J61+'0017 Journal'!J61+'0044 Journal'!J61+'0158 Journal'!J61+'0367 Journal'!J61+'0378 Journal'!J61+'0460 Journal'!J61+'0567 Journal'!J61+'0569 Journal'!J61+'0890 Journal'!J61+'1008 Journal'!J61+'3053 Journal'!J61+'3086 Journal'!J61+'3088 Journal'!J61+'3297 Journal'!J61+'3320 Journal'!J61</f>
        <v>1289517</v>
      </c>
      <c r="G39" s="133"/>
      <c r="H39" s="133"/>
      <c r="I39" s="20"/>
      <c r="J39" s="18">
        <f>ROUND('Department Note Disclosure'!$B$16,0)</f>
        <v>1289517</v>
      </c>
      <c r="K39" s="21"/>
      <c r="L39" s="19">
        <f>F39-J39</f>
        <v>0</v>
      </c>
      <c r="M39" s="163"/>
    </row>
    <row r="40" spans="1:13" ht="17.399999999999999" x14ac:dyDescent="0.3">
      <c r="A40" s="163"/>
      <c r="B40" s="130"/>
      <c r="C40" s="131"/>
      <c r="D40" s="132" t="str">
        <f>IF(OR(L39&gt;0, (L39&lt;0)), "Please review and correct the variance.","")</f>
        <v/>
      </c>
      <c r="E40" s="131"/>
      <c r="F40" s="130"/>
      <c r="G40" s="131"/>
      <c r="H40" s="130"/>
      <c r="I40" s="131"/>
      <c r="J40" s="130"/>
      <c r="K40" s="130"/>
      <c r="L40" s="130"/>
      <c r="M40" s="163"/>
    </row>
    <row r="41" spans="1:13" ht="6" customHeight="1" x14ac:dyDescent="0.3">
      <c r="A41" s="163"/>
      <c r="B41" s="130"/>
      <c r="C41" s="131"/>
      <c r="D41" s="132"/>
      <c r="E41" s="131"/>
      <c r="F41" s="130"/>
      <c r="G41" s="131"/>
      <c r="H41" s="130"/>
      <c r="I41" s="131"/>
      <c r="J41" s="130"/>
      <c r="K41" s="130"/>
      <c r="L41" s="130"/>
      <c r="M41" s="163"/>
    </row>
    <row r="42" spans="1:13" x14ac:dyDescent="0.3">
      <c r="A42" s="163"/>
      <c r="B42" s="201" t="s">
        <v>101</v>
      </c>
      <c r="C42" s="201"/>
      <c r="D42" s="201"/>
      <c r="E42" s="201"/>
      <c r="F42" s="201"/>
      <c r="G42" s="201"/>
      <c r="H42" s="201"/>
      <c r="I42" s="201"/>
      <c r="J42" s="201"/>
      <c r="K42" s="201"/>
      <c r="L42" s="201"/>
      <c r="M42" s="201"/>
    </row>
    <row r="43" spans="1:13" ht="6" customHeight="1" x14ac:dyDescent="0.3">
      <c r="A43" s="163"/>
      <c r="B43" s="163"/>
      <c r="C43" s="122"/>
      <c r="D43" s="163"/>
      <c r="E43" s="122"/>
      <c r="F43" s="163"/>
      <c r="G43" s="122"/>
      <c r="H43" s="163"/>
      <c r="I43" s="122"/>
      <c r="J43" s="163"/>
      <c r="K43" s="163"/>
      <c r="L43" s="163"/>
      <c r="M43" s="163"/>
    </row>
    <row r="44" spans="1:13" ht="15" customHeight="1" x14ac:dyDescent="0.3">
      <c r="A44" s="163"/>
      <c r="B44" s="202" t="s">
        <v>91</v>
      </c>
      <c r="C44" s="202"/>
      <c r="D44" s="202"/>
      <c r="E44" s="202"/>
      <c r="F44" s="202"/>
      <c r="G44" s="202"/>
      <c r="H44" s="202"/>
      <c r="I44" s="122"/>
      <c r="J44" s="161" t="s">
        <v>92</v>
      </c>
      <c r="K44" s="123"/>
      <c r="L44" s="123"/>
      <c r="M44" s="163"/>
    </row>
    <row r="45" spans="1:13" ht="15" customHeight="1" x14ac:dyDescent="0.3">
      <c r="A45" s="163"/>
      <c r="B45" s="163"/>
      <c r="C45" s="163"/>
      <c r="E45" s="163"/>
      <c r="F45" s="124" t="s">
        <v>104</v>
      </c>
      <c r="G45" s="163"/>
      <c r="H45" s="163"/>
      <c r="I45" s="126"/>
      <c r="J45" s="128" t="str">
        <f>'Department Note Disclosure'!$A$47&amp;" Principal Payments"</f>
        <v>2023–2024 Principal Payments</v>
      </c>
      <c r="K45" s="123"/>
      <c r="L45" s="129" t="s">
        <v>99</v>
      </c>
      <c r="M45" s="163"/>
    </row>
    <row r="46" spans="1:13" x14ac:dyDescent="0.3">
      <c r="A46" s="163"/>
      <c r="B46" s="133"/>
      <c r="C46" s="133"/>
      <c r="E46" s="133"/>
      <c r="F46" s="14">
        <f>+'9731 Journal'!J61+'9740 Journal'!J61</f>
        <v>100721</v>
      </c>
      <c r="G46" s="133"/>
      <c r="H46" s="133"/>
      <c r="I46" s="20"/>
      <c r="J46" s="18">
        <f>ROUND('Department Note Disclosure'!$B$47,0)</f>
        <v>100721</v>
      </c>
      <c r="K46" s="21"/>
      <c r="L46" s="19">
        <f>F46-J46</f>
        <v>0</v>
      </c>
      <c r="M46" s="163"/>
    </row>
    <row r="47" spans="1:13" ht="17.399999999999999" x14ac:dyDescent="0.3">
      <c r="A47" s="163"/>
      <c r="B47" s="163"/>
      <c r="C47" s="163"/>
      <c r="D47" s="132" t="str">
        <f>IF(OR(L46&gt;0, (L46&lt;0)), "Please review and correct the variance.","")</f>
        <v/>
      </c>
      <c r="E47" s="163"/>
      <c r="F47" s="163"/>
      <c r="G47" s="163"/>
      <c r="H47" s="163"/>
      <c r="I47" s="163"/>
      <c r="J47" s="163"/>
      <c r="K47" s="163"/>
      <c r="L47" s="163"/>
      <c r="M47" s="163"/>
    </row>
    <row r="48" spans="1:13" ht="6" customHeight="1" x14ac:dyDescent="0.3">
      <c r="A48" s="163"/>
      <c r="B48" s="163"/>
      <c r="C48" s="163"/>
      <c r="D48" s="132"/>
      <c r="E48" s="163"/>
      <c r="F48" s="163"/>
      <c r="G48" s="163"/>
      <c r="H48" s="163"/>
      <c r="I48" s="163"/>
      <c r="J48" s="163"/>
      <c r="K48" s="163"/>
      <c r="L48" s="163"/>
      <c r="M48" s="163"/>
    </row>
    <row r="49" spans="1:13" x14ac:dyDescent="0.3">
      <c r="A49" s="163"/>
      <c r="B49" s="201" t="s">
        <v>102</v>
      </c>
      <c r="C49" s="201"/>
      <c r="D49" s="201"/>
      <c r="E49" s="201"/>
      <c r="F49" s="201"/>
      <c r="G49" s="201"/>
      <c r="H49" s="201"/>
      <c r="I49" s="201"/>
      <c r="J49" s="201"/>
      <c r="K49" s="201"/>
      <c r="L49" s="201"/>
      <c r="M49" s="201"/>
    </row>
    <row r="50" spans="1:13" x14ac:dyDescent="0.3">
      <c r="A50" s="163"/>
      <c r="B50" s="163"/>
      <c r="C50" s="122"/>
      <c r="D50" s="163"/>
      <c r="E50" s="122"/>
      <c r="F50" s="163"/>
      <c r="G50" s="122"/>
      <c r="H50" s="163"/>
      <c r="I50" s="122"/>
      <c r="J50" s="163"/>
      <c r="K50" s="163"/>
      <c r="L50" s="163"/>
      <c r="M50" s="163"/>
    </row>
    <row r="51" spans="1:13" x14ac:dyDescent="0.3">
      <c r="A51" s="163"/>
      <c r="B51" s="202" t="s">
        <v>91</v>
      </c>
      <c r="C51" s="202"/>
      <c r="D51" s="202"/>
      <c r="E51" s="202"/>
      <c r="F51" s="202"/>
      <c r="G51" s="202"/>
      <c r="H51" s="202"/>
      <c r="I51" s="122"/>
      <c r="J51" s="161" t="s">
        <v>92</v>
      </c>
      <c r="K51" s="123"/>
      <c r="L51" s="123"/>
      <c r="M51" s="163"/>
    </row>
    <row r="52" spans="1:13" ht="15" customHeight="1" x14ac:dyDescent="0.3">
      <c r="A52" s="163"/>
      <c r="B52" s="163"/>
      <c r="C52" s="163"/>
      <c r="E52" s="163"/>
      <c r="F52" s="124" t="s">
        <v>104</v>
      </c>
      <c r="G52" s="163"/>
      <c r="H52" s="163"/>
      <c r="I52" s="126"/>
      <c r="J52" s="128" t="str">
        <f>'Department Note Disclosure'!$A$47&amp;" Principal Payments"</f>
        <v>2023–2024 Principal Payments</v>
      </c>
      <c r="K52" s="123"/>
      <c r="L52" s="129" t="s">
        <v>99</v>
      </c>
      <c r="M52" s="163"/>
    </row>
    <row r="53" spans="1:13" x14ac:dyDescent="0.3">
      <c r="A53" s="163"/>
      <c r="B53" s="133"/>
      <c r="C53" s="133"/>
      <c r="E53" s="133"/>
      <c r="F53" s="14">
        <v>0</v>
      </c>
      <c r="G53" s="133"/>
      <c r="H53" s="133"/>
      <c r="I53" s="20"/>
      <c r="J53" s="18">
        <f>ROUND('Department Note Disclosure'!$B$78,0)</f>
        <v>0</v>
      </c>
      <c r="K53" s="21"/>
      <c r="L53" s="19">
        <f>F53-J53</f>
        <v>0</v>
      </c>
      <c r="M53" s="163"/>
    </row>
    <row r="54" spans="1:13" ht="17.399999999999999" x14ac:dyDescent="0.3">
      <c r="A54" s="163"/>
      <c r="B54" s="130"/>
      <c r="C54" s="131"/>
      <c r="D54" s="132" t="str">
        <f>IF(OR(L53&gt;0, (L53&lt;0)), "Please review and correct the variance.","")</f>
        <v/>
      </c>
      <c r="E54" s="131"/>
      <c r="F54" s="130"/>
      <c r="G54" s="131"/>
      <c r="H54" s="130"/>
      <c r="I54" s="131"/>
      <c r="J54" s="130"/>
      <c r="K54" s="130"/>
      <c r="L54" s="130"/>
      <c r="M54" s="163"/>
    </row>
    <row r="55" spans="1:13" ht="17.399999999999999" x14ac:dyDescent="0.3">
      <c r="A55" s="163"/>
      <c r="B55" s="163"/>
      <c r="C55" s="163"/>
      <c r="D55" s="132"/>
      <c r="E55" s="163"/>
      <c r="F55" s="163"/>
      <c r="G55" s="163"/>
      <c r="H55" s="163"/>
      <c r="I55" s="163"/>
      <c r="J55" s="163"/>
      <c r="K55" s="163"/>
      <c r="L55" s="163"/>
      <c r="M55" s="163"/>
    </row>
    <row r="56" spans="1:13" x14ac:dyDescent="0.3">
      <c r="A56" s="118" t="s">
        <v>105</v>
      </c>
      <c r="B56" s="119"/>
      <c r="C56" s="120"/>
      <c r="D56" s="119"/>
      <c r="E56" s="120"/>
      <c r="F56" s="119"/>
      <c r="G56" s="120"/>
      <c r="H56" s="119"/>
      <c r="I56" s="120"/>
      <c r="J56" s="119"/>
      <c r="K56" s="119"/>
      <c r="L56" s="119"/>
      <c r="M56" s="119"/>
    </row>
    <row r="57" spans="1:13" ht="15" customHeight="1" x14ac:dyDescent="0.3">
      <c r="A57" s="163"/>
      <c r="B57" s="203" t="s">
        <v>90</v>
      </c>
      <c r="C57" s="203"/>
      <c r="D57" s="203"/>
      <c r="E57" s="203"/>
      <c r="F57" s="203"/>
      <c r="G57" s="203"/>
      <c r="H57" s="203"/>
      <c r="I57" s="203"/>
      <c r="J57" s="203"/>
      <c r="K57" s="203"/>
      <c r="L57" s="203"/>
      <c r="M57" s="203"/>
    </row>
    <row r="58" spans="1:13" ht="6" customHeight="1" x14ac:dyDescent="0.3">
      <c r="A58" s="163"/>
      <c r="B58" s="162"/>
      <c r="C58" s="162"/>
      <c r="D58" s="162"/>
      <c r="E58" s="162"/>
      <c r="F58" s="162"/>
      <c r="G58" s="162"/>
      <c r="H58" s="162"/>
      <c r="I58" s="162"/>
      <c r="J58" s="162"/>
      <c r="K58" s="162"/>
      <c r="L58" s="162"/>
      <c r="M58" s="163"/>
    </row>
    <row r="59" spans="1:13" ht="15" customHeight="1" x14ac:dyDescent="0.3">
      <c r="A59" s="163"/>
      <c r="B59" s="199" t="s">
        <v>91</v>
      </c>
      <c r="C59" s="199"/>
      <c r="D59" s="199"/>
      <c r="E59" s="199"/>
      <c r="F59" s="199"/>
      <c r="G59" s="162"/>
      <c r="H59" s="199" t="s">
        <v>66</v>
      </c>
      <c r="I59" s="199"/>
      <c r="J59" s="199"/>
      <c r="K59" s="162"/>
      <c r="L59" s="162"/>
      <c r="M59" s="163"/>
    </row>
    <row r="60" spans="1:13" x14ac:dyDescent="0.3">
      <c r="A60" s="163"/>
      <c r="B60" s="163"/>
      <c r="C60" s="163"/>
      <c r="D60" s="163"/>
      <c r="E60" s="163"/>
      <c r="F60" s="163"/>
      <c r="G60" s="163"/>
      <c r="H60" s="163"/>
      <c r="I60" s="163"/>
      <c r="J60" s="163"/>
      <c r="K60" s="163"/>
      <c r="L60" s="129" t="s">
        <v>99</v>
      </c>
      <c r="M60" s="163"/>
    </row>
    <row r="61" spans="1:13" x14ac:dyDescent="0.3">
      <c r="B61" s="134" t="s">
        <v>93</v>
      </c>
      <c r="D61" s="22">
        <f>$B$16</f>
        <v>5211105</v>
      </c>
      <c r="H61" s="136" t="str">
        <f>"Balance July 1, "&amp;LEFT('0001 Journal'!F3,4)</f>
        <v>Balance July 1, 2022</v>
      </c>
      <c r="J61" s="22">
        <f>ROUND('SBITA Liabilities'!$F$10,0)</f>
        <v>5211105</v>
      </c>
      <c r="L61" s="19">
        <f>D61-J61</f>
        <v>0</v>
      </c>
    </row>
    <row r="62" spans="1:13" x14ac:dyDescent="0.3">
      <c r="B62" s="134" t="s">
        <v>95</v>
      </c>
      <c r="D62" s="22">
        <f>$D$16</f>
        <v>591631</v>
      </c>
      <c r="H62" s="136" t="s">
        <v>72</v>
      </c>
      <c r="J62" s="22">
        <f>ROUND('SBITA Liabilities'!$H$10,0)</f>
        <v>591631</v>
      </c>
      <c r="L62" s="19">
        <f>D62-J62</f>
        <v>0</v>
      </c>
    </row>
    <row r="63" spans="1:13" x14ac:dyDescent="0.3">
      <c r="B63" s="134" t="s">
        <v>97</v>
      </c>
      <c r="D63" s="22">
        <f>$F$16</f>
        <v>3818840</v>
      </c>
      <c r="H63" s="136" t="s">
        <v>73</v>
      </c>
      <c r="J63" s="22">
        <f>ROUND('SBITA Liabilities'!$J$10,0)</f>
        <v>3818840</v>
      </c>
      <c r="L63" s="19">
        <f>D63-J63</f>
        <v>0</v>
      </c>
    </row>
    <row r="64" spans="1:13" x14ac:dyDescent="0.3">
      <c r="B64" s="134" t="s">
        <v>104</v>
      </c>
      <c r="D64" s="22">
        <f>$F$39</f>
        <v>1289517</v>
      </c>
      <c r="H64" s="136" t="s">
        <v>74</v>
      </c>
      <c r="J64" s="22">
        <f>ROUND('SBITA Liabilities'!$N$10,0)</f>
        <v>1289517</v>
      </c>
      <c r="L64" s="19">
        <f>D64-J64</f>
        <v>0</v>
      </c>
    </row>
    <row r="65" spans="1:13" ht="15.9" customHeight="1" x14ac:dyDescent="0.3">
      <c r="D65" s="132" t="str">
        <f>IF(OR(L61&gt;0, (L61&lt;0),L62&gt;0,L62&lt;0,L63&gt;0,L63&lt;0,L64&gt;0,L64&lt;0), "Please review and correct the variance.","")</f>
        <v/>
      </c>
    </row>
    <row r="66" spans="1:13" ht="6" customHeight="1" x14ac:dyDescent="0.3">
      <c r="D66" s="137"/>
    </row>
    <row r="67" spans="1:13" s="200" customFormat="1" x14ac:dyDescent="0.3">
      <c r="A67" s="121"/>
      <c r="B67" s="200" t="s">
        <v>101</v>
      </c>
    </row>
    <row r="68" spans="1:13" ht="6" customHeight="1" x14ac:dyDescent="0.3">
      <c r="B68" s="138"/>
    </row>
    <row r="69" spans="1:13" ht="15" customHeight="1" x14ac:dyDescent="0.3">
      <c r="B69" s="199" t="s">
        <v>91</v>
      </c>
      <c r="C69" s="199"/>
      <c r="D69" s="199"/>
      <c r="E69" s="199"/>
      <c r="F69" s="199"/>
      <c r="G69" s="162"/>
      <c r="H69" s="199" t="s">
        <v>66</v>
      </c>
      <c r="I69" s="199"/>
      <c r="J69" s="199"/>
    </row>
    <row r="70" spans="1:13" x14ac:dyDescent="0.3">
      <c r="H70" s="163"/>
      <c r="I70" s="163"/>
      <c r="J70" s="163"/>
      <c r="K70" s="163"/>
      <c r="L70" s="129" t="s">
        <v>99</v>
      </c>
    </row>
    <row r="71" spans="1:13" x14ac:dyDescent="0.3">
      <c r="B71" s="134" t="s">
        <v>93</v>
      </c>
      <c r="D71" s="22">
        <f>$B$23</f>
        <v>540832</v>
      </c>
      <c r="H71" s="136" t="str">
        <f>"Balance July 1, "&amp;LEFT('0001 Journal'!F3,4)</f>
        <v>Balance July 1, 2022</v>
      </c>
      <c r="J71" s="22">
        <f>ROUND('SBITA Liabilities'!$F$14,0)</f>
        <v>540832</v>
      </c>
      <c r="L71" s="19">
        <f>D71-J71</f>
        <v>0</v>
      </c>
    </row>
    <row r="72" spans="1:13" x14ac:dyDescent="0.3">
      <c r="B72" s="134" t="s">
        <v>95</v>
      </c>
      <c r="D72" s="22">
        <f>D23</f>
        <v>0</v>
      </c>
      <c r="H72" s="136" t="s">
        <v>72</v>
      </c>
      <c r="J72" s="22">
        <f>ROUND('SBITA Liabilities'!$H$14,0)</f>
        <v>0</v>
      </c>
      <c r="L72" s="19">
        <f>D72-J72</f>
        <v>0</v>
      </c>
    </row>
    <row r="73" spans="1:13" x14ac:dyDescent="0.3">
      <c r="B73" s="134" t="s">
        <v>97</v>
      </c>
      <c r="D73" s="22">
        <f>F23</f>
        <v>405375</v>
      </c>
      <c r="H73" s="136" t="s">
        <v>73</v>
      </c>
      <c r="J73" s="22">
        <f>ROUND('SBITA Liabilities'!$J$14,0)</f>
        <v>405375</v>
      </c>
      <c r="L73" s="19">
        <f>D73-J73</f>
        <v>0</v>
      </c>
    </row>
    <row r="74" spans="1:13" x14ac:dyDescent="0.3">
      <c r="B74" s="134" t="s">
        <v>104</v>
      </c>
      <c r="D74" s="22">
        <f>F46</f>
        <v>100721</v>
      </c>
      <c r="H74" s="136" t="s">
        <v>74</v>
      </c>
      <c r="J74" s="22">
        <f>ROUND('SBITA Liabilities'!$N$14,0)</f>
        <v>100721</v>
      </c>
      <c r="L74" s="19">
        <f>D74-J74</f>
        <v>0</v>
      </c>
    </row>
    <row r="75" spans="1:13" ht="17.399999999999999" x14ac:dyDescent="0.3">
      <c r="D75" s="132" t="str">
        <f>IF(OR(L71&gt;0, (L71&lt;0),L72&gt;0,L72&lt;0,L73&gt;0,L73&lt;0,L74&gt;0,L74&lt;0), "Please review and correct the variance.","")</f>
        <v/>
      </c>
    </row>
    <row r="76" spans="1:13" ht="6" customHeight="1" x14ac:dyDescent="0.3">
      <c r="D76" s="132"/>
    </row>
    <row r="77" spans="1:13" x14ac:dyDescent="0.3">
      <c r="B77" s="200" t="s">
        <v>102</v>
      </c>
      <c r="C77" s="200"/>
      <c r="D77" s="200"/>
      <c r="E77" s="200"/>
      <c r="F77" s="200"/>
      <c r="G77" s="200"/>
      <c r="H77" s="200"/>
      <c r="I77" s="200"/>
      <c r="J77" s="200"/>
      <c r="K77" s="200"/>
      <c r="L77" s="200"/>
      <c r="M77" s="200"/>
    </row>
    <row r="78" spans="1:13" ht="6" customHeight="1" x14ac:dyDescent="0.3">
      <c r="B78" s="138"/>
    </row>
    <row r="79" spans="1:13" ht="15" customHeight="1" x14ac:dyDescent="0.3">
      <c r="B79" s="199" t="s">
        <v>91</v>
      </c>
      <c r="C79" s="199"/>
      <c r="D79" s="199"/>
      <c r="E79" s="199"/>
      <c r="F79" s="199"/>
      <c r="G79" s="162"/>
      <c r="H79" s="199" t="s">
        <v>66</v>
      </c>
      <c r="I79" s="199"/>
      <c r="J79" s="199"/>
    </row>
    <row r="80" spans="1:13" x14ac:dyDescent="0.3">
      <c r="H80" s="163"/>
      <c r="I80" s="163"/>
      <c r="J80" s="163"/>
      <c r="K80" s="163"/>
      <c r="L80" s="129" t="s">
        <v>99</v>
      </c>
    </row>
    <row r="81" spans="1:13" x14ac:dyDescent="0.3">
      <c r="B81" s="134" t="s">
        <v>93</v>
      </c>
      <c r="D81" s="22">
        <f>$B$31</f>
        <v>0</v>
      </c>
      <c r="H81" s="136" t="str">
        <f>"Balance July 1, "&amp;LEFT('0001 Journal'!F3,4)</f>
        <v>Balance July 1, 2022</v>
      </c>
      <c r="J81" s="22">
        <f>ROUND('SBITA Liabilities'!$F$18,0)</f>
        <v>0</v>
      </c>
      <c r="L81" s="19">
        <f>D81-J81</f>
        <v>0</v>
      </c>
    </row>
    <row r="82" spans="1:13" x14ac:dyDescent="0.3">
      <c r="B82" s="134" t="s">
        <v>95</v>
      </c>
      <c r="D82" s="22">
        <f>D31</f>
        <v>0</v>
      </c>
      <c r="H82" s="136" t="s">
        <v>72</v>
      </c>
      <c r="J82" s="22">
        <f>ROUND('SBITA Liabilities'!$H$18,0)</f>
        <v>0</v>
      </c>
      <c r="L82" s="19">
        <f>D82-J82</f>
        <v>0</v>
      </c>
    </row>
    <row r="83" spans="1:13" x14ac:dyDescent="0.3">
      <c r="B83" s="134" t="s">
        <v>97</v>
      </c>
      <c r="D83" s="22">
        <f>F31</f>
        <v>0</v>
      </c>
      <c r="H83" s="136" t="s">
        <v>73</v>
      </c>
      <c r="J83" s="22">
        <f>ROUND('SBITA Liabilities'!$J$18,0)</f>
        <v>0</v>
      </c>
      <c r="L83" s="19">
        <f>D83-J83</f>
        <v>0</v>
      </c>
    </row>
    <row r="84" spans="1:13" x14ac:dyDescent="0.3">
      <c r="B84" s="134" t="s">
        <v>104</v>
      </c>
      <c r="D84" s="22">
        <f>F53</f>
        <v>0</v>
      </c>
      <c r="H84" s="136" t="s">
        <v>74</v>
      </c>
      <c r="J84" s="22">
        <f>ROUND('SBITA Liabilities'!$N$18,0)</f>
        <v>0</v>
      </c>
      <c r="L84" s="19">
        <f>D84-J84</f>
        <v>0</v>
      </c>
    </row>
    <row r="85" spans="1:13" ht="17.399999999999999" x14ac:dyDescent="0.3">
      <c r="D85" s="132" t="str">
        <f>IF(OR(L81&gt;0, (L81&lt;0),L82&gt;0,L82&lt;0,L83&gt;0,L83&lt;0,L84&gt;0,L84&lt;0), "Please review and correct the variance.","")</f>
        <v/>
      </c>
    </row>
    <row r="86" spans="1:13" x14ac:dyDescent="0.3">
      <c r="A86" s="118"/>
      <c r="B86" s="119"/>
      <c r="C86" s="120"/>
      <c r="D86" s="119"/>
      <c r="E86" s="120"/>
      <c r="F86" s="119"/>
      <c r="G86" s="120"/>
      <c r="H86" s="119"/>
      <c r="I86" s="120"/>
      <c r="J86" s="119"/>
      <c r="K86" s="119"/>
      <c r="L86" s="119"/>
      <c r="M86" s="119"/>
    </row>
    <row r="87" spans="1:13" x14ac:dyDescent="0.3"/>
  </sheetData>
  <sheetProtection algorithmName="SHA-512" hashValue="JZWt1/G9TXpzJU3pVgdWHRUs9mScCJ4MDy1u3LV/24CdEAZvtA2YpuPMfX0tKzu+X+gG7vLIuE+Otw+D+UkMAA==" saltValue="nKTzMdSSy/+d8qrp76miHA==" spinCount="100000" sheet="1" formatColumns="0" formatRows="0"/>
  <mergeCells count="23">
    <mergeCell ref="B21:H21"/>
    <mergeCell ref="A5:M7"/>
    <mergeCell ref="A8:M10"/>
    <mergeCell ref="B12:M12"/>
    <mergeCell ref="B14:H14"/>
    <mergeCell ref="B19:M19"/>
    <mergeCell ref="B67:XFD67"/>
    <mergeCell ref="B27:M27"/>
    <mergeCell ref="B29:H29"/>
    <mergeCell ref="B35:M35"/>
    <mergeCell ref="B37:H37"/>
    <mergeCell ref="B42:M42"/>
    <mergeCell ref="B44:H44"/>
    <mergeCell ref="B49:M49"/>
    <mergeCell ref="B51:H51"/>
    <mergeCell ref="B57:M57"/>
    <mergeCell ref="B59:F59"/>
    <mergeCell ref="H59:J59"/>
    <mergeCell ref="B69:F69"/>
    <mergeCell ref="H69:J69"/>
    <mergeCell ref="B77:M77"/>
    <mergeCell ref="B79:F79"/>
    <mergeCell ref="H79:J79"/>
  </mergeCells>
  <conditionalFormatting sqref="L16">
    <cfRule type="cellIs" dxfId="17" priority="17" operator="lessThan">
      <formula>0</formula>
    </cfRule>
    <cfRule type="cellIs" dxfId="16" priority="18" operator="greaterThan">
      <formula>0</formula>
    </cfRule>
  </conditionalFormatting>
  <conditionalFormatting sqref="L23">
    <cfRule type="cellIs" dxfId="15" priority="15" operator="lessThan">
      <formula>0</formula>
    </cfRule>
    <cfRule type="cellIs" dxfId="14" priority="16"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13" operator="lessThan">
      <formula>0</formula>
    </cfRule>
    <cfRule type="cellIs" dxfId="10" priority="14" operator="greaterThan">
      <formula>0</formula>
    </cfRule>
  </conditionalFormatting>
  <conditionalFormatting sqref="L46">
    <cfRule type="cellIs" dxfId="9" priority="11" operator="lessThan">
      <formula>0</formula>
    </cfRule>
    <cfRule type="cellIs" dxfId="8" priority="12"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9" operator="lessThan">
      <formula>0</formula>
    </cfRule>
    <cfRule type="cellIs" dxfId="4" priority="10"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dimension ref="A1:K101"/>
  <sheetViews>
    <sheetView workbookViewId="0">
      <selection activeCell="D18" sqref="D18"/>
    </sheetView>
  </sheetViews>
  <sheetFormatPr defaultColWidth="9.109375" defaultRowHeight="15" x14ac:dyDescent="0.25"/>
  <cols>
    <col min="1" max="1" width="12.88671875" style="1" bestFit="1" customWidth="1"/>
    <col min="2" max="2" width="35.6640625" style="1" bestFit="1" customWidth="1"/>
    <col min="3" max="3" width="9.109375" style="1"/>
    <col min="4" max="4" width="42.6640625" style="1" bestFit="1" customWidth="1"/>
    <col min="5" max="5" width="57.44140625" style="1" bestFit="1" customWidth="1"/>
    <col min="6" max="6" width="62.6640625" style="1" bestFit="1" customWidth="1"/>
    <col min="7" max="7" width="58.6640625" style="1" bestFit="1" customWidth="1"/>
    <col min="8" max="16384" width="9.109375" style="1"/>
  </cols>
  <sheetData>
    <row r="1" spans="1:11" ht="15.6" x14ac:dyDescent="0.3">
      <c r="A1" s="1" t="s">
        <v>3</v>
      </c>
      <c r="B1" s="1" t="s">
        <v>106</v>
      </c>
      <c r="C1" s="1" t="s">
        <v>107</v>
      </c>
      <c r="D1" s="11" t="s">
        <v>108</v>
      </c>
      <c r="E1" s="1" t="s">
        <v>109</v>
      </c>
      <c r="F1" s="1" t="s">
        <v>110</v>
      </c>
      <c r="G1" s="1" t="s">
        <v>109</v>
      </c>
      <c r="I1" s="10"/>
      <c r="J1"/>
      <c r="K1"/>
    </row>
    <row r="2" spans="1:11" ht="15.6" x14ac:dyDescent="0.3">
      <c r="A2" s="1" t="s">
        <v>111</v>
      </c>
      <c r="B2" s="1" t="s">
        <v>112</v>
      </c>
      <c r="C2" s="1" t="s">
        <v>113</v>
      </c>
      <c r="D2" s="11" t="s">
        <v>114</v>
      </c>
      <c r="E2" s="1" t="s">
        <v>115</v>
      </c>
      <c r="F2" s="1" t="s">
        <v>116</v>
      </c>
      <c r="G2" s="1" t="s">
        <v>117</v>
      </c>
      <c r="I2"/>
      <c r="J2"/>
      <c r="K2"/>
    </row>
    <row r="3" spans="1:11" ht="15.6" x14ac:dyDescent="0.3">
      <c r="A3" s="1" t="s">
        <v>118</v>
      </c>
      <c r="B3" s="1" t="s">
        <v>119</v>
      </c>
      <c r="D3" s="11" t="s">
        <v>120</v>
      </c>
      <c r="E3" s="1" t="s">
        <v>121</v>
      </c>
      <c r="F3" s="1" t="s">
        <v>122</v>
      </c>
      <c r="G3" s="1" t="s">
        <v>123</v>
      </c>
      <c r="I3"/>
      <c r="J3"/>
      <c r="K3"/>
    </row>
    <row r="4" spans="1:11" ht="15.6" x14ac:dyDescent="0.3">
      <c r="A4" s="1" t="s">
        <v>124</v>
      </c>
      <c r="D4" s="11" t="s">
        <v>125</v>
      </c>
      <c r="E4" s="1" t="s">
        <v>126</v>
      </c>
      <c r="F4" s="1" t="s">
        <v>127</v>
      </c>
      <c r="G4" s="1" t="s">
        <v>128</v>
      </c>
      <c r="I4"/>
      <c r="J4"/>
      <c r="K4"/>
    </row>
    <row r="5" spans="1:11" ht="15.6" x14ac:dyDescent="0.3">
      <c r="A5" s="1" t="s">
        <v>129</v>
      </c>
      <c r="D5" s="11" t="s">
        <v>130</v>
      </c>
      <c r="E5" s="1" t="s">
        <v>131</v>
      </c>
      <c r="F5" s="1" t="s">
        <v>132</v>
      </c>
      <c r="G5" s="1" t="s">
        <v>133</v>
      </c>
      <c r="I5"/>
      <c r="J5"/>
      <c r="K5"/>
    </row>
    <row r="6" spans="1:11" ht="15.6" x14ac:dyDescent="0.3">
      <c r="A6" s="1" t="s">
        <v>134</v>
      </c>
      <c r="D6" s="12" t="s">
        <v>135</v>
      </c>
      <c r="E6" s="1" t="s">
        <v>136</v>
      </c>
      <c r="F6" s="1" t="s">
        <v>137</v>
      </c>
      <c r="G6" s="1" t="s">
        <v>138</v>
      </c>
      <c r="I6"/>
      <c r="J6"/>
      <c r="K6"/>
    </row>
    <row r="7" spans="1:11" ht="15.6" x14ac:dyDescent="0.3">
      <c r="A7" s="1" t="s">
        <v>139</v>
      </c>
      <c r="D7" s="11" t="s">
        <v>140</v>
      </c>
      <c r="E7" s="1" t="s">
        <v>141</v>
      </c>
      <c r="F7" s="1" t="s">
        <v>142</v>
      </c>
      <c r="G7" s="1" t="s">
        <v>143</v>
      </c>
      <c r="I7"/>
      <c r="J7"/>
      <c r="K7"/>
    </row>
    <row r="8" spans="1:11" ht="15.6" x14ac:dyDescent="0.3">
      <c r="A8" s="1" t="s">
        <v>144</v>
      </c>
      <c r="D8" s="11" t="s">
        <v>145</v>
      </c>
      <c r="E8" s="1" t="s">
        <v>146</v>
      </c>
      <c r="F8" s="1" t="s">
        <v>147</v>
      </c>
      <c r="G8" s="1" t="s">
        <v>148</v>
      </c>
      <c r="I8"/>
      <c r="J8"/>
      <c r="K8"/>
    </row>
    <row r="9" spans="1:11" ht="15.6" x14ac:dyDescent="0.3">
      <c r="A9" s="1" t="s">
        <v>149</v>
      </c>
      <c r="D9" s="11" t="s">
        <v>150</v>
      </c>
      <c r="E9" s="1" t="s">
        <v>151</v>
      </c>
      <c r="F9" s="1" t="s">
        <v>152</v>
      </c>
      <c r="G9" s="1" t="s">
        <v>153</v>
      </c>
      <c r="I9"/>
      <c r="J9"/>
      <c r="K9"/>
    </row>
    <row r="10" spans="1:11" x14ac:dyDescent="0.25">
      <c r="A10" s="1" t="s">
        <v>154</v>
      </c>
      <c r="D10" s="11" t="s">
        <v>155</v>
      </c>
      <c r="E10" s="1" t="s">
        <v>156</v>
      </c>
      <c r="F10" s="1" t="s">
        <v>156</v>
      </c>
      <c r="G10" s="1" t="s">
        <v>157</v>
      </c>
    </row>
    <row r="11" spans="1:11" x14ac:dyDescent="0.25">
      <c r="A11" s="1" t="s">
        <v>158</v>
      </c>
    </row>
    <row r="12" spans="1:11" x14ac:dyDescent="0.25">
      <c r="A12" s="1" t="s">
        <v>159</v>
      </c>
      <c r="D12" s="11"/>
    </row>
    <row r="13" spans="1:11" x14ac:dyDescent="0.25">
      <c r="A13" s="1" t="s">
        <v>160</v>
      </c>
      <c r="D13" s="11"/>
    </row>
    <row r="14" spans="1:11" x14ac:dyDescent="0.25">
      <c r="A14" s="1" t="s">
        <v>161</v>
      </c>
      <c r="D14" s="11"/>
    </row>
    <row r="15" spans="1:11" x14ac:dyDescent="0.25">
      <c r="A15" s="1" t="s">
        <v>162</v>
      </c>
      <c r="D15" s="11"/>
    </row>
    <row r="16" spans="1:11" x14ac:dyDescent="0.25">
      <c r="A16" s="1" t="s">
        <v>163</v>
      </c>
      <c r="D16" s="13"/>
    </row>
    <row r="17" spans="1:4" x14ac:dyDescent="0.25">
      <c r="A17" s="1" t="s">
        <v>164</v>
      </c>
      <c r="D17" s="11"/>
    </row>
    <row r="18" spans="1:4" x14ac:dyDescent="0.25">
      <c r="A18" s="1" t="s">
        <v>165</v>
      </c>
      <c r="D18" s="11"/>
    </row>
    <row r="19" spans="1:4" x14ac:dyDescent="0.25">
      <c r="A19" s="1" t="s">
        <v>166</v>
      </c>
      <c r="D19" s="11"/>
    </row>
    <row r="20" spans="1:4" x14ac:dyDescent="0.25">
      <c r="A20" s="1" t="s">
        <v>167</v>
      </c>
      <c r="D20" s="11"/>
    </row>
    <row r="21" spans="1:4" x14ac:dyDescent="0.25">
      <c r="A21" s="1" t="s">
        <v>168</v>
      </c>
    </row>
    <row r="22" spans="1:4" x14ac:dyDescent="0.25">
      <c r="A22" s="1" t="s">
        <v>169</v>
      </c>
    </row>
    <row r="23" spans="1:4" x14ac:dyDescent="0.25">
      <c r="A23" s="1" t="s">
        <v>170</v>
      </c>
    </row>
    <row r="24" spans="1:4" x14ac:dyDescent="0.25">
      <c r="A24" s="1" t="s">
        <v>171</v>
      </c>
    </row>
    <row r="25" spans="1:4" x14ac:dyDescent="0.25">
      <c r="A25" s="1" t="s">
        <v>172</v>
      </c>
    </row>
    <row r="26" spans="1:4" x14ac:dyDescent="0.25">
      <c r="A26" s="1" t="s">
        <v>173</v>
      </c>
    </row>
    <row r="27" spans="1:4" x14ac:dyDescent="0.25">
      <c r="A27" s="1" t="s">
        <v>174</v>
      </c>
    </row>
    <row r="28" spans="1:4" x14ac:dyDescent="0.25">
      <c r="A28" s="1" t="s">
        <v>175</v>
      </c>
    </row>
    <row r="29" spans="1:4" x14ac:dyDescent="0.25">
      <c r="A29" s="1" t="s">
        <v>176</v>
      </c>
    </row>
    <row r="30" spans="1:4" x14ac:dyDescent="0.25">
      <c r="A30" s="1" t="s">
        <v>177</v>
      </c>
    </row>
    <row r="31" spans="1:4" x14ac:dyDescent="0.25">
      <c r="A31" s="1" t="s">
        <v>178</v>
      </c>
    </row>
    <row r="32" spans="1:4" x14ac:dyDescent="0.25">
      <c r="A32" s="1" t="s">
        <v>179</v>
      </c>
    </row>
    <row r="33" spans="1:1" x14ac:dyDescent="0.25">
      <c r="A33" s="1" t="s">
        <v>180</v>
      </c>
    </row>
    <row r="34" spans="1:1" x14ac:dyDescent="0.25">
      <c r="A34" s="1" t="s">
        <v>181</v>
      </c>
    </row>
    <row r="35" spans="1:1" x14ac:dyDescent="0.25">
      <c r="A35" s="1" t="s">
        <v>182</v>
      </c>
    </row>
    <row r="36" spans="1:1" x14ac:dyDescent="0.25">
      <c r="A36" s="1" t="s">
        <v>183</v>
      </c>
    </row>
    <row r="37" spans="1:1" x14ac:dyDescent="0.25">
      <c r="A37" s="1" t="s">
        <v>184</v>
      </c>
    </row>
    <row r="38" spans="1:1" x14ac:dyDescent="0.25">
      <c r="A38" s="1" t="s">
        <v>185</v>
      </c>
    </row>
    <row r="39" spans="1:1" x14ac:dyDescent="0.25">
      <c r="A39" s="1" t="s">
        <v>186</v>
      </c>
    </row>
    <row r="40" spans="1:1" x14ac:dyDescent="0.25">
      <c r="A40" s="1" t="s">
        <v>187</v>
      </c>
    </row>
    <row r="41" spans="1:1" x14ac:dyDescent="0.25">
      <c r="A41" s="1" t="s">
        <v>188</v>
      </c>
    </row>
    <row r="42" spans="1:1" x14ac:dyDescent="0.25">
      <c r="A42" s="1" t="s">
        <v>189</v>
      </c>
    </row>
    <row r="43" spans="1:1" x14ac:dyDescent="0.25">
      <c r="A43" s="1" t="s">
        <v>190</v>
      </c>
    </row>
    <row r="44" spans="1:1" x14ac:dyDescent="0.25">
      <c r="A44" s="1" t="s">
        <v>191</v>
      </c>
    </row>
    <row r="45" spans="1:1" x14ac:dyDescent="0.25">
      <c r="A45" s="1" t="s">
        <v>192</v>
      </c>
    </row>
    <row r="46" spans="1:1" x14ac:dyDescent="0.25">
      <c r="A46" s="1" t="s">
        <v>193</v>
      </c>
    </row>
    <row r="47" spans="1:1" x14ac:dyDescent="0.25">
      <c r="A47" s="1" t="s">
        <v>194</v>
      </c>
    </row>
    <row r="48" spans="1:1" x14ac:dyDescent="0.25">
      <c r="A48" s="1" t="s">
        <v>195</v>
      </c>
    </row>
    <row r="49" spans="1:1" x14ac:dyDescent="0.25">
      <c r="A49" s="1" t="s">
        <v>196</v>
      </c>
    </row>
    <row r="50" spans="1:1" x14ac:dyDescent="0.25">
      <c r="A50" s="1" t="s">
        <v>197</v>
      </c>
    </row>
    <row r="51" spans="1:1" x14ac:dyDescent="0.25">
      <c r="A51" s="1" t="s">
        <v>198</v>
      </c>
    </row>
    <row r="52" spans="1:1" x14ac:dyDescent="0.25">
      <c r="A52" s="1" t="s">
        <v>199</v>
      </c>
    </row>
    <row r="53" spans="1:1" x14ac:dyDescent="0.25">
      <c r="A53" s="1" t="s">
        <v>200</v>
      </c>
    </row>
    <row r="54" spans="1:1" x14ac:dyDescent="0.25">
      <c r="A54" s="1" t="s">
        <v>201</v>
      </c>
    </row>
    <row r="55" spans="1:1" x14ac:dyDescent="0.25">
      <c r="A55" s="1" t="s">
        <v>202</v>
      </c>
    </row>
    <row r="56" spans="1:1" x14ac:dyDescent="0.25">
      <c r="A56" s="1" t="s">
        <v>203</v>
      </c>
    </row>
    <row r="57" spans="1:1" x14ac:dyDescent="0.25">
      <c r="A57" s="1" t="s">
        <v>204</v>
      </c>
    </row>
    <row r="58" spans="1:1" x14ac:dyDescent="0.25">
      <c r="A58" s="1" t="s">
        <v>205</v>
      </c>
    </row>
    <row r="59" spans="1:1" x14ac:dyDescent="0.25">
      <c r="A59" s="1" t="s">
        <v>206</v>
      </c>
    </row>
    <row r="60" spans="1:1" x14ac:dyDescent="0.25">
      <c r="A60" s="1" t="s">
        <v>207</v>
      </c>
    </row>
    <row r="61" spans="1:1" x14ac:dyDescent="0.25">
      <c r="A61" s="1" t="s">
        <v>208</v>
      </c>
    </row>
    <row r="62" spans="1:1" x14ac:dyDescent="0.25">
      <c r="A62" s="1" t="s">
        <v>209</v>
      </c>
    </row>
    <row r="63" spans="1:1" x14ac:dyDescent="0.25">
      <c r="A63" s="1" t="s">
        <v>210</v>
      </c>
    </row>
    <row r="64" spans="1:1" x14ac:dyDescent="0.25">
      <c r="A64" s="1" t="s">
        <v>211</v>
      </c>
    </row>
    <row r="65" spans="1:1" x14ac:dyDescent="0.25">
      <c r="A65" s="1" t="s">
        <v>212</v>
      </c>
    </row>
    <row r="66" spans="1:1" x14ac:dyDescent="0.25">
      <c r="A66" s="1" t="s">
        <v>213</v>
      </c>
    </row>
    <row r="67" spans="1:1" x14ac:dyDescent="0.25">
      <c r="A67" s="1" t="s">
        <v>214</v>
      </c>
    </row>
    <row r="68" spans="1:1" x14ac:dyDescent="0.25">
      <c r="A68" s="1" t="s">
        <v>215</v>
      </c>
    </row>
    <row r="69" spans="1:1" x14ac:dyDescent="0.25">
      <c r="A69" s="1" t="s">
        <v>216</v>
      </c>
    </row>
    <row r="70" spans="1:1" x14ac:dyDescent="0.25">
      <c r="A70" s="1" t="s">
        <v>217</v>
      </c>
    </row>
    <row r="71" spans="1:1" x14ac:dyDescent="0.25">
      <c r="A71" s="1" t="s">
        <v>218</v>
      </c>
    </row>
    <row r="72" spans="1:1" x14ac:dyDescent="0.25">
      <c r="A72" s="1" t="s">
        <v>219</v>
      </c>
    </row>
    <row r="73" spans="1:1" x14ac:dyDescent="0.25">
      <c r="A73" s="1" t="s">
        <v>220</v>
      </c>
    </row>
    <row r="74" spans="1:1" x14ac:dyDescent="0.25">
      <c r="A74" s="1" t="s">
        <v>221</v>
      </c>
    </row>
    <row r="75" spans="1:1" x14ac:dyDescent="0.25">
      <c r="A75" s="1" t="s">
        <v>222</v>
      </c>
    </row>
    <row r="76" spans="1:1" x14ac:dyDescent="0.25">
      <c r="A76" s="1" t="s">
        <v>223</v>
      </c>
    </row>
    <row r="77" spans="1:1" x14ac:dyDescent="0.25">
      <c r="A77" s="1" t="s">
        <v>224</v>
      </c>
    </row>
    <row r="78" spans="1:1" x14ac:dyDescent="0.25">
      <c r="A78" s="1" t="s">
        <v>225</v>
      </c>
    </row>
    <row r="79" spans="1:1" x14ac:dyDescent="0.25">
      <c r="A79" s="1" t="s">
        <v>226</v>
      </c>
    </row>
    <row r="80" spans="1:1" x14ac:dyDescent="0.25">
      <c r="A80" s="1" t="s">
        <v>227</v>
      </c>
    </row>
    <row r="81" spans="1:1" x14ac:dyDescent="0.25">
      <c r="A81" s="1" t="s">
        <v>228</v>
      </c>
    </row>
    <row r="82" spans="1:1" x14ac:dyDescent="0.25">
      <c r="A82" s="1" t="s">
        <v>229</v>
      </c>
    </row>
    <row r="83" spans="1:1" x14ac:dyDescent="0.25">
      <c r="A83" s="1" t="s">
        <v>230</v>
      </c>
    </row>
    <row r="84" spans="1:1" x14ac:dyDescent="0.25">
      <c r="A84" s="1" t="s">
        <v>231</v>
      </c>
    </row>
    <row r="85" spans="1:1" x14ac:dyDescent="0.25">
      <c r="A85" s="1" t="s">
        <v>232</v>
      </c>
    </row>
    <row r="86" spans="1:1" x14ac:dyDescent="0.25">
      <c r="A86" s="1" t="s">
        <v>233</v>
      </c>
    </row>
    <row r="87" spans="1:1" x14ac:dyDescent="0.25">
      <c r="A87" s="1" t="s">
        <v>234</v>
      </c>
    </row>
    <row r="88" spans="1:1" x14ac:dyDescent="0.25">
      <c r="A88" s="1" t="s">
        <v>235</v>
      </c>
    </row>
    <row r="89" spans="1:1" x14ac:dyDescent="0.25">
      <c r="A89" s="1" t="s">
        <v>236</v>
      </c>
    </row>
    <row r="90" spans="1:1" x14ac:dyDescent="0.25">
      <c r="A90" s="1" t="s">
        <v>237</v>
      </c>
    </row>
    <row r="91" spans="1:1" x14ac:dyDescent="0.25">
      <c r="A91" s="1" t="s">
        <v>238</v>
      </c>
    </row>
    <row r="92" spans="1:1" x14ac:dyDescent="0.25">
      <c r="A92" s="1" t="s">
        <v>239</v>
      </c>
    </row>
    <row r="93" spans="1:1" x14ac:dyDescent="0.25">
      <c r="A93" s="1" t="s">
        <v>240</v>
      </c>
    </row>
    <row r="94" spans="1:1" x14ac:dyDescent="0.25">
      <c r="A94" s="1" t="s">
        <v>241</v>
      </c>
    </row>
    <row r="95" spans="1:1" x14ac:dyDescent="0.25">
      <c r="A95" s="1" t="s">
        <v>242</v>
      </c>
    </row>
    <row r="96" spans="1:1" x14ac:dyDescent="0.25">
      <c r="A96" s="1" t="s">
        <v>243</v>
      </c>
    </row>
    <row r="97" spans="1:1" x14ac:dyDescent="0.25">
      <c r="A97" s="1" t="s">
        <v>244</v>
      </c>
    </row>
    <row r="98" spans="1:1" x14ac:dyDescent="0.25">
      <c r="A98" s="1" t="s">
        <v>245</v>
      </c>
    </row>
    <row r="99" spans="1:1" x14ac:dyDescent="0.25">
      <c r="A99" s="1" t="s">
        <v>246</v>
      </c>
    </row>
    <row r="100" spans="1:1" x14ac:dyDescent="0.25">
      <c r="A100" s="1" t="s">
        <v>247</v>
      </c>
    </row>
    <row r="101" spans="1:1" x14ac:dyDescent="0.25">
      <c r="A101" s="1" t="s">
        <v>3</v>
      </c>
    </row>
  </sheetData>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8" t="s">
        <v>248</v>
      </c>
      <c r="B1" s="8" t="s">
        <v>249</v>
      </c>
      <c r="C1" s="8" t="s">
        <v>250</v>
      </c>
      <c r="D1" s="8" t="s">
        <v>251</v>
      </c>
      <c r="E1" s="8" t="s">
        <v>252</v>
      </c>
      <c r="F1" s="8" t="s">
        <v>253</v>
      </c>
      <c r="G1" s="8" t="s">
        <v>254</v>
      </c>
      <c r="H1" s="8" t="s">
        <v>255</v>
      </c>
      <c r="I1" s="8" t="s">
        <v>256</v>
      </c>
      <c r="J1" s="8" t="s">
        <v>257</v>
      </c>
      <c r="K1" s="8" t="s">
        <v>258</v>
      </c>
    </row>
    <row r="2" spans="1:11" x14ac:dyDescent="0.3">
      <c r="A2" s="9" t="s">
        <v>259</v>
      </c>
      <c r="B2" s="9" t="s">
        <v>260</v>
      </c>
      <c r="C2" s="9" t="s">
        <v>261</v>
      </c>
      <c r="D2" s="9" t="s">
        <v>260</v>
      </c>
      <c r="E2" s="9" t="s">
        <v>108</v>
      </c>
      <c r="F2" s="9" t="s">
        <v>262</v>
      </c>
      <c r="G2" s="9" t="s">
        <v>263</v>
      </c>
      <c r="H2" s="9" t="s">
        <v>259</v>
      </c>
      <c r="I2" s="9" t="s">
        <v>259</v>
      </c>
      <c r="J2" s="9" t="s">
        <v>264</v>
      </c>
      <c r="K2" s="9" t="s">
        <v>265</v>
      </c>
    </row>
    <row r="3" spans="1:11" x14ac:dyDescent="0.3">
      <c r="A3" s="9" t="s">
        <v>266</v>
      </c>
      <c r="B3" s="9" t="s">
        <v>267</v>
      </c>
      <c r="C3" s="9" t="s">
        <v>268</v>
      </c>
      <c r="D3" s="9" t="s">
        <v>114</v>
      </c>
      <c r="E3" s="9" t="s">
        <v>108</v>
      </c>
      <c r="F3" s="9" t="s">
        <v>259</v>
      </c>
      <c r="G3" s="9" t="s">
        <v>259</v>
      </c>
      <c r="H3" s="9" t="s">
        <v>259</v>
      </c>
      <c r="I3" s="9" t="s">
        <v>259</v>
      </c>
      <c r="J3" s="9" t="s">
        <v>269</v>
      </c>
      <c r="K3" s="9" t="s">
        <v>265</v>
      </c>
    </row>
    <row r="4" spans="1:11" x14ac:dyDescent="0.3">
      <c r="A4" s="9" t="s">
        <v>270</v>
      </c>
      <c r="B4" s="9" t="s">
        <v>271</v>
      </c>
      <c r="C4" s="9" t="s">
        <v>268</v>
      </c>
      <c r="D4" s="9" t="s">
        <v>114</v>
      </c>
      <c r="E4" s="9" t="s">
        <v>108</v>
      </c>
      <c r="F4" s="9" t="s">
        <v>259</v>
      </c>
      <c r="G4" s="9" t="s">
        <v>259</v>
      </c>
      <c r="H4" s="9" t="s">
        <v>259</v>
      </c>
      <c r="I4" s="9" t="s">
        <v>259</v>
      </c>
      <c r="J4" s="9" t="s">
        <v>272</v>
      </c>
      <c r="K4" s="9" t="s">
        <v>265</v>
      </c>
    </row>
    <row r="5" spans="1:11" x14ac:dyDescent="0.3">
      <c r="A5" s="9" t="s">
        <v>273</v>
      </c>
      <c r="B5" s="9" t="s">
        <v>274</v>
      </c>
      <c r="C5" s="9" t="s">
        <v>268</v>
      </c>
      <c r="D5" s="9" t="s">
        <v>114</v>
      </c>
      <c r="E5" s="9" t="s">
        <v>108</v>
      </c>
      <c r="F5" s="9" t="s">
        <v>259</v>
      </c>
      <c r="G5" s="9" t="s">
        <v>259</v>
      </c>
      <c r="H5" s="9" t="s">
        <v>259</v>
      </c>
      <c r="I5" s="9" t="s">
        <v>259</v>
      </c>
      <c r="J5" s="9" t="s">
        <v>272</v>
      </c>
      <c r="K5" s="9" t="s">
        <v>265</v>
      </c>
    </row>
    <row r="6" spans="1:11" x14ac:dyDescent="0.3">
      <c r="A6" s="9" t="s">
        <v>275</v>
      </c>
      <c r="B6" s="9" t="s">
        <v>276</v>
      </c>
      <c r="C6" s="9" t="s">
        <v>268</v>
      </c>
      <c r="D6" s="9" t="s">
        <v>114</v>
      </c>
      <c r="E6" s="9" t="s">
        <v>108</v>
      </c>
      <c r="F6" s="9" t="s">
        <v>259</v>
      </c>
      <c r="G6" s="9" t="s">
        <v>259</v>
      </c>
      <c r="H6" s="9" t="s">
        <v>259</v>
      </c>
      <c r="I6" s="9" t="s">
        <v>259</v>
      </c>
      <c r="J6" s="9" t="s">
        <v>272</v>
      </c>
      <c r="K6" s="9" t="s">
        <v>265</v>
      </c>
    </row>
    <row r="7" spans="1:11" x14ac:dyDescent="0.3">
      <c r="A7" s="9" t="s">
        <v>277</v>
      </c>
      <c r="B7" s="9" t="s">
        <v>278</v>
      </c>
      <c r="C7" s="9" t="s">
        <v>268</v>
      </c>
      <c r="D7" s="9" t="s">
        <v>114</v>
      </c>
      <c r="E7" s="9" t="s">
        <v>108</v>
      </c>
      <c r="F7" s="9" t="s">
        <v>259</v>
      </c>
      <c r="G7" s="9" t="s">
        <v>259</v>
      </c>
      <c r="H7" s="9" t="s">
        <v>259</v>
      </c>
      <c r="I7" s="9" t="s">
        <v>259</v>
      </c>
      <c r="J7" s="9" t="s">
        <v>279</v>
      </c>
      <c r="K7" s="9" t="s">
        <v>265</v>
      </c>
    </row>
    <row r="8" spans="1:11" x14ac:dyDescent="0.3">
      <c r="A8" s="9" t="s">
        <v>280</v>
      </c>
      <c r="B8" s="9" t="s">
        <v>281</v>
      </c>
      <c r="C8" s="9" t="s">
        <v>268</v>
      </c>
      <c r="D8" s="9" t="s">
        <v>114</v>
      </c>
      <c r="E8" s="9" t="s">
        <v>108</v>
      </c>
      <c r="F8" s="9" t="s">
        <v>259</v>
      </c>
      <c r="G8" s="9" t="s">
        <v>259</v>
      </c>
      <c r="H8" s="9" t="s">
        <v>259</v>
      </c>
      <c r="I8" s="9" t="s">
        <v>259</v>
      </c>
      <c r="J8" s="9" t="s">
        <v>279</v>
      </c>
      <c r="K8" s="9" t="s">
        <v>265</v>
      </c>
    </row>
    <row r="9" spans="1:11" x14ac:dyDescent="0.3">
      <c r="A9" s="9" t="s">
        <v>282</v>
      </c>
      <c r="B9" s="9" t="s">
        <v>283</v>
      </c>
      <c r="C9" s="9" t="s">
        <v>268</v>
      </c>
      <c r="D9" s="9" t="s">
        <v>114</v>
      </c>
      <c r="E9" s="9" t="s">
        <v>108</v>
      </c>
      <c r="F9" s="9" t="s">
        <v>259</v>
      </c>
      <c r="G9" s="9" t="s">
        <v>259</v>
      </c>
      <c r="H9" s="9" t="s">
        <v>259</v>
      </c>
      <c r="I9" s="9" t="s">
        <v>259</v>
      </c>
      <c r="J9" s="9" t="s">
        <v>279</v>
      </c>
      <c r="K9" s="9" t="s">
        <v>265</v>
      </c>
    </row>
    <row r="10" spans="1:11" x14ac:dyDescent="0.3">
      <c r="A10" s="9" t="s">
        <v>284</v>
      </c>
      <c r="B10" s="9" t="s">
        <v>285</v>
      </c>
      <c r="C10" s="9" t="s">
        <v>268</v>
      </c>
      <c r="D10" s="9" t="s">
        <v>114</v>
      </c>
      <c r="E10" s="9" t="s">
        <v>108</v>
      </c>
      <c r="F10" s="9" t="s">
        <v>259</v>
      </c>
      <c r="G10" s="9" t="s">
        <v>259</v>
      </c>
      <c r="H10" s="9" t="s">
        <v>259</v>
      </c>
      <c r="I10" s="9" t="s">
        <v>259</v>
      </c>
      <c r="J10" s="9" t="s">
        <v>269</v>
      </c>
      <c r="K10" s="9" t="s">
        <v>265</v>
      </c>
    </row>
    <row r="11" spans="1:11" x14ac:dyDescent="0.3">
      <c r="A11" s="9" t="s">
        <v>286</v>
      </c>
      <c r="B11" s="9" t="s">
        <v>287</v>
      </c>
      <c r="C11" s="9" t="s">
        <v>268</v>
      </c>
      <c r="D11" s="9" t="s">
        <v>114</v>
      </c>
      <c r="E11" s="9" t="s">
        <v>108</v>
      </c>
      <c r="F11" s="9" t="s">
        <v>259</v>
      </c>
      <c r="G11" s="9" t="s">
        <v>259</v>
      </c>
      <c r="H11" s="9" t="s">
        <v>259</v>
      </c>
      <c r="I11" s="9" t="s">
        <v>259</v>
      </c>
      <c r="J11" s="9" t="s">
        <v>272</v>
      </c>
      <c r="K11" s="9" t="s">
        <v>265</v>
      </c>
    </row>
    <row r="12" spans="1:11" x14ac:dyDescent="0.3">
      <c r="A12" s="9" t="s">
        <v>288</v>
      </c>
      <c r="B12" s="9" t="s">
        <v>289</v>
      </c>
      <c r="C12" s="9" t="s">
        <v>268</v>
      </c>
      <c r="D12" s="9" t="s">
        <v>114</v>
      </c>
      <c r="E12" s="9" t="s">
        <v>108</v>
      </c>
      <c r="F12" s="9" t="s">
        <v>259</v>
      </c>
      <c r="G12" s="9" t="s">
        <v>259</v>
      </c>
      <c r="H12" s="9" t="s">
        <v>259</v>
      </c>
      <c r="I12" s="9" t="s">
        <v>259</v>
      </c>
      <c r="J12" s="9" t="s">
        <v>264</v>
      </c>
      <c r="K12" s="9" t="s">
        <v>265</v>
      </c>
    </row>
    <row r="13" spans="1:11" x14ac:dyDescent="0.3">
      <c r="A13" s="9" t="s">
        <v>290</v>
      </c>
      <c r="B13" s="9" t="s">
        <v>291</v>
      </c>
      <c r="C13" s="9" t="s">
        <v>268</v>
      </c>
      <c r="D13" s="9" t="s">
        <v>114</v>
      </c>
      <c r="E13" s="9" t="s">
        <v>108</v>
      </c>
      <c r="F13" s="9" t="s">
        <v>259</v>
      </c>
      <c r="G13" s="9" t="s">
        <v>259</v>
      </c>
      <c r="H13" s="9" t="s">
        <v>259</v>
      </c>
      <c r="I13" s="9" t="s">
        <v>259</v>
      </c>
      <c r="J13" s="9" t="s">
        <v>272</v>
      </c>
      <c r="K13" s="9" t="s">
        <v>292</v>
      </c>
    </row>
    <row r="14" spans="1:11" x14ac:dyDescent="0.3">
      <c r="A14" s="9" t="s">
        <v>293</v>
      </c>
      <c r="B14" s="9" t="s">
        <v>294</v>
      </c>
      <c r="C14" s="9" t="s">
        <v>268</v>
      </c>
      <c r="D14" s="9" t="s">
        <v>114</v>
      </c>
      <c r="E14" s="9" t="s">
        <v>108</v>
      </c>
      <c r="F14" s="9" t="s">
        <v>259</v>
      </c>
      <c r="G14" s="9" t="s">
        <v>259</v>
      </c>
      <c r="H14" s="9" t="s">
        <v>259</v>
      </c>
      <c r="I14" s="9" t="s">
        <v>259</v>
      </c>
      <c r="J14" s="9" t="s">
        <v>272</v>
      </c>
      <c r="K14" s="9" t="s">
        <v>292</v>
      </c>
    </row>
    <row r="15" spans="1:11" x14ac:dyDescent="0.3">
      <c r="A15" s="9" t="s">
        <v>295</v>
      </c>
      <c r="B15" s="9" t="s">
        <v>296</v>
      </c>
      <c r="C15" s="9" t="s">
        <v>268</v>
      </c>
      <c r="D15" s="9" t="s">
        <v>114</v>
      </c>
      <c r="E15" s="9" t="s">
        <v>108</v>
      </c>
      <c r="F15" s="9" t="s">
        <v>259</v>
      </c>
      <c r="G15" s="9" t="s">
        <v>259</v>
      </c>
      <c r="H15" s="9" t="s">
        <v>259</v>
      </c>
      <c r="I15" s="9" t="s">
        <v>259</v>
      </c>
      <c r="J15" s="9" t="s">
        <v>272</v>
      </c>
      <c r="K15" s="9" t="s">
        <v>265</v>
      </c>
    </row>
    <row r="16" spans="1:11" x14ac:dyDescent="0.3">
      <c r="A16" s="9" t="s">
        <v>297</v>
      </c>
      <c r="B16" s="9" t="s">
        <v>298</v>
      </c>
      <c r="C16" s="9" t="s">
        <v>268</v>
      </c>
      <c r="D16" s="9" t="s">
        <v>114</v>
      </c>
      <c r="E16" s="9" t="s">
        <v>108</v>
      </c>
      <c r="F16" s="9" t="s">
        <v>259</v>
      </c>
      <c r="G16" s="9" t="s">
        <v>259</v>
      </c>
      <c r="H16" s="9" t="s">
        <v>259</v>
      </c>
      <c r="I16" s="9" t="s">
        <v>259</v>
      </c>
      <c r="J16" s="9" t="s">
        <v>299</v>
      </c>
      <c r="K16" s="9" t="s">
        <v>265</v>
      </c>
    </row>
    <row r="17" spans="1:11" x14ac:dyDescent="0.3">
      <c r="A17" s="9" t="s">
        <v>300</v>
      </c>
      <c r="B17" s="9" t="s">
        <v>301</v>
      </c>
      <c r="C17" s="9" t="s">
        <v>268</v>
      </c>
      <c r="D17" s="9" t="s">
        <v>114</v>
      </c>
      <c r="E17" s="9" t="s">
        <v>108</v>
      </c>
      <c r="F17" s="9" t="s">
        <v>259</v>
      </c>
      <c r="G17" s="9" t="s">
        <v>259</v>
      </c>
      <c r="H17" s="9" t="s">
        <v>259</v>
      </c>
      <c r="I17" s="9" t="s">
        <v>259</v>
      </c>
      <c r="J17" s="9" t="s">
        <v>264</v>
      </c>
      <c r="K17" s="9" t="s">
        <v>265</v>
      </c>
    </row>
    <row r="18" spans="1:11" x14ac:dyDescent="0.3">
      <c r="A18" s="9" t="s">
        <v>302</v>
      </c>
      <c r="B18" s="9" t="s">
        <v>303</v>
      </c>
      <c r="C18" s="9" t="s">
        <v>268</v>
      </c>
      <c r="D18" s="9" t="s">
        <v>114</v>
      </c>
      <c r="E18" s="9" t="s">
        <v>108</v>
      </c>
      <c r="F18" s="9" t="s">
        <v>259</v>
      </c>
      <c r="G18" s="9" t="s">
        <v>259</v>
      </c>
      <c r="H18" s="9" t="s">
        <v>259</v>
      </c>
      <c r="I18" s="9" t="s">
        <v>259</v>
      </c>
      <c r="J18" s="9" t="s">
        <v>264</v>
      </c>
      <c r="K18" s="9" t="s">
        <v>265</v>
      </c>
    </row>
    <row r="19" spans="1:11" x14ac:dyDescent="0.3">
      <c r="A19" s="9" t="s">
        <v>304</v>
      </c>
      <c r="B19" s="9" t="s">
        <v>305</v>
      </c>
      <c r="C19" s="9" t="s">
        <v>268</v>
      </c>
      <c r="D19" s="9" t="s">
        <v>114</v>
      </c>
      <c r="E19" s="9" t="s">
        <v>108</v>
      </c>
      <c r="F19" s="9" t="s">
        <v>259</v>
      </c>
      <c r="G19" s="9" t="s">
        <v>259</v>
      </c>
      <c r="H19" s="9" t="s">
        <v>259</v>
      </c>
      <c r="I19" s="9" t="s">
        <v>259</v>
      </c>
      <c r="J19" s="9" t="s">
        <v>264</v>
      </c>
      <c r="K19" s="9" t="s">
        <v>265</v>
      </c>
    </row>
    <row r="20" spans="1:11" x14ac:dyDescent="0.3">
      <c r="A20" s="9" t="s">
        <v>306</v>
      </c>
      <c r="B20" s="9" t="s">
        <v>307</v>
      </c>
      <c r="C20" s="9" t="s">
        <v>268</v>
      </c>
      <c r="D20" s="9" t="s">
        <v>114</v>
      </c>
      <c r="E20" s="9" t="s">
        <v>108</v>
      </c>
      <c r="F20" s="9" t="s">
        <v>259</v>
      </c>
      <c r="G20" s="9" t="s">
        <v>259</v>
      </c>
      <c r="H20" s="9" t="s">
        <v>259</v>
      </c>
      <c r="I20" s="9" t="s">
        <v>259</v>
      </c>
      <c r="J20" s="9" t="s">
        <v>269</v>
      </c>
      <c r="K20" s="9" t="s">
        <v>265</v>
      </c>
    </row>
    <row r="21" spans="1:11" x14ac:dyDescent="0.3">
      <c r="A21" s="9" t="s">
        <v>308</v>
      </c>
      <c r="B21" s="9" t="s">
        <v>309</v>
      </c>
      <c r="C21" s="9" t="s">
        <v>268</v>
      </c>
      <c r="D21" s="9" t="s">
        <v>114</v>
      </c>
      <c r="E21" s="9" t="s">
        <v>108</v>
      </c>
      <c r="F21" s="9" t="s">
        <v>259</v>
      </c>
      <c r="G21" s="9" t="s">
        <v>259</v>
      </c>
      <c r="H21" s="9" t="s">
        <v>259</v>
      </c>
      <c r="I21" s="9" t="s">
        <v>259</v>
      </c>
      <c r="J21" s="9" t="s">
        <v>310</v>
      </c>
      <c r="K21" s="9" t="s">
        <v>265</v>
      </c>
    </row>
    <row r="22" spans="1:11" x14ac:dyDescent="0.3">
      <c r="A22" s="9" t="s">
        <v>311</v>
      </c>
      <c r="B22" s="9" t="s">
        <v>312</v>
      </c>
      <c r="C22" s="9" t="s">
        <v>268</v>
      </c>
      <c r="D22" s="9" t="s">
        <v>114</v>
      </c>
      <c r="E22" s="9" t="s">
        <v>108</v>
      </c>
      <c r="F22" s="9" t="s">
        <v>259</v>
      </c>
      <c r="G22" s="9" t="s">
        <v>259</v>
      </c>
      <c r="H22" s="9" t="s">
        <v>259</v>
      </c>
      <c r="I22" s="9" t="s">
        <v>259</v>
      </c>
      <c r="J22" s="9" t="s">
        <v>313</v>
      </c>
      <c r="K22" s="9" t="s">
        <v>265</v>
      </c>
    </row>
    <row r="23" spans="1:11" x14ac:dyDescent="0.3">
      <c r="A23" s="9" t="s">
        <v>314</v>
      </c>
      <c r="B23" s="9" t="s">
        <v>315</v>
      </c>
      <c r="C23" s="9" t="s">
        <v>268</v>
      </c>
      <c r="D23" s="9" t="s">
        <v>114</v>
      </c>
      <c r="E23" s="9" t="s">
        <v>108</v>
      </c>
      <c r="F23" s="9" t="s">
        <v>259</v>
      </c>
      <c r="G23" s="9" t="s">
        <v>259</v>
      </c>
      <c r="H23" s="9" t="s">
        <v>259</v>
      </c>
      <c r="I23" s="9" t="s">
        <v>259</v>
      </c>
      <c r="J23" s="9" t="s">
        <v>264</v>
      </c>
      <c r="K23" s="9" t="s">
        <v>265</v>
      </c>
    </row>
    <row r="24" spans="1:11" x14ac:dyDescent="0.3">
      <c r="A24" s="9" t="s">
        <v>316</v>
      </c>
      <c r="B24" s="9" t="s">
        <v>317</v>
      </c>
      <c r="C24" s="9" t="s">
        <v>268</v>
      </c>
      <c r="D24" s="9" t="s">
        <v>114</v>
      </c>
      <c r="E24" s="9" t="s">
        <v>108</v>
      </c>
      <c r="F24" s="9" t="s">
        <v>259</v>
      </c>
      <c r="G24" s="9" t="s">
        <v>259</v>
      </c>
      <c r="H24" s="9" t="s">
        <v>259</v>
      </c>
      <c r="I24" s="9" t="s">
        <v>259</v>
      </c>
      <c r="J24" s="9" t="s">
        <v>269</v>
      </c>
      <c r="K24" s="9" t="s">
        <v>265</v>
      </c>
    </row>
    <row r="25" spans="1:11" x14ac:dyDescent="0.3">
      <c r="A25" s="9" t="s">
        <v>318</v>
      </c>
      <c r="B25" s="9" t="s">
        <v>319</v>
      </c>
      <c r="C25" s="9" t="s">
        <v>268</v>
      </c>
      <c r="D25" s="9" t="s">
        <v>114</v>
      </c>
      <c r="E25" s="9" t="s">
        <v>108</v>
      </c>
      <c r="F25" s="9" t="s">
        <v>259</v>
      </c>
      <c r="G25" s="9" t="s">
        <v>259</v>
      </c>
      <c r="H25" s="9" t="s">
        <v>259</v>
      </c>
      <c r="I25" s="9" t="s">
        <v>259</v>
      </c>
      <c r="J25" s="9" t="s">
        <v>264</v>
      </c>
      <c r="K25" s="9" t="s">
        <v>265</v>
      </c>
    </row>
    <row r="26" spans="1:11" x14ac:dyDescent="0.3">
      <c r="A26" s="9" t="s">
        <v>320</v>
      </c>
      <c r="B26" s="9" t="s">
        <v>321</v>
      </c>
      <c r="C26" s="9" t="s">
        <v>268</v>
      </c>
      <c r="D26" s="9" t="s">
        <v>114</v>
      </c>
      <c r="E26" s="9" t="s">
        <v>108</v>
      </c>
      <c r="F26" s="9" t="s">
        <v>259</v>
      </c>
      <c r="G26" s="9" t="s">
        <v>259</v>
      </c>
      <c r="H26" s="9" t="s">
        <v>259</v>
      </c>
      <c r="I26" s="9" t="s">
        <v>259</v>
      </c>
      <c r="J26" s="9" t="s">
        <v>269</v>
      </c>
      <c r="K26" s="9" t="s">
        <v>265</v>
      </c>
    </row>
    <row r="27" spans="1:11" x14ac:dyDescent="0.3">
      <c r="A27" s="9" t="s">
        <v>322</v>
      </c>
      <c r="B27" s="9" t="s">
        <v>323</v>
      </c>
      <c r="C27" s="9" t="s">
        <v>268</v>
      </c>
      <c r="D27" s="9" t="s">
        <v>114</v>
      </c>
      <c r="E27" s="9" t="s">
        <v>108</v>
      </c>
      <c r="F27" s="9" t="s">
        <v>259</v>
      </c>
      <c r="G27" s="9" t="s">
        <v>259</v>
      </c>
      <c r="H27" s="9" t="s">
        <v>259</v>
      </c>
      <c r="I27" s="9" t="s">
        <v>259</v>
      </c>
      <c r="J27" s="9" t="s">
        <v>264</v>
      </c>
      <c r="K27" s="9" t="s">
        <v>265</v>
      </c>
    </row>
    <row r="28" spans="1:11" x14ac:dyDescent="0.3">
      <c r="A28" s="9" t="s">
        <v>324</v>
      </c>
      <c r="B28" s="9" t="s">
        <v>325</v>
      </c>
      <c r="C28" s="9" t="s">
        <v>268</v>
      </c>
      <c r="D28" s="9" t="s">
        <v>114</v>
      </c>
      <c r="E28" s="9" t="s">
        <v>108</v>
      </c>
      <c r="F28" s="9" t="s">
        <v>259</v>
      </c>
      <c r="G28" s="9" t="s">
        <v>259</v>
      </c>
      <c r="H28" s="9" t="s">
        <v>259</v>
      </c>
      <c r="I28" s="9" t="s">
        <v>259</v>
      </c>
      <c r="J28" s="9" t="s">
        <v>264</v>
      </c>
      <c r="K28" s="9" t="s">
        <v>265</v>
      </c>
    </row>
    <row r="29" spans="1:11" x14ac:dyDescent="0.3">
      <c r="A29" s="9" t="s">
        <v>326</v>
      </c>
      <c r="B29" s="9" t="s">
        <v>327</v>
      </c>
      <c r="C29" s="9" t="s">
        <v>268</v>
      </c>
      <c r="D29" s="9" t="s">
        <v>114</v>
      </c>
      <c r="E29" s="9" t="s">
        <v>108</v>
      </c>
      <c r="F29" s="9" t="s">
        <v>259</v>
      </c>
      <c r="G29" s="9" t="s">
        <v>259</v>
      </c>
      <c r="H29" s="9" t="s">
        <v>259</v>
      </c>
      <c r="I29" s="9" t="s">
        <v>259</v>
      </c>
      <c r="J29" s="9" t="s">
        <v>269</v>
      </c>
      <c r="K29" s="9" t="s">
        <v>265</v>
      </c>
    </row>
    <row r="30" spans="1:11" x14ac:dyDescent="0.3">
      <c r="A30" s="9" t="s">
        <v>328</v>
      </c>
      <c r="B30" s="9" t="s">
        <v>329</v>
      </c>
      <c r="C30" s="9" t="s">
        <v>268</v>
      </c>
      <c r="D30" s="9" t="s">
        <v>114</v>
      </c>
      <c r="E30" s="9" t="s">
        <v>108</v>
      </c>
      <c r="F30" s="9" t="s">
        <v>259</v>
      </c>
      <c r="G30" s="9" t="s">
        <v>259</v>
      </c>
      <c r="H30" s="9" t="s">
        <v>259</v>
      </c>
      <c r="I30" s="9" t="s">
        <v>259</v>
      </c>
      <c r="J30" s="9" t="s">
        <v>269</v>
      </c>
      <c r="K30" s="9" t="s">
        <v>265</v>
      </c>
    </row>
    <row r="31" spans="1:11" x14ac:dyDescent="0.3">
      <c r="A31" s="9" t="s">
        <v>330</v>
      </c>
      <c r="B31" s="9" t="s">
        <v>331</v>
      </c>
      <c r="C31" s="9" t="s">
        <v>268</v>
      </c>
      <c r="D31" s="9" t="s">
        <v>114</v>
      </c>
      <c r="E31" s="9" t="s">
        <v>108</v>
      </c>
      <c r="F31" s="9" t="s">
        <v>259</v>
      </c>
      <c r="G31" s="9" t="s">
        <v>259</v>
      </c>
      <c r="H31" s="9" t="s">
        <v>259</v>
      </c>
      <c r="I31" s="9" t="s">
        <v>259</v>
      </c>
      <c r="J31" s="9" t="s">
        <v>269</v>
      </c>
      <c r="K31" s="9" t="s">
        <v>265</v>
      </c>
    </row>
    <row r="32" spans="1:11" x14ac:dyDescent="0.3">
      <c r="A32" s="9" t="s">
        <v>332</v>
      </c>
      <c r="B32" s="9" t="s">
        <v>333</v>
      </c>
      <c r="C32" s="9" t="s">
        <v>268</v>
      </c>
      <c r="D32" s="9" t="s">
        <v>114</v>
      </c>
      <c r="E32" s="9" t="s">
        <v>108</v>
      </c>
      <c r="F32" s="9" t="s">
        <v>259</v>
      </c>
      <c r="G32" s="9" t="s">
        <v>259</v>
      </c>
      <c r="H32" s="9" t="s">
        <v>259</v>
      </c>
      <c r="I32" s="9" t="s">
        <v>259</v>
      </c>
      <c r="J32" s="9" t="s">
        <v>269</v>
      </c>
      <c r="K32" s="9" t="s">
        <v>265</v>
      </c>
    </row>
    <row r="33" spans="1:11" x14ac:dyDescent="0.3">
      <c r="A33" s="9" t="s">
        <v>334</v>
      </c>
      <c r="B33" s="9" t="s">
        <v>335</v>
      </c>
      <c r="C33" s="9" t="s">
        <v>268</v>
      </c>
      <c r="D33" s="9" t="s">
        <v>114</v>
      </c>
      <c r="E33" s="9" t="s">
        <v>108</v>
      </c>
      <c r="F33" s="9" t="s">
        <v>259</v>
      </c>
      <c r="G33" s="9" t="s">
        <v>259</v>
      </c>
      <c r="H33" s="9" t="s">
        <v>259</v>
      </c>
      <c r="I33" s="9" t="s">
        <v>259</v>
      </c>
      <c r="J33" s="9" t="s">
        <v>269</v>
      </c>
      <c r="K33" s="9" t="s">
        <v>265</v>
      </c>
    </row>
    <row r="34" spans="1:11" x14ac:dyDescent="0.3">
      <c r="A34" s="9" t="s">
        <v>336</v>
      </c>
      <c r="B34" s="9" t="s">
        <v>337</v>
      </c>
      <c r="C34" s="9" t="s">
        <v>268</v>
      </c>
      <c r="D34" s="9" t="s">
        <v>114</v>
      </c>
      <c r="E34" s="9" t="s">
        <v>108</v>
      </c>
      <c r="F34" s="9" t="s">
        <v>259</v>
      </c>
      <c r="G34" s="9" t="s">
        <v>259</v>
      </c>
      <c r="H34" s="9" t="s">
        <v>259</v>
      </c>
      <c r="I34" s="9" t="s">
        <v>259</v>
      </c>
      <c r="J34" s="9" t="s">
        <v>272</v>
      </c>
      <c r="K34" s="9" t="s">
        <v>265</v>
      </c>
    </row>
    <row r="35" spans="1:11" x14ac:dyDescent="0.3">
      <c r="A35" s="9" t="s">
        <v>338</v>
      </c>
      <c r="B35" s="9" t="s">
        <v>339</v>
      </c>
      <c r="C35" s="9" t="s">
        <v>268</v>
      </c>
      <c r="D35" s="9" t="s">
        <v>114</v>
      </c>
      <c r="E35" s="9" t="s">
        <v>108</v>
      </c>
      <c r="F35" s="9" t="s">
        <v>259</v>
      </c>
      <c r="G35" s="9" t="s">
        <v>259</v>
      </c>
      <c r="H35" s="9" t="s">
        <v>259</v>
      </c>
      <c r="I35" s="9" t="s">
        <v>259</v>
      </c>
      <c r="J35" s="9" t="s">
        <v>279</v>
      </c>
      <c r="K35" s="9" t="s">
        <v>265</v>
      </c>
    </row>
    <row r="36" spans="1:11" x14ac:dyDescent="0.3">
      <c r="A36" s="9" t="s">
        <v>340</v>
      </c>
      <c r="B36" s="9" t="s">
        <v>341</v>
      </c>
      <c r="C36" s="9" t="s">
        <v>268</v>
      </c>
      <c r="D36" s="9" t="s">
        <v>342</v>
      </c>
      <c r="E36" s="9" t="s">
        <v>108</v>
      </c>
      <c r="F36" s="9" t="s">
        <v>259</v>
      </c>
      <c r="G36" s="9" t="s">
        <v>259</v>
      </c>
      <c r="H36" s="9" t="s">
        <v>259</v>
      </c>
      <c r="I36" s="9" t="s">
        <v>259</v>
      </c>
      <c r="J36" s="9" t="s">
        <v>343</v>
      </c>
      <c r="K36" s="9" t="s">
        <v>265</v>
      </c>
    </row>
    <row r="37" spans="1:11" x14ac:dyDescent="0.3">
      <c r="A37" s="9" t="s">
        <v>344</v>
      </c>
      <c r="B37" s="9" t="s">
        <v>345</v>
      </c>
      <c r="C37" s="9" t="s">
        <v>268</v>
      </c>
      <c r="D37" s="9" t="s">
        <v>114</v>
      </c>
      <c r="E37" s="9" t="s">
        <v>108</v>
      </c>
      <c r="F37" s="9" t="s">
        <v>259</v>
      </c>
      <c r="G37" s="9" t="s">
        <v>259</v>
      </c>
      <c r="H37" s="9" t="s">
        <v>259</v>
      </c>
      <c r="I37" s="9" t="s">
        <v>259</v>
      </c>
      <c r="J37" s="9" t="s">
        <v>346</v>
      </c>
      <c r="K37" s="9" t="s">
        <v>265</v>
      </c>
    </row>
    <row r="38" spans="1:11" x14ac:dyDescent="0.3">
      <c r="A38" s="9" t="s">
        <v>347</v>
      </c>
      <c r="B38" s="9" t="s">
        <v>348</v>
      </c>
      <c r="C38" s="9" t="s">
        <v>268</v>
      </c>
      <c r="D38" s="9" t="s">
        <v>114</v>
      </c>
      <c r="E38" s="9" t="s">
        <v>108</v>
      </c>
      <c r="F38" s="9" t="s">
        <v>259</v>
      </c>
      <c r="G38" s="9" t="s">
        <v>259</v>
      </c>
      <c r="H38" s="9" t="s">
        <v>259</v>
      </c>
      <c r="I38" s="9" t="s">
        <v>259</v>
      </c>
      <c r="J38" s="9" t="s">
        <v>349</v>
      </c>
      <c r="K38" s="9" t="s">
        <v>265</v>
      </c>
    </row>
    <row r="39" spans="1:11" x14ac:dyDescent="0.3">
      <c r="A39" s="9" t="s">
        <v>350</v>
      </c>
      <c r="B39" s="9" t="s">
        <v>351</v>
      </c>
      <c r="C39" s="9" t="s">
        <v>352</v>
      </c>
      <c r="D39" s="9" t="s">
        <v>135</v>
      </c>
      <c r="E39" s="9" t="s">
        <v>108</v>
      </c>
      <c r="F39" s="9" t="s">
        <v>259</v>
      </c>
      <c r="G39" s="9" t="s">
        <v>259</v>
      </c>
      <c r="H39" s="9" t="s">
        <v>259</v>
      </c>
      <c r="I39" s="9" t="s">
        <v>259</v>
      </c>
      <c r="J39" s="9" t="s">
        <v>353</v>
      </c>
      <c r="K39" s="9" t="s">
        <v>265</v>
      </c>
    </row>
    <row r="40" spans="1:11" x14ac:dyDescent="0.3">
      <c r="A40" s="9" t="s">
        <v>354</v>
      </c>
      <c r="B40" s="9" t="s">
        <v>355</v>
      </c>
      <c r="C40" s="9" t="s">
        <v>356</v>
      </c>
      <c r="D40" s="9" t="s">
        <v>140</v>
      </c>
      <c r="E40" s="9" t="s">
        <v>108</v>
      </c>
      <c r="F40" s="9" t="s">
        <v>259</v>
      </c>
      <c r="G40" s="9" t="s">
        <v>259</v>
      </c>
      <c r="H40" s="9" t="s">
        <v>259</v>
      </c>
      <c r="I40" s="9" t="s">
        <v>259</v>
      </c>
      <c r="J40" s="9" t="s">
        <v>353</v>
      </c>
      <c r="K40" s="9" t="s">
        <v>265</v>
      </c>
    </row>
    <row r="41" spans="1:11" x14ac:dyDescent="0.3">
      <c r="A41" s="9" t="s">
        <v>357</v>
      </c>
      <c r="B41" s="9" t="s">
        <v>358</v>
      </c>
      <c r="C41" s="9" t="s">
        <v>359</v>
      </c>
      <c r="D41" s="9" t="s">
        <v>125</v>
      </c>
      <c r="E41" s="9" t="s">
        <v>108</v>
      </c>
      <c r="F41" s="9" t="s">
        <v>259</v>
      </c>
      <c r="G41" s="9" t="s">
        <v>259</v>
      </c>
      <c r="H41" s="9" t="s">
        <v>259</v>
      </c>
      <c r="I41" s="9" t="s">
        <v>259</v>
      </c>
      <c r="J41" s="9" t="s">
        <v>343</v>
      </c>
      <c r="K41" s="9" t="s">
        <v>265</v>
      </c>
    </row>
    <row r="42" spans="1:11" x14ac:dyDescent="0.3">
      <c r="A42" s="9" t="s">
        <v>360</v>
      </c>
      <c r="B42" s="9" t="s">
        <v>361</v>
      </c>
      <c r="C42" s="9" t="s">
        <v>359</v>
      </c>
      <c r="D42" s="9" t="s">
        <v>125</v>
      </c>
      <c r="E42" s="9" t="s">
        <v>108</v>
      </c>
      <c r="F42" s="9" t="s">
        <v>259</v>
      </c>
      <c r="G42" s="9" t="s">
        <v>259</v>
      </c>
      <c r="H42" s="9" t="s">
        <v>259</v>
      </c>
      <c r="I42" s="9" t="s">
        <v>259</v>
      </c>
      <c r="J42" s="9" t="s">
        <v>343</v>
      </c>
      <c r="K42" s="9" t="s">
        <v>265</v>
      </c>
    </row>
    <row r="43" spans="1:11" x14ac:dyDescent="0.3">
      <c r="A43" s="9" t="s">
        <v>362</v>
      </c>
      <c r="B43" s="9" t="s">
        <v>363</v>
      </c>
      <c r="C43" s="9" t="s">
        <v>364</v>
      </c>
      <c r="D43" s="9" t="s">
        <v>130</v>
      </c>
      <c r="E43" s="9" t="s">
        <v>108</v>
      </c>
      <c r="F43" s="9" t="s">
        <v>259</v>
      </c>
      <c r="G43" s="9" t="s">
        <v>259</v>
      </c>
      <c r="H43" s="9" t="s">
        <v>259</v>
      </c>
      <c r="I43" s="9" t="s">
        <v>259</v>
      </c>
      <c r="J43" s="9" t="s">
        <v>365</v>
      </c>
      <c r="K43" s="9" t="s">
        <v>366</v>
      </c>
    </row>
    <row r="44" spans="1:11" x14ac:dyDescent="0.3">
      <c r="A44" s="9" t="s">
        <v>367</v>
      </c>
      <c r="B44" s="9" t="s">
        <v>368</v>
      </c>
      <c r="C44" s="9" t="s">
        <v>369</v>
      </c>
      <c r="D44" s="9" t="s">
        <v>370</v>
      </c>
      <c r="E44" s="9" t="s">
        <v>108</v>
      </c>
      <c r="F44" s="9" t="s">
        <v>259</v>
      </c>
      <c r="G44" s="9" t="s">
        <v>259</v>
      </c>
      <c r="H44" s="9" t="s">
        <v>259</v>
      </c>
      <c r="I44" s="9" t="s">
        <v>259</v>
      </c>
      <c r="J44" s="9" t="s">
        <v>343</v>
      </c>
      <c r="K44" s="9" t="s">
        <v>366</v>
      </c>
    </row>
    <row r="45" spans="1:11" x14ac:dyDescent="0.3">
      <c r="A45" s="9" t="s">
        <v>371</v>
      </c>
      <c r="B45" s="9" t="s">
        <v>372</v>
      </c>
      <c r="C45" s="9" t="s">
        <v>268</v>
      </c>
      <c r="D45" s="9" t="s">
        <v>114</v>
      </c>
      <c r="E45" s="9" t="s">
        <v>108</v>
      </c>
      <c r="F45" s="9" t="s">
        <v>259</v>
      </c>
      <c r="G45" s="9" t="s">
        <v>259</v>
      </c>
      <c r="H45" s="9" t="s">
        <v>259</v>
      </c>
      <c r="I45" s="9" t="s">
        <v>259</v>
      </c>
      <c r="J45" s="9" t="s">
        <v>310</v>
      </c>
      <c r="K45" s="9" t="s">
        <v>265</v>
      </c>
    </row>
    <row r="46" spans="1:11" x14ac:dyDescent="0.3">
      <c r="A46" s="9" t="s">
        <v>373</v>
      </c>
      <c r="B46" s="9" t="s">
        <v>374</v>
      </c>
      <c r="C46" s="9" t="s">
        <v>268</v>
      </c>
      <c r="D46" s="9" t="s">
        <v>114</v>
      </c>
      <c r="E46" s="9" t="s">
        <v>108</v>
      </c>
      <c r="F46" s="9" t="s">
        <v>259</v>
      </c>
      <c r="G46" s="9" t="s">
        <v>259</v>
      </c>
      <c r="H46" s="9" t="s">
        <v>259</v>
      </c>
      <c r="I46" s="9" t="s">
        <v>259</v>
      </c>
      <c r="J46" s="9" t="s">
        <v>375</v>
      </c>
      <c r="K46" s="9" t="s">
        <v>265</v>
      </c>
    </row>
    <row r="47" spans="1:11" x14ac:dyDescent="0.3">
      <c r="A47" s="9" t="s">
        <v>376</v>
      </c>
      <c r="B47" s="9" t="s">
        <v>377</v>
      </c>
      <c r="C47" s="9" t="s">
        <v>364</v>
      </c>
      <c r="D47" s="9" t="s">
        <v>130</v>
      </c>
      <c r="E47" s="9" t="s">
        <v>108</v>
      </c>
      <c r="F47" s="9" t="s">
        <v>259</v>
      </c>
      <c r="G47" s="9" t="s">
        <v>259</v>
      </c>
      <c r="H47" s="9" t="s">
        <v>259</v>
      </c>
      <c r="I47" s="9" t="s">
        <v>259</v>
      </c>
      <c r="J47" s="9" t="s">
        <v>365</v>
      </c>
      <c r="K47" s="9" t="s">
        <v>265</v>
      </c>
    </row>
    <row r="48" spans="1:11" x14ac:dyDescent="0.3">
      <c r="A48" s="9" t="s">
        <v>378</v>
      </c>
      <c r="B48" s="9" t="s">
        <v>379</v>
      </c>
      <c r="C48" s="9" t="s">
        <v>380</v>
      </c>
      <c r="D48" s="9" t="s">
        <v>381</v>
      </c>
      <c r="E48" s="9" t="s">
        <v>108</v>
      </c>
      <c r="F48" s="9" t="s">
        <v>259</v>
      </c>
      <c r="G48" s="9" t="s">
        <v>259</v>
      </c>
      <c r="H48" s="9" t="s">
        <v>259</v>
      </c>
      <c r="I48" s="9" t="s">
        <v>259</v>
      </c>
      <c r="J48" s="9" t="s">
        <v>343</v>
      </c>
      <c r="K48" s="9" t="s">
        <v>265</v>
      </c>
    </row>
    <row r="49" spans="1:11" x14ac:dyDescent="0.3">
      <c r="A49" s="9" t="s">
        <v>382</v>
      </c>
      <c r="B49" s="9" t="s">
        <v>383</v>
      </c>
      <c r="C49" s="9" t="s">
        <v>359</v>
      </c>
      <c r="D49" s="9" t="s">
        <v>125</v>
      </c>
      <c r="E49" s="9" t="s">
        <v>108</v>
      </c>
      <c r="F49" s="9" t="s">
        <v>259</v>
      </c>
      <c r="G49" s="9" t="s">
        <v>259</v>
      </c>
      <c r="H49" s="9" t="s">
        <v>259</v>
      </c>
      <c r="I49" s="9" t="s">
        <v>259</v>
      </c>
      <c r="J49" s="9" t="s">
        <v>343</v>
      </c>
      <c r="K49" s="9" t="s">
        <v>265</v>
      </c>
    </row>
    <row r="50" spans="1:11" x14ac:dyDescent="0.3">
      <c r="A50" s="9" t="s">
        <v>384</v>
      </c>
      <c r="B50" s="9" t="s">
        <v>385</v>
      </c>
      <c r="C50" s="9" t="s">
        <v>268</v>
      </c>
      <c r="D50" s="9" t="s">
        <v>114</v>
      </c>
      <c r="E50" s="9" t="s">
        <v>108</v>
      </c>
      <c r="F50" s="9" t="s">
        <v>259</v>
      </c>
      <c r="G50" s="9" t="s">
        <v>259</v>
      </c>
      <c r="H50" s="9" t="s">
        <v>259</v>
      </c>
      <c r="I50" s="9" t="s">
        <v>259</v>
      </c>
      <c r="J50" s="9" t="s">
        <v>269</v>
      </c>
      <c r="K50" s="9" t="s">
        <v>265</v>
      </c>
    </row>
    <row r="51" spans="1:11" x14ac:dyDescent="0.3">
      <c r="A51" s="9" t="s">
        <v>386</v>
      </c>
      <c r="B51" s="9" t="s">
        <v>387</v>
      </c>
      <c r="C51" s="9" t="s">
        <v>268</v>
      </c>
      <c r="D51" s="9" t="s">
        <v>114</v>
      </c>
      <c r="E51" s="9" t="s">
        <v>108</v>
      </c>
      <c r="F51" s="9" t="s">
        <v>259</v>
      </c>
      <c r="G51" s="9" t="s">
        <v>259</v>
      </c>
      <c r="H51" s="9" t="s">
        <v>259</v>
      </c>
      <c r="I51" s="9" t="s">
        <v>259</v>
      </c>
      <c r="J51" s="9" t="s">
        <v>269</v>
      </c>
      <c r="K51" s="9" t="s">
        <v>265</v>
      </c>
    </row>
    <row r="52" spans="1:11" x14ac:dyDescent="0.3">
      <c r="A52" s="9" t="s">
        <v>388</v>
      </c>
      <c r="B52" s="9" t="s">
        <v>389</v>
      </c>
      <c r="C52" s="9" t="s">
        <v>268</v>
      </c>
      <c r="D52" s="9" t="s">
        <v>114</v>
      </c>
      <c r="E52" s="9" t="s">
        <v>108</v>
      </c>
      <c r="F52" s="9" t="s">
        <v>259</v>
      </c>
      <c r="G52" s="9" t="s">
        <v>259</v>
      </c>
      <c r="H52" s="9" t="s">
        <v>259</v>
      </c>
      <c r="I52" s="9" t="s">
        <v>259</v>
      </c>
      <c r="J52" s="9" t="s">
        <v>269</v>
      </c>
      <c r="K52" s="9" t="s">
        <v>265</v>
      </c>
    </row>
    <row r="53" spans="1:11" x14ac:dyDescent="0.3">
      <c r="A53" s="9" t="s">
        <v>390</v>
      </c>
      <c r="B53" s="9" t="s">
        <v>391</v>
      </c>
      <c r="C53" s="9" t="s">
        <v>268</v>
      </c>
      <c r="D53" s="9" t="s">
        <v>114</v>
      </c>
      <c r="E53" s="9" t="s">
        <v>108</v>
      </c>
      <c r="F53" s="9" t="s">
        <v>259</v>
      </c>
      <c r="G53" s="9" t="s">
        <v>259</v>
      </c>
      <c r="H53" s="9" t="s">
        <v>259</v>
      </c>
      <c r="I53" s="9" t="s">
        <v>259</v>
      </c>
      <c r="J53" s="9" t="s">
        <v>269</v>
      </c>
      <c r="K53" s="9" t="s">
        <v>265</v>
      </c>
    </row>
    <row r="54" spans="1:11" x14ac:dyDescent="0.3">
      <c r="A54" s="9" t="s">
        <v>392</v>
      </c>
      <c r="B54" s="9" t="s">
        <v>393</v>
      </c>
      <c r="C54" s="9" t="s">
        <v>268</v>
      </c>
      <c r="D54" s="9" t="s">
        <v>114</v>
      </c>
      <c r="E54" s="9" t="s">
        <v>108</v>
      </c>
      <c r="F54" s="9" t="s">
        <v>259</v>
      </c>
      <c r="G54" s="9" t="s">
        <v>259</v>
      </c>
      <c r="H54" s="9" t="s">
        <v>259</v>
      </c>
      <c r="I54" s="9" t="s">
        <v>259</v>
      </c>
      <c r="J54" s="9" t="s">
        <v>272</v>
      </c>
      <c r="K54" s="9" t="s">
        <v>265</v>
      </c>
    </row>
    <row r="55" spans="1:11" x14ac:dyDescent="0.3">
      <c r="A55" s="9" t="s">
        <v>394</v>
      </c>
      <c r="B55" s="9" t="s">
        <v>395</v>
      </c>
      <c r="C55" s="9" t="s">
        <v>268</v>
      </c>
      <c r="D55" s="9" t="s">
        <v>114</v>
      </c>
      <c r="E55" s="9" t="s">
        <v>108</v>
      </c>
      <c r="F55" s="9" t="s">
        <v>259</v>
      </c>
      <c r="G55" s="9" t="s">
        <v>259</v>
      </c>
      <c r="H55" s="9" t="s">
        <v>259</v>
      </c>
      <c r="I55" s="9" t="s">
        <v>259</v>
      </c>
      <c r="J55" s="9" t="s">
        <v>272</v>
      </c>
      <c r="K55" s="9" t="s">
        <v>396</v>
      </c>
    </row>
    <row r="56" spans="1:11" x14ac:dyDescent="0.3">
      <c r="A56" s="9" t="s">
        <v>397</v>
      </c>
      <c r="B56" s="9" t="s">
        <v>398</v>
      </c>
      <c r="C56" s="9" t="s">
        <v>268</v>
      </c>
      <c r="D56" s="9" t="s">
        <v>114</v>
      </c>
      <c r="E56" s="9" t="s">
        <v>108</v>
      </c>
      <c r="F56" s="9" t="s">
        <v>259</v>
      </c>
      <c r="G56" s="9" t="s">
        <v>259</v>
      </c>
      <c r="H56" s="9" t="s">
        <v>259</v>
      </c>
      <c r="I56" s="9" t="s">
        <v>259</v>
      </c>
      <c r="J56" s="9" t="s">
        <v>269</v>
      </c>
      <c r="K56" s="9" t="s">
        <v>265</v>
      </c>
    </row>
    <row r="57" spans="1:11" x14ac:dyDescent="0.3">
      <c r="A57" s="9" t="s">
        <v>399</v>
      </c>
      <c r="B57" s="9" t="s">
        <v>400</v>
      </c>
      <c r="C57" s="9" t="s">
        <v>268</v>
      </c>
      <c r="D57" s="9" t="s">
        <v>114</v>
      </c>
      <c r="E57" s="9" t="s">
        <v>108</v>
      </c>
      <c r="F57" s="9" t="s">
        <v>259</v>
      </c>
      <c r="G57" s="9" t="s">
        <v>259</v>
      </c>
      <c r="H57" s="9" t="s">
        <v>259</v>
      </c>
      <c r="I57" s="9" t="s">
        <v>259</v>
      </c>
      <c r="J57" s="9" t="s">
        <v>269</v>
      </c>
      <c r="K57" s="9" t="s">
        <v>366</v>
      </c>
    </row>
    <row r="58" spans="1:11" x14ac:dyDescent="0.3">
      <c r="A58" s="9" t="s">
        <v>401</v>
      </c>
      <c r="B58" s="9" t="s">
        <v>402</v>
      </c>
      <c r="C58" s="9" t="s">
        <v>268</v>
      </c>
      <c r="D58" s="9" t="s">
        <v>114</v>
      </c>
      <c r="E58" s="9" t="s">
        <v>108</v>
      </c>
      <c r="F58" s="9" t="s">
        <v>259</v>
      </c>
      <c r="G58" s="9" t="s">
        <v>259</v>
      </c>
      <c r="H58" s="9" t="s">
        <v>259</v>
      </c>
      <c r="I58" s="9" t="s">
        <v>259</v>
      </c>
      <c r="J58" s="9" t="s">
        <v>272</v>
      </c>
      <c r="K58" s="9" t="s">
        <v>265</v>
      </c>
    </row>
    <row r="59" spans="1:11" x14ac:dyDescent="0.3">
      <c r="A59" s="9" t="s">
        <v>403</v>
      </c>
      <c r="B59" s="9" t="s">
        <v>404</v>
      </c>
      <c r="C59" s="9" t="s">
        <v>268</v>
      </c>
      <c r="D59" s="9" t="s">
        <v>114</v>
      </c>
      <c r="E59" s="9" t="s">
        <v>108</v>
      </c>
      <c r="F59" s="9" t="s">
        <v>259</v>
      </c>
      <c r="G59" s="9" t="s">
        <v>259</v>
      </c>
      <c r="H59" s="9" t="s">
        <v>259</v>
      </c>
      <c r="I59" s="9" t="s">
        <v>259</v>
      </c>
      <c r="J59" s="9" t="s">
        <v>405</v>
      </c>
      <c r="K59" s="9" t="s">
        <v>265</v>
      </c>
    </row>
    <row r="60" spans="1:11" x14ac:dyDescent="0.3">
      <c r="A60" s="9" t="s">
        <v>406</v>
      </c>
      <c r="B60" s="9" t="s">
        <v>407</v>
      </c>
      <c r="C60" s="9" t="s">
        <v>268</v>
      </c>
      <c r="D60" s="9" t="s">
        <v>114</v>
      </c>
      <c r="E60" s="9" t="s">
        <v>108</v>
      </c>
      <c r="F60" s="9" t="s">
        <v>259</v>
      </c>
      <c r="G60" s="9" t="s">
        <v>259</v>
      </c>
      <c r="H60" s="9" t="s">
        <v>259</v>
      </c>
      <c r="I60" s="9" t="s">
        <v>259</v>
      </c>
      <c r="J60" s="9" t="s">
        <v>408</v>
      </c>
      <c r="K60" s="9" t="s">
        <v>366</v>
      </c>
    </row>
    <row r="61" spans="1:11" x14ac:dyDescent="0.3">
      <c r="A61" s="9" t="s">
        <v>409</v>
      </c>
      <c r="B61" s="9" t="s">
        <v>410</v>
      </c>
      <c r="C61" s="9" t="s">
        <v>268</v>
      </c>
      <c r="D61" s="9" t="s">
        <v>114</v>
      </c>
      <c r="E61" s="9" t="s">
        <v>108</v>
      </c>
      <c r="F61" s="9" t="s">
        <v>259</v>
      </c>
      <c r="G61" s="9" t="s">
        <v>259</v>
      </c>
      <c r="H61" s="9" t="s">
        <v>259</v>
      </c>
      <c r="I61" s="9" t="s">
        <v>259</v>
      </c>
      <c r="J61" s="9" t="s">
        <v>411</v>
      </c>
      <c r="K61" s="9" t="s">
        <v>265</v>
      </c>
    </row>
    <row r="62" spans="1:11" x14ac:dyDescent="0.3">
      <c r="A62" s="9" t="s">
        <v>412</v>
      </c>
      <c r="B62" s="9" t="s">
        <v>413</v>
      </c>
      <c r="C62" s="9" t="s">
        <v>268</v>
      </c>
      <c r="D62" s="9" t="s">
        <v>114</v>
      </c>
      <c r="E62" s="9" t="s">
        <v>108</v>
      </c>
      <c r="F62" s="9" t="s">
        <v>259</v>
      </c>
      <c r="G62" s="9" t="s">
        <v>259</v>
      </c>
      <c r="H62" s="9" t="s">
        <v>259</v>
      </c>
      <c r="I62" s="9" t="s">
        <v>259</v>
      </c>
      <c r="J62" s="9" t="s">
        <v>414</v>
      </c>
      <c r="K62" s="9" t="s">
        <v>265</v>
      </c>
    </row>
    <row r="63" spans="1:11" x14ac:dyDescent="0.3">
      <c r="A63" s="9" t="s">
        <v>415</v>
      </c>
      <c r="B63" s="9" t="s">
        <v>416</v>
      </c>
      <c r="C63" s="9" t="s">
        <v>268</v>
      </c>
      <c r="D63" s="9" t="s">
        <v>114</v>
      </c>
      <c r="E63" s="9" t="s">
        <v>108</v>
      </c>
      <c r="F63" s="9" t="s">
        <v>259</v>
      </c>
      <c r="G63" s="9" t="s">
        <v>259</v>
      </c>
      <c r="H63" s="9" t="s">
        <v>259</v>
      </c>
      <c r="I63" s="9" t="s">
        <v>259</v>
      </c>
      <c r="J63" s="9" t="s">
        <v>264</v>
      </c>
      <c r="K63" s="9" t="s">
        <v>265</v>
      </c>
    </row>
    <row r="64" spans="1:11" x14ac:dyDescent="0.3">
      <c r="A64" s="9" t="s">
        <v>417</v>
      </c>
      <c r="B64" s="9" t="s">
        <v>418</v>
      </c>
      <c r="C64" s="9" t="s">
        <v>268</v>
      </c>
      <c r="D64" s="9" t="s">
        <v>114</v>
      </c>
      <c r="E64" s="9" t="s">
        <v>108</v>
      </c>
      <c r="F64" s="9" t="s">
        <v>259</v>
      </c>
      <c r="G64" s="9" t="s">
        <v>259</v>
      </c>
      <c r="H64" s="9" t="s">
        <v>259</v>
      </c>
      <c r="I64" s="9" t="s">
        <v>259</v>
      </c>
      <c r="J64" s="9" t="s">
        <v>269</v>
      </c>
      <c r="K64" s="9" t="s">
        <v>265</v>
      </c>
    </row>
    <row r="65" spans="1:11" x14ac:dyDescent="0.3">
      <c r="A65" s="9" t="s">
        <v>419</v>
      </c>
      <c r="B65" s="9" t="s">
        <v>420</v>
      </c>
      <c r="C65" s="9" t="s">
        <v>268</v>
      </c>
      <c r="D65" s="9" t="s">
        <v>114</v>
      </c>
      <c r="E65" s="9" t="s">
        <v>108</v>
      </c>
      <c r="F65" s="9" t="s">
        <v>259</v>
      </c>
      <c r="G65" s="9" t="s">
        <v>259</v>
      </c>
      <c r="H65" s="9" t="s">
        <v>259</v>
      </c>
      <c r="I65" s="9" t="s">
        <v>259</v>
      </c>
      <c r="J65" s="9" t="s">
        <v>269</v>
      </c>
      <c r="K65" s="9" t="s">
        <v>265</v>
      </c>
    </row>
    <row r="66" spans="1:11" x14ac:dyDescent="0.3">
      <c r="A66" s="9" t="s">
        <v>421</v>
      </c>
      <c r="B66" s="9" t="s">
        <v>422</v>
      </c>
      <c r="C66" s="9" t="s">
        <v>268</v>
      </c>
      <c r="D66" s="9" t="s">
        <v>114</v>
      </c>
      <c r="E66" s="9" t="s">
        <v>108</v>
      </c>
      <c r="F66" s="9" t="s">
        <v>259</v>
      </c>
      <c r="G66" s="9" t="s">
        <v>259</v>
      </c>
      <c r="H66" s="9" t="s">
        <v>259</v>
      </c>
      <c r="I66" s="9" t="s">
        <v>259</v>
      </c>
      <c r="J66" s="9" t="s">
        <v>269</v>
      </c>
      <c r="K66" s="9" t="s">
        <v>366</v>
      </c>
    </row>
    <row r="67" spans="1:11" x14ac:dyDescent="0.3">
      <c r="A67" s="9" t="s">
        <v>423</v>
      </c>
      <c r="B67" s="9" t="s">
        <v>424</v>
      </c>
      <c r="C67" s="9" t="s">
        <v>268</v>
      </c>
      <c r="D67" s="9" t="s">
        <v>114</v>
      </c>
      <c r="E67" s="9" t="s">
        <v>108</v>
      </c>
      <c r="F67" s="9" t="s">
        <v>259</v>
      </c>
      <c r="G67" s="9" t="s">
        <v>259</v>
      </c>
      <c r="H67" s="9" t="s">
        <v>259</v>
      </c>
      <c r="I67" s="9" t="s">
        <v>259</v>
      </c>
      <c r="J67" s="9" t="s">
        <v>269</v>
      </c>
      <c r="K67" s="9" t="s">
        <v>265</v>
      </c>
    </row>
    <row r="68" spans="1:11" x14ac:dyDescent="0.3">
      <c r="A68" s="9" t="s">
        <v>364</v>
      </c>
      <c r="B68" s="9" t="s">
        <v>425</v>
      </c>
      <c r="C68" s="9" t="s">
        <v>268</v>
      </c>
      <c r="D68" s="9" t="s">
        <v>114</v>
      </c>
      <c r="E68" s="9" t="s">
        <v>108</v>
      </c>
      <c r="F68" s="9" t="s">
        <v>259</v>
      </c>
      <c r="G68" s="9" t="s">
        <v>259</v>
      </c>
      <c r="H68" s="9" t="s">
        <v>259</v>
      </c>
      <c r="I68" s="9" t="s">
        <v>259</v>
      </c>
      <c r="J68" s="9" t="s">
        <v>264</v>
      </c>
      <c r="K68" s="9" t="s">
        <v>265</v>
      </c>
    </row>
    <row r="69" spans="1:11" x14ac:dyDescent="0.3">
      <c r="A69" s="9" t="s">
        <v>352</v>
      </c>
      <c r="B69" s="9" t="s">
        <v>426</v>
      </c>
      <c r="C69" s="9" t="s">
        <v>268</v>
      </c>
      <c r="D69" s="9" t="s">
        <v>114</v>
      </c>
      <c r="E69" s="9" t="s">
        <v>108</v>
      </c>
      <c r="F69" s="9" t="s">
        <v>259</v>
      </c>
      <c r="G69" s="9" t="s">
        <v>259</v>
      </c>
      <c r="H69" s="9" t="s">
        <v>259</v>
      </c>
      <c r="I69" s="9" t="s">
        <v>259</v>
      </c>
      <c r="J69" s="9" t="s">
        <v>414</v>
      </c>
      <c r="K69" s="9" t="s">
        <v>265</v>
      </c>
    </row>
    <row r="70" spans="1:11" x14ac:dyDescent="0.3">
      <c r="A70" s="9" t="s">
        <v>427</v>
      </c>
      <c r="B70" s="9" t="s">
        <v>428</v>
      </c>
      <c r="C70" s="9" t="s">
        <v>268</v>
      </c>
      <c r="D70" s="9" t="s">
        <v>114</v>
      </c>
      <c r="E70" s="9" t="s">
        <v>108</v>
      </c>
      <c r="F70" s="9" t="s">
        <v>259</v>
      </c>
      <c r="G70" s="9" t="s">
        <v>259</v>
      </c>
      <c r="H70" s="9" t="s">
        <v>259</v>
      </c>
      <c r="I70" s="9" t="s">
        <v>259</v>
      </c>
      <c r="J70" s="9" t="s">
        <v>264</v>
      </c>
      <c r="K70" s="9" t="s">
        <v>265</v>
      </c>
    </row>
    <row r="71" spans="1:11" x14ac:dyDescent="0.3">
      <c r="A71" s="9" t="s">
        <v>429</v>
      </c>
      <c r="B71" s="9" t="s">
        <v>430</v>
      </c>
      <c r="C71" s="9" t="s">
        <v>268</v>
      </c>
      <c r="D71" s="9" t="s">
        <v>114</v>
      </c>
      <c r="E71" s="9" t="s">
        <v>108</v>
      </c>
      <c r="F71" s="9" t="s">
        <v>259</v>
      </c>
      <c r="G71" s="9" t="s">
        <v>259</v>
      </c>
      <c r="H71" s="9" t="s">
        <v>259</v>
      </c>
      <c r="I71" s="9" t="s">
        <v>259</v>
      </c>
      <c r="J71" s="9" t="s">
        <v>299</v>
      </c>
      <c r="K71" s="9" t="s">
        <v>265</v>
      </c>
    </row>
    <row r="72" spans="1:11" x14ac:dyDescent="0.3">
      <c r="A72" s="9" t="s">
        <v>431</v>
      </c>
      <c r="B72" s="9" t="s">
        <v>432</v>
      </c>
      <c r="C72" s="9" t="s">
        <v>268</v>
      </c>
      <c r="D72" s="9" t="s">
        <v>114</v>
      </c>
      <c r="E72" s="9" t="s">
        <v>108</v>
      </c>
      <c r="F72" s="9" t="s">
        <v>259</v>
      </c>
      <c r="G72" s="9" t="s">
        <v>259</v>
      </c>
      <c r="H72" s="9" t="s">
        <v>259</v>
      </c>
      <c r="I72" s="9" t="s">
        <v>259</v>
      </c>
      <c r="J72" s="9" t="s">
        <v>433</v>
      </c>
      <c r="K72" s="9" t="s">
        <v>265</v>
      </c>
    </row>
    <row r="73" spans="1:11" x14ac:dyDescent="0.3">
      <c r="A73" s="9" t="s">
        <v>434</v>
      </c>
      <c r="B73" s="9" t="s">
        <v>435</v>
      </c>
      <c r="C73" s="9" t="s">
        <v>268</v>
      </c>
      <c r="D73" s="9" t="s">
        <v>114</v>
      </c>
      <c r="E73" s="9" t="s">
        <v>108</v>
      </c>
      <c r="F73" s="9" t="s">
        <v>259</v>
      </c>
      <c r="G73" s="9" t="s">
        <v>259</v>
      </c>
      <c r="H73" s="9" t="s">
        <v>259</v>
      </c>
      <c r="I73" s="9" t="s">
        <v>259</v>
      </c>
      <c r="J73" s="9" t="s">
        <v>269</v>
      </c>
      <c r="K73" s="9" t="s">
        <v>366</v>
      </c>
    </row>
    <row r="74" spans="1:11" x14ac:dyDescent="0.3">
      <c r="A74" s="9" t="s">
        <v>436</v>
      </c>
      <c r="B74" s="9" t="s">
        <v>437</v>
      </c>
      <c r="C74" s="9" t="s">
        <v>268</v>
      </c>
      <c r="D74" s="9" t="s">
        <v>114</v>
      </c>
      <c r="E74" s="9" t="s">
        <v>108</v>
      </c>
      <c r="F74" s="9" t="s">
        <v>259</v>
      </c>
      <c r="G74" s="9" t="s">
        <v>259</v>
      </c>
      <c r="H74" s="9" t="s">
        <v>259</v>
      </c>
      <c r="I74" s="9" t="s">
        <v>259</v>
      </c>
      <c r="J74" s="9" t="s">
        <v>353</v>
      </c>
      <c r="K74" s="9" t="s">
        <v>265</v>
      </c>
    </row>
    <row r="75" spans="1:11" x14ac:dyDescent="0.3">
      <c r="A75" s="9" t="s">
        <v>438</v>
      </c>
      <c r="B75" s="9" t="s">
        <v>439</v>
      </c>
      <c r="C75" s="9" t="s">
        <v>268</v>
      </c>
      <c r="D75" s="9" t="s">
        <v>114</v>
      </c>
      <c r="E75" s="9" t="s">
        <v>108</v>
      </c>
      <c r="F75" s="9" t="s">
        <v>259</v>
      </c>
      <c r="G75" s="9" t="s">
        <v>259</v>
      </c>
      <c r="H75" s="9" t="s">
        <v>259</v>
      </c>
      <c r="I75" s="9" t="s">
        <v>259</v>
      </c>
      <c r="J75" s="9" t="s">
        <v>264</v>
      </c>
      <c r="K75" s="9" t="s">
        <v>265</v>
      </c>
    </row>
    <row r="76" spans="1:11" x14ac:dyDescent="0.3">
      <c r="A76" s="9" t="s">
        <v>440</v>
      </c>
      <c r="B76" s="9" t="s">
        <v>441</v>
      </c>
      <c r="C76" s="9" t="s">
        <v>268</v>
      </c>
      <c r="D76" s="9" t="s">
        <v>114</v>
      </c>
      <c r="E76" s="9" t="s">
        <v>108</v>
      </c>
      <c r="F76" s="9" t="s">
        <v>259</v>
      </c>
      <c r="G76" s="9" t="s">
        <v>259</v>
      </c>
      <c r="H76" s="9" t="s">
        <v>259</v>
      </c>
      <c r="I76" s="9" t="s">
        <v>259</v>
      </c>
      <c r="J76" s="9" t="s">
        <v>442</v>
      </c>
      <c r="K76" s="9" t="s">
        <v>265</v>
      </c>
    </row>
    <row r="77" spans="1:11" x14ac:dyDescent="0.3">
      <c r="A77" s="9" t="s">
        <v>443</v>
      </c>
      <c r="B77" s="9" t="s">
        <v>444</v>
      </c>
      <c r="C77" s="9" t="s">
        <v>268</v>
      </c>
      <c r="D77" s="9" t="s">
        <v>114</v>
      </c>
      <c r="E77" s="9" t="s">
        <v>108</v>
      </c>
      <c r="F77" s="9" t="s">
        <v>259</v>
      </c>
      <c r="G77" s="9" t="s">
        <v>259</v>
      </c>
      <c r="H77" s="9" t="s">
        <v>259</v>
      </c>
      <c r="I77" s="9" t="s">
        <v>259</v>
      </c>
      <c r="J77" s="9" t="s">
        <v>264</v>
      </c>
      <c r="K77" s="9" t="s">
        <v>265</v>
      </c>
    </row>
    <row r="78" spans="1:11" x14ac:dyDescent="0.3">
      <c r="A78" s="9" t="s">
        <v>445</v>
      </c>
      <c r="B78" s="9" t="s">
        <v>446</v>
      </c>
      <c r="C78" s="9" t="s">
        <v>268</v>
      </c>
      <c r="D78" s="9" t="s">
        <v>114</v>
      </c>
      <c r="E78" s="9" t="s">
        <v>108</v>
      </c>
      <c r="F78" s="9" t="s">
        <v>259</v>
      </c>
      <c r="G78" s="9" t="s">
        <v>259</v>
      </c>
      <c r="H78" s="9" t="s">
        <v>259</v>
      </c>
      <c r="I78" s="9" t="s">
        <v>259</v>
      </c>
      <c r="J78" s="9" t="s">
        <v>447</v>
      </c>
      <c r="K78" s="9" t="s">
        <v>265</v>
      </c>
    </row>
    <row r="79" spans="1:11" x14ac:dyDescent="0.3">
      <c r="A79" s="9" t="s">
        <v>448</v>
      </c>
      <c r="B79" s="9" t="s">
        <v>449</v>
      </c>
      <c r="C79" s="9" t="s">
        <v>268</v>
      </c>
      <c r="D79" s="9" t="s">
        <v>114</v>
      </c>
      <c r="E79" s="9" t="s">
        <v>108</v>
      </c>
      <c r="F79" s="9" t="s">
        <v>259</v>
      </c>
      <c r="G79" s="9" t="s">
        <v>259</v>
      </c>
      <c r="H79" s="9" t="s">
        <v>259</v>
      </c>
      <c r="I79" s="9" t="s">
        <v>259</v>
      </c>
      <c r="J79" s="9" t="s">
        <v>450</v>
      </c>
      <c r="K79" s="9" t="s">
        <v>366</v>
      </c>
    </row>
    <row r="80" spans="1:11" x14ac:dyDescent="0.3">
      <c r="A80" s="9" t="s">
        <v>451</v>
      </c>
      <c r="B80" s="9" t="s">
        <v>452</v>
      </c>
      <c r="C80" s="9" t="s">
        <v>268</v>
      </c>
      <c r="D80" s="9" t="s">
        <v>114</v>
      </c>
      <c r="E80" s="9" t="s">
        <v>108</v>
      </c>
      <c r="F80" s="9" t="s">
        <v>259</v>
      </c>
      <c r="G80" s="9" t="s">
        <v>259</v>
      </c>
      <c r="H80" s="9" t="s">
        <v>259</v>
      </c>
      <c r="I80" s="9" t="s">
        <v>259</v>
      </c>
      <c r="J80" s="9" t="s">
        <v>269</v>
      </c>
      <c r="K80" s="9" t="s">
        <v>265</v>
      </c>
    </row>
    <row r="81" spans="1:11" x14ac:dyDescent="0.3">
      <c r="A81" s="9" t="s">
        <v>453</v>
      </c>
      <c r="B81" s="9" t="s">
        <v>454</v>
      </c>
      <c r="C81" s="9" t="s">
        <v>380</v>
      </c>
      <c r="D81" s="9" t="s">
        <v>120</v>
      </c>
      <c r="E81" s="9" t="s">
        <v>108</v>
      </c>
      <c r="F81" s="9" t="s">
        <v>259</v>
      </c>
      <c r="G81" s="9" t="s">
        <v>259</v>
      </c>
      <c r="H81" s="9" t="s">
        <v>259</v>
      </c>
      <c r="I81" s="9" t="s">
        <v>259</v>
      </c>
      <c r="J81" s="9" t="s">
        <v>365</v>
      </c>
      <c r="K81" s="9" t="s">
        <v>265</v>
      </c>
    </row>
    <row r="82" spans="1:11" x14ac:dyDescent="0.3">
      <c r="A82" s="9" t="s">
        <v>455</v>
      </c>
      <c r="B82" s="9" t="s">
        <v>456</v>
      </c>
      <c r="C82" s="9" t="s">
        <v>268</v>
      </c>
      <c r="D82" s="9" t="s">
        <v>114</v>
      </c>
      <c r="E82" s="9" t="s">
        <v>108</v>
      </c>
      <c r="F82" s="9" t="s">
        <v>259</v>
      </c>
      <c r="G82" s="9" t="s">
        <v>259</v>
      </c>
      <c r="H82" s="9" t="s">
        <v>259</v>
      </c>
      <c r="I82" s="9" t="s">
        <v>259</v>
      </c>
      <c r="J82" s="9" t="s">
        <v>269</v>
      </c>
      <c r="K82" s="9" t="s">
        <v>265</v>
      </c>
    </row>
    <row r="83" spans="1:11" x14ac:dyDescent="0.3">
      <c r="A83" s="9" t="s">
        <v>457</v>
      </c>
      <c r="B83" s="9" t="s">
        <v>458</v>
      </c>
      <c r="C83" s="9" t="s">
        <v>268</v>
      </c>
      <c r="D83" s="9" t="s">
        <v>114</v>
      </c>
      <c r="E83" s="9" t="s">
        <v>108</v>
      </c>
      <c r="F83" s="9" t="s">
        <v>259</v>
      </c>
      <c r="G83" s="9" t="s">
        <v>259</v>
      </c>
      <c r="H83" s="9" t="s">
        <v>259</v>
      </c>
      <c r="I83" s="9" t="s">
        <v>259</v>
      </c>
      <c r="J83" s="9" t="s">
        <v>269</v>
      </c>
      <c r="K83" s="9" t="s">
        <v>265</v>
      </c>
    </row>
    <row r="84" spans="1:11" x14ac:dyDescent="0.3">
      <c r="A84" s="9" t="s">
        <v>459</v>
      </c>
      <c r="B84" s="9" t="s">
        <v>460</v>
      </c>
      <c r="C84" s="9" t="s">
        <v>268</v>
      </c>
      <c r="D84" s="9" t="s">
        <v>114</v>
      </c>
      <c r="E84" s="9" t="s">
        <v>108</v>
      </c>
      <c r="F84" s="9" t="s">
        <v>259</v>
      </c>
      <c r="G84" s="9" t="s">
        <v>259</v>
      </c>
      <c r="H84" s="9" t="s">
        <v>259</v>
      </c>
      <c r="I84" s="9" t="s">
        <v>259</v>
      </c>
      <c r="J84" s="9" t="s">
        <v>269</v>
      </c>
      <c r="K84" s="9" t="s">
        <v>265</v>
      </c>
    </row>
    <row r="85" spans="1:11" x14ac:dyDescent="0.3">
      <c r="A85" s="9" t="s">
        <v>461</v>
      </c>
      <c r="B85" s="9" t="s">
        <v>462</v>
      </c>
      <c r="C85" s="9" t="s">
        <v>268</v>
      </c>
      <c r="D85" s="9" t="s">
        <v>114</v>
      </c>
      <c r="E85" s="9" t="s">
        <v>108</v>
      </c>
      <c r="F85" s="9" t="s">
        <v>259</v>
      </c>
      <c r="G85" s="9" t="s">
        <v>259</v>
      </c>
      <c r="H85" s="9" t="s">
        <v>259</v>
      </c>
      <c r="I85" s="9" t="s">
        <v>259</v>
      </c>
      <c r="J85" s="9" t="s">
        <v>272</v>
      </c>
      <c r="K85" s="9" t="s">
        <v>292</v>
      </c>
    </row>
    <row r="86" spans="1:11" x14ac:dyDescent="0.3">
      <c r="A86" s="9" t="s">
        <v>463</v>
      </c>
      <c r="B86" s="9" t="s">
        <v>464</v>
      </c>
      <c r="C86" s="9" t="s">
        <v>268</v>
      </c>
      <c r="D86" s="9" t="s">
        <v>114</v>
      </c>
      <c r="E86" s="9" t="s">
        <v>108</v>
      </c>
      <c r="F86" s="9" t="s">
        <v>259</v>
      </c>
      <c r="G86" s="9" t="s">
        <v>259</v>
      </c>
      <c r="H86" s="9" t="s">
        <v>259</v>
      </c>
      <c r="I86" s="9" t="s">
        <v>259</v>
      </c>
      <c r="J86" s="9" t="s">
        <v>269</v>
      </c>
      <c r="K86" s="9" t="s">
        <v>265</v>
      </c>
    </row>
    <row r="87" spans="1:11" x14ac:dyDescent="0.3">
      <c r="A87" s="9" t="s">
        <v>465</v>
      </c>
      <c r="B87" s="9" t="s">
        <v>466</v>
      </c>
      <c r="C87" s="9" t="s">
        <v>268</v>
      </c>
      <c r="D87" s="9" t="s">
        <v>114</v>
      </c>
      <c r="E87" s="9" t="s">
        <v>108</v>
      </c>
      <c r="F87" s="9" t="s">
        <v>259</v>
      </c>
      <c r="G87" s="9" t="s">
        <v>259</v>
      </c>
      <c r="H87" s="9" t="s">
        <v>259</v>
      </c>
      <c r="I87" s="9" t="s">
        <v>259</v>
      </c>
      <c r="J87" s="9" t="s">
        <v>447</v>
      </c>
      <c r="K87" s="9" t="s">
        <v>265</v>
      </c>
    </row>
    <row r="88" spans="1:11" x14ac:dyDescent="0.3">
      <c r="A88" s="9" t="s">
        <v>467</v>
      </c>
      <c r="B88" s="9" t="s">
        <v>468</v>
      </c>
      <c r="C88" s="9" t="s">
        <v>268</v>
      </c>
      <c r="D88" s="9" t="s">
        <v>114</v>
      </c>
      <c r="E88" s="9" t="s">
        <v>108</v>
      </c>
      <c r="F88" s="9" t="s">
        <v>259</v>
      </c>
      <c r="G88" s="9" t="s">
        <v>259</v>
      </c>
      <c r="H88" s="9" t="s">
        <v>259</v>
      </c>
      <c r="I88" s="9" t="s">
        <v>259</v>
      </c>
      <c r="J88" s="9" t="s">
        <v>269</v>
      </c>
      <c r="K88" s="9" t="s">
        <v>265</v>
      </c>
    </row>
    <row r="89" spans="1:11" x14ac:dyDescent="0.3">
      <c r="A89" s="9" t="s">
        <v>469</v>
      </c>
      <c r="B89" s="9" t="s">
        <v>470</v>
      </c>
      <c r="C89" s="9" t="s">
        <v>268</v>
      </c>
      <c r="D89" s="9" t="s">
        <v>114</v>
      </c>
      <c r="E89" s="9" t="s">
        <v>108</v>
      </c>
      <c r="F89" s="9" t="s">
        <v>259</v>
      </c>
      <c r="G89" s="9" t="s">
        <v>259</v>
      </c>
      <c r="H89" s="9" t="s">
        <v>259</v>
      </c>
      <c r="I89" s="9" t="s">
        <v>259</v>
      </c>
      <c r="J89" s="9" t="s">
        <v>269</v>
      </c>
      <c r="K89" s="9" t="s">
        <v>265</v>
      </c>
    </row>
    <row r="90" spans="1:11" x14ac:dyDescent="0.3">
      <c r="A90" s="9" t="s">
        <v>471</v>
      </c>
      <c r="B90" s="9" t="s">
        <v>458</v>
      </c>
      <c r="C90" s="9" t="s">
        <v>268</v>
      </c>
      <c r="D90" s="9" t="s">
        <v>114</v>
      </c>
      <c r="E90" s="9" t="s">
        <v>108</v>
      </c>
      <c r="F90" s="9" t="s">
        <v>259</v>
      </c>
      <c r="G90" s="9" t="s">
        <v>259</v>
      </c>
      <c r="H90" s="9" t="s">
        <v>259</v>
      </c>
      <c r="I90" s="9" t="s">
        <v>259</v>
      </c>
      <c r="J90" s="9" t="s">
        <v>272</v>
      </c>
      <c r="K90" s="9" t="s">
        <v>292</v>
      </c>
    </row>
    <row r="91" spans="1:11" x14ac:dyDescent="0.3">
      <c r="A91" s="9" t="s">
        <v>472</v>
      </c>
      <c r="B91" s="9" t="s">
        <v>473</v>
      </c>
      <c r="C91" s="9" t="s">
        <v>268</v>
      </c>
      <c r="D91" s="9" t="s">
        <v>114</v>
      </c>
      <c r="E91" s="9" t="s">
        <v>108</v>
      </c>
      <c r="F91" s="9" t="s">
        <v>259</v>
      </c>
      <c r="G91" s="9" t="s">
        <v>259</v>
      </c>
      <c r="H91" s="9" t="s">
        <v>259</v>
      </c>
      <c r="I91" s="9" t="s">
        <v>259</v>
      </c>
      <c r="J91" s="9" t="s">
        <v>269</v>
      </c>
      <c r="K91" s="9" t="s">
        <v>265</v>
      </c>
    </row>
    <row r="92" spans="1:11" x14ac:dyDescent="0.3">
      <c r="A92" s="9" t="s">
        <v>474</v>
      </c>
      <c r="B92" s="9" t="s">
        <v>475</v>
      </c>
      <c r="C92" s="9" t="s">
        <v>268</v>
      </c>
      <c r="D92" s="9" t="s">
        <v>114</v>
      </c>
      <c r="E92" s="9" t="s">
        <v>108</v>
      </c>
      <c r="F92" s="9" t="s">
        <v>259</v>
      </c>
      <c r="G92" s="9" t="s">
        <v>259</v>
      </c>
      <c r="H92" s="9" t="s">
        <v>259</v>
      </c>
      <c r="I92" s="9" t="s">
        <v>259</v>
      </c>
      <c r="J92" s="9" t="s">
        <v>269</v>
      </c>
      <c r="K92" s="9" t="s">
        <v>265</v>
      </c>
    </row>
    <row r="93" spans="1:11" x14ac:dyDescent="0.3">
      <c r="A93" s="9" t="s">
        <v>476</v>
      </c>
      <c r="B93" s="9" t="s">
        <v>477</v>
      </c>
      <c r="C93" s="9" t="s">
        <v>268</v>
      </c>
      <c r="D93" s="9" t="s">
        <v>114</v>
      </c>
      <c r="E93" s="9" t="s">
        <v>108</v>
      </c>
      <c r="F93" s="9" t="s">
        <v>259</v>
      </c>
      <c r="G93" s="9" t="s">
        <v>259</v>
      </c>
      <c r="H93" s="9" t="s">
        <v>259</v>
      </c>
      <c r="I93" s="9" t="s">
        <v>259</v>
      </c>
      <c r="J93" s="9" t="s">
        <v>269</v>
      </c>
      <c r="K93" s="9" t="s">
        <v>265</v>
      </c>
    </row>
    <row r="94" spans="1:11" x14ac:dyDescent="0.3">
      <c r="A94" s="9" t="s">
        <v>478</v>
      </c>
      <c r="B94" s="9" t="s">
        <v>479</v>
      </c>
      <c r="C94" s="9" t="s">
        <v>268</v>
      </c>
      <c r="D94" s="9" t="s">
        <v>114</v>
      </c>
      <c r="E94" s="9" t="s">
        <v>108</v>
      </c>
      <c r="F94" s="9" t="s">
        <v>259</v>
      </c>
      <c r="G94" s="9" t="s">
        <v>259</v>
      </c>
      <c r="H94" s="9" t="s">
        <v>259</v>
      </c>
      <c r="I94" s="9" t="s">
        <v>259</v>
      </c>
      <c r="J94" s="9" t="s">
        <v>269</v>
      </c>
      <c r="K94" s="9" t="s">
        <v>265</v>
      </c>
    </row>
    <row r="95" spans="1:11" x14ac:dyDescent="0.3">
      <c r="A95" s="9" t="s">
        <v>480</v>
      </c>
      <c r="B95" s="9" t="s">
        <v>481</v>
      </c>
      <c r="C95" s="9" t="s">
        <v>268</v>
      </c>
      <c r="D95" s="9" t="s">
        <v>114</v>
      </c>
      <c r="E95" s="9" t="s">
        <v>108</v>
      </c>
      <c r="F95" s="9" t="s">
        <v>259</v>
      </c>
      <c r="G95" s="9" t="s">
        <v>259</v>
      </c>
      <c r="H95" s="9" t="s">
        <v>259</v>
      </c>
      <c r="I95" s="9" t="s">
        <v>259</v>
      </c>
      <c r="J95" s="9" t="s">
        <v>269</v>
      </c>
      <c r="K95" s="9" t="s">
        <v>265</v>
      </c>
    </row>
    <row r="96" spans="1:11" x14ac:dyDescent="0.3">
      <c r="A96" s="9" t="s">
        <v>482</v>
      </c>
      <c r="B96" s="9" t="s">
        <v>483</v>
      </c>
      <c r="C96" s="9" t="s">
        <v>268</v>
      </c>
      <c r="D96" s="9" t="s">
        <v>114</v>
      </c>
      <c r="E96" s="9" t="s">
        <v>108</v>
      </c>
      <c r="F96" s="9" t="s">
        <v>259</v>
      </c>
      <c r="G96" s="9" t="s">
        <v>259</v>
      </c>
      <c r="H96" s="9" t="s">
        <v>259</v>
      </c>
      <c r="I96" s="9" t="s">
        <v>259</v>
      </c>
      <c r="J96" s="9" t="s">
        <v>269</v>
      </c>
      <c r="K96" s="9" t="s">
        <v>265</v>
      </c>
    </row>
    <row r="97" spans="1:11" x14ac:dyDescent="0.3">
      <c r="A97" s="9" t="s">
        <v>484</v>
      </c>
      <c r="B97" s="9" t="s">
        <v>485</v>
      </c>
      <c r="C97" s="9" t="s">
        <v>268</v>
      </c>
      <c r="D97" s="9" t="s">
        <v>114</v>
      </c>
      <c r="E97" s="9" t="s">
        <v>108</v>
      </c>
      <c r="F97" s="9" t="s">
        <v>259</v>
      </c>
      <c r="G97" s="9" t="s">
        <v>259</v>
      </c>
      <c r="H97" s="9" t="s">
        <v>259</v>
      </c>
      <c r="I97" s="9" t="s">
        <v>259</v>
      </c>
      <c r="J97" s="9" t="s">
        <v>433</v>
      </c>
      <c r="K97" s="9" t="s">
        <v>265</v>
      </c>
    </row>
    <row r="98" spans="1:11" x14ac:dyDescent="0.3">
      <c r="A98" s="9" t="s">
        <v>486</v>
      </c>
      <c r="B98" s="9" t="s">
        <v>464</v>
      </c>
      <c r="C98" s="9" t="s">
        <v>268</v>
      </c>
      <c r="D98" s="9" t="s">
        <v>114</v>
      </c>
      <c r="E98" s="9" t="s">
        <v>108</v>
      </c>
      <c r="F98" s="9" t="s">
        <v>259</v>
      </c>
      <c r="G98" s="9" t="s">
        <v>259</v>
      </c>
      <c r="H98" s="9" t="s">
        <v>259</v>
      </c>
      <c r="I98" s="9" t="s">
        <v>259</v>
      </c>
      <c r="J98" s="9" t="s">
        <v>272</v>
      </c>
      <c r="K98" s="9" t="s">
        <v>292</v>
      </c>
    </row>
    <row r="99" spans="1:11" x14ac:dyDescent="0.3">
      <c r="A99" s="9" t="s">
        <v>487</v>
      </c>
      <c r="B99" s="9" t="s">
        <v>488</v>
      </c>
      <c r="C99" s="9" t="s">
        <v>268</v>
      </c>
      <c r="D99" s="9" t="s">
        <v>488</v>
      </c>
      <c r="E99" s="9" t="s">
        <v>108</v>
      </c>
      <c r="F99" s="9" t="s">
        <v>259</v>
      </c>
      <c r="G99" s="9" t="s">
        <v>259</v>
      </c>
      <c r="H99" s="9" t="s">
        <v>259</v>
      </c>
      <c r="I99" s="9" t="s">
        <v>259</v>
      </c>
      <c r="J99" s="9" t="s">
        <v>489</v>
      </c>
      <c r="K99" s="9" t="s">
        <v>265</v>
      </c>
    </row>
    <row r="100" spans="1:11" x14ac:dyDescent="0.3">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3">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3">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3">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3">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3">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3">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3">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3">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3">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3">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3">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3">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3">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3">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3">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3">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3">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3">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3">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3">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3">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3">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3">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3">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3">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3">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3">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3">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3">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3">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3">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3">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3">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3">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3">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3">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3">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3">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3">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3">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3">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3">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3">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3">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3">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3">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3">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3">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3">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3">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3">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3">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3">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3">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3">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3">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3">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3">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3">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3">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3">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3">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3">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3">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3">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3">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3">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3">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3">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3">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3">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3">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3">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3">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3">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3">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3">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3">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3">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3">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3">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3">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3">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3">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3">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3">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3">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3">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3">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3">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3">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3">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3">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3">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3">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3">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3">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3">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3">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3">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3">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3">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3">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3">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3">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3">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3">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3">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3">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3">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3">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3">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3">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3">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3">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3">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3">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3">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3">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3">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3">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3">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3">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3">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3">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3">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3">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3">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3">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3">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3">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3">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3">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3">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3">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3">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3">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3">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3">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3">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3">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3">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3">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3">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3">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3">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3">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3">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3">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3">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3">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3">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3">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3">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3">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3">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3">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3">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3">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3">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3">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3">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3">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3">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3">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3">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3">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3">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3">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3">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3">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3">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3">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3">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3">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3">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3">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3">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3">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3">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3">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3">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3">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3">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3">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3">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3">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3">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3">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3">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3">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3">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3">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3">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3">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3">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3">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3">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3">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3">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3">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3">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3">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3">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3">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3">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3">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3">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3">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3">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3">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3">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3">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3">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3">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3">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3">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3">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3">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3">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3">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3">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3">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3">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3">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3">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3">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3">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3">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3">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3">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3">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3">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3">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3">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3">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3">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3">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3">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3">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3">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3">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3">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3">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3">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3">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3">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3">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3">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3">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3">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3">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3">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3">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3">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3">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3">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3">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3">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3">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3">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3">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3">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3">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3">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3">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3">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3">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3">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3">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3">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3">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3">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3">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3">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3">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3">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3">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3">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3">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3">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3">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3">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3">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3">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3">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3">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3">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3">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3">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3">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3">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3">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3">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3">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3">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3">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3">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3">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3">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3">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3">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3">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3">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3">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3">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3">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3">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3">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3">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3">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3">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3">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3">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3">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3">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3">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3">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3">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3">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3">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3">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3">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3">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3">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3">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3">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3">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3">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3">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3">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3">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3">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3">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3">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3">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3">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3">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3">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3">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3">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3">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3">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3">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3">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3">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3">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3">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3">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3">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3">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3">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3">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3">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3">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3">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3">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3">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3">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3">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3">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3">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3">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3">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3">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3">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3">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3">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3">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3">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3">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3">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3">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3">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3">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3">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3">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3">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3">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3">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3">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3">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3">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3">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3">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3">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3">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3">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3">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3">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3">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3">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3">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3">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3">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3">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3">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3">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3">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3">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3">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3">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3">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3">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3">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3">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3">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3">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3">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3">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3">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3">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3">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3">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3">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3">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3">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3">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3">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3">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3">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3">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3">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3">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3">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3">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3">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3">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3">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3">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3">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3">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3">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3">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3">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3">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3">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3">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3">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3">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3">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3">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3">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3">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3">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3">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3">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3">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3">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3">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3">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3">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3">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3">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3">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3">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3">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3">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3">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3">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3">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3">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3">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3">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3">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3">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3">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3">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3">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3">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3">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3">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3">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3">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3">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3">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3">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3">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3">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3">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3">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3">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3">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3">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3">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3">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3">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3">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3">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3">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3">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3">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3">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3">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3">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3">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3">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3">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3">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3">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3">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3">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3">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3">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3">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3">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3">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3">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3">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3">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3">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3">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3">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3">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3">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3">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3">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3">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3">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3">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3">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3">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3">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3">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3">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3">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3">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3">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3">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3">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3">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3">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3">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3">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3">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3">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3">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3">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3">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3">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3">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3">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3">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3">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3">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3">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3">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3">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3">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3">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3">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3">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3">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3">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93acb6f5-a267-438f-a085-1cd1a6c988ea" xsi:nil="true"/>
    <SharedWithUsers xmlns="34c91bc0-47e8-459a-859a-0a8b02681609">
      <UserInfo>
        <DisplayName/>
        <AccountId xsi:nil="true"/>
        <AccountType/>
      </UserInfo>
    </SharedWithUsers>
    <TaxCatchAll xmlns="34c91bc0-47e8-459a-859a-0a8b02681609" xsi:nil="true"/>
    <lcf76f155ced4ddcb4097134ff3c332f xmlns="93acb6f5-a267-438f-a085-1cd1a6c988e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BEA4D2-5AF0-4CD3-AD56-448A3FBDE3D6}"/>
</file>

<file path=customXml/itemProps2.xml><?xml version="1.0" encoding="utf-8"?>
<ds:datastoreItem xmlns:ds="http://schemas.openxmlformats.org/officeDocument/2006/customXml" ds:itemID="{9387003F-EFDF-4072-BBFA-758AE1AB06DA}"/>
</file>

<file path=customXml/itemProps3.xml><?xml version="1.0" encoding="utf-8"?>
<ds:datastoreItem xmlns:ds="http://schemas.openxmlformats.org/officeDocument/2006/customXml" ds:itemID="{0E63A5F4-228A-4E28-AF7B-227430E92D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21</vt:i4>
      </vt:variant>
    </vt:vector>
  </HeadingPairs>
  <TitlesOfParts>
    <vt:vector size="45" baseType="lpstr">
      <vt:lpstr>0001 Journal</vt:lpstr>
      <vt:lpstr>0012 Journal</vt:lpstr>
      <vt:lpstr>0017 Journal</vt:lpstr>
      <vt:lpstr>0044 Journal</vt:lpstr>
      <vt:lpstr>0158 Journal</vt:lpstr>
      <vt:lpstr>0367 Journal</vt:lpstr>
      <vt:lpstr>0378 Journal</vt:lpstr>
      <vt:lpstr>0460 Journal</vt:lpstr>
      <vt:lpstr>0567 Journal</vt:lpstr>
      <vt:lpstr>0569 Journal</vt:lpstr>
      <vt:lpstr>0890 Journal</vt:lpstr>
      <vt:lpstr>1008 Journal</vt:lpstr>
      <vt:lpstr>3053 Journal</vt:lpstr>
      <vt:lpstr>3086 Journal</vt:lpstr>
      <vt:lpstr>3088 Journal</vt:lpstr>
      <vt:lpstr>3297 Journal</vt:lpstr>
      <vt:lpstr>3320 Journal</vt:lpstr>
      <vt:lpstr>9731 Journal</vt:lpstr>
      <vt:lpstr>9740 Journal</vt:lpstr>
      <vt:lpstr>Department Note Disclosure</vt:lpstr>
      <vt:lpstr>SBITA Liabilities</vt:lpstr>
      <vt:lpstr>Check Figures </vt:lpstr>
      <vt:lpstr>Drop Down Menus</vt:lpstr>
      <vt:lpstr>GAAP02Aindex</vt:lpstr>
      <vt:lpstr>'0001 Journal'!Print_Area</vt:lpstr>
      <vt:lpstr>'0012 Journal'!Print_Area</vt:lpstr>
      <vt:lpstr>'0017 Journal'!Print_Area</vt:lpstr>
      <vt:lpstr>'0044 Journal'!Print_Area</vt:lpstr>
      <vt:lpstr>'0158 Journal'!Print_Area</vt:lpstr>
      <vt:lpstr>'0367 Journal'!Print_Area</vt:lpstr>
      <vt:lpstr>'0378 Journal'!Print_Area</vt:lpstr>
      <vt:lpstr>'0460 Journal'!Print_Area</vt:lpstr>
      <vt:lpstr>'0567 Journal'!Print_Area</vt:lpstr>
      <vt:lpstr>'0569 Journal'!Print_Area</vt:lpstr>
      <vt:lpstr>'0890 Journal'!Print_Area</vt:lpstr>
      <vt:lpstr>'1008 Journal'!Print_Area</vt:lpstr>
      <vt:lpstr>'3053 Journal'!Print_Area</vt:lpstr>
      <vt:lpstr>'3086 Journal'!Print_Area</vt:lpstr>
      <vt:lpstr>'3088 Journal'!Print_Area</vt:lpstr>
      <vt:lpstr>'3297 Journal'!Print_Area</vt:lpstr>
      <vt:lpstr>'3320 Journal'!Print_Area</vt:lpstr>
      <vt:lpstr>'9731 Journal'!Print_Area</vt:lpstr>
      <vt:lpstr>'9740 Journal'!Print_Area</vt:lpstr>
      <vt:lpstr>'Department Note Disclosure'!Print_Area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Philip Schick</cp:lastModifiedBy>
  <cp:revision/>
  <dcterms:created xsi:type="dcterms:W3CDTF">2023-03-08T17:19:33Z</dcterms:created>
  <dcterms:modified xsi:type="dcterms:W3CDTF">2024-06-14T20:09:26Z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MediaServiceImageTags">
    <vt:lpwstr/>
  </property>
</Properties>
</file>