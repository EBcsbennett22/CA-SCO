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0D3E1504-D538-402D-A591-859C51021E51}" xr6:coauthVersionLast="47" xr6:coauthVersionMax="47" xr10:uidLastSave="{00000000-0000-0000-0000-000000000000}"/>
  <bookViews>
    <workbookView xWindow="20370" yWindow="-120" windowWidth="38640" windowHeight="15840" activeTab="1"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F16" i="9"/>
  <c r="B16" i="9"/>
  <c r="J10" i="4"/>
  <c r="F10" i="4"/>
  <c r="D16" i="9" l="1"/>
  <c r="B23" i="9"/>
  <c r="D23" i="9"/>
  <c r="F23" i="9"/>
  <c r="B31" i="9"/>
  <c r="D31" i="9"/>
  <c r="F31" i="9"/>
  <c r="F46" i="9"/>
  <c r="F53" i="9"/>
  <c r="N10" i="4"/>
  <c r="N14" i="4"/>
  <c r="J14" i="4"/>
  <c r="H14" i="4"/>
  <c r="F14" i="4"/>
  <c r="F18" i="4"/>
  <c r="H18" i="4"/>
  <c r="J18" i="4"/>
  <c r="N18" i="4"/>
  <c r="K46" i="2"/>
  <c r="K52" i="2"/>
  <c r="G5" i="4" l="1"/>
  <c r="K62" i="2"/>
  <c r="D86" i="3"/>
  <c r="D55" i="3"/>
  <c r="D24" i="3"/>
  <c r="K97" i="2" l="1"/>
  <c r="F39" i="9"/>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<sst xmlns="http://schemas.openxmlformats.org/spreadsheetml/2006/main" count="7553" uniqueCount="1644">
  <si>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</si>
  <si>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</si>
  <si>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</si>
  <si>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</si>
  <si>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</si>
  <si>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</si>
  <si>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</si>
  <si>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</si>
  <si>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</si>
  <si>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</si>
  <si>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</si>
  <si>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</si>
  <si>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</si>
  <si>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</si>
  <si>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</si>
  <si>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</si>
  <si>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</si>
  <si>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</si>
  <si>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</si>
  <si>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</si>
  <si>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</si>
  <si>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</si>
  <si>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</si>
  <si>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</si>
  <si>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</si>
  <si>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</si>
  <si>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</si>
  <si>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</si>
  <si>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</si>
  <si>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</si>
  <si>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</si>
  <si>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</si>
  <si>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</si>
  <si>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</si>
  <si>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</si>
  <si>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</si>
  <si>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</si>
  <si>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</si>
  <si>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</si>
  <si>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</si>
  <si>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</si>
  <si>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</si>
  <si>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</si>
  <si>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</si>
  <si>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</si>
  <si>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</si>
  <si>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</si>
  <si>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</si>
  <si>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</si>
  <si>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</si>
  <si>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</si>
  <si>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</si>
  <si>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</si>
  <si>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</si>
  <si>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</si>
  <si>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</si>
  <si>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</si>
  <si>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</si>
  <si>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</si>
  <si>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</si>
  <si>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</si>
  <si>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</si>
  <si>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</si>
  <si>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</si>
  <si>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</si>
  <si>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</si>
  <si>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</si>
  <si>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</si>
  <si>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</si>
  <si>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</si>
  <si>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</si>
  <si>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</si>
  <si>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</si>
  <si>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</si>
  <si>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</si>
  <si>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</si>
  <si>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</si>
  <si>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</si>
  <si>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</si>
  <si>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</si>
  <si>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</si>
  <si>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</si>
  <si>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</si>
  <si>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</si>
  <si>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</si>
  <si>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</si>
  <si>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</si>
  <si>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</si>
  <si>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</si>
  <si>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</si>
  <si>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</si>
  <si>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</si>
  <si>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</si>
  <si>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</si>
  <si>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</si>
  <si>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</si>
  <si>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</si>
  <si>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</si>
  <si>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</si>
  <si>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</si>
  <si>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</si>
  <si>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</si>
  <si>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</si>
  <si>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</si>
  <si>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</si>
  <si>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</si>
  <si>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</si>
  <si>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</si>
  <si>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</si>
  <si>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</si>
  <si>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</si>
  <si>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</si>
  <si>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</si>
  <si>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</si>
  <si>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</si>
  <si>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</si>
  <si>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</si>
  <si>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</si>
  <si>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</si>
  <si>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</si>
  <si>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</si>
  <si>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</si>
  <si>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</si>
  <si>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</si>
  <si>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</si>
  <si>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</si>
  <si>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</si>
  <si>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</si>
  <si>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</si>
  <si>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</si>
  <si>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</si>
  <si>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</si>
  <si>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</si>
  <si>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</si>
  <si>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</si>
  <si>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</si>
  <si>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</si>
  <si>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</si>
  <si>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</si>
  <si>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</si>
  <si>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</si>
  <si>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</si>
  <si>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</si>
  <si>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</si>
  <si>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</si>
  <si>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</si>
  <si>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</si>
  <si>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</si>
  <si>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</si>
  <si>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</si>
  <si>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</si>
  <si>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</si>
  <si>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</si>
  <si>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</si>
  <si>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</si>
  <si>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</si>
  <si>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</si>
  <si>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</si>
  <si>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</si>
  <si>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</si>
  <si>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</si>
  <si>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</si>
  <si>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</si>
  <si>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</si>
  <si>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</si>
  <si>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</si>
  <si>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</si>
  <si>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</si>
  <si>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</si>
  <si>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</si>
  <si>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</si>
  <si>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</si>
  <si>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</si>
  <si>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</si>
  <si>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</si>
  <si>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</si>
  <si>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</si>
  <si>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</si>
  <si>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</si>
  <si>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</si>
  <si>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</si>
  <si>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</si>
  <si>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</si>
  <si>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</si>
  <si>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</si>
  <si>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</si>
  <si>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</si>
  <si>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</si>
  <si>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</si>
  <si>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</si>
  <si>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</si>
  <si>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</si>
  <si>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</si>
  <si>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</si>
  <si>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</si>
  <si>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</si>
  <si>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</si>
  <si>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</si>
  <si>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</si>
  <si>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</si>
  <si>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</si>
  <si>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</si>
  <si>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</si>
  <si>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</si>
  <si>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</si>
  <si>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</si>
  <si>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</si>
  <si>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</si>
  <si>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</si>
  <si>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</si>
  <si>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</si>
  <si>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</si>
  <si>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</si>
  <si>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</si>
  <si>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</si>
  <si>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</si>
  <si>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</si>
  <si>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</si>
  <si>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</si>
  <si>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</si>
  <si>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</si>
  <si>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</si>
  <si>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</si>
  <si>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</si>
  <si>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</si>
  <si>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</si>
  <si>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</si>
  <si>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</si>
  <si>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</si>
  <si>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</si>
  <si>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</si>
  <si>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</si>
  <si>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</si>
  <si>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</si>
  <si>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</si>
  <si>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</si>
  <si>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</si>
  <si>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</si>
  <si>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</si>
  <si>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</si>
  <si>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</si>
  <si>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</si>
  <si>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</si>
  <si>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</si>
  <si>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</si>
  <si>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</si>
  <si>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</si>
  <si>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</si>
  <si>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</si>
  <si>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</si>
  <si>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</si>
  <si>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</si>
  <si>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</si>
  <si>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</si>
  <si>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</si>
  <si>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</si>
  <si>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</si>
  <si>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</si>
  <si>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</si>
  <si>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</si>
  <si>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</si>
  <si>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</si>
  <si>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</si>
  <si>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</si>
  <si>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</si>
  <si>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</si>
  <si>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</si>
  <si>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</si>
  <si>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</si>
  <si>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</si>
  <si>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</si>
  <si>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</si>
  <si>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</si>
  <si>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</si>
  <si>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</si>
  <si>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</si>
  <si>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</si>
  <si>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</si>
  <si>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</si>
  <si>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</si>
  <si>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</si>
  <si>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</si>
  <si>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</si>
  <si>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</si>
  <si>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</si>
  <si>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</si>
  <si>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</si>
  <si>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</si>
  <si>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</si>
  <si>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</si>
  <si>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</si>
  <si>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</si>
  <si>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</si>
  <si>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</si>
  <si>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</si>
  <si>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</si>
  <si>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</si>
  <si>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</si>
  <si>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</si>
  <si>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</si>
  <si>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</si>
  <si>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</si>
  <si>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</si>
  <si>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</si>
  <si>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</si>
  <si>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</si>
  <si>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</si>
  <si>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</si>
  <si>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</si>
  <si>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</si>
  <si>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</si>
  <si>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</si>
  <si>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</si>
  <si>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</si>
  <si>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</si>
  <si>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</si>
  <si>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</si>
  <si>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</si>
  <si>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</si>
  <si>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</si>
  <si>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</si>
  <si>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</si>
  <si>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</si>
  <si>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</si>
  <si>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</si>
  <si>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</si>
  <si>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</si>
  <si>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</si>
  <si>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</si>
  <si>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</si>
  <si>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</si>
  <si>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</si>
  <si>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</si>
  <si>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</si>
  <si>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</si>
  <si>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</si>
  <si>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</si>
  <si>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</si>
  <si>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</si>
  <si>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</si>
  <si>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</si>
  <si>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</si>
  <si>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</si>
  <si>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</si>
  <si>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</si>
  <si>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</si>
  <si>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</si>
  <si>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</si>
  <si>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</si>
  <si>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</si>
  <si>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</si>
  <si>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</si>
  <si>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</si>
  <si>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</si>
  <si>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</si>
  <si>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</si>
  <si>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</si>
  <si>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</si>
  <si>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</si>
  <si>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</si>
  <si>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</si>
  <si>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</si>
  <si>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</si>
  <si>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</si>
  <si>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</si>
  <si>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</si>
  <si>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</si>
  <si>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</si>
  <si>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</si>
  <si>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</si>
  <si>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</si>
  <si>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</si>
  <si>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</si>
  <si>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</si>
  <si>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</si>
  <si>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</si>
  <si>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</si>
  <si>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</si>
  <si>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</si>
  <si>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</si>
  <si>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</si>
  <si>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</si>
  <si>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</si>
  <si>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</si>
  <si>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</si>
  <si>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</si>
  <si>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</si>
  <si>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</si>
  <si>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</si>
  <si>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</si>
  <si>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</si>
  <si>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</si>
  <si>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</si>
  <si>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</si>
  <si>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</si>
  <si>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</si>
  <si>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</si>
  <si>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</si>
  <si>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</si>
  <si>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</si>
  <si>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</si>
  <si>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</si>
  <si>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</si>
  <si>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</si>
  <si>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</si>
  <si>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</si>
  <si>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</si>
  <si>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</si>
  <si>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</si>
  <si>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</si>
  <si>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</si>
  <si>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</si>
  <si>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</si>
  <si>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</si>
  <si>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</si>
  <si>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</si>
  <si>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</si>
  <si>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</si>
  <si>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</si>
  <si>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</si>
  <si>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</si>
  <si>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</si>
  <si>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</si>
  <si>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</si>
  <si>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</si>
  <si>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</si>
  <si>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</si>
  <si>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</si>
  <si>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</si>
  <si>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</si>
  <si>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</si>
  <si>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</si>
  <si>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</si>
  <si>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</si>
  <si>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</si>
  <si>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</si>
  <si>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</si>
  <si>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</si>
  <si>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</si>
  <si>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</si>
  <si>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</si>
  <si>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</si>
  <si>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</si>
  <si>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</si>
  <si>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</si>
  <si>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</si>
  <si>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</si>
  <si>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</si>
  <si>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</si>
  <si>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</si>
  <si>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</si>
  <si>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</si>
  <si>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</si>
  <si>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</si>
  <si>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</si>
  <si>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</si>
  <si>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</si>
  <si>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</si>
  <si>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</si>
  <si>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</si>
  <si>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</si>
  <si>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</si>
  <si>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</si>
  <si>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</si>
  <si>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</si>
  <si>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</si>
  <si>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</si>
  <si>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</si>
  <si>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</si>
  <si>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</si>
  <si>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</si>
  <si>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</si>
  <si>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</si>
  <si>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</si>
  <si>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</si>
  <si>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</si>
  <si>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</si>
  <si>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</si>
  <si>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</si>
  <si>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</si>
  <si>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</si>
  <si>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</si>
  <si>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</si>
  <si>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</si>
  <si>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</si>
  <si>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</si>
  <si>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</si>
  <si>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</si>
  <si>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</si>
  <si>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</si>
  <si>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</si>
  <si>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</si>
  <si>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</si>
  <si>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</si>
  <si>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</si>
  <si>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</si>
  <si>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</si>
  <si>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</si>
  <si>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</si>
  <si>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</si>
  <si>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</si>
  <si>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</si>
  <si>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</si>
  <si>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</si>
  <si>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</si>
  <si>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</si>
  <si>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</si>
  <si>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</si>
  <si>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</si>
  <si>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</si>
  <si>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</si>
  <si>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</si>
  <si>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</si>
  <si>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</si>
  <si>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</si>
  <si>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</si>
  <si>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</si>
  <si>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</si>
  <si>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</si>
  <si>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</si>
  <si>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</si>
  <si>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</si>
  <si>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</si>
  <si>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</si>
  <si>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</si>
  <si>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</si>
  <si>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</si>
  <si>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</si>
  <si>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</si>
  <si>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</si>
  <si>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</si>
  <si>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</si>
  <si>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</si>
  <si>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</si>
  <si>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</si>
  <si>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</si>
  <si>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</si>
  <si>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</si>
  <si>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</si>
  <si>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</si>
  <si>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</si>
  <si>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</si>
  <si>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</si>
  <si>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</si>
  <si>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</si>
  <si>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</si>
  <si>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</si>
  <si>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</si>
  <si>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</si>
  <si>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</si>
  <si>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</si>
  <si>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</si>
  <si>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</si>
  <si>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</si>
  <si>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</si>
  <si>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</si>
  <si>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</si>
  <si>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</si>
  <si>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</si>
  <si>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</si>
  <si>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</si>
  <si>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</si>
  <si>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</si>
  <si>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</si>
  <si>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</si>
  <si>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</si>
  <si>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</si>
  <si>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</si>
  <si>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</si>
  <si>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</si>
  <si>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</si>
  <si>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</si>
  <si>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</si>
  <si>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</si>
  <si>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</si>
  <si>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</si>
  <si>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</si>
  <si>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</si>
  <si>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</si>
  <si>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</si>
  <si>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</si>
  <si>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</si>
  <si>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</si>
  <si>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</si>
  <si>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</si>
  <si>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</si>
  <si>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</si>
  <si>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</si>
  <si>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</si>
  <si>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</si>
  <si>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</si>
  <si>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</si>
  <si>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</si>
  <si>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</si>
  <si>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</si>
  <si>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</si>
  <si>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</si>
  <si>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</si>
  <si>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</si>
  <si>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</si>
  <si>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</si>
  <si>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</si>
  <si>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</si>
  <si>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</si>
  <si>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</si>
  <si>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</si>
  <si>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</si>
  <si>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</si>
  <si>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</si>
  <si>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</si>
  <si>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</si>
  <si>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</si>
  <si>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</si>
  <si>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</si>
  <si>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</si>
  <si>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</si>
  <si>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</si>
  <si>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</si>
  <si>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</si>
  <si>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</si>
  <si>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</si>
  <si>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</si>
  <si>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</si>
  <si>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</si>
  <si>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</si>
  <si>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</si>
  <si>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</si>
  <si>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</si>
  <si>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</si>
  <si>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</si>
  <si>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</si>
  <si>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</si>
  <si>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</si>
  <si>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</si>
  <si>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</si>
  <si>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</si>
  <si>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</si>
  <si>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</si>
  <si>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</si>
  <si>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</si>
  <si>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</si>
  <si>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</si>
  <si>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</si>
  <si>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</si>
  <si>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</si>
  <si>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</si>
  <si>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</si>
  <si>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</si>
  <si>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</si>
  <si>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</si>
  <si>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</si>
  <si>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</si>
  <si>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</si>
  <si>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</si>
  <si>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</si>
  <si>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</si>
  <si>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</si>
  <si>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</si>
  <si>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</si>
  <si>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</si>
  <si>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</si>
  <si>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</si>
  <si>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</si>
  <si>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</si>
  <si>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</si>
  <si>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</si>
  <si>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</si>
  <si>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</si>
  <si>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</si>
  <si>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</si>
  <si>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</si>
  <si>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</si>
  <si>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</si>
  <si>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</si>
  <si>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</si>
  <si>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</si>
  <si>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</si>
  <si>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</si>
  <si>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</si>
  <si>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</si>
  <si>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</si>
  <si>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</si>
  <si>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</si>
  <si>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</si>
  <si>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</si>
  <si>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</si>
  <si>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</si>
  <si>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</si>
  <si>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</si>
  <si>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</si>
  <si>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</si>
  <si>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</si>
  <si>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</si>
  <si>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</si>
  <si>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</si>
  <si>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</si>
  <si>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</si>
  <si>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</si>
  <si>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</si>
  <si>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</si>
  <si>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</si>
  <si>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</si>
  <si>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</si>
  <si>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</si>
  <si>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</si>
  <si>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</si>
  <si>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</si>
  <si>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</si>
  <si>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</si>
  <si>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</si>
  <si>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</si>
  <si>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</si>
  <si>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</si>
  <si>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</si>
  <si>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</si>
  <si>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</si>
  <si>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</si>
  <si>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</si>
  <si>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</si>
  <si>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</si>
  <si>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</si>
  <si>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</si>
  <si>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</si>
  <si>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</si>
  <si>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</si>
  <si>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</si>
  <si>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</si>
  <si>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</si>
  <si>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</si>
  <si>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</si>
  <si>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</si>
  <si>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</si>
  <si>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</si>
  <si>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</si>
  <si>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</si>
  <si>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</si>
  <si>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</si>
  <si>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</si>
  <si>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</si>
  <si>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</si>
  <si>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</si>
  <si>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</si>
  <si>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</si>
  <si>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</si>
  <si>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</si>
  <si>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</si>
  <si>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</si>
  <si>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</si>
  <si>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</si>
  <si>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</si>
  <si>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</si>
  <si>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</si>
  <si>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</si>
  <si>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</si>
  <si>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</si>
  <si>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</si>
  <si>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</si>
  <si>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</si>
  <si>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</si>
  <si>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</si>
  <si>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</si>
  <si>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</si>
  <si>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</si>
  <si>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</si>
  <si>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</si>
  <si>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</si>
  <si>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</si>
  <si>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</si>
  <si>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</si>
  <si>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</si>
  <si>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</si>
  <si>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</si>
  <si>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</si>
  <si>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</si>
  <si>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</si>
  <si>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</si>
  <si>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</si>
  <si>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</si>
  <si>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</si>
  <si>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</si>
  <si>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</si>
  <si>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</si>
  <si>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</si>
  <si>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</si>
  <si>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</si>
  <si>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</si>
  <si>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</si>
  <si>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</si>
  <si>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</si>
  <si>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</si>
  <si>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</si>
  <si>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</si>
  <si>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</si>
  <si>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</si>
  <si>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</si>
  <si>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</si>
  <si>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</si>
  <si>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</si>
  <si>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</si>
  <si>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</si>
  <si>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</si>
  <si>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</si>
  <si>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</si>
  <si>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</si>
  <si>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</si>
  <si>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</si>
  <si>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</si>
  <si>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</si>
  <si>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</si>
  <si>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</si>
  <si>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</si>
  <si>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</si>
  <si>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</si>
  <si>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</si>
  <si>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</si>
  <si>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</si>
  <si>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</si>
  <si>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</si>
  <si>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</si>
  <si>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</si>
  <si>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</si>
  <si>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</si>
  <si>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</si>
  <si>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</si>
  <si>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</si>
  <si>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</si>
  <si>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</si>
  <si>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</si>
  <si>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</si>
  <si>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</si>
  <si>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</si>
  <si>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</si>
  <si>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</si>
  <si>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</si>
  <si>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</si>
  <si>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</si>
  <si>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</si>
  <si>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</si>
  <si>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</si>
  <si>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</si>
  <si>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</si>
  <si>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</si>
  <si>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</si>
  <si>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</si>
  <si>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</si>
  <si>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</si>
  <si>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</si>
  <si>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</si>
  <si>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</si>
  <si>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</si>
  <si>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</si>
  <si>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</si>
  <si>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</si>
  <si>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</si>
  <si>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</si>
  <si>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</si>
  <si>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</si>
  <si>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</si>
  <si>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</si>
  <si>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</si>
  <si>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</si>
  <si>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</si>
  <si>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</si>
  <si>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</si>
  <si>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</si>
  <si>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</si>
  <si>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</si>
  <si>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</si>
  <si>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</si>
  <si>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</si>
  <si>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</si>
  <si>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</si>
  <si>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</si>
  <si>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</si>
  <si>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</si>
  <si>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</si>
  <si>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</si>
  <si>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</si>
  <si>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</si>
  <si>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</si>
  <si>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</si>
  <si>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</si>
  <si>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</si>
  <si>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</si>
  <si>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</si>
  <si>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</si>
  <si>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</si>
  <si>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</si>
  <si>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</si>
  <si>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</si>
  <si>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</si>
  <si>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</si>
  <si>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</si>
  <si>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</si>
  <si>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</si>
  <si>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</si>
  <si>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</si>
  <si>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</si>
  <si>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</si>
  <si>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</si>
  <si>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</si>
  <si>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</si>
  <si>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</si>
  <si>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</si>
  <si>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</si>
  <si>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</si>
  <si>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</si>
  <si>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</si>
  <si>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</si>
  <si>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</si>
  <si>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</si>
  <si>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</si>
  <si>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</si>
  <si>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</si>
  <si>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</si>
  <si>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</si>
  <si>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</si>
  <si>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</si>
  <si>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</si>
  <si>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</si>
  <si>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</si>
  <si>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</si>
  <si>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</si>
  <si>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</si>
  <si>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</si>
  <si>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</si>
  <si>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</si>
  <si>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</si>
  <si>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</si>
  <si>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</si>
  <si>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</si>
  <si>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</si>
  <si>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</si>
  <si>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</si>
  <si>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</si>
  <si>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</si>
  <si>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</si>
  <si>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</si>
  <si>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</si>
  <si>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</si>
  <si>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</si>
  <si>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</si>
  <si>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</si>
  <si>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</si>
  <si>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</si>
  <si>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</si>
  <si>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</si>
  <si>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</si>
  <si>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</si>
  <si>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</si>
  <si>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</si>
  <si>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</si>
  <si>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</si>
  <si>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</si>
  <si>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</si>
  <si>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</si>
  <si>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</si>
  <si>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</si>
  <si>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</si>
  <si>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</si>
  <si>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</si>
  <si>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</si>
  <si>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</si>
  <si>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</si>
  <si>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</si>
  <si>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</si>
  <si>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</si>
  <si>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</si>
  <si>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</si>
  <si>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</si>
  <si>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</si>
  <si>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</si>
  <si>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</si>
  <si>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</si>
  <si>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</si>
  <si>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</si>
  <si>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</si>
  <si>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</si>
  <si>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</si>
  <si>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</si>
  <si>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</si>
  <si>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</si>
  <si>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</si>
  <si>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</si>
  <si>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</si>
  <si>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</si>
  <si>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</si>
  <si>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</si>
  <si>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</si>
  <si>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</si>
  <si>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</si>
  <si>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</si>
  <si>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</si>
  <si>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</si>
  <si>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</si>
  <si>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</si>
  <si>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</si>
  <si>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</si>
  <si>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</si>
  <si>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</si>
  <si>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</si>
  <si>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</si>
  <si>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</si>
  <si>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</si>
  <si>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</si>
  <si>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</si>
  <si>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</si>
  <si>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</si>
  <si>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</si>
  <si>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</si>
  <si>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</si>
  <si>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</si>
  <si>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</si>
  <si>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</si>
  <si>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</si>
  <si>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</si>
  <si>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</si>
  <si>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</si>
  <si>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</si>
  <si>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</si>
  <si>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</si>
  <si>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</si>
  <si>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</si>
  <si>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</si>
  <si>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</si>
  <si>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</si>
  <si>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</si>
  <si>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</si>
  <si>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</si>
  <si>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</si>
  <si>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</si>
  <si>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</si>
  <si>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</si>
  <si>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</si>
  <si>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</si>
  <si>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</si>
  <si>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</si>
  <si>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</si>
  <si>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</si>
  <si>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</si>
  <si>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</si>
  <si>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</si>
  <si>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</si>
  <si>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</si>
  <si>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</si>
  <si>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</si>
  <si>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</si>
  <si>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</si>
  <si>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</si>
  <si>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</si>
  <si>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</si>
  <si>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</si>
  <si>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</si>
  <si>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</si>
  <si>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</si>
  <si>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</si>
  <si>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</si>
  <si>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</si>
  <si>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</si>
  <si>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</si>
  <si>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</si>
  <si>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</si>
  <si>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</si>
  <si>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</si>
  <si>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</si>
  <si>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</si>
  <si>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</si>
  <si>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</si>
  <si>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</si>
  <si>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</si>
  <si>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</si>
  <si>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</si>
  <si>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</si>
  <si>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</si>
  <si>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</si>
  <si>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</si>
  <si>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</si>
  <si>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</si>
  <si>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</si>
  <si>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</si>
  <si>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</si>
  <si>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</si>
  <si>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</si>
  <si>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</si>
  <si>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</si>
  <si>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</si>
  <si>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</si>
  <si>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</si>
  <si>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</si>
  <si>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</si>
  <si>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</si>
  <si>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</si>
  <si>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</si>
  <si>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</si>
  <si>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</si>
  <si>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</si>
  <si>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</si>
  <si>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</si>
  <si>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</si>
  <si>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</si>
  <si>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</si>
  <si>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</si>
  <si>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</si>
  <si>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</si>
  <si>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</si>
  <si>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</si>
  <si>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</si>
  <si>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</si>
  <si>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</si>
  <si>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</si>
  <si>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</si>
  <si>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</si>
  <si>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</si>
  <si>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</si>
  <si>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</si>
  <si>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</si>
  <si>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</si>
  <si>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</si>
  <si>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</si>
  <si>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</si>
  <si>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</si>
  <si>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</si>
  <si>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</si>
  <si>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</si>
  <si>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</si>
  <si>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</si>
  <si>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</si>
  <si>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</si>
  <si>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</si>
  <si>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</si>
  <si>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</si>
  <si>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</si>
  <si>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</si>
  <si>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</si>
  <si>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</si>
  <si>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</si>
  <si>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</si>
  <si>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</si>
  <si>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</si>
  <si>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</si>
  <si>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</si>
  <si>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</si>
  <si>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</si>
  <si>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</si>
  <si>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</si>
  <si>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</si>
  <si>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</si>
  <si>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</si>
  <si>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</si>
  <si>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</si>
  <si>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</si>
  <si>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</si>
  <si>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</si>
  <si>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</si>
  <si>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</si>
  <si>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</si>
  <si>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</si>
  <si>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</si>
  <si>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</si>
  <si>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</si>
  <si>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</si>
  <si>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</si>
  <si>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</si>
  <si>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</si>
  <si>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</si>
  <si>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</si>
  <si>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</si>
  <si>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</si>
  <si>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</si>
  <si>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</si>
  <si>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</si>
  <si>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</si>
  <si>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</si>
  <si>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</si>
  <si>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</si>
  <si>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</si>
  <si>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</si>
  <si>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</si>
  <si>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</si>
  <si>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</si>
  <si>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</si>
  <si>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</si>
  <si>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</si>
  <si>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</si>
  <si>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</si>
  <si>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</si>
  <si>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</si>
  <si>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</si>
  <si>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</si>
  <si>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</si>
  <si>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</si>
  <si>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</si>
  <si>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</si>
  <si>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</si>
  <si>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</si>
  <si>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</si>
  <si>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</si>
  <si>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</si>
  <si>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</si>
  <si>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</si>
  <si>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</si>
  <si>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</si>
  <si>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</si>
  <si>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</si>
  <si>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</si>
  <si>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</si>
  <si>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</si>
  <si>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</si>
  <si>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</si>
  <si>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</si>
  <si>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</si>
  <si>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</si>
  <si>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</si>
  <si>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</si>
  <si>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</si>
  <si>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</si>
  <si>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</si>
  <si>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</si>
  <si>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</si>
  <si>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</si>
  <si>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</si>
  <si>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</si>
  <si>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</si>
  <si>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</si>
  <si>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</si>
  <si>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</si>
  <si>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</si>
  <si>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</si>
  <si>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</si>
  <si>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</si>
  <si>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</si>
  <si>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</si>
  <si>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</si>
  <si>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</si>
  <si>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</si>
  <si>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</si>
  <si>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</si>
  <si>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</si>
  <si>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</si>
  <si>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</si>
  <si>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</si>
  <si>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</si>
  <si>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</si>
  <si>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</si>
  <si>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</si>
  <si>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</si>
  <si>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</si>
  <si>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</si>
  <si>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</si>
  <si>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</si>
  <si>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</si>
  <si>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</si>
  <si>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</si>
  <si>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</si>
  <si>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</si>
  <si>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</si>
  <si>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</si>
  <si>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</si>
  <si>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</si>
  <si>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</si>
  <si>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</si>
  <si>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</si>
  <si>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</si>
  <si>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</si>
  <si>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</si>
  <si>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</si>
  <si>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</si>
  <si>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</si>
  <si>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</si>
  <si>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</si>
  <si>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</si>
  <si>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</si>
  <si>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</si>
  <si>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</si>
  <si>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</si>
  <si>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</si>
  <si>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</si>
  <si>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</si>
  <si>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</si>
  <si>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</si>
  <si>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</si>
  <si>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</si>
  <si>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</si>
  <si>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</si>
  <si>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</si>
  <si>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</si>
  <si>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</si>
  <si>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</si>
  <si>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</si>
  <si>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</si>
  <si>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</si>
  <si>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</si>
  <si>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</si>
  <si>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</si>
  <si>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</si>
  <si>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</si>
  <si>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</si>
  <si>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</si>
  <si>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</si>
  <si>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</si>
  <si>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</si>
  <si>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</si>
  <si>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</si>
  <si>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</si>
  <si>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</si>
  <si>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</si>
  <si>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</si>
  <si>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</si>
  <si>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</si>
  <si>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</si>
  <si>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</si>
  <si>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</si>
  <si>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</si>
  <si>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</si>
  <si>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</si>
  <si>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</si>
  <si>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</si>
  <si>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</si>
  <si>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</si>
  <si>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</si>
  <si>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</si>
  <si>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</si>
  <si>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</si>
  <si>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</si>
  <si>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</si>
  <si>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</si>
  <si>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</si>
  <si>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</si>
  <si>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</si>
  <si>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</si>
  <si>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</si>
  <si>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</si>
  <si>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</si>
  <si>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</si>
  <si>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</si>
  <si>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</si>
  <si>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</si>
  <si>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</si>
  <si>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</si>
  <si>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</si>
  <si>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</si>
  <si>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</si>
  <si>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</si>
  <si>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</si>
  <si>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</si>
  <si>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</si>
  <si>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</si>
  <si>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</si>
  <si>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</si>
  <si>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</si>
  <si>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</si>
  <si>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</si>
  <si>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</si>
  <si>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</si>
  <si>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</si>
  <si>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</si>
  <si>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</si>
  <si>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</si>
  <si>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</si>
  <si>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</si>
  <si>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</si>
  <si>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</si>
  <si>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</si>
  <si>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</si>
  <si>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</si>
  <si>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</si>
  <si>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</si>
  <si>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</si>
  <si>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</si>
  <si>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</si>
  <si>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</si>
  <si>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</si>
  <si>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</si>
  <si>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</si>
  <si>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</si>
  <si>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</si>
  <si>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</si>
  <si>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</si>
  <si>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</si>
  <si>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</si>
  <si>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</si>
  <si>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</si>
  <si>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</si>
  <si>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</si>
  <si>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</si>
  <si>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</si>
  <si>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</si>
  <si>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</si>
  <si>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</si>
  <si>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</si>
  <si>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</si>
  <si>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</si>
  <si>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</si>
  <si>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</si>
  <si>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</si>
  <si>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</si>
  <si>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</si>
  <si>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</si>
  <si>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</si>
  <si>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</si>
  <si>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</si>
  <si>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</si>
  <si>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</si>
  <si>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</si>
  <si>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</si>
  <si>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</si>
  <si>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</si>
  <si>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</si>
  <si>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</si>
  <si>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</si>
  <si>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</si>
  <si>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</si>
  <si>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</si>
  <si>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</si>
  <si>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</si>
  <si>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</si>
  <si>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</si>
  <si>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</si>
  <si>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</si>
  <si>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</si>
  <si>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</si>
  <si>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</si>
  <si>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</si>
  <si>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</si>
  <si>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</si>
  <si>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</si>
  <si>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</si>
  <si>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</si>
  <si>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</si>
  <si>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</si>
  <si>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</si>
  <si>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</si>
  <si>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</si>
  <si>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</si>
  <si>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</si>
  <si>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</si>
  <si>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</si>
  <si>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</si>
  <si>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</si>
  <si>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</si>
  <si>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</si>
  <si>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</si>
  <si>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</si>
  <si>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</si>
  <si>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</si>
  <si>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</si>
  <si>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</si>
  <si>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</si>
  <si>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</si>
  <si>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</si>
  <si>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</si>
  <si>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</si>
  <si>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</si>
  <si>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</si>
  <si>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</si>
  <si>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</si>
  <si>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</si>
  <si>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</si>
  <si>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</si>
  <si>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</si>
  <si>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</si>
  <si>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</si>
  <si>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</si>
  <si>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</si>
  <si>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</si>
  <si>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</si>
  <si>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</si>
  <si>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</si>
  <si>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</si>
  <si>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</si>
  <si>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</si>
  <si>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</si>
  <si>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</si>
  <si>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</si>
  <si>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</si>
  <si>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</si>
  <si>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</si>
  <si>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</si>
  <si>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</si>
  <si>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</si>
  <si>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</si>
  <si>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</si>
  <si>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</si>
  <si>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</si>
  <si>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</si>
  <si>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</si>
  <si>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</si>
  <si>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</si>
  <si>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</si>
  <si>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</si>
  <si>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</si>
  <si>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</si>
  <si>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</si>
  <si>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</si>
  <si>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</si>
  <si>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</si>
  <si>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</si>
  <si>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</si>
  <si>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</si>
  <si>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</si>
  <si>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</si>
  <si>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</si>
  <si>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</si>
  <si>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</si>
  <si>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</si>
  <si>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</si>
  <si>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</si>
  <si>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</si>
  <si>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</si>
  <si>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</si>
  <si>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</si>
  <si>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</si>
  <si>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</si>
  <si>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</si>
  <si>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</si>
  <si>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</si>
  <si>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</si>
  <si>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</si>
  <si>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</si>
  <si>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</si>
  <si>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</si>
  <si>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</si>
  <si>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</si>
  <si>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</si>
  <si>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</si>
  <si>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</si>
  <si>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</si>
  <si>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</si>
  <si>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</si>
  <si>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</si>
  <si>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</si>
  <si>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</si>
  <si>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</si>
  <si>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</si>
  <si>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</si>
  <si>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</si>
  <si>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</si>
  <si>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</si>
  <si>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</si>
  <si>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</si>
  <si>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</si>
  <si>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</si>
  <si>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</si>
  <si>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</si>
  <si>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</si>
  <si>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</si>
  <si>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</si>
  <si>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</si>
  <si>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</si>
  <si>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</si>
  <si>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</si>
  <si>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</si>
  <si>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</si>
  <si>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</si>
  <si>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</si>
  <si>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</si>
  <si>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</si>
  <si>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</si>
  <si>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</si>
  <si>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</si>
  <si>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</si>
  <si>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</si>
  <si>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</si>
  <si>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</si>
  <si>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</si>
  <si>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</si>
  <si>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</si>
  <si>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</si>
  <si>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</si>
  <si>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</si>
  <si>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</si>
  <si>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</si>
  <si>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</si>
  <si>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</si>
  <si>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</si>
  <si>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</si>
  <si>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</si>
  <si>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</si>
  <si>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</si>
  <si>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</si>
  <si>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</si>
  <si>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</si>
  <si>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</si>
  <si>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</si>
  <si>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</si>
  <si>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</si>
  <si>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</si>
  <si>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</si>
  <si>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</si>
  <si>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</si>
  <si>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</si>
  <si>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</si>
  <si>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</si>
  <si>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</si>
  <si>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</si>
  <si>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</si>
  <si>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</si>
  <si>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</si>
  <si>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</si>
  <si>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</si>
  <si>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</si>
  <si>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</si>
  <si>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</si>
  <si>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</si>
  <si>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</si>
  <si>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</si>
  <si>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</si>
  <si>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</si>
  <si>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</si>
  <si>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</si>
  <si>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</si>
  <si>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</si>
  <si>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</si>
  <si>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</si>
  <si>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</si>
  <si>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</si>
  <si>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</si>
  <si>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</si>
  <si>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</si>
  <si>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</si>
  <si>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</si>
  <si>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</si>
  <si>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</si>
  <si>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</si>
  <si>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</si>
  <si>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</si>
  <si>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</si>
  <si>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</si>
  <si>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</si>
  <si>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</si>
  <si>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</si>
  <si>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</si>
  <si>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</si>
  <si>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</si>
  <si>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</si>
  <si>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</si>
  <si>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</si>
  <si>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</si>
  <si>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</si>
  <si>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</si>
  <si>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</si>
  <si>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</si>
  <si>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Secretary for California Health and Human Services Agency</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</si>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</sst>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opLeftCell="A29" zoomScale="85" zoomScaleNormal="85" workbookViewId="0">
      <selection activeCell="K21" sqref="K21"/>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234</v>
      </c>
      <c r="G5" s="170"/>
      <c r="H5" s="170"/>
      <c r="I5" s="170"/>
      <c r="J5" s="47"/>
      <c r="K5" s="47"/>
      <c r="L5" s="48"/>
      <c r="M5" s="48"/>
      <c r="N5" s="48"/>
    </row>
    <row r="6" spans="1:17" ht="15.75" x14ac:dyDescent="0.2">
      <c r="A6" s="169" t="s">
        <v>1</v>
      </c>
      <c r="B6" s="169"/>
      <c r="C6" s="169"/>
      <c r="D6" s="169"/>
      <c r="E6" s="169"/>
      <c r="F6" s="171">
        <v>1</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HEALTH AND HUMAN SERVICES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199130</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v>0</v>
      </c>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199130</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0</v>
      </c>
      <c r="Q21" s="28"/>
    </row>
    <row r="22" spans="1:17" ht="16.5" customHeight="1" x14ac:dyDescent="0.2">
      <c r="A22" s="56"/>
      <c r="B22" s="58"/>
      <c r="C22" s="58"/>
      <c r="D22" s="58"/>
      <c r="E22" s="58"/>
      <c r="F22" s="58"/>
      <c r="G22" s="58"/>
      <c r="H22" s="58"/>
      <c r="I22" s="58"/>
      <c r="J22" s="29">
        <f>ROUND(SUM(J15:J17),2)</f>
        <v>199130</v>
      </c>
      <c r="K22" s="29">
        <f>ROUND(SUM(K18:K21),2)</f>
        <v>199130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0</v>
      </c>
      <c r="K28" s="33"/>
      <c r="L28" s="54"/>
    </row>
    <row r="29" spans="1:17" ht="16.5" customHeight="1" x14ac:dyDescent="0.25">
      <c r="A29" s="56"/>
      <c r="B29" s="57"/>
      <c r="C29" s="165" t="s">
        <v>1578</v>
      </c>
      <c r="D29" s="165"/>
      <c r="E29" s="165"/>
      <c r="F29" s="165"/>
      <c r="G29" s="165"/>
      <c r="H29" s="165"/>
      <c r="I29" s="165"/>
      <c r="J29" s="33"/>
      <c r="K29" s="32">
        <v>0</v>
      </c>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0815 - HLTH&amp;HUM SV SV.LAB(GAAP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41199</v>
      </c>
      <c r="K45" s="33"/>
    </row>
    <row r="46" spans="1:12" ht="16.5" customHeight="1" x14ac:dyDescent="0.2">
      <c r="A46" s="56"/>
      <c r="B46" s="71"/>
      <c r="C46" s="165" t="s">
        <v>1587</v>
      </c>
      <c r="D46" s="165"/>
      <c r="E46" s="165"/>
      <c r="F46" s="165"/>
      <c r="G46" s="165"/>
      <c r="H46" s="165"/>
      <c r="I46" s="165"/>
      <c r="J46" s="36"/>
      <c r="K46" s="32">
        <f>J45</f>
        <v>41199</v>
      </c>
    </row>
    <row r="47" spans="1:12" ht="16.5" customHeight="1" x14ac:dyDescent="0.2">
      <c r="A47" s="68"/>
      <c r="B47" s="58"/>
      <c r="C47" s="58"/>
      <c r="D47" s="58"/>
      <c r="E47" s="58"/>
      <c r="F47" s="58"/>
      <c r="G47" s="58"/>
      <c r="H47" s="58"/>
      <c r="I47" s="58"/>
      <c r="J47" s="39">
        <f>ROUND(SUM(J45:J45),2)</f>
        <v>41199</v>
      </c>
      <c r="K47" s="39">
        <f>ROUND(SUM(K46),2)</f>
        <v>41199</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199130</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0</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199130</v>
      </c>
    </row>
    <row r="53" spans="1:12" ht="16.5" customHeight="1" x14ac:dyDescent="0.2">
      <c r="A53" s="68"/>
      <c r="B53" s="58"/>
      <c r="C53" s="58"/>
      <c r="D53" s="58"/>
      <c r="E53" s="58"/>
      <c r="F53" s="58"/>
      <c r="G53" s="58"/>
      <c r="H53" s="58"/>
      <c r="I53" s="58"/>
      <c r="J53" s="39">
        <f>ROUND(SUM(J50:J51),2)</f>
        <v>199130</v>
      </c>
      <c r="K53" s="39">
        <f>ROUND(SUM(K52,),2)</f>
        <v>199130</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v>199130</v>
      </c>
      <c r="K56" s="36"/>
    </row>
    <row r="57" spans="1:12" ht="16.5" customHeight="1" x14ac:dyDescent="0.25">
      <c r="A57" s="56"/>
      <c r="B57" s="57"/>
      <c r="C57" s="165" t="s">
        <v>1613</v>
      </c>
      <c r="D57" s="165"/>
      <c r="E57" s="165"/>
      <c r="F57" s="165"/>
      <c r="G57" s="165"/>
      <c r="H57" s="165"/>
      <c r="I57" s="165"/>
      <c r="J57" s="36"/>
      <c r="K57" s="32">
        <v>199130</v>
      </c>
    </row>
    <row r="58" spans="1:12" ht="16.5" customHeight="1" x14ac:dyDescent="0.2">
      <c r="A58" s="68"/>
      <c r="B58" s="58"/>
      <c r="C58" s="58"/>
      <c r="D58" s="58"/>
      <c r="E58" s="58"/>
      <c r="F58" s="58"/>
      <c r="G58" s="58"/>
      <c r="H58" s="58"/>
      <c r="I58" s="58"/>
      <c r="J58" s="39">
        <f>ROUND(SUM(J56:J56),2)</f>
        <v>199130</v>
      </c>
      <c r="K58" s="39">
        <f>ROUND(SUM(K57),2)</f>
        <v>199130</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c r="K61" s="33"/>
    </row>
    <row r="62" spans="1:12" ht="16.5" customHeight="1" x14ac:dyDescent="0.25">
      <c r="A62" s="56"/>
      <c r="B62" s="57"/>
      <c r="C62" s="165" t="s">
        <v>1623</v>
      </c>
      <c r="D62" s="165"/>
      <c r="E62" s="165"/>
      <c r="F62" s="165"/>
      <c r="G62" s="165"/>
      <c r="H62" s="165"/>
      <c r="I62" s="165"/>
      <c r="J62" s="33"/>
      <c r="K62" s="32">
        <f>J61</f>
        <v>0</v>
      </c>
    </row>
    <row r="63" spans="1:12" ht="16.5" customHeight="1" x14ac:dyDescent="0.2">
      <c r="A63" s="56"/>
      <c r="B63" s="179" t="s">
        <v>1622</v>
      </c>
      <c r="C63" s="179"/>
      <c r="D63" s="179"/>
      <c r="E63" s="179"/>
      <c r="F63" s="179"/>
      <c r="G63" s="179"/>
      <c r="H63" s="179"/>
      <c r="I63" s="179"/>
      <c r="J63" s="39">
        <f>ROUND(SUM(J61:J61),2)</f>
        <v>0</v>
      </c>
      <c r="K63" s="39">
        <f>ROUND(SUM(K62),2)</f>
        <v>0</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0815 - HLTH&amp;HUM SV SV.LAB(GAAP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0815 - HLTH&amp;HUM SV SV.LAB(GAAP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199130</v>
      </c>
    </row>
    <row r="95" spans="1:12" ht="16.5" customHeight="1" x14ac:dyDescent="0.25">
      <c r="D95" s="57" t="s">
        <v>1641</v>
      </c>
      <c r="E95"/>
      <c r="F95"/>
      <c r="G95"/>
      <c r="H95" s="44"/>
      <c r="I95"/>
      <c r="J95"/>
      <c r="K95" s="162">
        <f>-K18-K46+J68+J77</f>
        <v>-41199</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0</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abSelected="1" zoomScaleNormal="100" workbookViewId="0">
      <selection activeCell="B22" sqref="B22"/>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530</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0</v>
      </c>
      <c r="C16" s="2">
        <v>0</v>
      </c>
      <c r="D16" s="193" t="s">
        <v>1537</v>
      </c>
      <c r="E16" s="97"/>
      <c r="F16" s="97"/>
      <c r="G16" s="97"/>
      <c r="H16" s="97"/>
      <c r="I16" s="97"/>
      <c r="J16" s="97"/>
      <c r="K16" s="97"/>
    </row>
    <row r="17" spans="1:11" ht="15" customHeight="1" x14ac:dyDescent="0.2">
      <c r="A17" s="94" t="str">
        <f>LEFT(A16,4)+1&amp;"–"&amp;RIGHT(A16,4)+1</f>
        <v>2024–2025</v>
      </c>
      <c r="B17" s="2"/>
      <c r="C17" s="2"/>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t="s">
        <v>1643</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530</v>
      </c>
      <c r="C43" s="189"/>
    </row>
    <row r="44" spans="1:11" ht="15.75" x14ac:dyDescent="0.25">
      <c r="A44" s="92" t="s">
        <v>1600</v>
      </c>
      <c r="B44" s="190" t="str">
        <f>B13</f>
        <v>Secretary for California Health and Human Services Agency</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530</v>
      </c>
      <c r="C74" s="189"/>
    </row>
    <row r="75" spans="1:4" ht="15.75" x14ac:dyDescent="0.25">
      <c r="A75" s="92" t="s">
        <v>1600</v>
      </c>
      <c r="B75" s="190" t="str">
        <f>B13</f>
        <v>Secretary for California Health and Human Services Agency</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KH2yc3w6PcZr3ZrJkFCvK098LcPqFNKGjkFrcExjmUgBI41nmFCc/nHobQcOimYwyK+aEmEEbeOzmSXkcT5l5A==" saltValue="nM/ZdLSxUA2UhAJbUmBJ3A=="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J11" sqref="J11"/>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0001 Journal Entries'!$F$5&amp;" "&amp;'Fund 0001 Journal Entries'!$F$4</f>
        <v>Business Unit 0530 Secretary for California Health and Human Services Agency</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'Fund 0001 Journal Entries'!J15</f>
        <v>199130</v>
      </c>
      <c r="H10" s="3"/>
      <c r="J10" s="3">
        <f>'Fund 0001 Journal Entries'!J56</f>
        <v>199130</v>
      </c>
      <c r="L10" s="119">
        <f>SUM(F10+H10-J10)</f>
        <v>0</v>
      </c>
      <c r="N10" s="3">
        <f>IF('Fund 0001 Journal Entries'!$F$7="Governmental Fund",'Fund 0001 Journal Entries'!$J$61,0)</f>
        <v>0</v>
      </c>
      <c r="P10" s="119">
        <f>L10-N10</f>
        <v>0</v>
      </c>
      <c r="Q10" s="109"/>
    </row>
    <row r="11" spans="2:17" ht="19.5" thickTop="1" thickBot="1" x14ac:dyDescent="0.3">
      <c r="B11" s="107"/>
      <c r="C11" s="195" t="s">
        <v>15</v>
      </c>
      <c r="D11" s="195"/>
      <c r="F11" s="120">
        <f>SUM(F10:F10)</f>
        <v>199130</v>
      </c>
      <c r="H11" s="120">
        <f>SUM(H10:H10)</f>
        <v>0</v>
      </c>
      <c r="J11" s="120">
        <f>SUM(J10:J10)</f>
        <v>199130</v>
      </c>
      <c r="L11" s="120">
        <f>SUM(L10:L10)</f>
        <v>0</v>
      </c>
      <c r="N11" s="120">
        <f>SUM(N10:N10)</f>
        <v>0</v>
      </c>
      <c r="P11" s="120">
        <f>SUM(P10:P10)</f>
        <v>0</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F17" sqref="F17"/>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'Fund 0001 Journal Entries'!J15</f>
        <v>199130</v>
      </c>
      <c r="C16" s="15" t="s">
        <v>1552</v>
      </c>
      <c r="D16" s="14">
        <f>IF('Fund 0001 Journal Entries'!$F$7="Governmental Fund",ROUND('Fund 0001 Journal Entries'!$K$37,0),0)</f>
        <v>0</v>
      </c>
      <c r="E16" s="16" t="s">
        <v>1554</v>
      </c>
      <c r="F16" s="14">
        <f>'Fund 0001 Journal Entries'!J56</f>
        <v>199130</v>
      </c>
      <c r="G16" s="16" t="s">
        <v>1556</v>
      </c>
      <c r="H16" s="17">
        <f>+B16+D16-F16</f>
        <v>0</v>
      </c>
      <c r="I16" s="16"/>
      <c r="J16" s="18">
        <f>ROUND(SUM('Department Note Disclosure'!$B$16:$B$39),0)</f>
        <v>0</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0</v>
      </c>
      <c r="G39" s="150"/>
      <c r="H39" s="150"/>
      <c r="I39" s="20"/>
      <c r="J39" s="18">
        <f>ROUND('Department Note Disclosure'!$B$16,0)</f>
        <v>0</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199130</v>
      </c>
      <c r="H61" s="154" t="str">
        <f>"Balance July 1, "&amp;LEFT('Fund 0001 Journal Entries'!$F$3,4)</f>
        <v>Balance July 1, 2022</v>
      </c>
      <c r="J61" s="22">
        <f>ROUND('SBITA Liabilities'!$F$10,0)</f>
        <v>199130</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199130</v>
      </c>
      <c r="H63" s="154" t="s">
        <v>11</v>
      </c>
      <c r="J63" s="22">
        <f>ROUND('SBITA Liabilities'!$J$10,0)</f>
        <v>199130</v>
      </c>
      <c r="L63" s="19">
        <f>D63-J63</f>
        <v>0</v>
      </c>
    </row>
    <row r="64" spans="1:13" x14ac:dyDescent="0.25">
      <c r="B64" s="152" t="s">
        <v>1559</v>
      </c>
      <c r="D64" s="22">
        <f>$F$39</f>
        <v>0</v>
      </c>
      <c r="H64" s="154" t="s">
        <v>12</v>
      </c>
      <c r="J64" s="22">
        <f>ROUND('SBITA Liabilities'!$N$10,0)</f>
        <v>0</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0E4DB3EC-CC14-4303-9D53-C554353AC1F3}"/>
</file>

<file path=customXml/itemProps2.xml><?xml version="1.0" encoding="utf-8"?>
<ds:datastoreItem xmlns:ds="http://schemas.openxmlformats.org/officeDocument/2006/customXml" ds:itemID="{B2F3813A-02A5-4FE8-B05B-83011A506E2D}"/>
</file>

<file path=customXml/itemProps3.xml><?xml version="1.0" encoding="utf-8"?>
<ds:datastoreItem xmlns:ds="http://schemas.openxmlformats.org/officeDocument/2006/customXml" ds:itemID="{55847359-8CCA-45B5-8A4B-F6CBD60F380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2024-05-06T20:15:09Z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3304000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