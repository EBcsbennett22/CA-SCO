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A21027AD-046C-423F-8B09-34204065AA5C}"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G5" i="4" l="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<sst xmlns="http://schemas.openxmlformats.org/spreadsheetml/2006/main" count="7551" uniqueCount="1643">
  <si>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</si>
  <si>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</si>
  <si>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</si>
  <si>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</si>
  <si>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</si>
  <si>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</si>
  <si>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</si>
  <si>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</si>
  <si>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</si>
  <si>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</si>
  <si>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</si>
  <si>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</si>
  <si>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</si>
  <si>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</si>
  <si>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</si>
  <si>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</si>
  <si>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</si>
  <si>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</si>
  <si>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</si>
  <si>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</si>
  <si>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</si>
  <si>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</si>
  <si>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</si>
  <si>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</si>
  <si>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</si>
  <si>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</si>
  <si>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</si>
  <si>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</si>
  <si>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</si>
  <si>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</si>
  <si>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</si>
  <si>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</si>
  <si>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</si>
  <si>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</si>
  <si>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</si>
  <si>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</si>
  <si>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</si>
  <si>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</si>
  <si>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</si>
  <si>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</si>
  <si>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</si>
  <si>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</si>
  <si>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</si>
  <si>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</si>
  <si>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</si>
  <si>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</si>
  <si>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</si>
  <si>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</si>
  <si>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</si>
  <si>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</si>
  <si>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</si>
  <si>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</si>
  <si>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</si>
  <si>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</si>
  <si>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</si>
  <si>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</si>
  <si>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</si>
  <si>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</si>
  <si>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</si>
  <si>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</si>
  <si>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</si>
  <si>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</si>
  <si>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</si>
  <si>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</si>
  <si>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</si>
  <si>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</si>
  <si>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</si>
  <si>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</si>
  <si>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</si>
  <si>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</si>
  <si>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</si>
  <si>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</si>
  <si>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</si>
  <si>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</si>
  <si>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</si>
  <si>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</si>
  <si>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</si>
  <si>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</si>
  <si>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</si>
  <si>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</si>
  <si>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</si>
  <si>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</si>
  <si>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</si>
  <si>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</si>
  <si>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</si>
  <si>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</si>
  <si>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</si>
  <si>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</si>
  <si>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</si>
  <si>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</si>
  <si>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</si>
  <si>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</si>
  <si>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</si>
  <si>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</si>
  <si>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</si>
  <si>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</si>
  <si>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</si>
  <si>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</si>
  <si>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</si>
  <si>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</si>
  <si>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</si>
  <si>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</si>
  <si>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</si>
  <si>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</si>
  <si>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</si>
  <si>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</si>
  <si>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</si>
  <si>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</si>
  <si>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</si>
  <si>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</si>
  <si>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</si>
  <si>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</si>
  <si>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</si>
  <si>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</si>
  <si>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</si>
  <si>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</si>
  <si>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</si>
  <si>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</si>
  <si>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</si>
  <si>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</si>
  <si>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</si>
  <si>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</si>
  <si>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</si>
  <si>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</si>
  <si>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</si>
  <si>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</si>
  <si>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</si>
  <si>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</si>
  <si>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</si>
  <si>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</si>
  <si>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</si>
  <si>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</si>
  <si>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</si>
  <si>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</si>
  <si>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</si>
  <si>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</si>
  <si>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</si>
  <si>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</si>
  <si>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</si>
  <si>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</si>
  <si>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</si>
  <si>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</si>
  <si>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</si>
  <si>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</si>
  <si>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</si>
  <si>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</si>
  <si>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</si>
  <si>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</si>
  <si>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</si>
  <si>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</si>
  <si>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</si>
  <si>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</si>
  <si>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</si>
  <si>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</si>
  <si>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</si>
  <si>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</si>
  <si>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</si>
  <si>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</si>
  <si>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</si>
  <si>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</si>
  <si>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</si>
  <si>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</si>
  <si>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</si>
  <si>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</si>
  <si>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</si>
  <si>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</si>
  <si>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</si>
  <si>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</si>
  <si>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</si>
  <si>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</si>
  <si>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</si>
  <si>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</si>
  <si>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</si>
  <si>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</si>
  <si>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</si>
  <si>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</si>
  <si>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</si>
  <si>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</si>
  <si>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</si>
  <si>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</si>
  <si>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</si>
  <si>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</si>
  <si>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</si>
  <si>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</si>
  <si>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</si>
  <si>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</si>
  <si>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</si>
  <si>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</si>
  <si>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</si>
  <si>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</si>
  <si>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</si>
  <si>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</si>
  <si>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</si>
  <si>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</si>
  <si>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</si>
  <si>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</si>
  <si>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</si>
  <si>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</si>
  <si>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</si>
  <si>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</si>
  <si>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</si>
  <si>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</si>
  <si>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</si>
  <si>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</si>
  <si>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</si>
  <si>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</si>
  <si>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</si>
  <si>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</si>
  <si>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</si>
  <si>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</si>
  <si>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</si>
  <si>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</si>
  <si>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</si>
  <si>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</si>
  <si>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</si>
  <si>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</si>
  <si>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</si>
  <si>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</si>
  <si>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</si>
  <si>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</si>
  <si>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</si>
  <si>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</si>
  <si>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</si>
  <si>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</si>
  <si>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</si>
  <si>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</si>
  <si>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</si>
  <si>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</si>
  <si>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</si>
  <si>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</si>
  <si>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</si>
  <si>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</si>
  <si>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</si>
  <si>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</si>
  <si>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</si>
  <si>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</si>
  <si>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</si>
  <si>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</si>
  <si>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</si>
  <si>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</si>
  <si>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</si>
  <si>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</si>
  <si>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</si>
  <si>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</si>
  <si>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</si>
  <si>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</si>
  <si>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</si>
  <si>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</si>
  <si>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</si>
  <si>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</si>
  <si>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</si>
  <si>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</si>
  <si>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</si>
  <si>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</si>
  <si>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</si>
  <si>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</si>
  <si>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</si>
  <si>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</si>
  <si>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</si>
  <si>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</si>
  <si>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</si>
  <si>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</si>
  <si>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</si>
  <si>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</si>
  <si>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</si>
  <si>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</si>
  <si>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</si>
  <si>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</si>
  <si>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</si>
  <si>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</si>
  <si>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</si>
  <si>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</si>
  <si>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</si>
  <si>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</si>
  <si>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</si>
  <si>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</si>
  <si>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</si>
  <si>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</si>
  <si>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</si>
  <si>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</si>
  <si>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</si>
  <si>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</si>
  <si>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</si>
  <si>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</si>
  <si>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</si>
  <si>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</si>
  <si>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</si>
  <si>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</si>
  <si>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</si>
  <si>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</si>
  <si>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</si>
  <si>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</si>
  <si>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</si>
  <si>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</si>
  <si>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</si>
  <si>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</si>
  <si>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</si>
  <si>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</si>
  <si>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</si>
  <si>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</si>
  <si>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</si>
  <si>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</si>
  <si>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</si>
  <si>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</si>
  <si>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</si>
  <si>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</si>
  <si>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</si>
  <si>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</si>
  <si>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</si>
  <si>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</si>
  <si>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</si>
  <si>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</si>
  <si>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</si>
  <si>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</si>
  <si>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</si>
  <si>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</si>
  <si>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</si>
  <si>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</si>
  <si>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</si>
  <si>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</si>
  <si>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</si>
  <si>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</si>
  <si>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</si>
  <si>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</si>
  <si>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</si>
  <si>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</si>
  <si>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</si>
  <si>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</si>
  <si>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</si>
  <si>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</si>
  <si>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</si>
  <si>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</si>
  <si>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</si>
  <si>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</si>
  <si>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</si>
  <si>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</si>
  <si>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</si>
  <si>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</si>
  <si>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</si>
  <si>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</si>
  <si>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</si>
  <si>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</si>
  <si>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</si>
  <si>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</si>
  <si>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</si>
  <si>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</si>
  <si>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</si>
  <si>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</si>
  <si>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</si>
  <si>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</si>
  <si>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</si>
  <si>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</si>
  <si>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</si>
  <si>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</si>
  <si>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</si>
  <si>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</si>
  <si>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</si>
  <si>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</si>
  <si>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</si>
  <si>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</si>
  <si>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</si>
  <si>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</si>
  <si>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</si>
  <si>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</si>
  <si>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</si>
  <si>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</si>
  <si>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</si>
  <si>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</si>
  <si>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</si>
  <si>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</si>
  <si>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</si>
  <si>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</si>
  <si>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</si>
  <si>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</si>
  <si>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</si>
  <si>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</si>
  <si>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</si>
  <si>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</si>
  <si>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</si>
  <si>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</si>
  <si>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</si>
  <si>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</si>
  <si>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</si>
  <si>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</si>
  <si>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</si>
  <si>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</si>
  <si>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</si>
  <si>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</si>
  <si>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</si>
  <si>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</si>
  <si>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</si>
  <si>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</si>
  <si>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</si>
  <si>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</si>
  <si>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</si>
  <si>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</si>
  <si>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</si>
  <si>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</si>
  <si>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</si>
  <si>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</si>
  <si>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</si>
  <si>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</si>
  <si>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</si>
  <si>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</si>
  <si>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</si>
  <si>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</si>
  <si>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</si>
  <si>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</si>
  <si>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</si>
  <si>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</si>
  <si>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</si>
  <si>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</si>
  <si>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</si>
  <si>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</si>
  <si>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</si>
  <si>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</si>
  <si>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</si>
  <si>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</si>
  <si>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</si>
  <si>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</si>
  <si>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</si>
  <si>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</si>
  <si>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</si>
  <si>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</si>
  <si>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</si>
  <si>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</si>
  <si>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</si>
  <si>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</si>
  <si>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</si>
  <si>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</si>
  <si>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</si>
  <si>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</si>
  <si>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</si>
  <si>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</si>
  <si>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</si>
  <si>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</si>
  <si>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</si>
  <si>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</si>
  <si>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</si>
  <si>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</si>
  <si>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</si>
  <si>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</si>
  <si>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</si>
  <si>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</si>
  <si>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</si>
  <si>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</si>
  <si>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</si>
  <si>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</si>
  <si>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</si>
  <si>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</si>
  <si>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</si>
  <si>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</si>
  <si>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</si>
  <si>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</si>
  <si>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</si>
  <si>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</si>
  <si>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</si>
  <si>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</si>
  <si>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</si>
  <si>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</si>
  <si>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</si>
  <si>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</si>
  <si>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</si>
  <si>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</si>
  <si>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</si>
  <si>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</si>
  <si>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</si>
  <si>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</si>
  <si>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</si>
  <si>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</si>
  <si>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</si>
  <si>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</si>
  <si>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</si>
  <si>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</si>
  <si>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</si>
  <si>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</si>
  <si>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</si>
  <si>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</si>
  <si>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</si>
  <si>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</si>
  <si>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</si>
  <si>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</si>
  <si>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</si>
  <si>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</si>
  <si>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</si>
  <si>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</si>
  <si>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</si>
  <si>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</si>
  <si>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</si>
  <si>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</si>
  <si>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</si>
  <si>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</si>
  <si>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</si>
  <si>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</si>
  <si>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</si>
  <si>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</si>
  <si>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</si>
  <si>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</si>
  <si>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</si>
  <si>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</si>
  <si>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</si>
  <si>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</si>
  <si>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</si>
  <si>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</si>
  <si>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</si>
  <si>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</si>
  <si>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</si>
  <si>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</si>
  <si>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</si>
  <si>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</si>
  <si>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</si>
  <si>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</si>
  <si>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</si>
  <si>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</si>
  <si>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</si>
  <si>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</si>
  <si>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</si>
  <si>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</si>
  <si>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</si>
  <si>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</si>
  <si>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</si>
  <si>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</si>
  <si>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</si>
  <si>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</si>
  <si>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</si>
  <si>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</si>
  <si>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</si>
  <si>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</si>
  <si>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</si>
  <si>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</si>
  <si>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</si>
  <si>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</si>
  <si>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</si>
  <si>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</si>
  <si>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</si>
  <si>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</si>
  <si>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</si>
  <si>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</si>
  <si>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</si>
  <si>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</si>
  <si>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</si>
  <si>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</si>
  <si>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</si>
  <si>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</si>
  <si>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</si>
  <si>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</si>
  <si>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</si>
  <si>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</si>
  <si>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</si>
  <si>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</si>
  <si>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</si>
  <si>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</si>
  <si>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</si>
  <si>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</si>
  <si>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</si>
  <si>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</si>
  <si>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</si>
  <si>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</si>
  <si>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</si>
  <si>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</si>
  <si>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</si>
  <si>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</si>
  <si>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</si>
  <si>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</si>
  <si>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</si>
  <si>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</si>
  <si>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</si>
  <si>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</si>
  <si>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</si>
  <si>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</si>
  <si>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</si>
  <si>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</si>
  <si>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</si>
  <si>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</si>
  <si>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</si>
  <si>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</si>
  <si>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</si>
  <si>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</si>
  <si>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</si>
  <si>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</si>
  <si>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</si>
  <si>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</si>
  <si>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</si>
  <si>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</si>
  <si>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</si>
  <si>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</si>
  <si>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</si>
  <si>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</si>
  <si>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</si>
  <si>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</si>
  <si>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</si>
  <si>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</si>
  <si>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</si>
  <si>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</si>
  <si>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</si>
  <si>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</si>
  <si>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</si>
  <si>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</si>
  <si>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</si>
  <si>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</si>
  <si>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</si>
  <si>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</si>
  <si>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</si>
  <si>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</si>
  <si>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</si>
  <si>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</si>
  <si>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</si>
  <si>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</si>
  <si>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</si>
  <si>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</si>
  <si>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</si>
  <si>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</si>
  <si>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</si>
  <si>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</si>
  <si>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</si>
  <si>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</si>
  <si>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</si>
  <si>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</si>
  <si>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</si>
  <si>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</si>
  <si>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</si>
  <si>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</si>
  <si>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</si>
  <si>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</si>
  <si>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</si>
  <si>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</si>
  <si>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</si>
  <si>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</si>
  <si>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</si>
  <si>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</si>
  <si>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</si>
  <si>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</si>
  <si>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</si>
  <si>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</si>
  <si>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</si>
  <si>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</si>
  <si>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</si>
  <si>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</si>
  <si>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</si>
  <si>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</si>
  <si>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</si>
  <si>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</si>
  <si>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</si>
  <si>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</si>
  <si>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</si>
  <si>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</si>
  <si>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</si>
  <si>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</si>
  <si>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</si>
  <si>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</si>
  <si>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</si>
  <si>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</si>
  <si>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</si>
  <si>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</si>
  <si>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</si>
  <si>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</si>
  <si>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</si>
  <si>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</si>
  <si>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</si>
  <si>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</si>
  <si>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</si>
  <si>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</si>
  <si>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</si>
  <si>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</si>
  <si>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</si>
  <si>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</si>
  <si>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</si>
  <si>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</si>
  <si>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</si>
  <si>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</si>
  <si>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</si>
  <si>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</si>
  <si>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</si>
  <si>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</si>
  <si>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</si>
  <si>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</si>
  <si>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</si>
  <si>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</si>
  <si>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</si>
  <si>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</si>
  <si>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</si>
  <si>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</si>
  <si>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</si>
  <si>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</si>
  <si>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</si>
  <si>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</si>
  <si>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</si>
  <si>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</si>
  <si>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</si>
  <si>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</si>
  <si>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</si>
  <si>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</si>
  <si>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</si>
  <si>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</si>
  <si>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</si>
  <si>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</si>
  <si>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</si>
  <si>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</si>
  <si>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</si>
  <si>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</si>
  <si>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</si>
  <si>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</si>
  <si>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</si>
  <si>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</si>
  <si>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</si>
  <si>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</si>
  <si>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</si>
  <si>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</si>
  <si>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</si>
  <si>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</si>
  <si>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</si>
  <si>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</si>
  <si>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</si>
  <si>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</si>
  <si>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</si>
  <si>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</si>
  <si>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</si>
  <si>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</si>
  <si>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</si>
  <si>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</si>
  <si>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</si>
  <si>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</si>
  <si>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</si>
  <si>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</si>
  <si>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</si>
  <si>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</si>
  <si>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</si>
  <si>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</si>
  <si>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</si>
  <si>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</si>
  <si>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</si>
  <si>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</si>
  <si>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</si>
  <si>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</si>
  <si>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</si>
  <si>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</si>
  <si>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</si>
  <si>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</si>
  <si>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</si>
  <si>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</si>
  <si>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</si>
  <si>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</si>
  <si>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</si>
  <si>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</si>
  <si>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</si>
  <si>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</si>
  <si>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</si>
  <si>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</si>
  <si>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</si>
  <si>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</si>
  <si>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</si>
  <si>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</si>
  <si>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</si>
  <si>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</si>
  <si>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</si>
  <si>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</si>
  <si>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</si>
  <si>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</si>
  <si>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</si>
  <si>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</si>
  <si>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</si>
  <si>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</si>
  <si>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</si>
  <si>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</si>
  <si>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</si>
  <si>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</si>
  <si>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</si>
  <si>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</si>
  <si>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</si>
  <si>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</si>
  <si>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</si>
  <si>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</si>
  <si>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</si>
  <si>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</si>
  <si>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</si>
  <si>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</si>
  <si>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</si>
  <si>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</si>
  <si>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</si>
  <si>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</si>
  <si>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</si>
  <si>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</si>
  <si>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</si>
  <si>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</si>
  <si>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</si>
  <si>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</si>
  <si>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</si>
  <si>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</si>
  <si>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</si>
  <si>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</si>
  <si>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</si>
  <si>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</si>
  <si>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</si>
  <si>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</si>
  <si>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</si>
  <si>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</si>
  <si>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</si>
  <si>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</si>
  <si>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</si>
  <si>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</si>
  <si>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</si>
  <si>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</si>
  <si>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</si>
  <si>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</si>
  <si>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</si>
  <si>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</si>
  <si>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</si>
  <si>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</si>
  <si>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</si>
  <si>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</si>
  <si>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</si>
  <si>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</si>
  <si>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</si>
  <si>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</si>
  <si>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</si>
  <si>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</si>
  <si>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</si>
  <si>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</si>
  <si>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</si>
  <si>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</si>
  <si>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</si>
  <si>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</si>
  <si>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</si>
  <si>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</si>
  <si>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</si>
  <si>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</si>
  <si>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</si>
  <si>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</si>
  <si>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</si>
  <si>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</si>
  <si>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</si>
  <si>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</si>
  <si>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</si>
  <si>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</si>
  <si>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</si>
  <si>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</si>
  <si>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</si>
  <si>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</si>
  <si>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</si>
  <si>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</si>
  <si>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</si>
  <si>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</si>
  <si>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</si>
  <si>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</si>
  <si>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</si>
  <si>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</si>
  <si>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</si>
  <si>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</si>
  <si>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</si>
  <si>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</si>
  <si>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</si>
  <si>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</si>
  <si>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</si>
  <si>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</si>
  <si>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</si>
  <si>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</si>
  <si>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</si>
  <si>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</si>
  <si>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</si>
  <si>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</si>
  <si>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</si>
  <si>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</si>
  <si>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</si>
  <si>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</si>
  <si>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</si>
  <si>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</si>
  <si>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</si>
  <si>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</si>
  <si>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</si>
  <si>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</si>
  <si>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</si>
  <si>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</si>
  <si>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</si>
  <si>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</si>
  <si>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</si>
  <si>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</si>
  <si>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</si>
  <si>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</si>
  <si>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</si>
  <si>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</si>
  <si>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</si>
  <si>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</si>
  <si>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</si>
  <si>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</si>
  <si>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</si>
  <si>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</si>
  <si>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</si>
  <si>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</si>
  <si>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</si>
  <si>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</si>
  <si>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</si>
  <si>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</si>
  <si>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</si>
  <si>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</si>
  <si>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</si>
  <si>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</si>
  <si>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</si>
  <si>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</si>
  <si>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</si>
  <si>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</si>
  <si>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</si>
  <si>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</si>
  <si>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</si>
  <si>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</si>
  <si>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</si>
  <si>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</si>
  <si>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</si>
  <si>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</si>
  <si>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</si>
  <si>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</si>
  <si>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</si>
  <si>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</si>
  <si>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</si>
  <si>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</si>
  <si>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</si>
  <si>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</si>
  <si>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</si>
  <si>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</si>
  <si>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</si>
  <si>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</si>
  <si>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</si>
  <si>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</si>
  <si>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</si>
  <si>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</si>
  <si>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</si>
  <si>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</si>
  <si>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</si>
  <si>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</si>
  <si>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</si>
  <si>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</si>
  <si>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</si>
  <si>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</si>
  <si>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</si>
  <si>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</si>
  <si>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</si>
  <si>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</si>
  <si>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</si>
  <si>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</si>
  <si>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</si>
  <si>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</si>
  <si>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</si>
  <si>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</si>
  <si>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</si>
  <si>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</si>
  <si>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</si>
  <si>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</si>
  <si>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</si>
  <si>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</si>
  <si>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</si>
  <si>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</si>
  <si>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</si>
  <si>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</si>
  <si>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</si>
  <si>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</si>
  <si>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</si>
  <si>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</si>
  <si>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</si>
  <si>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</si>
  <si>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</si>
  <si>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</si>
  <si>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</si>
  <si>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</si>
  <si>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</si>
  <si>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</si>
  <si>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</si>
  <si>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</si>
  <si>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</si>
  <si>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</si>
  <si>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</si>
  <si>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</si>
  <si>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</si>
  <si>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</si>
  <si>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</si>
  <si>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</si>
  <si>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</si>
  <si>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</si>
  <si>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</si>
  <si>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</si>
  <si>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</si>
  <si>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</si>
  <si>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</si>
  <si>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</si>
  <si>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</si>
  <si>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</si>
  <si>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</si>
  <si>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</si>
  <si>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</si>
  <si>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</si>
  <si>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</si>
  <si>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</si>
  <si>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</si>
  <si>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</si>
  <si>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</si>
  <si>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</si>
  <si>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</si>
  <si>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</si>
  <si>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</si>
  <si>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</si>
  <si>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</si>
  <si>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</si>
  <si>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</si>
  <si>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</si>
  <si>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</si>
  <si>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</si>
  <si>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</si>
  <si>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</si>
  <si>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</si>
  <si>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</si>
  <si>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</si>
  <si>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</si>
  <si>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</si>
  <si>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</si>
  <si>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</si>
  <si>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</si>
  <si>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</si>
  <si>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</si>
  <si>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</si>
  <si>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</si>
  <si>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</si>
  <si>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</si>
  <si>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</si>
  <si>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</si>
  <si>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</si>
  <si>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</si>
  <si>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</si>
  <si>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</si>
  <si>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</si>
  <si>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</si>
  <si>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</si>
  <si>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</si>
  <si>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</si>
  <si>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</si>
  <si>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</si>
  <si>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</si>
  <si>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</si>
  <si>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</si>
  <si>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</si>
  <si>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</si>
  <si>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</si>
  <si>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</si>
  <si>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</si>
  <si>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</si>
  <si>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</si>
  <si>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</si>
  <si>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</si>
  <si>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</si>
  <si>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</si>
  <si>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</si>
  <si>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</si>
  <si>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</si>
  <si>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</si>
  <si>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</si>
  <si>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</si>
  <si>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</si>
  <si>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</si>
  <si>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</si>
  <si>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</si>
  <si>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</si>
  <si>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</si>
  <si>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</si>
  <si>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</si>
  <si>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</si>
  <si>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</si>
  <si>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</si>
  <si>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</si>
  <si>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</si>
  <si>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</si>
  <si>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</si>
  <si>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</si>
  <si>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</si>
  <si>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</si>
  <si>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</si>
  <si>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</si>
  <si>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</si>
  <si>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</si>
  <si>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</si>
  <si>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</si>
  <si>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</si>
  <si>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</si>
  <si>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</si>
  <si>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</si>
  <si>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</si>
  <si>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</si>
  <si>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</si>
  <si>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</si>
  <si>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</si>
  <si>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</si>
  <si>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</si>
  <si>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</si>
  <si>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</si>
  <si>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</si>
  <si>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</si>
  <si>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</si>
  <si>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</si>
  <si>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</si>
  <si>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</si>
  <si>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</si>
  <si>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</si>
  <si>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</si>
  <si>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</si>
  <si>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</si>
  <si>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</si>
  <si>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</si>
  <si>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</si>
  <si>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</si>
  <si>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</si>
  <si>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</si>
  <si>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</si>
  <si>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</si>
  <si>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</si>
  <si>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</si>
  <si>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</si>
  <si>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</si>
  <si>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</si>
  <si>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</si>
  <si>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</si>
  <si>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</si>
  <si>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</si>
  <si>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</si>
  <si>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</si>
  <si>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</si>
  <si>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</si>
  <si>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</si>
  <si>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</si>
  <si>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</si>
  <si>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</si>
  <si>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</si>
  <si>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</si>
  <si>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</si>
  <si>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</si>
  <si>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</si>
  <si>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</si>
  <si>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</si>
  <si>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</si>
  <si>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</si>
  <si>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</si>
  <si>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</si>
  <si>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</si>
  <si>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</si>
  <si>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</si>
  <si>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</si>
  <si>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</si>
  <si>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</si>
  <si>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</si>
  <si>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</si>
  <si>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</si>
  <si>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</si>
  <si>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</si>
  <si>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</si>
  <si>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</si>
  <si>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</si>
  <si>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</si>
  <si>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</si>
  <si>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</si>
  <si>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</si>
  <si>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</si>
  <si>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</si>
  <si>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</si>
  <si>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</si>
  <si>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</si>
  <si>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</si>
  <si>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</si>
  <si>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</si>
  <si>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</si>
  <si>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</si>
  <si>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</si>
  <si>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</si>
  <si>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</si>
  <si>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</si>
  <si>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</si>
  <si>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</si>
  <si>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</si>
  <si>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</si>
  <si>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</si>
  <si>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</si>
  <si>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</si>
  <si>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</si>
  <si>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</si>
  <si>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</si>
  <si>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</si>
  <si>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</si>
  <si>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</si>
  <si>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</si>
  <si>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</si>
  <si>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</si>
  <si>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</si>
  <si>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</si>
  <si>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</si>
  <si>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</si>
  <si>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</si>
  <si>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</si>
  <si>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</si>
  <si>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</si>
  <si>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</si>
  <si>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</si>
  <si>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</si>
  <si>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</si>
  <si>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</si>
  <si>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</si>
  <si>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</si>
  <si>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</si>
  <si>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</si>
  <si>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</si>
  <si>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</si>
  <si>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</si>
  <si>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</si>
  <si>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</si>
  <si>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</si>
  <si>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</si>
  <si>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</si>
  <si>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</si>
  <si>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</si>
  <si>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</si>
  <si>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</si>
  <si>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</si>
  <si>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</si>
  <si>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</si>
  <si>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</si>
  <si>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</si>
  <si>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</si>
  <si>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</si>
  <si>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</si>
  <si>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</si>
  <si>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</si>
  <si>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</si>
  <si>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</si>
  <si>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</si>
  <si>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</si>
  <si>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</si>
  <si>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</si>
  <si>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</si>
  <si>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</si>
  <si>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</si>
  <si>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</si>
  <si>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</si>
  <si>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</si>
  <si>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</si>
  <si>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</si>
  <si>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</si>
  <si>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</si>
  <si>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</si>
  <si>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</si>
  <si>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</si>
  <si>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</si>
  <si>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</si>
  <si>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</si>
  <si>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</si>
  <si>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</si>
  <si>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</si>
  <si>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</si>
  <si>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</si>
  <si>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</si>
  <si>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</si>
  <si>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</si>
  <si>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</si>
  <si>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</si>
  <si>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</si>
  <si>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</si>
  <si>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</si>
  <si>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</si>
  <si>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</si>
  <si>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</si>
  <si>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</si>
  <si>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</si>
  <si>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</si>
  <si>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</si>
  <si>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</si>
  <si>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</si>
  <si>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</si>
  <si>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</si>
  <si>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</si>
  <si>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</si>
  <si>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</si>
  <si>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</si>
  <si>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</si>
  <si>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</si>
  <si>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</si>
  <si>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</si>
  <si>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</si>
  <si>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</si>
  <si>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</si>
  <si>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</si>
  <si>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</si>
  <si>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</si>
  <si>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</si>
  <si>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</si>
  <si>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</si>
  <si>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</si>
  <si>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</si>
  <si>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</si>
  <si>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</si>
  <si>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</si>
  <si>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</si>
  <si>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</si>
  <si>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</si>
  <si>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</si>
  <si>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</si>
  <si>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</si>
  <si>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</si>
  <si>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</si>
  <si>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</si>
  <si>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</si>
  <si>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</si>
  <si>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</si>
  <si>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</si>
  <si>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</si>
  <si>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</si>
  <si>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</si>
  <si>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</si>
  <si>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</si>
  <si>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</si>
  <si>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</si>
  <si>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</si>
  <si>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</si>
  <si>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</si>
  <si>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</si>
  <si>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</si>
  <si>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</si>
  <si>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</si>
  <si>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</si>
  <si>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</si>
  <si>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</si>
  <si>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</si>
  <si>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</si>
  <si>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</si>
  <si>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</si>
  <si>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</si>
  <si>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</si>
  <si>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</si>
  <si>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</si>
  <si>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</si>
  <si>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</si>
  <si>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</si>
  <si>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</si>
  <si>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</si>
  <si>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</si>
  <si>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</si>
  <si>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</si>
  <si>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</si>
  <si>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</si>
  <si>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</si>
  <si>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</si>
  <si>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</si>
  <si>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</si>
  <si>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</si>
  <si>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</si>
  <si>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</si>
  <si>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</si>
  <si>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</si>
  <si>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</si>
  <si>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</si>
  <si>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</si>
  <si>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</si>
  <si>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</si>
  <si>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</si>
  <si>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</si>
  <si>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</si>
  <si>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</si>
  <si>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</si>
  <si>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</si>
  <si>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</si>
  <si>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</si>
  <si>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</si>
  <si>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</si>
  <si>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</si>
  <si>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</si>
  <si>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</si>
  <si>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</si>
  <si>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</si>
  <si>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</si>
  <si>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</si>
  <si>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</si>
  <si>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</si>
  <si>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</si>
  <si>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</si>
  <si>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</si>
  <si>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</si>
  <si>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</si>
  <si>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</si>
  <si>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</si>
  <si>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</si>
  <si>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</si>
  <si>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</si>
  <si>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</si>
  <si>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</si>
  <si>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</si>
  <si>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</si>
  <si>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</si>
  <si>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</si>
  <si>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</si>
  <si>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</si>
  <si>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</si>
  <si>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</si>
  <si>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</si>
  <si>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</si>
  <si>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</si>
  <si>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</si>
  <si>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</si>
  <si>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</si>
  <si>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</si>
  <si>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</si>
  <si>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</si>
  <si>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</si>
  <si>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</si>
  <si>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</si>
  <si>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</si>
  <si>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</si>
  <si>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</si>
  <si>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</si>
  <si>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</si>
  <si>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</si>
  <si>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</si>
  <si>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</si>
  <si>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</si>
  <si>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</si>
  <si>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</si>
  <si>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</si>
  <si>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</si>
  <si>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</si>
  <si>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</si>
  <si>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</si>
  <si>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</si>
  <si>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</si>
  <si>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</si>
  <si>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</si>
  <si>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</si>
  <si>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</si>
  <si>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</si>
  <si>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</si>
  <si>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</si>
  <si>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</si>
  <si>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</si>
  <si>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</si>
  <si>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</si>
  <si>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</si>
  <si>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</si>
  <si>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</si>
  <si>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</si>
  <si>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</si>
  <si>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</si>
  <si>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</si>
  <si>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</si>
  <si>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</si>
  <si>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</si>
  <si>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</si>
  <si>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</si>
  <si>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</si>
  <si>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</si>
  <si>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</si>
  <si>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</si>
  <si>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</si>
  <si>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</si>
  <si>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</si>
  <si>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</si>
  <si>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</si>
  <si>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</si>
  <si>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</si>
  <si>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</si>
  <si>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</si>
  <si>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</si>
  <si>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</si>
  <si>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</si>
  <si>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</si>
  <si>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</si>
  <si>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</si>
  <si>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</si>
  <si>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</si>
  <si>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</si>
  <si>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</si>
  <si>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</si>
  <si>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</si>
  <si>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</si>
  <si>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</si>
  <si>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</si>
  <si>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</si>
  <si>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</si>
  <si>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</si>
  <si>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</si>
  <si>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</si>
  <si>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</si>
  <si>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</si>
  <si>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</si>
  <si>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</si>
  <si>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</si>
  <si>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</si>
  <si>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</si>
  <si>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</si>
  <si>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</si>
  <si>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</si>
  <si>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</si>
  <si>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</si>
  <si>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</si>
  <si>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</si>
  <si>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</si>
  <si>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</si>
  <si>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</si>
  <si>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</si>
  <si>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</si>
  <si>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</si>
  <si>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</si>
  <si>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</si>
  <si>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</si>
  <si>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</si>
  <si>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</si>
  <si>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</si>
  <si>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</si>
  <si>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</si>
  <si>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</si>
  <si>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</si>
  <si>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</si>
  <si>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</si>
  <si>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</si>
  <si>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</si>
  <si>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</si>
  <si>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</si>
  <si>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</si>
  <si>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</si>
  <si>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</si>
  <si>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</si>
  <si>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</si>
  <si>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</si>
  <si>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</si>
  <si>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</si>
  <si>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</si>
  <si>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</si>
  <si>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</si>
  <si>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</si>
  <si>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</si>
  <si>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</si>
  <si>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</si>
  <si>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</si>
  <si>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</si>
  <si>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</si>
  <si>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</si>
  <si>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</si>
  <si>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</si>
  <si>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</si>
  <si>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</si>
  <si>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</si>
  <si>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</si>
  <si>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</si>
  <si>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</si>
  <si>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</si>
  <si>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</si>
  <si>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</si>
  <si>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</si>
  <si>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</si>
  <si>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</si>
  <si>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</si>
  <si>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</si>
  <si>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</si>
  <si>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</si>
  <si>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</si>
  <si>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</si>
  <si>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</si>
  <si>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</si>
  <si>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</si>
  <si>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</si>
  <si>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</si>
  <si>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</si>
  <si>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</si>
  <si>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</si>
  <si>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</si>
  <si>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</si>
  <si>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</si>
  <si>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</si>
  <si>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</si>
  <si>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</si>
  <si>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</si>
  <si>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</si>
  <si>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</si>
  <si>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</si>
  <si>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</si>
  <si>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</si>
  <si>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</si>
  <si>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</si>
  <si>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</si>
  <si>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</si>
  <si>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</si>
  <si>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</si>
  <si>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</si>
  <si>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</si>
  <si>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</si>
  <si>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</si>
  <si>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</si>
  <si>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</si>
  <si>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</si>
  <si>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</si>
  <si>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</si>
  <si>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</si>
  <si>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</si>
  <si>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</si>
  <si>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</si>
  <si>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</si>
  <si>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</si>
  <si>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</si>
  <si>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</si>
  <si>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</si>
  <si>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</si>
  <si>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</si>
  <si>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</si>
  <si>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</si>
  <si>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</si>
  <si>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</si>
  <si>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</si>
  <si>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</si>
  <si>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</si>
  <si>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</si>
  <si>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</si>
  <si>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</si>
  <si>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</si>
  <si>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</si>
  <si>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</si>
  <si>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</si>
  <si>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</si>
  <si>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</si>
  <si>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</si>
  <si>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</si>
  <si>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</si>
  <si>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</si>
  <si>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</si>
  <si>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</si>
  <si>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</si>
  <si>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</si>
  <si>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</si>
  <si>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</si>
  <si>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</si>
  <si>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</si>
  <si>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</si>
  <si>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</si>
  <si>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</si>
  <si>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</si>
  <si>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</si>
  <si>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</si>
  <si>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</si>
  <si>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</si>
  <si>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</si>
  <si>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</si>
  <si>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</si>
  <si>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</si>
  <si>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</si>
  <si>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</si>
  <si>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Franchise Tax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</si>
</sst>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49" fontId="6" fillId="2" borderId="0" xfId="1" applyNumberFormat="1" applyFont="1" applyFill="1" applyBorder="1" applyAlignment="1" applyProtection="1">
      <alignment horizontal="left"/>
      <protection locked="0"/>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0" fontId="39" fillId="0" borderId="0" xfId="0" applyFont="1" applyAlignment="1">
      <alignment horizontal="center" vertical="top" wrapText="1"/>
    </xf>
    <xf numFmtId="0" fontId="41" fillId="0" borderId="0" xfId="0" applyFont="1" applyAlignment="1">
      <alignment horizontal="left" vertical="center" wrapText="1"/>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7"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0" t="s">
        <v>1608</v>
      </c>
      <c r="B1" s="170"/>
      <c r="C1" s="170"/>
      <c r="D1" s="170"/>
      <c r="E1" s="170"/>
      <c r="F1" s="170"/>
      <c r="G1" s="170"/>
      <c r="H1" s="170"/>
      <c r="I1" s="170"/>
      <c r="J1" s="170"/>
      <c r="K1" s="170"/>
      <c r="L1" s="43"/>
    </row>
    <row r="2" spans="1:17" ht="18" x14ac:dyDescent="0.25">
      <c r="A2" s="171" t="s">
        <v>1565</v>
      </c>
      <c r="B2" s="171"/>
      <c r="C2" s="171"/>
      <c r="D2" s="171"/>
      <c r="E2" s="171"/>
      <c r="F2" s="171"/>
      <c r="G2" s="171"/>
      <c r="H2" s="171"/>
      <c r="I2" s="171"/>
      <c r="J2" s="171"/>
      <c r="K2" s="171"/>
      <c r="L2" s="45"/>
    </row>
    <row r="3" spans="1:17" ht="15.75" x14ac:dyDescent="0.25">
      <c r="A3" s="169" t="s">
        <v>0</v>
      </c>
      <c r="B3" s="169"/>
      <c r="C3" s="169"/>
      <c r="D3" s="169"/>
      <c r="E3" s="169"/>
      <c r="F3" s="165" t="s">
        <v>16</v>
      </c>
      <c r="G3" s="165"/>
      <c r="H3" s="165"/>
      <c r="I3" s="165"/>
    </row>
    <row r="4" spans="1:17" ht="15.75" x14ac:dyDescent="0.25">
      <c r="A4" s="169" t="s">
        <v>1586</v>
      </c>
      <c r="B4" s="169"/>
      <c r="C4" s="169"/>
      <c r="D4" s="169"/>
      <c r="E4" s="169"/>
      <c r="F4" s="165" t="s">
        <v>1642</v>
      </c>
      <c r="G4" s="165"/>
      <c r="H4" s="165"/>
      <c r="I4" s="165"/>
    </row>
    <row r="5" spans="1:17" ht="15.75" x14ac:dyDescent="0.2">
      <c r="A5" s="169" t="s">
        <v>1602</v>
      </c>
      <c r="B5" s="169"/>
      <c r="C5" s="169"/>
      <c r="D5" s="169"/>
      <c r="E5" s="169"/>
      <c r="F5" s="164" t="s">
        <v>1134</v>
      </c>
      <c r="G5" s="164"/>
      <c r="H5" s="164"/>
      <c r="I5" s="164"/>
      <c r="J5" s="47"/>
      <c r="K5" s="47"/>
      <c r="L5" s="48"/>
      <c r="M5" s="48"/>
      <c r="N5" s="48"/>
    </row>
    <row r="6" spans="1:17" ht="15.75" x14ac:dyDescent="0.2">
      <c r="A6" s="169" t="s">
        <v>1</v>
      </c>
      <c r="B6" s="169"/>
      <c r="C6" s="169"/>
      <c r="D6" s="169"/>
      <c r="E6" s="169"/>
      <c r="F6" s="166">
        <v>1</v>
      </c>
      <c r="G6" s="166"/>
      <c r="H6" s="166"/>
      <c r="I6" s="166"/>
      <c r="L6" s="49"/>
      <c r="M6" s="48"/>
      <c r="N6" s="48"/>
      <c r="P6" s="27"/>
    </row>
    <row r="7" spans="1:17" ht="15.75" x14ac:dyDescent="0.2">
      <c r="A7" s="169" t="s">
        <v>1571</v>
      </c>
      <c r="B7" s="169"/>
      <c r="C7" s="169"/>
      <c r="D7" s="169"/>
      <c r="E7" s="169"/>
      <c r="F7" s="165" t="s">
        <v>1568</v>
      </c>
      <c r="G7" s="165"/>
      <c r="H7" s="165"/>
      <c r="I7" s="165"/>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8" t="s">
        <v>1580</v>
      </c>
      <c r="C15" s="168"/>
      <c r="D15" s="168"/>
      <c r="E15" s="168"/>
      <c r="F15" s="168"/>
      <c r="G15" s="168"/>
      <c r="H15" s="168"/>
      <c r="I15" s="168"/>
      <c r="J15" s="32">
        <v>2260721</v>
      </c>
      <c r="K15" s="33"/>
    </row>
    <row r="16" spans="1:17" ht="16.5" hidden="1" customHeight="1" x14ac:dyDescent="0.2">
      <c r="A16" s="56"/>
      <c r="B16" s="168" t="s">
        <v>1588</v>
      </c>
      <c r="C16" s="168"/>
      <c r="D16" s="168"/>
      <c r="E16" s="168"/>
      <c r="F16" s="168"/>
      <c r="G16" s="168"/>
      <c r="H16" s="168"/>
      <c r="I16" s="168"/>
      <c r="J16" s="32"/>
      <c r="K16" s="33"/>
    </row>
    <row r="17" spans="1:17" ht="16.5" customHeight="1" x14ac:dyDescent="0.2">
      <c r="A17" s="56"/>
      <c r="B17" s="168" t="s">
        <v>1589</v>
      </c>
      <c r="C17" s="168"/>
      <c r="D17" s="168"/>
      <c r="E17" s="168"/>
      <c r="F17" s="168"/>
      <c r="G17" s="168"/>
      <c r="H17" s="168"/>
      <c r="I17" s="168"/>
      <c r="J17" s="32">
        <v>0</v>
      </c>
      <c r="K17" s="33"/>
    </row>
    <row r="18" spans="1:17" ht="16.5" hidden="1" customHeight="1" x14ac:dyDescent="0.2">
      <c r="A18" s="56"/>
      <c r="B18" s="42"/>
      <c r="C18" s="168" t="s">
        <v>1587</v>
      </c>
      <c r="D18" s="168"/>
      <c r="E18" s="168"/>
      <c r="F18" s="168"/>
      <c r="G18" s="168"/>
      <c r="H18" s="168"/>
      <c r="I18" s="168"/>
      <c r="J18" s="33"/>
      <c r="K18" s="32"/>
    </row>
    <row r="19" spans="1:17" ht="16.5" customHeight="1" x14ac:dyDescent="0.25">
      <c r="A19" s="56"/>
      <c r="B19" s="57"/>
      <c r="C19" s="168" t="s">
        <v>1626</v>
      </c>
      <c r="D19" s="168"/>
      <c r="E19" s="168"/>
      <c r="F19" s="168"/>
      <c r="G19" s="168"/>
      <c r="H19" s="168"/>
      <c r="I19" s="168"/>
      <c r="J19" s="33"/>
      <c r="K19" s="32">
        <v>1820672</v>
      </c>
      <c r="P19" s="27"/>
    </row>
    <row r="20" spans="1:17" ht="16.5" hidden="1" customHeight="1" x14ac:dyDescent="0.25">
      <c r="A20" s="56"/>
      <c r="B20" s="57"/>
      <c r="C20" s="168" t="s">
        <v>1590</v>
      </c>
      <c r="D20" s="168"/>
      <c r="E20" s="168"/>
      <c r="F20" s="168"/>
      <c r="G20" s="168"/>
      <c r="H20" s="168"/>
      <c r="I20" s="168"/>
      <c r="K20" s="32"/>
      <c r="Q20" s="28"/>
    </row>
    <row r="21" spans="1:17" ht="16.5" customHeight="1" x14ac:dyDescent="0.25">
      <c r="A21" s="56"/>
      <c r="B21" s="57"/>
      <c r="C21" s="168" t="s">
        <v>1591</v>
      </c>
      <c r="D21" s="168"/>
      <c r="E21" s="168"/>
      <c r="F21" s="168"/>
      <c r="G21" s="168"/>
      <c r="H21" s="168"/>
      <c r="I21" s="168"/>
      <c r="J21" s="33"/>
      <c r="K21" s="32">
        <v>440049</v>
      </c>
      <c r="Q21" s="28"/>
    </row>
    <row r="22" spans="1:17" ht="16.5" customHeight="1" x14ac:dyDescent="0.2">
      <c r="A22" s="56"/>
      <c r="B22" s="58"/>
      <c r="C22" s="58"/>
      <c r="D22" s="58"/>
      <c r="E22" s="58"/>
      <c r="F22" s="58"/>
      <c r="G22" s="58"/>
      <c r="H22" s="58"/>
      <c r="I22" s="58"/>
      <c r="J22" s="29">
        <f>ROUND(SUM(J15:J17),2)</f>
        <v>2260721</v>
      </c>
      <c r="K22" s="29">
        <f>ROUND(SUM(K18:K21),2)</f>
        <v>2260721</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8" t="s">
        <v>1577</v>
      </c>
      <c r="C28" s="168"/>
      <c r="D28" s="168"/>
      <c r="E28" s="168"/>
      <c r="F28" s="168"/>
      <c r="G28" s="168"/>
      <c r="H28" s="168"/>
      <c r="I28" s="168"/>
      <c r="J28" s="32">
        <v>5408354</v>
      </c>
      <c r="K28" s="33"/>
      <c r="L28" s="54"/>
    </row>
    <row r="29" spans="1:17" ht="16.5" customHeight="1" x14ac:dyDescent="0.25">
      <c r="A29" s="56"/>
      <c r="B29" s="57"/>
      <c r="C29" s="168" t="s">
        <v>1578</v>
      </c>
      <c r="D29" s="168"/>
      <c r="E29" s="168"/>
      <c r="F29" s="168"/>
      <c r="G29" s="168"/>
      <c r="H29" s="168"/>
      <c r="I29" s="168"/>
      <c r="J29" s="33"/>
      <c r="K29" s="32">
        <v>5408354</v>
      </c>
      <c r="L29" s="54"/>
    </row>
    <row r="30" spans="1:17" ht="16.5" customHeight="1" x14ac:dyDescent="0.25">
      <c r="A30" s="56"/>
      <c r="B30" s="57"/>
      <c r="C30" s="168" t="str">
        <f>VLOOKUP($F$8,'Drop Down Menus'!$D$2:$G$10,4,FALSE)</f>
        <v>Cr: Acct 0808 - GENERAL GOV. (GAAP ADJ)</v>
      </c>
      <c r="D30" s="168"/>
      <c r="E30" s="168"/>
      <c r="F30" s="168"/>
      <c r="G30" s="168"/>
      <c r="H30" s="168"/>
      <c r="I30" s="168"/>
      <c r="J30" s="33"/>
      <c r="K30" s="32"/>
    </row>
    <row r="31" spans="1:17" ht="16.5" customHeight="1" x14ac:dyDescent="0.2">
      <c r="A31" s="68"/>
      <c r="B31" s="58"/>
      <c r="C31" s="58"/>
      <c r="D31" s="58"/>
      <c r="E31" s="58"/>
      <c r="F31" s="58"/>
      <c r="G31" s="58"/>
      <c r="H31" s="58"/>
      <c r="I31" s="58"/>
      <c r="J31" s="29">
        <f>ROUND(SUM(J28:J30),2)</f>
        <v>5408354</v>
      </c>
      <c r="K31" s="29">
        <f>ROUND(SUM(K28:K30),2)</f>
        <v>5408354</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8" t="s">
        <v>1580</v>
      </c>
      <c r="C34" s="168"/>
      <c r="D34" s="168"/>
      <c r="E34" s="168"/>
      <c r="F34" s="168"/>
      <c r="G34" s="168"/>
      <c r="H34" s="168"/>
      <c r="I34" s="168"/>
      <c r="J34" s="32">
        <v>5408354</v>
      </c>
      <c r="K34" s="70"/>
      <c r="L34" s="54"/>
    </row>
    <row r="35" spans="1:12" ht="16.5" customHeight="1" x14ac:dyDescent="0.2">
      <c r="B35" s="168" t="s">
        <v>1579</v>
      </c>
      <c r="C35" s="168"/>
      <c r="D35" s="168"/>
      <c r="E35" s="168"/>
      <c r="F35" s="168"/>
      <c r="G35" s="168"/>
      <c r="H35" s="168"/>
      <c r="I35" s="168"/>
      <c r="J35" s="32">
        <v>5408354</v>
      </c>
      <c r="K35" s="36"/>
    </row>
    <row r="36" spans="1:12" ht="16.5" customHeight="1" x14ac:dyDescent="0.2">
      <c r="A36" s="56"/>
      <c r="B36" s="71"/>
      <c r="C36" s="168" t="s">
        <v>1581</v>
      </c>
      <c r="D36" s="168"/>
      <c r="E36" s="168"/>
      <c r="F36" s="168"/>
      <c r="G36" s="168"/>
      <c r="H36" s="168"/>
      <c r="I36" s="168"/>
      <c r="J36" s="36"/>
      <c r="K36" s="32">
        <v>5408354</v>
      </c>
    </row>
    <row r="37" spans="1:12" ht="16.5" customHeight="1" x14ac:dyDescent="0.2">
      <c r="A37" s="56"/>
      <c r="C37" s="168" t="s">
        <v>1626</v>
      </c>
      <c r="D37" s="168"/>
      <c r="E37" s="168"/>
      <c r="F37" s="168"/>
      <c r="G37" s="168"/>
      <c r="H37" s="168"/>
      <c r="I37" s="168"/>
      <c r="J37" s="36"/>
      <c r="K37" s="32">
        <v>5408354</v>
      </c>
    </row>
    <row r="38" spans="1:12" ht="16.5" customHeight="1" x14ac:dyDescent="0.25">
      <c r="A38" s="56"/>
      <c r="B38" s="57"/>
      <c r="C38" s="168" t="str">
        <f>VLOOKUP($F$8,'Drop Down Menus'!$D$2:$G$10,4,FALSE)</f>
        <v>Cr: Acct 0808 - GENERAL GOV. (GAAP ADJ)</v>
      </c>
      <c r="D38" s="168"/>
      <c r="E38" s="168"/>
      <c r="F38" s="168"/>
      <c r="G38" s="168"/>
      <c r="H38" s="168"/>
      <c r="I38" s="168"/>
      <c r="J38" s="36"/>
      <c r="K38" s="32"/>
    </row>
    <row r="39" spans="1:12" ht="16.5" customHeight="1" x14ac:dyDescent="0.2">
      <c r="A39" s="56"/>
      <c r="B39" s="72"/>
      <c r="C39" s="72"/>
      <c r="D39" s="72"/>
      <c r="E39" s="72"/>
      <c r="F39" s="72"/>
      <c r="G39" s="72"/>
      <c r="H39" s="72"/>
      <c r="I39" s="72"/>
      <c r="J39" s="29">
        <f>ROUND(SUM(J34:J35),2)</f>
        <v>10816708</v>
      </c>
      <c r="K39" s="29">
        <f>ROUND(SUM(K36:K38),2)</f>
        <v>10816708</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8" t="s">
        <v>1582</v>
      </c>
      <c r="C45" s="168"/>
      <c r="D45" s="168"/>
      <c r="E45" s="168"/>
      <c r="F45" s="168"/>
      <c r="G45" s="168"/>
      <c r="H45" s="168"/>
      <c r="I45" s="168"/>
      <c r="J45" s="32">
        <v>1409642</v>
      </c>
      <c r="K45" s="33"/>
    </row>
    <row r="46" spans="1:12" ht="16.5" customHeight="1" x14ac:dyDescent="0.2">
      <c r="A46" s="56"/>
      <c r="B46" s="71"/>
      <c r="C46" s="168" t="s">
        <v>1587</v>
      </c>
      <c r="D46" s="168"/>
      <c r="E46" s="168"/>
      <c r="F46" s="168"/>
      <c r="G46" s="168"/>
      <c r="H46" s="168"/>
      <c r="I46" s="168"/>
      <c r="J46" s="36"/>
      <c r="K46" s="32">
        <v>1409642</v>
      </c>
    </row>
    <row r="47" spans="1:12" ht="16.5" customHeight="1" x14ac:dyDescent="0.2">
      <c r="A47" s="68"/>
      <c r="B47" s="58"/>
      <c r="C47" s="58"/>
      <c r="D47" s="58"/>
      <c r="E47" s="58"/>
      <c r="F47" s="58"/>
      <c r="G47" s="58"/>
      <c r="H47" s="58"/>
      <c r="I47" s="58"/>
      <c r="J47" s="39">
        <f>ROUND(SUM(J45:J45),2)</f>
        <v>1409642</v>
      </c>
      <c r="K47" s="39">
        <f>ROUND(SUM(K46),2)</f>
        <v>1409642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8" t="s">
        <v>1611</v>
      </c>
      <c r="C50" s="168"/>
      <c r="D50" s="168"/>
      <c r="E50" s="168"/>
      <c r="F50" s="168"/>
      <c r="G50" s="168"/>
      <c r="H50" s="168"/>
      <c r="I50" s="168"/>
      <c r="J50" s="37">
        <v>2545055</v>
      </c>
      <c r="K50" s="81"/>
    </row>
    <row r="51" spans="1:12" ht="16.5" customHeight="1" x14ac:dyDescent="0.2">
      <c r="A51" s="56"/>
      <c r="B51" s="168" t="str">
        <f>IF(OR($F$7="Proprietary - Internal Service Fund",$F$7="Proprietary - Enterprise Fund"),"Dr: Acct 0894 - INTEREST EXPENSE AND FISCAL CHARGES","Dr: Acct 0851 - DEBT SERVICE - INTEREST LEASES")</f>
        <v>Dr: Acct 0851 - DEBT SERVICE - INTEREST LEASES</v>
      </c>
      <c r="C51" s="168"/>
      <c r="D51" s="168"/>
      <c r="E51" s="168"/>
      <c r="F51" s="168"/>
      <c r="G51" s="168"/>
      <c r="H51" s="168"/>
      <c r="I51" s="168"/>
      <c r="J51" s="37">
        <v>52904</v>
      </c>
      <c r="K51" s="81"/>
    </row>
    <row r="52" spans="1:12" ht="16.5" customHeight="1" x14ac:dyDescent="0.25">
      <c r="A52" s="56"/>
      <c r="B52" s="57"/>
      <c r="C52" s="168" t="str">
        <f>VLOOKUP($F$8,'Drop Down Menus'!$D$2:$G$10,4,FALSE)</f>
        <v>Cr: Acct 0808 - GENERAL GOV. (GAAP ADJ)</v>
      </c>
      <c r="D52" s="168"/>
      <c r="E52" s="168"/>
      <c r="F52" s="168"/>
      <c r="G52" s="168"/>
      <c r="H52" s="168"/>
      <c r="I52" s="168"/>
      <c r="J52" s="81"/>
      <c r="K52" s="38">
        <v>2597959</v>
      </c>
    </row>
    <row r="53" spans="1:12" ht="16.5" customHeight="1" x14ac:dyDescent="0.2">
      <c r="A53" s="68"/>
      <c r="B53" s="58"/>
      <c r="C53" s="58"/>
      <c r="D53" s="58"/>
      <c r="E53" s="58"/>
      <c r="F53" s="58"/>
      <c r="G53" s="58"/>
      <c r="H53" s="58"/>
      <c r="I53" s="58"/>
      <c r="J53" s="39">
        <f>ROUND(SUM(J50:J51),2)</f>
        <v>2597959</v>
      </c>
      <c r="K53" s="39">
        <f>ROUND(SUM(K52,),2)</f>
        <v>2597959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8" t="s">
        <v>1627</v>
      </c>
      <c r="C56" s="168"/>
      <c r="D56" s="168"/>
      <c r="E56" s="168"/>
      <c r="F56" s="168"/>
      <c r="G56" s="168"/>
      <c r="H56" s="168"/>
      <c r="I56" s="168"/>
      <c r="J56" s="32">
        <v>2545055</v>
      </c>
      <c r="K56" s="36"/>
    </row>
    <row r="57" spans="1:12" ht="16.5" customHeight="1" x14ac:dyDescent="0.25">
      <c r="A57" s="56"/>
      <c r="B57" s="57"/>
      <c r="C57" s="168" t="s">
        <v>1613</v>
      </c>
      <c r="D57" s="168"/>
      <c r="E57" s="168"/>
      <c r="F57" s="168"/>
      <c r="G57" s="168"/>
      <c r="H57" s="168"/>
      <c r="I57" s="168"/>
      <c r="J57" s="36"/>
      <c r="K57" s="32">
        <v>2545055</v>
      </c>
    </row>
    <row r="58" spans="1:12" ht="16.5" customHeight="1" x14ac:dyDescent="0.2">
      <c r="A58" s="68"/>
      <c r="B58" s="58"/>
      <c r="C58" s="58"/>
      <c r="D58" s="58"/>
      <c r="E58" s="58"/>
      <c r="F58" s="58"/>
      <c r="G58" s="58"/>
      <c r="H58" s="58"/>
      <c r="I58" s="58"/>
      <c r="J58" s="39">
        <f>ROUND(SUM(J56:J56),2)</f>
        <v>2545055</v>
      </c>
      <c r="K58" s="39">
        <f>ROUND(SUM(K57),2)</f>
        <v>2545055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8" t="s">
        <v>1627</v>
      </c>
      <c r="C61" s="168"/>
      <c r="D61" s="168"/>
      <c r="E61" s="168"/>
      <c r="F61" s="168"/>
      <c r="G61" s="168"/>
      <c r="H61" s="168"/>
      <c r="I61" s="168"/>
      <c r="J61" s="41">
        <v>1976061</v>
      </c>
      <c r="K61" s="33"/>
    </row>
    <row r="62" spans="1:12" ht="16.5" customHeight="1" x14ac:dyDescent="0.25">
      <c r="A62" s="56"/>
      <c r="B62" s="57"/>
      <c r="C62" s="168" t="s">
        <v>1623</v>
      </c>
      <c r="D62" s="168"/>
      <c r="E62" s="168"/>
      <c r="F62" s="168"/>
      <c r="G62" s="168"/>
      <c r="H62" s="168"/>
      <c r="I62" s="168"/>
      <c r="J62" s="33"/>
      <c r="K62" s="32">
        <v>1976061</v>
      </c>
    </row>
    <row r="63" spans="1:12" ht="16.5" customHeight="1" x14ac:dyDescent="0.2">
      <c r="A63" s="56"/>
      <c r="B63" s="179" t="s">
        <v>1622</v>
      </c>
      <c r="C63" s="179"/>
      <c r="D63" s="179"/>
      <c r="E63" s="179"/>
      <c r="F63" s="179"/>
      <c r="G63" s="179"/>
      <c r="H63" s="179"/>
      <c r="I63" s="179"/>
      <c r="J63" s="39">
        <f>ROUND(SUM(J61:J61),2)</f>
        <v>1976061</v>
      </c>
      <c r="K63" s="39">
        <f>ROUND(SUM(K62),2)</f>
        <v>1976061</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7" t="s">
        <v>1594</v>
      </c>
      <c r="C68" s="167"/>
      <c r="D68" s="167"/>
      <c r="E68" s="167"/>
      <c r="F68" s="167"/>
      <c r="G68" s="167"/>
      <c r="H68" s="167"/>
      <c r="I68" s="167"/>
      <c r="J68" s="41"/>
      <c r="K68" s="34"/>
      <c r="L68" s="54"/>
    </row>
    <row r="69" spans="1:12" ht="16.5" hidden="1" customHeight="1" x14ac:dyDescent="0.2">
      <c r="A69" s="56"/>
      <c r="B69" s="84"/>
      <c r="C69" s="167" t="s">
        <v>1595</v>
      </c>
      <c r="D69" s="167"/>
      <c r="E69" s="167"/>
      <c r="F69" s="167"/>
      <c r="G69" s="167"/>
      <c r="H69" s="167"/>
      <c r="I69" s="167"/>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8" t="s">
        <v>1626</v>
      </c>
      <c r="C76" s="168"/>
      <c r="D76" s="168"/>
      <c r="E76" s="168"/>
      <c r="F76" s="168"/>
      <c r="G76" s="168"/>
      <c r="H76" s="168"/>
      <c r="I76" s="168"/>
      <c r="J76" s="41"/>
    </row>
    <row r="77" spans="1:12" ht="16.5" hidden="1" customHeight="1" x14ac:dyDescent="0.2">
      <c r="B77" s="167" t="s">
        <v>1594</v>
      </c>
      <c r="C77" s="167"/>
      <c r="D77" s="167"/>
      <c r="E77" s="167"/>
      <c r="F77" s="167"/>
      <c r="G77" s="167"/>
      <c r="H77" s="167"/>
      <c r="I77" s="167"/>
      <c r="J77" s="41"/>
    </row>
    <row r="78" spans="1:12" ht="16.5" hidden="1" customHeight="1" x14ac:dyDescent="0.2">
      <c r="B78" s="168" t="str">
        <f>VLOOKUP($F$8,'Drop Down Menus'!$D$2:$G$10,4,FALSE)</f>
        <v>Cr: Acct 0808 - GENERAL GOV. (GAAP ADJ)</v>
      </c>
      <c r="C78" s="168"/>
      <c r="D78" s="168"/>
      <c r="E78" s="168"/>
      <c r="F78" s="168"/>
      <c r="G78" s="168"/>
      <c r="H78" s="168"/>
      <c r="I78" s="168"/>
      <c r="J78" s="41"/>
    </row>
    <row r="79" spans="1:12" ht="16.5" hidden="1" customHeight="1" x14ac:dyDescent="0.2">
      <c r="C79" s="167" t="s">
        <v>1595</v>
      </c>
      <c r="D79" s="167"/>
      <c r="E79" s="167"/>
      <c r="F79" s="167"/>
      <c r="G79" s="167"/>
      <c r="H79" s="167"/>
      <c r="I79" s="167"/>
      <c r="K79" s="41"/>
    </row>
    <row r="80" spans="1:12" ht="16.5" hidden="1" customHeight="1" x14ac:dyDescent="0.2">
      <c r="C80" s="168" t="str">
        <f>VLOOKUP($F$8,'Drop Down Menus'!$D$2:$G$10,4,FALSE)</f>
        <v>Cr: Acct 0808 - GENERAL GOV. (GAAP ADJ)</v>
      </c>
      <c r="D80" s="168"/>
      <c r="E80" s="168"/>
      <c r="F80" s="168"/>
      <c r="G80" s="168"/>
      <c r="H80" s="168"/>
      <c r="I80" s="168"/>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8" t="s">
        <v>1580</v>
      </c>
      <c r="C84" s="168"/>
      <c r="D84" s="168"/>
      <c r="E84" s="168"/>
      <c r="F84" s="168"/>
      <c r="G84" s="168"/>
      <c r="H84" s="168"/>
      <c r="I84" s="168"/>
      <c r="J84" s="41"/>
    </row>
    <row r="85" spans="1:12" ht="16.5" hidden="1" customHeight="1" x14ac:dyDescent="0.2">
      <c r="C85" s="168" t="s">
        <v>1626</v>
      </c>
      <c r="D85" s="168"/>
      <c r="E85" s="168"/>
      <c r="F85" s="168"/>
      <c r="G85" s="168"/>
      <c r="H85" s="168"/>
      <c r="I85" s="168"/>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7669075</v>
      </c>
    </row>
    <row r="95" spans="1:12" ht="16.5" customHeight="1" x14ac:dyDescent="0.25">
      <c r="D95" s="57" t="s">
        <v>1641</v>
      </c>
      <c r="E95"/>
      <c r="F95"/>
      <c r="G95"/>
      <c r="H95" s="44"/>
      <c r="I95"/>
      <c r="J95"/>
      <c r="K95" s="162">
        <f>-K18-K46+J68+J77</f>
        <v>-1409642</v>
      </c>
    </row>
    <row r="96" spans="1:12" ht="16.5" customHeight="1" x14ac:dyDescent="0.25">
      <c r="D96" s="57" t="s">
        <v>1639</v>
      </c>
      <c r="E96"/>
      <c r="F96"/>
      <c r="G96"/>
      <c r="H96" s="44"/>
      <c r="I96"/>
      <c r="J96"/>
      <c r="K96" s="162">
        <f>-K19-K37+J56+J61+J76-K85</f>
        <v>-2707910</v>
      </c>
    </row>
    <row r="97" spans="1:11" ht="16.5" customHeight="1" x14ac:dyDescent="0.25">
      <c r="D97" s="57" t="s">
        <v>1640</v>
      </c>
      <c r="E97"/>
      <c r="F97"/>
      <c r="G97"/>
      <c r="H97" s="44"/>
      <c r="I97"/>
      <c r="J97"/>
      <c r="K97" s="162">
        <f>-K62</f>
        <v>-1976061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F7:I7"/>
    <mergeCell ref="A1:K1"/>
    <mergeCell ref="A2:K2"/>
    <mergeCell ref="F3:I3"/>
    <mergeCell ref="A3:E3"/>
    <mergeCell ref="A4:E4"/>
    <mergeCell ref="F5:I5"/>
    <mergeCell ref="F4:I4"/>
    <mergeCell ref="F6:I6"/>
    <mergeCell ref="B68:I68"/>
    <mergeCell ref="C69:I69"/>
    <mergeCell ref="C62:I62"/>
    <mergeCell ref="B61:I61"/>
    <mergeCell ref="C52:I52"/>
    <mergeCell ref="B51:I51"/>
    <mergeCell ref="B50:I50"/>
    <mergeCell ref="C57:I57"/>
    <mergeCell ref="B56:I56"/>
    <mergeCell ref="A5:E5"/>
    <mergeCell ref="C38:I38"/>
    <mergeCell ref="C37:I37"/>
    <mergeCell ref="C20:I20"/>
  </mergeCells>
  <conditionalFormatting sqref="L1 L3:L1048576">
    <cfRule type="cellIs" dxfId="21" priority="2" operator="equal">
      <formula>"&lt;- Debits and Credits do not equal each other."</formula>
    </cfRule>
  </conditionalFormatting>
  <dataValidations disablePrompts="1"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B1" zoomScaleNormal="100" workbookViewId="0">
      <selection activeCell="C19" sqref="C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7730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1976061</v>
      </c>
      <c r="C16" s="2">
        <v>100302</v>
      </c>
      <c r="D16" s="193" t="s">
        <v>1537</v>
      </c>
      <c r="E16" s="97"/>
      <c r="F16" s="97"/>
      <c r="G16" s="97"/>
      <c r="H16" s="97"/>
      <c r="I16" s="97"/>
      <c r="J16" s="97"/>
      <c r="K16" s="97"/>
    </row>
    <row r="17" spans="1:11" ht="15" customHeight="1" x14ac:dyDescent="0.2">
      <c r="A17" s="94" t="str">
        <f>LEFT(A16,4)+1&amp;"–"&amp;RIGHT(A16,4)+1</f>
        <v>2024–2025</v>
      </c>
      <c r="B17" s="2">
        <v>1686395</v>
      </c>
      <c r="C17" s="2">
        <v>53476</v>
      </c>
      <c r="D17" s="193"/>
      <c r="E17" s="97"/>
      <c r="F17" s="97"/>
      <c r="G17" s="97"/>
      <c r="H17" s="97"/>
      <c r="I17" s="97"/>
      <c r="J17" s="97"/>
      <c r="K17" s="97"/>
    </row>
    <row r="18" spans="1:11" ht="15" customHeight="1" x14ac:dyDescent="0.2">
      <c r="A18" s="94" t="str">
        <f>LEFT(A17,4)+1&amp;"–"&amp;RIGHT(A17,4)+1</f>
        <v>2025–2026</v>
      </c>
      <c r="B18" s="2">
        <v>504635</v>
      </c>
      <c r="C18" s="2">
        <v>19525</v>
      </c>
      <c r="D18" s="25" t="s">
        <v>116</v>
      </c>
      <c r="E18" s="97"/>
      <c r="F18" s="97"/>
      <c r="G18" s="97"/>
      <c r="H18" s="97"/>
      <c r="I18" s="97"/>
      <c r="J18" s="97"/>
      <c r="K18" s="97"/>
    </row>
    <row r="19" spans="1:11" ht="15" customHeight="1" x14ac:dyDescent="0.2">
      <c r="A19" s="94" t="str">
        <f>LEFT(A18,4)+1&amp;"–"&amp;RIGHT(A18,4)+1</f>
        <v>2026–2027</v>
      </c>
      <c r="B19" s="2">
        <v>516880</v>
      </c>
      <c r="C19" s="2">
        <v>7280</v>
      </c>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7730</v>
      </c>
      <c r="C43" s="189"/>
    </row>
    <row r="44" spans="1:11" ht="15.75" x14ac:dyDescent="0.25">
      <c r="A44" s="92" t="s">
        <v>1600</v>
      </c>
      <c r="B44" s="190" t="str">
        <f>B13</f>
        <v>Franchise Tax Board</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7730</v>
      </c>
      <c r="C74" s="189"/>
    </row>
    <row r="75" spans="1:4" ht="15.75" x14ac:dyDescent="0.25">
      <c r="A75" s="92" t="s">
        <v>1600</v>
      </c>
      <c r="B75" s="190" t="str">
        <f>B13</f>
        <v>Franchise Tax Board</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39xSa27GDd1ZKuWWrqtqPTR0b2Kc6XlH3CEtwyd05pce23IrGH1urHJjkp+H7pT7I5JtUYxY0coGNu19KAsrhA==" saltValue="AIaPjZNLxaakg8w9AWUBd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3" zoomScaleNormal="100" workbookViewId="0">
      <selection activeCell="N33" sqref="N33"/>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7730 Franchise Tax Board</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1820672</v>
      </c>
      <c r="H10" s="3">
        <f>IF('Fund 0001 Journal Entries'!$F$7="Governmental Fund",'Fund 0001 Journal Entries'!$K$37,0)</f>
        <v>5408354</v>
      </c>
      <c r="J10" s="3">
        <f>IF('Fund 0001 Journal Entries'!$F$7="Governmental Fund",'Fund 0001 Journal Entries'!$J$56,0)</f>
        <v>2545055</v>
      </c>
      <c r="L10" s="119">
        <f>SUM(F10+H10-J10)</f>
        <v>4683971</v>
      </c>
      <c r="N10" s="3">
        <f>IF('Fund 0001 Journal Entries'!$F$7="Governmental Fund",'Fund 0001 Journal Entries'!$J$61,0)</f>
        <v>1976061</v>
      </c>
      <c r="P10" s="119">
        <f>L10-N10</f>
        <v>2707910</v>
      </c>
      <c r="Q10" s="109"/>
    </row>
    <row r="11" spans="2:17" ht="19.5" thickTop="1" thickBot="1" x14ac:dyDescent="0.3">
      <c r="B11" s="107"/>
      <c r="C11" s="195" t="s">
        <v>15</v>
      </c>
      <c r="D11" s="195"/>
      <c r="F11" s="120">
        <f>SUM(F10:F10)</f>
        <v>1820672</v>
      </c>
      <c r="H11" s="120">
        <f>SUM(H10:H10)</f>
        <v>5408354</v>
      </c>
      <c r="J11" s="120">
        <f>SUM(J10:J10)</f>
        <v>2545055</v>
      </c>
      <c r="L11" s="120">
        <f>SUM(L10:L10)</f>
        <v>4683971</v>
      </c>
      <c r="N11" s="120">
        <f>SUM(N10:N10)</f>
        <v>1976061</v>
      </c>
      <c r="P11" s="120">
        <f>SUM(P10:P10)</f>
        <v>2707910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B19" sqref="B19:M19"/>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1820672</v>
      </c>
      <c r="C16" s="15" t="s">
        <v>1552</v>
      </c>
      <c r="D16" s="14">
        <f>IF('Fund 0001 Journal Entries'!$F$7="Governmental Fund",ROUND('Fund 0001 Journal Entries'!$K$37,0),0)</f>
        <v>5408354</v>
      </c>
      <c r="E16" s="16" t="s">
        <v>1554</v>
      </c>
      <c r="F16" s="14">
        <f>IF('Fund 0001 Journal Entries'!$F$7="Governmental Fund",ROUND('Fund 0001 Journal Entries'!$J$56,0),0)</f>
        <v>2545055</v>
      </c>
      <c r="G16" s="16" t="s">
        <v>1556</v>
      </c>
      <c r="H16" s="17">
        <f>+B16+D16-F16</f>
        <v>4683971</v>
      </c>
      <c r="I16" s="16"/>
      <c r="J16" s="18">
        <f>ROUND(SUM('Department Note Disclosure'!$B$16:$B$39),0)</f>
        <v>4683971</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1976061</v>
      </c>
      <c r="G39" s="150"/>
      <c r="H39" s="150"/>
      <c r="I39" s="20"/>
      <c r="J39" s="18">
        <f>ROUND('Department Note Disclosure'!$B$16,0)</f>
        <v>1976061</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1820672</v>
      </c>
      <c r="H61" s="154" t="str">
        <f>"Balance July 1, "&amp;LEFT('Fund 0001 Journal Entries'!$F$3,4)</f>
        <v>Balance July 1, 2022</v>
      </c>
      <c r="J61" s="22">
        <f>ROUND('SBITA Liabilities'!$F$10,0)</f>
        <v>1820672</v>
      </c>
      <c r="L61" s="19">
        <f>D61-J61</f>
        <v>0</v>
      </c>
    </row>
    <row r="62" spans="1:13" x14ac:dyDescent="0.25">
      <c r="B62" s="152" t="s">
        <v>1630</v>
      </c>
      <c r="D62" s="22">
        <f>$D$16</f>
        <v>5408354</v>
      </c>
      <c r="H62" s="154" t="s">
        <v>10</v>
      </c>
      <c r="J62" s="22">
        <f>ROUND('SBITA Liabilities'!$H$10,0)</f>
        <v>5408354</v>
      </c>
      <c r="L62" s="19">
        <f>D62-J62</f>
        <v>0</v>
      </c>
    </row>
    <row r="63" spans="1:13" x14ac:dyDescent="0.25">
      <c r="B63" s="152" t="s">
        <v>1555</v>
      </c>
      <c r="D63" s="22">
        <f>$F$16</f>
        <v>2545055</v>
      </c>
      <c r="H63" s="154" t="s">
        <v>11</v>
      </c>
      <c r="J63" s="22">
        <f>ROUND('SBITA Liabilities'!$J$10,0)</f>
        <v>2545055</v>
      </c>
      <c r="L63" s="19">
        <f>D63-J63</f>
        <v>0</v>
      </c>
    </row>
    <row r="64" spans="1:13" x14ac:dyDescent="0.25">
      <c r="B64" s="152" t="s">
        <v>1559</v>
      </c>
      <c r="D64" s="22">
        <f>$F$39</f>
        <v>1976061</v>
      </c>
      <c r="H64" s="154" t="s">
        <v>12</v>
      </c>
      <c r="J64" s="22">
        <f>ROUND('SBITA Liabilities'!$N$10,0)</f>
        <v>1976061</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2C91446-8B60-47A3-A6FE-DBA0DC600670}"/>
</file>

<file path=customXml/itemProps2.xml><?xml version="1.0" encoding="utf-8"?>
<ds:datastoreItem xmlns:ds="http://schemas.openxmlformats.org/officeDocument/2006/customXml" ds:itemID="{B1744D81-EF12-4E7D-A178-FE229AD55615}"/>
</file>

<file path=customXml/itemProps3.xml><?xml version="1.0" encoding="utf-8"?>
<ds:datastoreItem xmlns:ds="http://schemas.openxmlformats.org/officeDocument/2006/customXml" ds:itemID="{DB0D9CF7-070D-4C6D-877B-DB370C1290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