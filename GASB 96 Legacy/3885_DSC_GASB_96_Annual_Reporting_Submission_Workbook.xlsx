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F7DCFD96-F032-411C-A1CF-B90412EBE50B}" xr6:coauthVersionLast="47" xr6:coauthVersionMax="47" xr10:uidLastSave="{00000000-0000-0000-0000-000000000000}"/>
  <bookViews>
    <workbookView xWindow="20370" yWindow="-120" windowWidth="38640" windowHeight="15840" activeTab="1"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L22" i="2" l="1"/>
  <c r="L70" i="2"/>
  <c r="G4" i="4"/>
  <c r="D81" i="3"/>
  <c r="D72" i="9"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 r="J31" i="2"/>
  <c r="L31" i="2" s="1"/>
</calcChain>
</file>

<file path=xl/sharedStrings.xml><?xml version="1.0" encoding="utf-8"?>
<sst xmlns="http://schemas.openxmlformats.org/spreadsheetml/2006/main" count="7552" uniqueCount="1644">
  <si>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</si>
  <si>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</si>
  <si>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</si>
  <si>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</si>
  <si>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</si>
  <si>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</si>
  <si>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</si>
  <si>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</si>
  <si>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</si>
  <si>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</si>
  <si>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</si>
  <si>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</si>
  <si>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</si>
  <si>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</si>
  <si>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</si>
  <si>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</si>
  <si>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</si>
  <si>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</si>
  <si>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</si>
  <si>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</si>
  <si>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</si>
  <si>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</si>
  <si>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</si>
  <si>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</si>
  <si>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</si>
  <si>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</si>
  <si>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</si>
  <si>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</si>
  <si>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</si>
  <si>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</si>
  <si>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</si>
  <si>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</si>
  <si>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</si>
  <si>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</si>
  <si>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</si>
  <si>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</si>
  <si>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</si>
  <si>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</si>
  <si>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</si>
  <si>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</si>
  <si>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</si>
  <si>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</si>
  <si>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</si>
  <si>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</si>
  <si>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</si>
  <si>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</si>
  <si>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</si>
  <si>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</si>
  <si>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</si>
  <si>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</si>
  <si>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</si>
  <si>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</si>
  <si>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</si>
  <si>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</si>
  <si>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</si>
  <si>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</si>
  <si>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</si>
  <si>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</si>
  <si>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</si>
  <si>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</si>
  <si>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</si>
  <si>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</si>
  <si>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</si>
  <si>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</si>
  <si>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</si>
  <si>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</si>
  <si>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</si>
  <si>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</si>
  <si>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</si>
  <si>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</si>
  <si>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</si>
  <si>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</si>
  <si>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</si>
  <si>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</si>
  <si>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</si>
  <si>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</si>
  <si>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</si>
  <si>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</si>
  <si>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</si>
  <si>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</si>
  <si>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</si>
  <si>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</si>
  <si>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</si>
  <si>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</si>
  <si>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</si>
  <si>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</si>
  <si>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</si>
  <si>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</si>
  <si>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</si>
  <si>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</si>
  <si>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</si>
  <si>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</si>
  <si>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</si>
  <si>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</si>
  <si>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</si>
  <si>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</si>
  <si>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</si>
  <si>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</si>
  <si>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</si>
  <si>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</si>
  <si>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</si>
  <si>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</si>
  <si>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</si>
  <si>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</si>
  <si>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</si>
  <si>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</si>
  <si>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</si>
  <si>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</si>
  <si>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</si>
  <si>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</si>
  <si>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</si>
  <si>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</si>
  <si>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</si>
  <si>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</si>
  <si>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</si>
  <si>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</si>
  <si>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</si>
  <si>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</si>
  <si>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</si>
  <si>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</si>
  <si>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</si>
  <si>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</si>
  <si>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</si>
  <si>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</si>
  <si>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</si>
  <si>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</si>
  <si>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</si>
  <si>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</si>
  <si>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</si>
  <si>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</si>
  <si>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</si>
  <si>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</si>
  <si>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</si>
  <si>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</si>
  <si>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</si>
  <si>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</si>
  <si>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</si>
  <si>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</si>
  <si>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</si>
  <si>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</si>
  <si>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</si>
  <si>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</si>
  <si>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</si>
  <si>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</si>
  <si>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</si>
  <si>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</si>
  <si>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</si>
  <si>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</si>
  <si>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</si>
  <si>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</si>
  <si>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</si>
  <si>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</si>
  <si>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</si>
  <si>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</si>
  <si>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</si>
  <si>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</si>
  <si>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</si>
  <si>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</si>
  <si>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</si>
  <si>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</si>
  <si>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</si>
  <si>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</si>
  <si>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</si>
  <si>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</si>
  <si>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</si>
  <si>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</si>
  <si>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</si>
  <si>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</si>
  <si>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</si>
  <si>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</si>
  <si>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</si>
  <si>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</si>
  <si>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</si>
  <si>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</si>
  <si>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</si>
  <si>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</si>
  <si>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</si>
  <si>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</si>
  <si>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</si>
  <si>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</si>
  <si>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</si>
  <si>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</si>
  <si>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</si>
  <si>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</si>
  <si>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</si>
  <si>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</si>
  <si>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</si>
  <si>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</si>
  <si>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</si>
  <si>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</si>
  <si>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</si>
  <si>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</si>
  <si>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</si>
  <si>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</si>
  <si>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</si>
  <si>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</si>
  <si>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</si>
  <si>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</si>
  <si>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</si>
  <si>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</si>
  <si>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</si>
  <si>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</si>
  <si>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</si>
  <si>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</si>
  <si>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</si>
  <si>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</si>
  <si>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</si>
  <si>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</si>
  <si>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</si>
  <si>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</si>
  <si>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</si>
  <si>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</si>
  <si>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</si>
  <si>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</si>
  <si>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</si>
  <si>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</si>
  <si>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</si>
  <si>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</si>
  <si>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</si>
  <si>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</si>
  <si>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</si>
  <si>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</si>
  <si>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</si>
  <si>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</si>
  <si>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</si>
  <si>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</si>
  <si>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</si>
  <si>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</si>
  <si>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</si>
  <si>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</si>
  <si>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</si>
  <si>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</si>
  <si>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</si>
  <si>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</si>
  <si>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</si>
  <si>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</si>
  <si>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</si>
  <si>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</si>
  <si>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</si>
  <si>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</si>
  <si>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</si>
  <si>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</si>
  <si>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</si>
  <si>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</si>
  <si>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</si>
  <si>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</si>
  <si>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</si>
  <si>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</si>
  <si>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</si>
  <si>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</si>
  <si>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</si>
  <si>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</si>
  <si>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</si>
  <si>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</si>
  <si>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</si>
  <si>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</si>
  <si>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</si>
  <si>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</si>
  <si>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</si>
  <si>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</si>
  <si>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</si>
  <si>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</si>
  <si>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</si>
  <si>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</si>
  <si>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</si>
  <si>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</si>
  <si>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</si>
  <si>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</si>
  <si>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</si>
  <si>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</si>
  <si>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</si>
  <si>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</si>
  <si>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</si>
  <si>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</si>
  <si>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</si>
  <si>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</si>
  <si>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</si>
  <si>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</si>
  <si>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</si>
  <si>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</si>
  <si>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</si>
  <si>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</si>
  <si>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</si>
  <si>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</si>
  <si>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</si>
  <si>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</si>
  <si>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</si>
  <si>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</si>
  <si>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</si>
  <si>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</si>
  <si>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</si>
  <si>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</si>
  <si>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</si>
  <si>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</si>
  <si>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</si>
  <si>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</si>
  <si>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</si>
  <si>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</si>
  <si>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</si>
  <si>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</si>
  <si>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</si>
  <si>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</si>
  <si>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</si>
  <si>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</si>
  <si>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</si>
  <si>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</si>
  <si>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</si>
  <si>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</si>
  <si>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</si>
  <si>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</si>
  <si>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</si>
  <si>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</si>
  <si>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</si>
  <si>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</si>
  <si>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</si>
  <si>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</si>
  <si>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</si>
  <si>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</si>
  <si>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</si>
  <si>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</si>
  <si>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</si>
  <si>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</si>
  <si>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</si>
  <si>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</si>
  <si>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</si>
  <si>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</si>
  <si>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</si>
  <si>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</si>
  <si>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</si>
  <si>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</si>
  <si>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</si>
  <si>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</si>
  <si>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</si>
  <si>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</si>
  <si>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</si>
  <si>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</si>
  <si>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</si>
  <si>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</si>
  <si>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</si>
  <si>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</si>
  <si>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</si>
  <si>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</si>
  <si>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</si>
  <si>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</si>
  <si>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</si>
  <si>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</si>
  <si>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</si>
  <si>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</si>
  <si>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</si>
  <si>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</si>
  <si>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</si>
  <si>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</si>
  <si>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</si>
  <si>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</si>
  <si>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</si>
  <si>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</si>
  <si>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</si>
  <si>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</si>
  <si>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</si>
  <si>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</si>
  <si>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</si>
  <si>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</si>
  <si>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</si>
  <si>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</si>
  <si>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</si>
  <si>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</si>
  <si>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</si>
  <si>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</si>
  <si>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</si>
  <si>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</si>
  <si>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</si>
  <si>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</si>
  <si>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</si>
  <si>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</si>
  <si>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</si>
  <si>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</si>
  <si>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</si>
  <si>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</si>
  <si>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</si>
  <si>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</si>
  <si>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</si>
  <si>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</si>
  <si>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</si>
  <si>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</si>
  <si>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</si>
  <si>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</si>
  <si>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</si>
  <si>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</si>
  <si>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</si>
  <si>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</si>
  <si>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</si>
  <si>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</si>
  <si>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</si>
  <si>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</si>
  <si>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</si>
  <si>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</si>
  <si>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</si>
  <si>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</si>
  <si>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</si>
  <si>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</si>
  <si>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</si>
  <si>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</si>
  <si>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</si>
  <si>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</si>
  <si>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</si>
  <si>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</si>
  <si>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</si>
  <si>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</si>
  <si>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</si>
  <si>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</si>
  <si>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</si>
  <si>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</si>
  <si>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</si>
  <si>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</si>
  <si>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</si>
  <si>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</si>
  <si>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</si>
  <si>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</si>
  <si>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</si>
  <si>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</si>
  <si>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</si>
  <si>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</si>
  <si>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</si>
  <si>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</si>
  <si>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</si>
  <si>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</si>
  <si>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</si>
  <si>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</si>
  <si>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</si>
  <si>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</si>
  <si>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</si>
  <si>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</si>
  <si>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</si>
  <si>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</si>
  <si>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</si>
  <si>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</si>
  <si>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</si>
  <si>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</si>
  <si>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</si>
  <si>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</si>
  <si>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</si>
  <si>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</si>
  <si>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</si>
  <si>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</si>
  <si>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</si>
  <si>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</si>
  <si>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</si>
  <si>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</si>
  <si>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</si>
  <si>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</si>
  <si>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</si>
  <si>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</si>
  <si>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</si>
  <si>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</si>
  <si>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</si>
  <si>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</si>
  <si>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</si>
  <si>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</si>
  <si>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</si>
  <si>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</si>
  <si>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</si>
  <si>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</si>
  <si>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</si>
  <si>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</si>
  <si>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</si>
  <si>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</si>
  <si>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</si>
  <si>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</si>
  <si>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</si>
  <si>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</si>
  <si>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</si>
  <si>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</si>
  <si>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</si>
  <si>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</si>
  <si>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</si>
  <si>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</si>
  <si>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</si>
  <si>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</si>
  <si>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</si>
  <si>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</si>
  <si>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</si>
  <si>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</si>
  <si>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</si>
  <si>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</si>
  <si>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</si>
  <si>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</si>
  <si>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</si>
  <si>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</si>
  <si>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</si>
  <si>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</si>
  <si>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</si>
  <si>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</si>
  <si>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</si>
  <si>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</si>
  <si>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</si>
  <si>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</si>
  <si>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</si>
  <si>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</si>
  <si>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</si>
  <si>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</si>
  <si>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</si>
  <si>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</si>
  <si>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</si>
  <si>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</si>
  <si>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</si>
  <si>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</si>
  <si>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</si>
  <si>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</si>
  <si>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</si>
  <si>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</si>
  <si>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</si>
  <si>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</si>
  <si>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</si>
  <si>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</si>
  <si>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</si>
  <si>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</si>
  <si>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</si>
  <si>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</si>
  <si>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</si>
  <si>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</si>
  <si>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</si>
  <si>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</si>
  <si>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</si>
  <si>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</si>
  <si>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</si>
  <si>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</si>
  <si>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</si>
  <si>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</si>
  <si>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</si>
  <si>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</si>
  <si>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</si>
  <si>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</si>
  <si>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</si>
  <si>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</si>
  <si>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</si>
  <si>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</si>
  <si>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</si>
  <si>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</si>
  <si>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</si>
  <si>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</si>
  <si>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</si>
  <si>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</si>
  <si>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</si>
  <si>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</si>
  <si>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</si>
  <si>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</si>
  <si>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</si>
  <si>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</si>
  <si>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</si>
  <si>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</si>
  <si>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</si>
  <si>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</si>
  <si>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</si>
  <si>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</si>
  <si>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</si>
  <si>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</si>
  <si>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</si>
  <si>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</si>
  <si>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</si>
  <si>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</si>
  <si>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</si>
  <si>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</si>
  <si>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</si>
  <si>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</si>
  <si>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</si>
  <si>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</si>
  <si>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</si>
  <si>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</si>
  <si>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</si>
  <si>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</si>
  <si>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</si>
  <si>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</si>
  <si>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</si>
  <si>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</si>
  <si>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</si>
  <si>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</si>
  <si>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</si>
  <si>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</si>
  <si>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</si>
  <si>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</si>
  <si>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</si>
  <si>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</si>
  <si>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</si>
  <si>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</si>
  <si>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</si>
  <si>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</si>
  <si>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</si>
  <si>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</si>
  <si>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</si>
  <si>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</si>
  <si>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</si>
  <si>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</si>
  <si>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</si>
  <si>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</si>
  <si>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</si>
  <si>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</si>
  <si>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</si>
  <si>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</si>
  <si>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</si>
  <si>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</si>
  <si>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</si>
  <si>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</si>
  <si>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</si>
  <si>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</si>
  <si>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</si>
  <si>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</si>
  <si>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</si>
  <si>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</si>
  <si>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</si>
  <si>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</si>
  <si>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</si>
  <si>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</si>
  <si>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</si>
  <si>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</si>
  <si>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</si>
  <si>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</si>
  <si>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</si>
  <si>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</si>
  <si>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</si>
  <si>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</si>
  <si>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</si>
  <si>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</si>
  <si>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</si>
  <si>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</si>
  <si>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</si>
  <si>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</si>
  <si>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</si>
  <si>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</si>
  <si>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</si>
  <si>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</si>
  <si>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</si>
  <si>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</si>
  <si>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</si>
  <si>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</si>
  <si>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</si>
  <si>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</si>
  <si>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</si>
  <si>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</si>
  <si>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</si>
  <si>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</si>
  <si>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</si>
  <si>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</si>
  <si>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</si>
  <si>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</si>
  <si>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</si>
  <si>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</si>
  <si>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</si>
  <si>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</si>
  <si>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</si>
  <si>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</si>
  <si>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</si>
  <si>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</si>
  <si>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</si>
  <si>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</si>
  <si>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</si>
  <si>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</si>
  <si>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</si>
  <si>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</si>
  <si>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</si>
  <si>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</si>
  <si>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</si>
  <si>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</si>
  <si>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</si>
  <si>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</si>
  <si>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</si>
  <si>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</si>
  <si>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</si>
  <si>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</si>
  <si>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</si>
  <si>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</si>
  <si>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</si>
  <si>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</si>
  <si>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</si>
  <si>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</si>
  <si>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</si>
  <si>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</si>
  <si>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</si>
  <si>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</si>
  <si>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</si>
  <si>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</si>
  <si>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</si>
  <si>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</si>
  <si>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</si>
  <si>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</si>
  <si>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</si>
  <si>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</si>
  <si>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</si>
  <si>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</si>
  <si>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</si>
  <si>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</si>
  <si>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</si>
  <si>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</si>
  <si>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</si>
  <si>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</si>
  <si>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</si>
  <si>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</si>
  <si>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</si>
  <si>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</si>
  <si>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</si>
  <si>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</si>
  <si>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</si>
  <si>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</si>
  <si>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</si>
  <si>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</si>
  <si>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</si>
  <si>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</si>
  <si>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</si>
  <si>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</si>
  <si>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</si>
  <si>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</si>
  <si>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</si>
  <si>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</si>
  <si>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</si>
  <si>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</si>
  <si>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</si>
  <si>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</si>
  <si>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</si>
  <si>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</si>
  <si>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</si>
  <si>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</si>
  <si>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</si>
  <si>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</si>
  <si>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</si>
  <si>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</si>
  <si>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</si>
  <si>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</si>
  <si>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</si>
  <si>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</si>
  <si>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</si>
  <si>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</si>
  <si>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</si>
  <si>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</si>
  <si>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</si>
  <si>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</si>
  <si>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</si>
  <si>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</si>
  <si>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</si>
  <si>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</si>
  <si>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</si>
  <si>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</si>
  <si>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</si>
  <si>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</si>
  <si>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</si>
  <si>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</si>
  <si>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</si>
  <si>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</si>
  <si>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</si>
  <si>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</si>
  <si>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</si>
  <si>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</si>
  <si>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</si>
  <si>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</si>
  <si>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</si>
  <si>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</si>
  <si>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</si>
  <si>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</si>
  <si>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</si>
  <si>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</si>
  <si>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</si>
  <si>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</si>
  <si>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</si>
  <si>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</si>
  <si>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</si>
  <si>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</si>
  <si>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</si>
  <si>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</si>
  <si>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</si>
  <si>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</si>
  <si>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</si>
  <si>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</si>
  <si>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</si>
  <si>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</si>
  <si>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</si>
  <si>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</si>
  <si>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</si>
  <si>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</si>
  <si>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</si>
  <si>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</si>
  <si>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</si>
  <si>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</si>
  <si>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</si>
  <si>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</si>
  <si>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</si>
  <si>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</si>
  <si>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</si>
  <si>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</si>
  <si>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</si>
  <si>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</si>
  <si>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</si>
  <si>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</si>
  <si>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</si>
  <si>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</si>
  <si>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</si>
  <si>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</si>
  <si>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</si>
  <si>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</si>
  <si>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</si>
  <si>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</si>
  <si>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</si>
  <si>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</si>
  <si>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</si>
  <si>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</si>
  <si>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</si>
  <si>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</si>
  <si>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</si>
  <si>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</si>
  <si>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</si>
  <si>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</si>
  <si>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</si>
  <si>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</si>
  <si>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</si>
  <si>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</si>
  <si>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</si>
  <si>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</si>
  <si>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</si>
  <si>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</si>
  <si>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</si>
  <si>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</si>
  <si>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</si>
  <si>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</si>
  <si>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</si>
  <si>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</si>
  <si>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</si>
  <si>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</si>
  <si>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</si>
  <si>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</si>
  <si>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</si>
  <si>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</si>
  <si>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</si>
  <si>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</si>
  <si>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</si>
  <si>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</si>
  <si>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</si>
  <si>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</si>
  <si>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</si>
  <si>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</si>
  <si>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</si>
  <si>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</si>
  <si>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</si>
  <si>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</si>
  <si>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</si>
  <si>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</si>
  <si>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</si>
  <si>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</si>
  <si>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</si>
  <si>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</si>
  <si>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</si>
  <si>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</si>
  <si>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</si>
  <si>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</si>
  <si>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</si>
  <si>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</si>
  <si>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</si>
  <si>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</si>
  <si>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</si>
  <si>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</si>
  <si>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</si>
  <si>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</si>
  <si>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</si>
  <si>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</si>
  <si>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</si>
  <si>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</si>
  <si>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</si>
  <si>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</si>
  <si>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</si>
  <si>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</si>
  <si>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</si>
  <si>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</si>
  <si>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</si>
  <si>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</si>
  <si>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</si>
  <si>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</si>
  <si>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</si>
  <si>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</si>
  <si>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</si>
  <si>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</si>
  <si>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</si>
  <si>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</si>
  <si>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</si>
  <si>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</si>
  <si>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</si>
  <si>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</si>
  <si>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</si>
  <si>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</si>
  <si>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</si>
  <si>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</si>
  <si>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</si>
  <si>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</si>
  <si>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</si>
  <si>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</si>
  <si>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</si>
  <si>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</si>
  <si>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</si>
  <si>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</si>
  <si>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</si>
  <si>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</si>
  <si>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</si>
  <si>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</si>
  <si>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</si>
  <si>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</si>
  <si>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</si>
  <si>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</si>
  <si>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</si>
  <si>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</si>
  <si>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</si>
  <si>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</si>
  <si>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</si>
  <si>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</si>
  <si>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</si>
  <si>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</si>
  <si>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</si>
  <si>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</si>
  <si>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</si>
  <si>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</si>
  <si>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</si>
  <si>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</si>
  <si>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</si>
  <si>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</si>
  <si>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</si>
  <si>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</si>
  <si>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</si>
  <si>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</si>
  <si>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</si>
  <si>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</si>
  <si>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</si>
  <si>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</si>
  <si>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</si>
  <si>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</si>
  <si>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</si>
  <si>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</si>
  <si>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</si>
  <si>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</si>
  <si>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</si>
  <si>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</si>
  <si>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</si>
  <si>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</si>
  <si>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</si>
  <si>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</si>
  <si>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</si>
  <si>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</si>
  <si>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</si>
  <si>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</si>
  <si>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</si>
  <si>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</si>
  <si>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</si>
  <si>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</si>
  <si>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</si>
  <si>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</si>
  <si>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</si>
  <si>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</si>
  <si>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</si>
  <si>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</si>
  <si>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</si>
  <si>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</si>
  <si>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</si>
  <si>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</si>
  <si>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</si>
  <si>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</si>
  <si>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</si>
  <si>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</si>
  <si>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</si>
  <si>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</si>
  <si>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</si>
  <si>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</si>
  <si>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</si>
  <si>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</si>
  <si>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</si>
  <si>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</si>
  <si>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</si>
  <si>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</si>
  <si>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</si>
  <si>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</si>
  <si>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</si>
  <si>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</si>
  <si>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</si>
  <si>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</si>
  <si>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</si>
  <si>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</si>
  <si>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</si>
  <si>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</si>
  <si>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</si>
  <si>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</si>
  <si>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</si>
  <si>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</si>
  <si>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</si>
  <si>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</si>
  <si>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</si>
  <si>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</si>
  <si>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</si>
  <si>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</si>
  <si>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</si>
  <si>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</si>
  <si>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</si>
  <si>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</si>
  <si>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</si>
  <si>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</si>
  <si>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</si>
  <si>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</si>
  <si>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</si>
  <si>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</si>
  <si>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</si>
  <si>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</si>
  <si>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</si>
  <si>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</si>
  <si>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</si>
  <si>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</si>
  <si>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</si>
  <si>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</si>
  <si>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</si>
  <si>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</si>
  <si>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</si>
  <si>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</si>
  <si>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</si>
  <si>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</si>
  <si>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</si>
  <si>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</si>
  <si>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</si>
  <si>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</si>
  <si>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</si>
  <si>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</si>
  <si>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</si>
  <si>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</si>
  <si>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</si>
  <si>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</si>
  <si>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</si>
  <si>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</si>
  <si>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</si>
  <si>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</si>
  <si>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</si>
  <si>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</si>
  <si>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</si>
  <si>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</si>
  <si>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</si>
  <si>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</si>
  <si>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</si>
  <si>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</si>
  <si>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</si>
  <si>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</si>
  <si>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</si>
  <si>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</si>
  <si>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</si>
  <si>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</si>
  <si>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</si>
  <si>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</si>
  <si>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</si>
  <si>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</si>
  <si>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</si>
  <si>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</si>
  <si>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</si>
  <si>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</si>
  <si>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</si>
  <si>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</si>
  <si>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</si>
  <si>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</si>
  <si>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</si>
  <si>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</si>
  <si>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</si>
  <si>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</si>
  <si>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</si>
  <si>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</si>
  <si>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</si>
  <si>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</si>
  <si>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</si>
  <si>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</si>
  <si>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</si>
  <si>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</si>
  <si>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</si>
  <si>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</si>
  <si>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</si>
  <si>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</si>
  <si>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</si>
  <si>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</si>
  <si>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</si>
  <si>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</si>
  <si>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</si>
  <si>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</si>
  <si>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</si>
  <si>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</si>
  <si>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</si>
  <si>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</si>
  <si>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</si>
  <si>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</si>
  <si>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</si>
  <si>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</si>
  <si>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</si>
  <si>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</si>
  <si>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</si>
  <si>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</si>
  <si>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</si>
  <si>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</si>
  <si>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</si>
  <si>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</si>
  <si>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</si>
  <si>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</si>
  <si>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</si>
  <si>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</si>
  <si>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</si>
  <si>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</si>
  <si>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</si>
  <si>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</si>
  <si>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</si>
  <si>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</si>
  <si>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</si>
  <si>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</si>
  <si>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</si>
  <si>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</si>
  <si>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</si>
  <si>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</si>
  <si>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</si>
  <si>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</si>
  <si>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</si>
  <si>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</si>
  <si>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</si>
  <si>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</si>
  <si>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</si>
  <si>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</si>
  <si>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</si>
  <si>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</si>
  <si>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</si>
  <si>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</si>
  <si>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</si>
  <si>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</si>
  <si>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</si>
  <si>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</si>
  <si>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</si>
  <si>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</si>
  <si>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</si>
  <si>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</si>
  <si>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</si>
  <si>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</si>
  <si>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</si>
  <si>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</si>
  <si>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</si>
  <si>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</si>
  <si>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</si>
  <si>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</si>
  <si>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</si>
  <si>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</si>
  <si>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</si>
  <si>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</si>
  <si>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</si>
  <si>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</si>
  <si>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</si>
  <si>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</si>
  <si>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</si>
  <si>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</si>
  <si>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</si>
  <si>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</si>
  <si>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</si>
  <si>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</si>
  <si>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</si>
  <si>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</si>
  <si>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</si>
  <si>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</si>
  <si>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</si>
  <si>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</si>
  <si>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</si>
  <si>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</si>
  <si>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</si>
  <si>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</si>
  <si>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</si>
  <si>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</si>
  <si>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</si>
  <si>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</si>
  <si>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</si>
  <si>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</si>
  <si>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</si>
  <si>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</si>
  <si>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</si>
  <si>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</si>
  <si>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</si>
  <si>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</si>
  <si>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</si>
  <si>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</si>
  <si>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</si>
  <si>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</si>
  <si>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</si>
  <si>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</si>
  <si>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</si>
  <si>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</si>
  <si>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</si>
  <si>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</si>
  <si>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</si>
  <si>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</si>
  <si>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</si>
  <si>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</si>
  <si>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</si>
  <si>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</si>
  <si>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</si>
  <si>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</si>
  <si>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</si>
  <si>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</si>
  <si>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</si>
  <si>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</si>
  <si>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</si>
  <si>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</si>
  <si>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</si>
  <si>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</si>
  <si>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</si>
  <si>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</si>
  <si>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</si>
  <si>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</si>
  <si>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</si>
  <si>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</si>
  <si>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</si>
  <si>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</si>
  <si>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</si>
  <si>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</si>
  <si>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</si>
  <si>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</si>
  <si>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</si>
  <si>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</si>
  <si>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</si>
  <si>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</si>
  <si>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</si>
  <si>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</si>
  <si>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</si>
  <si>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</si>
  <si>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</si>
  <si>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</si>
  <si>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</si>
  <si>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</si>
  <si>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</si>
  <si>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</si>
  <si>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</si>
  <si>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</si>
  <si>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</si>
  <si>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</si>
  <si>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</si>
  <si>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</si>
  <si>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</si>
  <si>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</si>
  <si>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</si>
  <si>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</si>
  <si>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</si>
  <si>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</si>
  <si>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</si>
  <si>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</si>
  <si>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</si>
  <si>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</si>
  <si>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</si>
  <si>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</si>
  <si>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</si>
  <si>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</si>
  <si>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</si>
  <si>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</si>
  <si>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</si>
  <si>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</si>
  <si>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</si>
  <si>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</si>
  <si>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</si>
  <si>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</si>
  <si>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</si>
  <si>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</si>
  <si>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</si>
  <si>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</si>
  <si>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</si>
  <si>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</si>
  <si>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</si>
  <si>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</si>
  <si>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</si>
  <si>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</si>
  <si>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</si>
  <si>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</si>
  <si>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</si>
  <si>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</si>
  <si>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</si>
  <si>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</si>
  <si>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</si>
  <si>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</si>
  <si>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</si>
  <si>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</si>
  <si>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</si>
  <si>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</si>
  <si>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</si>
  <si>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</si>
  <si>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</si>
  <si>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</si>
  <si>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</si>
  <si>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</si>
  <si>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</si>
  <si>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</si>
  <si>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</si>
  <si>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</si>
  <si>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</si>
  <si>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</si>
  <si>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</si>
  <si>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</si>
  <si>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</si>
  <si>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</si>
  <si>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</si>
  <si>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</si>
  <si>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</si>
  <si>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</si>
  <si>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</si>
  <si>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</si>
  <si>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</si>
  <si>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</si>
  <si>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</si>
  <si>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</si>
  <si>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</si>
  <si>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</si>
  <si>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</si>
  <si>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</si>
  <si>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</si>
  <si>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</si>
  <si>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</si>
  <si>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</si>
  <si>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</si>
  <si>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</si>
  <si>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</si>
  <si>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</si>
  <si>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</si>
  <si>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</si>
  <si>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</si>
  <si>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</si>
  <si>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</si>
  <si>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</si>
  <si>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</si>
  <si>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</si>
  <si>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</si>
  <si>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</si>
  <si>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</si>
  <si>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</si>
  <si>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</si>
  <si>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</si>
  <si>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</si>
  <si>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</si>
  <si>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</si>
  <si>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</si>
  <si>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</si>
  <si>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</si>
  <si>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</si>
  <si>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</si>
  <si>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</si>
  <si>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</si>
  <si>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</si>
  <si>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</si>
  <si>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</si>
  <si>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</si>
  <si>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</si>
  <si>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</si>
  <si>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</si>
  <si>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</si>
  <si>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</si>
  <si>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</si>
  <si>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</si>
  <si>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</si>
  <si>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</si>
  <si>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</si>
  <si>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</si>
  <si>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</si>
  <si>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</si>
  <si>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</si>
  <si>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</si>
  <si>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</si>
  <si>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</si>
  <si>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</si>
  <si>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</si>
  <si>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</si>
  <si>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</si>
  <si>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</si>
  <si>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</si>
  <si>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</si>
  <si>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</si>
  <si>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</si>
  <si>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</si>
  <si>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</si>
  <si>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</si>
  <si>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</si>
  <si>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</si>
  <si>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</si>
  <si>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</si>
  <si>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</si>
  <si>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</si>
  <si>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</si>
  <si>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</si>
  <si>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</si>
  <si>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</si>
  <si>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</si>
  <si>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</si>
  <si>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</si>
  <si>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</si>
  <si>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</si>
  <si>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</si>
  <si>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</si>
  <si>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</si>
  <si>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</si>
  <si>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</si>
  <si>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</si>
  <si>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</si>
  <si>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</si>
  <si>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</si>
  <si>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</si>
  <si>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</si>
  <si>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</si>
  <si>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</si>
  <si>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</si>
  <si>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</si>
  <si>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</si>
  <si>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</si>
  <si>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</si>
  <si>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</si>
  <si>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</si>
  <si>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</si>
  <si>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</si>
  <si>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</si>
  <si>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</si>
  <si>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</si>
  <si>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</si>
  <si>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</si>
  <si>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</si>
  <si>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</si>
  <si>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</si>
  <si>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</si>
  <si>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</si>
  <si>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</si>
  <si>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</si>
  <si>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</si>
  <si>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</si>
  <si>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</si>
  <si>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</si>
  <si>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</si>
  <si>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</si>
  <si>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</si>
  <si>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</si>
  <si>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</si>
  <si>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</si>
  <si>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</si>
  <si>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</si>
  <si>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</si>
  <si>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</si>
  <si>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</si>
  <si>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</si>
  <si>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</si>
  <si>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</si>
  <si>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</si>
  <si>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</si>
  <si>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</si>
  <si>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</si>
  <si>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</si>
  <si>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</si>
  <si>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</si>
  <si>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</si>
  <si>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</si>
  <si>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</si>
  <si>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</si>
  <si>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</si>
  <si>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</si>
  <si>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</si>
  <si>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</si>
  <si>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</si>
  <si>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</si>
  <si>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</si>
  <si>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</si>
  <si>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</si>
  <si>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</si>
  <si>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</si>
  <si>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</si>
  <si>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</si>
  <si>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</si>
  <si>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</si>
  <si>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</si>
  <si>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</si>
  <si>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</si>
  <si>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</si>
  <si>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</si>
  <si>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</si>
  <si>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</si>
  <si>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</si>
  <si>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</si>
  <si>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</si>
  <si>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</si>
  <si>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</si>
  <si>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</si>
  <si>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</si>
  <si>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</si>
  <si>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</si>
  <si>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</si>
  <si>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</si>
  <si>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</si>
  <si>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</si>
  <si>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</si>
  <si>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</si>
  <si>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</si>
  <si>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</si>
  <si>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</si>
  <si>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</si>
  <si>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</si>
  <si>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</si>
  <si>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</si>
  <si>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</si>
  <si>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</si>
  <si>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</si>
  <si>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</si>
  <si>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</si>
  <si>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</si>
  <si>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</si>
  <si>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</si>
  <si>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</si>
  <si>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</si>
  <si>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</si>
  <si>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</si>
  <si>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</si>
  <si>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</si>
  <si>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</si>
  <si>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</si>
  <si>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</si>
  <si>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</si>
  <si>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</si>
  <si>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</si>
  <si>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</si>
  <si>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</si>
  <si>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</si>
  <si>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</si>
  <si>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</si>
  <si>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</si>
  <si>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</si>
  <si>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</si>
  <si>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</si>
  <si>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</si>
  <si>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</si>
  <si>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</si>
  <si>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</si>
  <si>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</si>
  <si>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</si>
  <si>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</si>
  <si>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</si>
  <si>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</si>
  <si>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</si>
  <si>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</si>
  <si>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</si>
  <si>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</si>
  <si>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</si>
  <si>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</si>
  <si>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</si>
  <si>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</si>
  <si>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</si>
  <si>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</si>
  <si>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</si>
  <si>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</si>
  <si>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</si>
  <si>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</si>
  <si>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</si>
  <si>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</si>
  <si>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</si>
  <si>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</si>
  <si>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</si>
  <si>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</si>
  <si>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</si>
  <si>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</si>
  <si>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</si>
  <si>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</si>
  <si>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</si>
  <si>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</si>
  <si>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</si>
  <si>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</si>
  <si>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</si>
  <si>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</si>
  <si>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</si>
  <si>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</si>
  <si>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</si>
  <si>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</si>
  <si>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</si>
  <si>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</si>
  <si>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</si>
  <si>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</si>
  <si>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</si>
  <si>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</si>
  <si>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</si>
  <si>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</si>
  <si>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</si>
  <si>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</si>
  <si>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</si>
  <si>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</si>
  <si>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</si>
  <si>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</si>
  <si>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</si>
  <si>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</si>
  <si>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</si>
  <si>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</si>
  <si>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</si>
  <si>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</si>
  <si>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</si>
  <si>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</si>
  <si>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</si>
  <si>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</si>
  <si>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</si>
  <si>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</si>
  <si>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</si>
  <si>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</si>
  <si>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</si>
  <si>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</si>
  <si>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</si>
  <si>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</si>
  <si>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</si>
  <si>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</si>
  <si>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</si>
  <si>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</si>
  <si>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</si>
  <si>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</si>
  <si>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</si>
  <si>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</si>
  <si>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</si>
  <si>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</si>
  <si>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</si>
  <si>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</si>
  <si>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</si>
  <si>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</si>
  <si>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</si>
  <si>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</si>
  <si>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</si>
  <si>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</si>
  <si>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</si>
  <si>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</si>
  <si>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</si>
  <si>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</si>
  <si>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</si>
  <si>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</si>
  <si>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</si>
  <si>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</si>
  <si>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</si>
  <si>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</si>
  <si>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</si>
  <si>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</si>
  <si>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</si>
  <si>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</si>
  <si>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</si>
  <si>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</si>
  <si>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</si>
  <si>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</si>
  <si>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</si>
  <si>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</si>
  <si>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</si>
  <si>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</si>
  <si>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</si>
  <si>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</si>
  <si>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</si>
  <si>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</si>
  <si>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</si>
  <si>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</si>
  <si>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</si>
  <si>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0001</t>
  </si>
  <si>
    <t>Delta Stewardship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</si>
</sst>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zoomScale="85" zoomScaleNormal="85" workbookViewId="0">
      <selection activeCell="L43" sqref="L43"/>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1643</v>
      </c>
      <c r="G4" s="168"/>
      <c r="H4" s="168"/>
      <c r="I4" s="168"/>
    </row>
    <row r="5" spans="1:17" ht="15.75" x14ac:dyDescent="0.2">
      <c r="A5" s="169" t="s">
        <v>1602</v>
      </c>
      <c r="B5" s="169"/>
      <c r="C5" s="169"/>
      <c r="D5" s="169"/>
      <c r="E5" s="169"/>
      <c r="F5" s="170" t="s">
        <v>702</v>
      </c>
      <c r="G5" s="170"/>
      <c r="H5" s="170"/>
      <c r="I5" s="170"/>
      <c r="J5" s="47"/>
      <c r="K5" s="47"/>
      <c r="L5" s="48"/>
      <c r="M5" s="48"/>
      <c r="N5" s="48"/>
    </row>
    <row r="6" spans="1:17" ht="15.75" x14ac:dyDescent="0.2">
      <c r="A6" s="169" t="s">
        <v>1</v>
      </c>
      <c r="B6" s="169"/>
      <c r="C6" s="169"/>
      <c r="D6" s="169"/>
      <c r="E6" s="169"/>
      <c r="F6" s="171" t="s">
        <v>1642</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RESOURCES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1016016</v>
      </c>
      <c r="K28" s="33"/>
      <c r="L28" s="54"/>
    </row>
    <row r="29" spans="1:17" ht="16.5" customHeight="1" x14ac:dyDescent="0.25">
      <c r="A29" s="56"/>
      <c r="B29" s="57"/>
      <c r="C29" s="165" t="s">
        <v>1578</v>
      </c>
      <c r="D29" s="165"/>
      <c r="E29" s="165"/>
      <c r="F29" s="165"/>
      <c r="G29" s="165"/>
      <c r="H29" s="165"/>
      <c r="I29" s="165"/>
      <c r="J29" s="33"/>
      <c r="K29" s="32">
        <v>1016016</v>
      </c>
      <c r="L29" s="54"/>
    </row>
    <row r="30" spans="1:17" ht="16.5" customHeight="1" x14ac:dyDescent="0.25">
      <c r="A30" s="56"/>
      <c r="B30" s="57"/>
      <c r="C30" s="165" t="str">
        <f>VLOOKUP($F$8,'Drop Down Menus'!$D$2:$G$10,4,FALSE)</f>
        <v>Cr: Acct 0820 - NAT RES &amp; ENVIRON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1016016</v>
      </c>
      <c r="K31" s="29">
        <f>ROUND(SUM(K28:K30),2)</f>
        <v>1016016</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1016016</v>
      </c>
      <c r="K34" s="70"/>
      <c r="L34" s="54"/>
    </row>
    <row r="35" spans="1:12" ht="16.5" customHeight="1" x14ac:dyDescent="0.2">
      <c r="B35" s="165" t="s">
        <v>1579</v>
      </c>
      <c r="C35" s="165"/>
      <c r="D35" s="165"/>
      <c r="E35" s="165"/>
      <c r="F35" s="165"/>
      <c r="G35" s="165"/>
      <c r="H35" s="165"/>
      <c r="I35" s="165"/>
      <c r="J35" s="32">
        <v>1016016</v>
      </c>
      <c r="K35" s="36"/>
    </row>
    <row r="36" spans="1:12" ht="16.5" customHeight="1" x14ac:dyDescent="0.2">
      <c r="A36" s="56"/>
      <c r="B36" s="71"/>
      <c r="C36" s="165" t="s">
        <v>1581</v>
      </c>
      <c r="D36" s="165"/>
      <c r="E36" s="165"/>
      <c r="F36" s="165"/>
      <c r="G36" s="165"/>
      <c r="H36" s="165"/>
      <c r="I36" s="165"/>
      <c r="J36" s="36"/>
      <c r="K36" s="32">
        <v>1016016</v>
      </c>
    </row>
    <row r="37" spans="1:12" ht="16.5" customHeight="1" x14ac:dyDescent="0.2">
      <c r="A37" s="56"/>
      <c r="C37" s="165" t="s">
        <v>1626</v>
      </c>
      <c r="D37" s="165"/>
      <c r="E37" s="165"/>
      <c r="F37" s="165"/>
      <c r="G37" s="165"/>
      <c r="H37" s="165"/>
      <c r="I37" s="165"/>
      <c r="J37" s="36"/>
      <c r="K37" s="32">
        <v>1016016</v>
      </c>
    </row>
    <row r="38" spans="1:12" ht="16.5" customHeight="1" x14ac:dyDescent="0.25">
      <c r="A38" s="56"/>
      <c r="B38" s="57"/>
      <c r="C38" s="165" t="str">
        <f>VLOOKUP($F$8,'Drop Down Menus'!$D$2:$G$10,4,FALSE)</f>
        <v>Cr: Acct 0820 - NAT RES &amp; ENVIRON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2032032</v>
      </c>
      <c r="K39" s="29">
        <f>ROUND(SUM(K36:K38),2)</f>
        <v>2032032</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480910</v>
      </c>
      <c r="K45" s="33"/>
    </row>
    <row r="46" spans="1:12" ht="16.5" customHeight="1" x14ac:dyDescent="0.2">
      <c r="A46" s="56"/>
      <c r="B46" s="71"/>
      <c r="C46" s="165" t="s">
        <v>1587</v>
      </c>
      <c r="D46" s="165"/>
      <c r="E46" s="165"/>
      <c r="F46" s="165"/>
      <c r="G46" s="165"/>
      <c r="H46" s="165"/>
      <c r="I46" s="165"/>
      <c r="J46" s="36"/>
      <c r="K46" s="32">
        <f>J45</f>
        <v>480910</v>
      </c>
    </row>
    <row r="47" spans="1:12" ht="16.5" customHeight="1" x14ac:dyDescent="0.2">
      <c r="A47" s="68"/>
      <c r="B47" s="58"/>
      <c r="C47" s="58"/>
      <c r="D47" s="58"/>
      <c r="E47" s="58"/>
      <c r="F47" s="58"/>
      <c r="G47" s="58"/>
      <c r="H47" s="58"/>
      <c r="I47" s="58"/>
      <c r="J47" s="39">
        <f>ROUND(SUM(J45:J45),2)</f>
        <v>480910</v>
      </c>
      <c r="K47" s="39">
        <f>ROUND(SUM(K46),2)</f>
        <v>480910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384508</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22363</v>
      </c>
      <c r="K51" s="81"/>
    </row>
    <row r="52" spans="1:12" ht="16.5" customHeight="1" x14ac:dyDescent="0.25">
      <c r="A52" s="56"/>
      <c r="B52" s="57"/>
      <c r="C52" s="165" t="str">
        <f>VLOOKUP($F$8,'Drop Down Menus'!$D$2:$G$10,4,FALSE)</f>
        <v>Cr: Acct 0820 - NAT RES &amp; ENVIRON (GAAP ADJ)</v>
      </c>
      <c r="D52" s="165"/>
      <c r="E52" s="165"/>
      <c r="F52" s="165"/>
      <c r="G52" s="165"/>
      <c r="H52" s="165"/>
      <c r="I52" s="165"/>
      <c r="J52" s="81"/>
      <c r="K52" s="38">
        <f>+J50+J51</f>
        <v>406871</v>
      </c>
    </row>
    <row r="53" spans="1:12" ht="16.5" customHeight="1" x14ac:dyDescent="0.2">
      <c r="A53" s="68"/>
      <c r="B53" s="58"/>
      <c r="C53" s="58"/>
      <c r="D53" s="58"/>
      <c r="E53" s="58"/>
      <c r="F53" s="58"/>
      <c r="G53" s="58"/>
      <c r="H53" s="58"/>
      <c r="I53" s="58"/>
      <c r="J53" s="39">
        <f>ROUND(SUM(J50:J51),2)</f>
        <v>406871</v>
      </c>
      <c r="K53" s="39">
        <f>ROUND(SUM(K52,),2)</f>
        <v>406871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384508</v>
      </c>
      <c r="K56" s="36"/>
    </row>
    <row r="57" spans="1:12" ht="16.5" customHeight="1" x14ac:dyDescent="0.25">
      <c r="A57" s="56"/>
      <c r="B57" s="57"/>
      <c r="C57" s="165" t="s">
        <v>1613</v>
      </c>
      <c r="D57" s="165"/>
      <c r="E57" s="165"/>
      <c r="F57" s="165"/>
      <c r="G57" s="165"/>
      <c r="H57" s="165"/>
      <c r="I57" s="165"/>
      <c r="J57" s="36"/>
      <c r="K57" s="32">
        <f>J50</f>
        <v>384508</v>
      </c>
    </row>
    <row r="58" spans="1:12" ht="16.5" customHeight="1" x14ac:dyDescent="0.2">
      <c r="A58" s="68"/>
      <c r="B58" s="58"/>
      <c r="C58" s="58"/>
      <c r="D58" s="58"/>
      <c r="E58" s="58"/>
      <c r="F58" s="58"/>
      <c r="G58" s="58"/>
      <c r="H58" s="58"/>
      <c r="I58" s="58"/>
      <c r="J58" s="39">
        <f>ROUND(SUM(J56:J56),2)</f>
        <v>384508</v>
      </c>
      <c r="K58" s="39">
        <f>ROUND(SUM(K57),2)</f>
        <v>384508</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623460</v>
      </c>
      <c r="K61" s="33"/>
    </row>
    <row r="62" spans="1:12" ht="16.5" customHeight="1" x14ac:dyDescent="0.25">
      <c r="A62" s="56"/>
      <c r="B62" s="57"/>
      <c r="C62" s="165" t="s">
        <v>1623</v>
      </c>
      <c r="D62" s="165"/>
      <c r="E62" s="165"/>
      <c r="F62" s="165"/>
      <c r="G62" s="165"/>
      <c r="H62" s="165"/>
      <c r="I62" s="165"/>
      <c r="J62" s="33"/>
      <c r="K62" s="32">
        <f>J61</f>
        <v>623460</v>
      </c>
    </row>
    <row r="63" spans="1:12" ht="16.5" customHeight="1" x14ac:dyDescent="0.2">
      <c r="A63" s="56"/>
      <c r="B63" s="179" t="s">
        <v>1622</v>
      </c>
      <c r="C63" s="179"/>
      <c r="D63" s="179"/>
      <c r="E63" s="179"/>
      <c r="F63" s="179"/>
      <c r="G63" s="179"/>
      <c r="H63" s="179"/>
      <c r="I63" s="179"/>
      <c r="J63" s="39">
        <f>ROUND(SUM(J61:J61),2)</f>
        <v>623460</v>
      </c>
      <c r="K63" s="39">
        <f>ROUND(SUM(K62),2)</f>
        <v>623460</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0820 - NAT RES &amp; ENVIRON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0820 - NAT RES &amp; ENVIRON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1016016</v>
      </c>
    </row>
    <row r="95" spans="1:12" ht="16.5" customHeight="1" x14ac:dyDescent="0.25">
      <c r="D95" s="57" t="s">
        <v>1641</v>
      </c>
      <c r="E95"/>
      <c r="F95"/>
      <c r="G95"/>
      <c r="H95" s="44"/>
      <c r="I95"/>
      <c r="J95"/>
      <c r="K95" s="162">
        <f>-K18-K46+J68+J77</f>
        <v>-480910</v>
      </c>
    </row>
    <row r="96" spans="1:12" ht="16.5" customHeight="1" x14ac:dyDescent="0.25">
      <c r="D96" s="57" t="s">
        <v>1639</v>
      </c>
      <c r="E96"/>
      <c r="F96"/>
      <c r="G96"/>
      <c r="H96" s="44"/>
      <c r="I96"/>
      <c r="J96"/>
      <c r="K96" s="162">
        <f>-K19-K37+J56+J61+J76-K85</f>
        <v>-8048</v>
      </c>
    </row>
    <row r="97" spans="1:11" ht="16.5" customHeight="1" x14ac:dyDescent="0.25">
      <c r="D97" s="57" t="s">
        <v>1640</v>
      </c>
      <c r="E97"/>
      <c r="F97"/>
      <c r="G97"/>
      <c r="H97" s="44"/>
      <c r="I97"/>
      <c r="J97"/>
      <c r="K97" s="162">
        <f>-K62</f>
        <v>-623460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abSelected="1" zoomScaleNormal="100" workbookViewId="0">
      <selection activeCell="B21" sqref="B21"/>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3885</v>
      </c>
      <c r="C12" s="187"/>
    </row>
    <row r="13" spans="1:11" ht="15.75" x14ac:dyDescent="0.25">
      <c r="A13" s="92" t="s">
        <v>1600</v>
      </c>
      <c r="B13" s="191" t="s">
        <v>1643</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623460</v>
      </c>
      <c r="C16" s="2">
        <v>18884</v>
      </c>
      <c r="D16" s="193" t="s">
        <v>1537</v>
      </c>
      <c r="E16" s="97"/>
      <c r="F16" s="97"/>
      <c r="G16" s="97"/>
      <c r="H16" s="97"/>
      <c r="I16" s="97"/>
      <c r="J16" s="97"/>
      <c r="K16" s="97"/>
    </row>
    <row r="17" spans="1:11" ht="15" customHeight="1" x14ac:dyDescent="0.2">
      <c r="A17" s="94" t="str">
        <f>LEFT(A16,4)+1&amp;"–"&amp;RIGHT(A16,4)+1</f>
        <v>2024–2025</v>
      </c>
      <c r="B17" s="2">
        <v>8048</v>
      </c>
      <c r="C17" s="2">
        <v>16</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3885</v>
      </c>
      <c r="C43" s="189"/>
    </row>
    <row r="44" spans="1:11" ht="15.75" x14ac:dyDescent="0.25">
      <c r="A44" s="92" t="s">
        <v>1600</v>
      </c>
      <c r="B44" s="190" t="str">
        <f>B13</f>
        <v>Delta Stewardship Council</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3885</v>
      </c>
      <c r="C74" s="189"/>
    </row>
    <row r="75" spans="1:4" ht="15.75" x14ac:dyDescent="0.25">
      <c r="A75" s="92" t="s">
        <v>1600</v>
      </c>
      <c r="B75" s="190" t="str">
        <f>B13</f>
        <v>Delta Stewardship Council</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h2L9kGw21+RkPEHsg17XwmxHGtUCPWh304ddbiUaaURklH3qA9mlGFiMar/S4C/ArqhqhD4fJHUKnaamiGoUZQ==" saltValue="cmoMBvfWRlve4UerM+dC1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3885 Delta Stewardship Council</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f>
        <v>0</v>
      </c>
      <c r="H10" s="3">
        <f>IF('Fund 0001 Journal Entries'!$F$7="Governmental Fund",'Fund 0001 Journal Entries'!$K$37,0)</f>
        <v>1016016</v>
      </c>
      <c r="J10" s="3">
        <f>IF('Fund 0001 Journal Entries'!$F$7="Governmental Fund",'Fund 0001 Journal Entries'!$J$56,0)</f>
        <v>384508</v>
      </c>
      <c r="L10" s="119">
        <f>SUM(F10+H10-J10)</f>
        <v>631508</v>
      </c>
      <c r="N10" s="3">
        <f>IF('Fund 0001 Journal Entries'!$F$7="Governmental Fund",'Fund 0001 Journal Entries'!$J$61,0)</f>
        <v>623460</v>
      </c>
      <c r="P10" s="119">
        <f>L10-N10</f>
        <v>8048</v>
      </c>
      <c r="Q10" s="109"/>
    </row>
    <row r="11" spans="2:17" ht="19.5" thickTop="1" thickBot="1" x14ac:dyDescent="0.3">
      <c r="B11" s="107"/>
      <c r="C11" s="195" t="s">
        <v>15</v>
      </c>
      <c r="D11" s="195"/>
      <c r="F11" s="120">
        <f>SUM(F10:F10)</f>
        <v>0</v>
      </c>
      <c r="H11" s="120">
        <f>SUM(H10:H10)</f>
        <v>1016016</v>
      </c>
      <c r="J11" s="120">
        <f>SUM(J10:J10)</f>
        <v>384508</v>
      </c>
      <c r="L11" s="120">
        <f>SUM(L10:L10)</f>
        <v>631508</v>
      </c>
      <c r="N11" s="120">
        <f>SUM(N10:N10)</f>
        <v>623460</v>
      </c>
      <c r="P11" s="120">
        <f>SUM(P10:P10)</f>
        <v>8048</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B19" sqref="B19:M19"/>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0</v>
      </c>
      <c r="C16" s="15" t="s">
        <v>1552</v>
      </c>
      <c r="D16" s="14">
        <f>IF('Fund 0001 Journal Entries'!$F$7="Governmental Fund",ROUND('Fund 0001 Journal Entries'!$K$37,0),0)</f>
        <v>1016016</v>
      </c>
      <c r="E16" s="16" t="s">
        <v>1554</v>
      </c>
      <c r="F16" s="14">
        <f>IF('Fund 0001 Journal Entries'!$F$7="Governmental Fund",ROUND('Fund 0001 Journal Entries'!$J$56,0),0)</f>
        <v>384508</v>
      </c>
      <c r="G16" s="16" t="s">
        <v>1556</v>
      </c>
      <c r="H16" s="17">
        <f>+B16+D16-F16</f>
        <v>631508</v>
      </c>
      <c r="I16" s="16"/>
      <c r="J16" s="18">
        <f>ROUND(SUM('Department Note Disclosure'!$B$16:$B$39),0)</f>
        <v>631508</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623460</v>
      </c>
      <c r="G39" s="150"/>
      <c r="H39" s="150"/>
      <c r="I39" s="20"/>
      <c r="J39" s="18">
        <f>ROUND('Department Note Disclosure'!$B$16,0)</f>
        <v>623460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0001 Journal Entries'!$F$3,4)</f>
        <v>Balance July 1, 2022</v>
      </c>
      <c r="J61" s="22">
        <f>ROUND('SBITA Liabilities'!$F$10,0)</f>
        <v>0</v>
      </c>
      <c r="L61" s="19">
        <f>D61-J61</f>
        <v>0</v>
      </c>
    </row>
    <row r="62" spans="1:13" x14ac:dyDescent="0.25">
      <c r="B62" s="152" t="s">
        <v>1630</v>
      </c>
      <c r="D62" s="22">
        <f>$D$16</f>
        <v>1016016</v>
      </c>
      <c r="H62" s="154" t="s">
        <v>10</v>
      </c>
      <c r="J62" s="22">
        <f>ROUND('SBITA Liabilities'!$H$10,0)</f>
        <v>1016016</v>
      </c>
      <c r="L62" s="19">
        <f>D62-J62</f>
        <v>0</v>
      </c>
    </row>
    <row r="63" spans="1:13" x14ac:dyDescent="0.25">
      <c r="B63" s="152" t="s">
        <v>1555</v>
      </c>
      <c r="D63" s="22">
        <f>$F$16</f>
        <v>384508</v>
      </c>
      <c r="H63" s="154" t="s">
        <v>11</v>
      </c>
      <c r="J63" s="22">
        <f>ROUND('SBITA Liabilities'!$J$10,0)</f>
        <v>384508</v>
      </c>
      <c r="L63" s="19">
        <f>D63-J63</f>
        <v>0</v>
      </c>
    </row>
    <row r="64" spans="1:13" x14ac:dyDescent="0.25">
      <c r="B64" s="152" t="s">
        <v>1559</v>
      </c>
      <c r="D64" s="22">
        <f>$F$39</f>
        <v>623460</v>
      </c>
      <c r="H64" s="154" t="s">
        <v>12</v>
      </c>
      <c r="J64" s="22">
        <f>ROUND('SBITA Liabilities'!$N$10,0)</f>
        <v>623460</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76AC072-9788-4C68-A94D-5C4C41EBDC80}"/>
</file>

<file path=customXml/itemProps2.xml><?xml version="1.0" encoding="utf-8"?>
<ds:datastoreItem xmlns:ds="http://schemas.openxmlformats.org/officeDocument/2006/customXml" ds:itemID="{BE118F28-19AE-424C-9390-8DDFFD400051}"/>
</file>

<file path=customXml/itemProps3.xml><?xml version="1.0" encoding="utf-8"?>
<ds:datastoreItem xmlns:ds="http://schemas.openxmlformats.org/officeDocument/2006/customXml" ds:itemID="{0EB5FF5E-BA7F-4E6C-BF70-57F9D5611A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2024-05-07T00:45:07Z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