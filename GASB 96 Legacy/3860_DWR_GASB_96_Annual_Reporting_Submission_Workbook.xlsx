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EB462799-5C54-4D3D-A7CE-AADCBE6B5999}" xr6:coauthVersionLast="47" xr6:coauthVersionMax="47" xr10:uidLastSave="{00000000-0000-0000-0000-000000000000}"/>
  <bookViews>
    <workbookView xWindow="20370" yWindow="-120" windowWidth="38640" windowHeight="15840" tabRatio="856" xr2:uid="{00000000-000D-0000-FFFF-FFFF00000000}"/>
  </bookViews>
  <sheets>
    <sheet name="Fund 0001 Journal Entries" sheetId="2" r:id="rId1"/>
    <sheet name="Fund 0140 Journal Entries" sheetId="12" r:id="rId2"/>
    <sheet name="Fund 0465 Journal Entries" sheetId="13" r:id="rId3"/>
    <sheet name="Fund 0890 Journal Entries" sheetId="14" r:id="rId4"/>
    <sheet name="Fund 3057 Journal Entries" sheetId="15" r:id="rId5"/>
    <sheet name="Fund 3237 Journal Entries" sheetId="16" r:id="rId6"/>
    <sheet name="Fund 3398 Journal Entries" sheetId="17" r:id="rId7"/>
    <sheet name="Fund 6001 Journal Entries" sheetId="18" r:id="rId8"/>
    <sheet name="Fund 6005 Journal Entries" sheetId="19" r:id="rId9"/>
    <sheet name="Fund 6031 Journal Entries" sheetId="20" r:id="rId10"/>
    <sheet name="Fund 6051 Journal Entries" sheetId="21" r:id="rId11"/>
    <sheet name="Fund 6083 Journal Entries" sheetId="22" r:id="rId12"/>
    <sheet name="Fund 6088 Journal Entries" sheetId="23" r:id="rId13"/>
    <sheet name="Fund 0502 Journal Entries" sheetId="24" r:id="rId14"/>
    <sheet name="Fund 3100 Journal Entries" sheetId="25" r:id="rId15"/>
    <sheet name="Department Note Disclosure" sheetId="3" r:id="rId16"/>
    <sheet name="SBITA Liabilities" sheetId="4" r:id="rId17"/>
    <sheet name="Check Figures " sheetId="9" r:id="rId18"/>
    <sheet name="Drop Down Menus" sheetId="1" state="hidden" r:id="rId19"/>
    <sheet name="GAAP02Aindex" sheetId="7" state="hidden" r:id="rId20"/>
  </sheets>
  <definedNames>
    <definedName name="ActuaryCredentialsGASB" localSheetId="13">#REF!</definedName>
    <definedName name="ActuaryCredentialsGASB" localSheetId="14">#REF!</definedName>
    <definedName name="ActuaryCredentialsGASB">#REF!</definedName>
    <definedName name="ActuaryNameGASB" localSheetId="13">#REF!</definedName>
    <definedName name="ActuaryNameGASB" localSheetId="14">#REF!</definedName>
    <definedName name="ActuaryNameGASB">#REF!</definedName>
    <definedName name="ActuaryTitleGASB" localSheetId="13">#REF!</definedName>
    <definedName name="ActuaryTitleGASB" localSheetId="14">#REF!</definedName>
    <definedName name="ActuaryTitleGASB">#REF!</definedName>
    <definedName name="AdjCNSDate" localSheetId="13">#REF!</definedName>
    <definedName name="AdjCNSDate" localSheetId="14">#REF!</definedName>
    <definedName name="AdjCNSDate">#REF!</definedName>
    <definedName name="AdjCNSDate1" localSheetId="13">#REF!</definedName>
    <definedName name="AdjCNSDate1" localSheetId="14">#REF!</definedName>
    <definedName name="AdjCNSDate1">#REF!</definedName>
    <definedName name="AdjCNSDateTempEnable" localSheetId="13">#REF!</definedName>
    <definedName name="AdjCNSDateTempEnable" localSheetId="14">#REF!</definedName>
    <definedName name="AdjCNSDateTempEnable">#REF!</definedName>
    <definedName name="AgencyCode">#REF!</definedName>
    <definedName name="AgencyCode1">#REF!</definedName>
    <definedName name="AnalystGASB" localSheetId="13">#REF!</definedName>
    <definedName name="AnalystGASB" localSheetId="14">#REF!</definedName>
    <definedName name="AnalystGASB">#REF!</definedName>
    <definedName name="Annuity">#REF!</definedName>
    <definedName name="Annuity1">#REF!</definedName>
    <definedName name="AnnuityLY">#REF!</definedName>
    <definedName name="ASTABPF" localSheetId="13">#REF!</definedName>
    <definedName name="ASTABPF" localSheetId="14">#REF!</definedName>
    <definedName name="ASTABPF">#REF!</definedName>
    <definedName name="ASTABPF1" localSheetId="13">#REF!</definedName>
    <definedName name="ASTABPF1" localSheetId="14">#REF!</definedName>
    <definedName name="ASTABPF1">#REF!</definedName>
    <definedName name="ASTEBPF" localSheetId="13">#REF!</definedName>
    <definedName name="ASTEBPF" localSheetId="14">#REF!</definedName>
    <definedName name="ASTEBPF">#REF!</definedName>
    <definedName name="ClientShortGASB" localSheetId="13">#REF!</definedName>
    <definedName name="ClientShortGASB" localSheetId="14">#REF!</definedName>
    <definedName name="ClientShortGASB">#REF!</definedName>
    <definedName name="CLPOWERDisc" localSheetId="13">#REF!</definedName>
    <definedName name="CLPOWERDisc" localSheetId="14">#REF!</definedName>
    <definedName name="CLPOWERDisc">#REF!</definedName>
    <definedName name="CLPOWERDiscMinus1" localSheetId="13">#REF!</definedName>
    <definedName name="CLPOWERDiscMinus1" localSheetId="14">#REF!</definedName>
    <definedName name="CLPOWERDiscMinus1">#REF!</definedName>
    <definedName name="CLPOWERDiscPlus1" localSheetId="13">#REF!</definedName>
    <definedName name="CLPOWERDiscPlus1" localSheetId="14">#REF!</definedName>
    <definedName name="CLPOWERDiscPlus1">#REF!</definedName>
    <definedName name="CLPOWERExp" localSheetId="13">#REF!</definedName>
    <definedName name="CLPOWERExp" localSheetId="14">#REF!</definedName>
    <definedName name="CLPOWERExp">#REF!</definedName>
    <definedName name="CNSDateDisc" localSheetId="13">#REF!</definedName>
    <definedName name="CNSDateDisc" localSheetId="14">#REF!</definedName>
    <definedName name="CNSDateDisc">#REF!</definedName>
    <definedName name="CNSDateDisc1" localSheetId="13">#REF!</definedName>
    <definedName name="CNSDateDisc1" localSheetId="14">#REF!</definedName>
    <definedName name="CNSDateDisc1">#REF!</definedName>
    <definedName name="ColaRate" localSheetId="13">#REF!</definedName>
    <definedName name="ColaRate" localSheetId="14">#REF!</definedName>
    <definedName name="ColaRate">#REF!</definedName>
    <definedName name="ConsultantNameGASB" localSheetId="13">#REF!</definedName>
    <definedName name="ConsultantNameGASB" localSheetId="14">#REF!</definedName>
    <definedName name="ConsultantNameGASB">#REF!</definedName>
    <definedName name="ConsultantTitleGASB" localSheetId="13">#REF!</definedName>
    <definedName name="ConsultantTitleGASB" localSheetId="14">#REF!</definedName>
    <definedName name="ConsultantTitleGASB">#REF!</definedName>
    <definedName name="Disc1DELTACENSUS" localSheetId="13">#REF!</definedName>
    <definedName name="Disc1DELTACENSUS" localSheetId="14">#REF!</definedName>
    <definedName name="Disc1DELTACENSUS">#REF!</definedName>
    <definedName name="Disc1INTNDIV12" localSheetId="13">#REF!</definedName>
    <definedName name="Disc1INTNDIV12" localSheetId="14">#REF!</definedName>
    <definedName name="Disc1INTNDIV12">#REF!</definedName>
    <definedName name="Disc1SINTADJBOM" localSheetId="13">#REF!</definedName>
    <definedName name="Disc1SINTADJBOM" localSheetId="14">#REF!</definedName>
    <definedName name="Disc1SINTADJBOM">#REF!</definedName>
    <definedName name="Disc1SINTNDIV12" localSheetId="13">#REF!</definedName>
    <definedName name="Disc1SINTNDIV12" localSheetId="14">#REF!</definedName>
    <definedName name="Disc1SINTNDIV12">#REF!</definedName>
    <definedName name="DiscDELTACENSUS" localSheetId="13">#REF!</definedName>
    <definedName name="DiscDELTACENSUS" localSheetId="14">#REF!</definedName>
    <definedName name="DiscDELTACENSUS">#REF!</definedName>
    <definedName name="DiscINTADJBOM" localSheetId="13">#REF!</definedName>
    <definedName name="DiscINTADJBOM" localSheetId="14">#REF!</definedName>
    <definedName name="DiscINTADJBOM">#REF!</definedName>
    <definedName name="DiscINTNDIV12" localSheetId="13">#REF!</definedName>
    <definedName name="DiscINTNDIV12" localSheetId="14">#REF!</definedName>
    <definedName name="DiscINTNDIV12">#REF!</definedName>
    <definedName name="DiscMinusOneINTADJBOM" localSheetId="13">#REF!</definedName>
    <definedName name="DiscMinusOneINTADJBOM" localSheetId="14">#REF!</definedName>
    <definedName name="DiscMinusOneINTADJBOM">#REF!</definedName>
    <definedName name="DiscMinusOneINTNDIV12" localSheetId="13">#REF!</definedName>
    <definedName name="DiscMinusOneINTNDIV12" localSheetId="14">#REF!</definedName>
    <definedName name="DiscMinusOneINTNDIV12">#REF!</definedName>
    <definedName name="DiscPlusOneINTADJBOM" localSheetId="13">#REF!</definedName>
    <definedName name="DiscPlusOneINTADJBOM" localSheetId="14">#REF!</definedName>
    <definedName name="DiscPlusOneINTADJBOM">#REF!</definedName>
    <definedName name="DiscPlusOneINTNDIV12" localSheetId="13">#REF!</definedName>
    <definedName name="DiscPlusOneINTNDIV12" localSheetId="14">#REF!</definedName>
    <definedName name="DiscPlusOneINTNDIV12">#REF!</definedName>
    <definedName name="EmployerRates">#REF!</definedName>
    <definedName name="EmployerRates1">#REF!</definedName>
    <definedName name="EmployerRatesLEO">#REF!</definedName>
    <definedName name="EmployerRatesLEO1">#REF!</definedName>
    <definedName name="ERData" localSheetId="13">#REF!</definedName>
    <definedName name="ERData" localSheetId="14">#REF!</definedName>
    <definedName name="ERData">#REF!</definedName>
    <definedName name="ERID" localSheetId="13">#REF!</definedName>
    <definedName name="ERID" localSheetId="14">#REF!</definedName>
    <definedName name="ERID">#REF!</definedName>
    <definedName name="ERInfo" localSheetId="13">#REF!</definedName>
    <definedName name="ERInfo" localSheetId="14">#REF!</definedName>
    <definedName name="ERInfo">#REF!</definedName>
    <definedName name="Exp1INTADJBOM" localSheetId="13">#REF!</definedName>
    <definedName name="Exp1INTADJBOM" localSheetId="14">#REF!</definedName>
    <definedName name="Exp1INTADJBOM">#REF!</definedName>
    <definedName name="Exp1INTNDIV12" localSheetId="13">#REF!</definedName>
    <definedName name="Exp1INTNDIV12" localSheetId="14">#REF!</definedName>
    <definedName name="Exp1INTNDIV12">#REF!</definedName>
    <definedName name="FracYearProj" localSheetId="13">#REF!</definedName>
    <definedName name="FracYearProj" localSheetId="14">#REF!</definedName>
    <definedName name="FracYearProj">#REF!</definedName>
    <definedName name="FundOfficeContactGASB" localSheetId="13">#REF!</definedName>
    <definedName name="FundOfficeContactGASB" localSheetId="14">#REF!</definedName>
    <definedName name="FundOfficeContactGASB">#REF!</definedName>
    <definedName name="FYrsGASB" localSheetId="13">#REF!</definedName>
    <definedName name="FYrsGASB" localSheetId="14">#REF!</definedName>
    <definedName name="FYrsGASB">#REF!</definedName>
    <definedName name="GainLoss" localSheetId="13">#REF!</definedName>
    <definedName name="GainLoss" localSheetId="14">#REF!</definedName>
    <definedName name="GainLoss">#REF!</definedName>
    <definedName name="GASBDiscMinusOneINTADJBOM" localSheetId="13">#REF!</definedName>
    <definedName name="GASBDiscMinusOneINTADJBOM" localSheetId="14">#REF!</definedName>
    <definedName name="GASBDiscMinusOneINTADJBOM">#REF!</definedName>
    <definedName name="GASBDiscMinusOneINTNDIV12" localSheetId="13">#REF!</definedName>
    <definedName name="GASBDiscMinusOneINTNDIV12" localSheetId="14">#REF!</definedName>
    <definedName name="GASBDiscMinusOneINTNDIV12">#REF!</definedName>
    <definedName name="InflRate" localSheetId="13">#REF!</definedName>
    <definedName name="InflRate" localSheetId="14">#REF!</definedName>
    <definedName name="InflRate">#REF!</definedName>
    <definedName name="InflRate1" localSheetId="13">#REF!</definedName>
    <definedName name="InflRate1" localSheetId="14">#REF!</definedName>
    <definedName name="InflRate1">#REF!</definedName>
    <definedName name="IntDisc" localSheetId="13">#REF!</definedName>
    <definedName name="IntDisc" localSheetId="14">#REF!</definedName>
    <definedName name="IntDisc">#REF!</definedName>
    <definedName name="IntDisc1" localSheetId="13">#REF!</definedName>
    <definedName name="IntDisc1" localSheetId="14">#REF!</definedName>
    <definedName name="IntDisc1">#REF!</definedName>
    <definedName name="IntDisc1S" localSheetId="13">#REF!</definedName>
    <definedName name="IntDisc1S" localSheetId="14">#REF!</definedName>
    <definedName name="IntDisc1S">#REF!</definedName>
    <definedName name="INTDiscMinusOne" localSheetId="13">#REF!</definedName>
    <definedName name="INTDiscMinusOne" localSheetId="14">#REF!</definedName>
    <definedName name="INTDiscMinusOne">#REF!</definedName>
    <definedName name="INTDiscPlusOne" localSheetId="13">#REF!</definedName>
    <definedName name="INTDiscPlusOne" localSheetId="14">#REF!</definedName>
    <definedName name="INTDiscPlusOne">#REF!</definedName>
    <definedName name="IntExp1" localSheetId="13">#REF!</definedName>
    <definedName name="IntExp1" localSheetId="14">#REF!</definedName>
    <definedName name="IntExp1">#REF!</definedName>
    <definedName name="MeasureDate" localSheetId="13">#REF!</definedName>
    <definedName name="MeasureDate" localSheetId="14">#REF!</definedName>
    <definedName name="MeasureDate">#REF!</definedName>
    <definedName name="MeasureDate1" localSheetId="13">#REF!</definedName>
    <definedName name="MeasureDate1" localSheetId="14">#REF!</definedName>
    <definedName name="MeasureDate1">#REF!</definedName>
    <definedName name="MeasureDate2" localSheetId="13">#REF!</definedName>
    <definedName name="MeasureDate2" localSheetId="14">#REF!</definedName>
    <definedName name="MeasureDate2">#REF!</definedName>
    <definedName name="N">"N/A"</definedName>
    <definedName name="NDIV12Disc" localSheetId="13">#REF!</definedName>
    <definedName name="NDIV12Disc" localSheetId="14">#REF!</definedName>
    <definedName name="NDIV12Disc">#REF!</definedName>
    <definedName name="NDIV12DiscMinus1" localSheetId="13">#REF!</definedName>
    <definedName name="NDIV12DiscMinus1" localSheetId="14">#REF!</definedName>
    <definedName name="NDIV12DiscMinus1">#REF!</definedName>
    <definedName name="NDIV12DiscPlus1" localSheetId="13">#REF!</definedName>
    <definedName name="NDIV12DiscPlus1" localSheetId="14">#REF!</definedName>
    <definedName name="NDIV12DiscPlus1">#REF!</definedName>
    <definedName name="NDIV12Exp" localSheetId="13">#REF!</definedName>
    <definedName name="NDIV12Exp" localSheetId="14">#REF!</definedName>
    <definedName name="NDIV12Exp">#REF!</definedName>
    <definedName name="OfficeAddr1GASB" localSheetId="13">#REF!</definedName>
    <definedName name="OfficeAddr1GASB" localSheetId="14">#REF!</definedName>
    <definedName name="OfficeAddr1GASB">#REF!</definedName>
    <definedName name="OfficeAddr2GASB" localSheetId="13">#REF!</definedName>
    <definedName name="OfficeAddr2GASB" localSheetId="14">#REF!</definedName>
    <definedName name="OfficeAddr2GASB">#REF!</definedName>
    <definedName name="Offices" localSheetId="13">#REF!</definedName>
    <definedName name="Offices" localSheetId="14">#REF!</definedName>
    <definedName name="Offices">#REF!</definedName>
    <definedName name="Pension">#REF!</definedName>
    <definedName name="Pension1">#REF!</definedName>
    <definedName name="PensionLY">#REF!</definedName>
    <definedName name="PlanNameLongGASB" localSheetId="13">#REF!</definedName>
    <definedName name="PlanNameLongGASB" localSheetId="14">#REF!</definedName>
    <definedName name="PlanNameLongGASB">#REF!</definedName>
    <definedName name="PlanNameShortGASB" localSheetId="13">#REF!</definedName>
    <definedName name="PlanNameShortGASB" localSheetId="14">#REF!</definedName>
    <definedName name="PlanNameShortGASB">#REF!</definedName>
    <definedName name="_xlnm.Print_Area" localSheetId="15">'Department Note Disclosure'!$A$3:$D$101</definedName>
    <definedName name="_xlnm.Print_Area" localSheetId="0">'Fund 0001 Journal Entries'!$A$3:$K$70</definedName>
    <definedName name="_xlnm.Print_Area" localSheetId="1">'Fund 0140 Journal Entries'!$A$3:$K$70</definedName>
    <definedName name="_xlnm.Print_Area" localSheetId="2">'Fund 0465 Journal Entries'!$A$3:$K$70</definedName>
    <definedName name="_xlnm.Print_Area" localSheetId="13">'Fund 0502 Journal Entries'!$A$3:$K$70</definedName>
    <definedName name="_xlnm.Print_Area" localSheetId="3">'Fund 0890 Journal Entries'!$A$3:$K$70</definedName>
    <definedName name="_xlnm.Print_Area" localSheetId="4">'Fund 3057 Journal Entries'!$A$3:$K$70</definedName>
    <definedName name="_xlnm.Print_Area" localSheetId="14">'Fund 3100 Journal Entries'!$A$3:$K$70</definedName>
    <definedName name="_xlnm.Print_Area" localSheetId="5">'Fund 3237 Journal Entries'!$A$3:$K$70</definedName>
    <definedName name="_xlnm.Print_Area" localSheetId="6">'Fund 3398 Journal Entries'!$A$3:$K$70</definedName>
    <definedName name="_xlnm.Print_Area" localSheetId="7">'Fund 6001 Journal Entries'!$A$3:$K$70</definedName>
    <definedName name="_xlnm.Print_Area" localSheetId="8">'Fund 6005 Journal Entries'!$A$3:$K$70</definedName>
    <definedName name="_xlnm.Print_Area" localSheetId="9">'Fund 6031 Journal Entries'!$A$3:$K$70</definedName>
    <definedName name="_xlnm.Print_Area" localSheetId="10">'Fund 6051 Journal Entries'!$A$3:$K$70</definedName>
    <definedName name="_xlnm.Print_Area" localSheetId="11">'Fund 6083 Journal Entries'!$A$3:$K$70</definedName>
    <definedName name="_xlnm.Print_Area" localSheetId="12">'Fund 6088 Journal Entries'!$A$3:$K$70</definedName>
    <definedName name="_xlnm.Print_Area" localSheetId="16">'SBITA Liabilities'!$B$2:$Q$21</definedName>
    <definedName name="ProjDisc?" localSheetId="13">#REF!</definedName>
    <definedName name="ProjDisc?" localSheetId="14">#REF!</definedName>
    <definedName name="ProjDisc?">#REF!</definedName>
    <definedName name="ProValResults">#REF!</definedName>
    <definedName name="ProValResults1">#REF!</definedName>
    <definedName name="ReportDate67" localSheetId="13">#REF!</definedName>
    <definedName name="ReportDate67" localSheetId="14">#REF!</definedName>
    <definedName name="ReportDate67">#REF!</definedName>
    <definedName name="ReportDate671" localSheetId="13">#REF!</definedName>
    <definedName name="ReportDate671" localSheetId="14">#REF!</definedName>
    <definedName name="ReportDate671">#REF!</definedName>
    <definedName name="ReportDate68" localSheetId="13">#REF!</definedName>
    <definedName name="ReportDate68" localSheetId="14">#REF!</definedName>
    <definedName name="ReportDate68">#REF!</definedName>
    <definedName name="ReportDate681" localSheetId="13">#REF!</definedName>
    <definedName name="ReportDate681" localSheetId="14">#REF!</definedName>
    <definedName name="ReportDate681">#REF!</definedName>
    <definedName name="ReviewerGASB" localSheetId="13">#REF!</definedName>
    <definedName name="ReviewerGASB" localSheetId="14">#REF!</definedName>
    <definedName name="ReviewerGASB">#REF!</definedName>
    <definedName name="Rnd_0" localSheetId="13">#REF!</definedName>
    <definedName name="Rnd_0" localSheetId="14">#REF!</definedName>
    <definedName name="Rnd_0">#REF!</definedName>
    <definedName name="RORRate681" localSheetId="13">#REF!</definedName>
    <definedName name="RORRate681" localSheetId="14">#REF!</definedName>
    <definedName name="RORRate681">#REF!</definedName>
    <definedName name="SalRate" localSheetId="13">#REF!</definedName>
    <definedName name="SalRate" localSheetId="14">#REF!</definedName>
    <definedName name="SalRate">#REF!</definedName>
    <definedName name="SalRate1" localSheetId="13">#REF!</definedName>
    <definedName name="SalRate1" localSheetId="14">#REF!</definedName>
    <definedName name="SalRate1">#REF!</definedName>
    <definedName name="SegalOfficeGASB" localSheetId="13">#REF!</definedName>
    <definedName name="SegalOfficeGASB" localSheetId="14">#REF!</definedName>
    <definedName name="SegalOfficeGASB">#REF!</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 localSheetId="13">#REF!</definedName>
    <definedName name="VersionGASB" localSheetId="14">#REF!</definedName>
    <definedName name="VersionGAS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3" l="1"/>
  <c r="J56" i="14"/>
  <c r="J56" i="12"/>
  <c r="C52" i="25" l="1"/>
  <c r="C52" i="24"/>
  <c r="C52" i="23"/>
  <c r="C38" i="25"/>
  <c r="C38" i="24"/>
  <c r="C38" i="23"/>
  <c r="C30" i="25"/>
  <c r="C30" i="24"/>
  <c r="C30" i="23"/>
  <c r="F53" i="9"/>
  <c r="F31" i="9"/>
  <c r="B31" i="9"/>
  <c r="N18" i="4"/>
  <c r="J18" i="4"/>
  <c r="H18" i="4"/>
  <c r="F18" i="4"/>
  <c r="C79" i="3"/>
  <c r="C78" i="3"/>
  <c r="B79" i="3"/>
  <c r="B78" i="3"/>
  <c r="K97" i="25"/>
  <c r="K86" i="25"/>
  <c r="J86" i="25"/>
  <c r="L86" i="25" s="1"/>
  <c r="L81" i="25"/>
  <c r="K81" i="25"/>
  <c r="J81" i="25"/>
  <c r="J70" i="25"/>
  <c r="K69" i="25"/>
  <c r="K94" i="25" s="1"/>
  <c r="K63" i="25"/>
  <c r="J63" i="25"/>
  <c r="L63" i="25" s="1"/>
  <c r="K57" i="25"/>
  <c r="K58" i="25" s="1"/>
  <c r="J56" i="25"/>
  <c r="K96" i="25" s="1"/>
  <c r="K53" i="25"/>
  <c r="L53" i="25" s="1"/>
  <c r="J53" i="25"/>
  <c r="K52" i="25"/>
  <c r="B51" i="25"/>
  <c r="K47" i="25"/>
  <c r="L47" i="25" s="1"/>
  <c r="J47" i="25"/>
  <c r="K46" i="25"/>
  <c r="K95" i="25" s="1"/>
  <c r="K39" i="25"/>
  <c r="L39" i="25" s="1"/>
  <c r="J39" i="25"/>
  <c r="K31" i="25"/>
  <c r="L31" i="25" s="1"/>
  <c r="J31" i="25"/>
  <c r="A26" i="25"/>
  <c r="K22" i="25"/>
  <c r="J22" i="25"/>
  <c r="L22" i="25" s="1"/>
  <c r="B14" i="25"/>
  <c r="A12" i="25"/>
  <c r="K97" i="24"/>
  <c r="K86" i="24"/>
  <c r="J86" i="24"/>
  <c r="L86" i="24" s="1"/>
  <c r="K81" i="24"/>
  <c r="J81" i="24"/>
  <c r="L81" i="24" s="1"/>
  <c r="J70" i="24"/>
  <c r="K69" i="24"/>
  <c r="K94" i="24" s="1"/>
  <c r="K63" i="24"/>
  <c r="J63" i="24"/>
  <c r="L63" i="24" s="1"/>
  <c r="K62" i="24"/>
  <c r="K57" i="24"/>
  <c r="K58" i="24" s="1"/>
  <c r="J56" i="24"/>
  <c r="K96" i="24" s="1"/>
  <c r="K53" i="24"/>
  <c r="L53" i="24" s="1"/>
  <c r="J53" i="24"/>
  <c r="K52" i="24"/>
  <c r="B51" i="24"/>
  <c r="J47" i="24"/>
  <c r="K46" i="24"/>
  <c r="K95" i="24" s="1"/>
  <c r="K39" i="24"/>
  <c r="L39" i="24" s="1"/>
  <c r="J39" i="24"/>
  <c r="K31" i="24"/>
  <c r="J31" i="24"/>
  <c r="L31" i="24" s="1"/>
  <c r="A26" i="24"/>
  <c r="K22" i="24"/>
  <c r="J22" i="24"/>
  <c r="L22" i="24" s="1"/>
  <c r="B14" i="24"/>
  <c r="A12" i="24"/>
  <c r="D61" i="3"/>
  <c r="D92" i="3"/>
  <c r="D89" i="3"/>
  <c r="D58" i="3"/>
  <c r="D30" i="3"/>
  <c r="D27" i="3"/>
  <c r="C52" i="13"/>
  <c r="C52" i="14"/>
  <c r="C52" i="15"/>
  <c r="C52" i="16"/>
  <c r="C52" i="17"/>
  <c r="C52" i="18"/>
  <c r="C52" i="19"/>
  <c r="C52" i="20"/>
  <c r="C52" i="21"/>
  <c r="C52" i="22"/>
  <c r="C52" i="12"/>
  <c r="C52" i="2"/>
  <c r="C38" i="13"/>
  <c r="C38" i="14"/>
  <c r="C38" i="15"/>
  <c r="C38" i="16"/>
  <c r="C38" i="17"/>
  <c r="C38" i="18"/>
  <c r="C38" i="19"/>
  <c r="C38" i="20"/>
  <c r="C38" i="21"/>
  <c r="C38" i="22"/>
  <c r="C38" i="12"/>
  <c r="C38" i="2"/>
  <c r="C30" i="13"/>
  <c r="C30" i="14"/>
  <c r="C30" i="15"/>
  <c r="C30" i="16"/>
  <c r="C30" i="17"/>
  <c r="C30" i="18"/>
  <c r="C30" i="19"/>
  <c r="C30" i="20"/>
  <c r="C30" i="21"/>
  <c r="C30" i="22"/>
  <c r="C30" i="12"/>
  <c r="C30" i="2"/>
  <c r="F8" i="13"/>
  <c r="F8" i="14"/>
  <c r="F8" i="15"/>
  <c r="F8" i="16"/>
  <c r="F8" i="17"/>
  <c r="F8" i="18"/>
  <c r="F8" i="19"/>
  <c r="F8" i="20"/>
  <c r="F8" i="21"/>
  <c r="F8" i="22"/>
  <c r="F8" i="23"/>
  <c r="F8" i="12"/>
  <c r="F8" i="2"/>
  <c r="F39" i="9"/>
  <c r="N10" i="4"/>
  <c r="D16" i="9"/>
  <c r="H10" i="4"/>
  <c r="K86" i="23"/>
  <c r="L86" i="23" s="1"/>
  <c r="J86" i="23"/>
  <c r="L81" i="23"/>
  <c r="K81" i="23"/>
  <c r="J81" i="23"/>
  <c r="J70" i="23"/>
  <c r="K69" i="23"/>
  <c r="K94" i="23" s="1"/>
  <c r="K63" i="23"/>
  <c r="J63" i="23"/>
  <c r="L63" i="23" s="1"/>
  <c r="K62" i="23"/>
  <c r="K97" i="23" s="1"/>
  <c r="K57" i="23"/>
  <c r="K58" i="23" s="1"/>
  <c r="J56" i="23"/>
  <c r="J58" i="23" s="1"/>
  <c r="L58" i="23" s="1"/>
  <c r="J53" i="23"/>
  <c r="K52" i="23"/>
  <c r="K53" i="23" s="1"/>
  <c r="L53" i="23" s="1"/>
  <c r="B51" i="23"/>
  <c r="J47" i="23"/>
  <c r="K46" i="23"/>
  <c r="K47" i="23" s="1"/>
  <c r="L47" i="23" s="1"/>
  <c r="J39" i="23"/>
  <c r="L39" i="23" s="1"/>
  <c r="K36" i="23"/>
  <c r="K39" i="23" s="1"/>
  <c r="K29" i="23"/>
  <c r="K31" i="23" s="1"/>
  <c r="A26" i="23"/>
  <c r="J22" i="23"/>
  <c r="K19" i="23"/>
  <c r="K96" i="23" s="1"/>
  <c r="B14" i="23"/>
  <c r="A12" i="23"/>
  <c r="K22" i="23" l="1"/>
  <c r="L22" i="23" s="1"/>
  <c r="J58" i="25"/>
  <c r="L58" i="25" s="1"/>
  <c r="K70" i="25"/>
  <c r="L70" i="25" s="1"/>
  <c r="L47" i="24"/>
  <c r="K47" i="24"/>
  <c r="J58" i="24"/>
  <c r="L58" i="24" s="1"/>
  <c r="K70" i="24"/>
  <c r="L70" i="24" s="1"/>
  <c r="K70" i="23"/>
  <c r="L70" i="23" s="1"/>
  <c r="J31" i="23"/>
  <c r="L31" i="23" s="1"/>
  <c r="K95" i="23"/>
  <c r="K94" i="22" l="1"/>
  <c r="K86" i="22"/>
  <c r="J86" i="22"/>
  <c r="L86" i="22" s="1"/>
  <c r="L81" i="22"/>
  <c r="K81" i="22"/>
  <c r="J81" i="22"/>
  <c r="J70" i="22"/>
  <c r="L70" i="22" s="1"/>
  <c r="K69" i="22"/>
  <c r="K70" i="22" s="1"/>
  <c r="J63" i="22"/>
  <c r="K62" i="22"/>
  <c r="K97" i="22" s="1"/>
  <c r="K57" i="22"/>
  <c r="K58" i="22" s="1"/>
  <c r="J56" i="22"/>
  <c r="J58" i="22" s="1"/>
  <c r="J53" i="22"/>
  <c r="K52" i="22"/>
  <c r="K53" i="22" s="1"/>
  <c r="L53" i="22" s="1"/>
  <c r="B51" i="22"/>
  <c r="J47" i="22"/>
  <c r="K46" i="22"/>
  <c r="K47" i="22" s="1"/>
  <c r="L47" i="22" s="1"/>
  <c r="J39" i="22"/>
  <c r="K36" i="22"/>
  <c r="K39" i="22" s="1"/>
  <c r="J31" i="22"/>
  <c r="A26" i="22"/>
  <c r="J22" i="22"/>
  <c r="K19" i="22"/>
  <c r="B14" i="22"/>
  <c r="A12" i="22"/>
  <c r="K86" i="21"/>
  <c r="J86" i="21"/>
  <c r="L86" i="21" s="1"/>
  <c r="L81" i="21"/>
  <c r="K81" i="21"/>
  <c r="J81" i="21"/>
  <c r="J70" i="21"/>
  <c r="K69" i="21"/>
  <c r="K70" i="21" s="1"/>
  <c r="J63" i="21"/>
  <c r="K62" i="21"/>
  <c r="K97" i="21" s="1"/>
  <c r="K57" i="21"/>
  <c r="K58" i="21" s="1"/>
  <c r="J56" i="21"/>
  <c r="J58" i="21" s="1"/>
  <c r="J53" i="21"/>
  <c r="K52" i="21"/>
  <c r="K53" i="21" s="1"/>
  <c r="B51" i="21"/>
  <c r="J47" i="21"/>
  <c r="K46" i="21"/>
  <c r="K47" i="21" s="1"/>
  <c r="L47" i="21" s="1"/>
  <c r="J39" i="21"/>
  <c r="K36" i="21"/>
  <c r="K39" i="21" s="1"/>
  <c r="K29" i="21"/>
  <c r="K31" i="21" s="1"/>
  <c r="A26" i="21"/>
  <c r="J22" i="21"/>
  <c r="K19" i="21"/>
  <c r="K96" i="21" s="1"/>
  <c r="B14" i="21"/>
  <c r="A12" i="21"/>
  <c r="K86" i="20"/>
  <c r="L86" i="20" s="1"/>
  <c r="J86" i="20"/>
  <c r="L81" i="20"/>
  <c r="K81" i="20"/>
  <c r="J81" i="20"/>
  <c r="J70" i="20"/>
  <c r="K69" i="20"/>
  <c r="K94" i="20" s="1"/>
  <c r="K63" i="20"/>
  <c r="J63" i="20"/>
  <c r="L63" i="20" s="1"/>
  <c r="K62" i="20"/>
  <c r="K97" i="20" s="1"/>
  <c r="K57" i="20"/>
  <c r="K58" i="20" s="1"/>
  <c r="J56" i="20"/>
  <c r="J58" i="20" s="1"/>
  <c r="J53" i="20"/>
  <c r="K52" i="20"/>
  <c r="K53" i="20" s="1"/>
  <c r="B51" i="20"/>
  <c r="J47" i="20"/>
  <c r="K46" i="20"/>
  <c r="K47" i="20" s="1"/>
  <c r="L47" i="20" s="1"/>
  <c r="J39" i="20"/>
  <c r="K36" i="20"/>
  <c r="K39" i="20" s="1"/>
  <c r="K29" i="20"/>
  <c r="K31" i="20" s="1"/>
  <c r="A26" i="20"/>
  <c r="J22" i="20"/>
  <c r="K19" i="20"/>
  <c r="B14" i="20"/>
  <c r="A12" i="20"/>
  <c r="K63" i="22" l="1"/>
  <c r="L63" i="22" s="1"/>
  <c r="K96" i="22"/>
  <c r="K22" i="22"/>
  <c r="L22" i="22" s="1"/>
  <c r="L53" i="21"/>
  <c r="K96" i="20"/>
  <c r="L53" i="20"/>
  <c r="L58" i="20"/>
  <c r="K22" i="20"/>
  <c r="L22" i="20" s="1"/>
  <c r="L58" i="22"/>
  <c r="L39" i="22"/>
  <c r="K29" i="22"/>
  <c r="K31" i="22" s="1"/>
  <c r="L31" i="22" s="1"/>
  <c r="K95" i="22"/>
  <c r="L70" i="21"/>
  <c r="L39" i="21"/>
  <c r="L58" i="21"/>
  <c r="K94" i="21"/>
  <c r="K95" i="21"/>
  <c r="J31" i="21"/>
  <c r="L31" i="21" s="1"/>
  <c r="K22" i="21"/>
  <c r="L22" i="21" s="1"/>
  <c r="K63" i="21"/>
  <c r="L63" i="21" s="1"/>
  <c r="L39" i="20"/>
  <c r="K70" i="20"/>
  <c r="L70" i="20" s="1"/>
  <c r="J31" i="20"/>
  <c r="L31" i="20" s="1"/>
  <c r="K95" i="20"/>
  <c r="K86" i="19" l="1"/>
  <c r="J86" i="19"/>
  <c r="L86" i="19" s="1"/>
  <c r="L81" i="19"/>
  <c r="K81" i="19"/>
  <c r="J81" i="19"/>
  <c r="J70" i="19"/>
  <c r="K69" i="19"/>
  <c r="K94" i="19" s="1"/>
  <c r="K63" i="19"/>
  <c r="J63" i="19"/>
  <c r="K62" i="19"/>
  <c r="K97" i="19" s="1"/>
  <c r="J58" i="19"/>
  <c r="K57" i="19"/>
  <c r="K58" i="19" s="1"/>
  <c r="J53" i="19"/>
  <c r="K52" i="19"/>
  <c r="K53" i="19" s="1"/>
  <c r="B51" i="19"/>
  <c r="K47" i="19"/>
  <c r="L47" i="19" s="1"/>
  <c r="J47" i="19"/>
  <c r="K46" i="19"/>
  <c r="K95" i="19" s="1"/>
  <c r="J39" i="19"/>
  <c r="J31" i="19"/>
  <c r="A26" i="19"/>
  <c r="J22" i="19"/>
  <c r="K19" i="19"/>
  <c r="K96" i="19" s="1"/>
  <c r="B14" i="19"/>
  <c r="A12" i="19"/>
  <c r="L63" i="19" l="1"/>
  <c r="L53" i="19"/>
  <c r="K22" i="19"/>
  <c r="L22" i="19" s="1"/>
  <c r="L58" i="19"/>
  <c r="K70" i="19"/>
  <c r="L70" i="19" s="1"/>
  <c r="K36" i="19"/>
  <c r="K39" i="19" s="1"/>
  <c r="L39" i="19" s="1"/>
  <c r="K29" i="19"/>
  <c r="K31" i="19" s="1"/>
  <c r="L31" i="19" s="1"/>
  <c r="K86" i="18" l="1"/>
  <c r="J86" i="18"/>
  <c r="L86" i="18" s="1"/>
  <c r="L81" i="18"/>
  <c r="K81" i="18"/>
  <c r="J81" i="18"/>
  <c r="J70" i="18"/>
  <c r="K69" i="18"/>
  <c r="K94" i="18" s="1"/>
  <c r="J63" i="18"/>
  <c r="K62" i="18"/>
  <c r="K97" i="18" s="1"/>
  <c r="J58" i="18"/>
  <c r="K57" i="18"/>
  <c r="K58" i="18" s="1"/>
  <c r="J53" i="18"/>
  <c r="K52" i="18"/>
  <c r="K53" i="18" s="1"/>
  <c r="B51" i="18"/>
  <c r="J47" i="18"/>
  <c r="K46" i="18"/>
  <c r="K95" i="18" s="1"/>
  <c r="J39" i="18"/>
  <c r="K29" i="18"/>
  <c r="K31" i="18" s="1"/>
  <c r="A26" i="18"/>
  <c r="J22" i="18"/>
  <c r="K19" i="18"/>
  <c r="K22" i="18" s="1"/>
  <c r="L22" i="18" s="1"/>
  <c r="B14" i="18"/>
  <c r="A12" i="18"/>
  <c r="L58" i="18" l="1"/>
  <c r="K47" i="18"/>
  <c r="L47" i="18" s="1"/>
  <c r="L53" i="18"/>
  <c r="K70" i="18"/>
  <c r="L70" i="18" s="1"/>
  <c r="K36" i="18"/>
  <c r="K39" i="18" s="1"/>
  <c r="L39" i="18" s="1"/>
  <c r="J31" i="18"/>
  <c r="L31" i="18" s="1"/>
  <c r="K63" i="18"/>
  <c r="L63" i="18" s="1"/>
  <c r="K96" i="18"/>
  <c r="K94" i="17" l="1"/>
  <c r="K86" i="17"/>
  <c r="J86" i="17"/>
  <c r="L86" i="17" s="1"/>
  <c r="K81" i="17"/>
  <c r="J81" i="17"/>
  <c r="L81" i="17" s="1"/>
  <c r="J70" i="17"/>
  <c r="K69" i="17"/>
  <c r="K70" i="17" s="1"/>
  <c r="J63" i="17"/>
  <c r="K62" i="17"/>
  <c r="K97" i="17" s="1"/>
  <c r="J58" i="17"/>
  <c r="K57" i="17"/>
  <c r="K58" i="17" s="1"/>
  <c r="J53" i="17"/>
  <c r="K52" i="17"/>
  <c r="K53" i="17" s="1"/>
  <c r="B51" i="17"/>
  <c r="J47" i="17"/>
  <c r="K46" i="17"/>
  <c r="K47" i="17" s="1"/>
  <c r="L47" i="17" s="1"/>
  <c r="J39" i="17"/>
  <c r="K36" i="17"/>
  <c r="K39" i="17" s="1"/>
  <c r="J31" i="17"/>
  <c r="K29" i="17"/>
  <c r="K31" i="17" s="1"/>
  <c r="A26" i="17"/>
  <c r="J22" i="17"/>
  <c r="K19" i="17"/>
  <c r="K22" i="17" s="1"/>
  <c r="B14" i="17"/>
  <c r="A12" i="17"/>
  <c r="K95" i="17" l="1"/>
  <c r="L22" i="17"/>
  <c r="L70" i="17"/>
  <c r="L58" i="17"/>
  <c r="L31" i="17"/>
  <c r="L53" i="17"/>
  <c r="L39" i="17"/>
  <c r="K63" i="17"/>
  <c r="L63" i="17" s="1"/>
  <c r="K96" i="17"/>
  <c r="K86" i="16" l="1"/>
  <c r="J86" i="16"/>
  <c r="L86" i="16" s="1"/>
  <c r="L81" i="16"/>
  <c r="K81" i="16"/>
  <c r="J81" i="16"/>
  <c r="J70" i="16"/>
  <c r="K69" i="16"/>
  <c r="K94" i="16" s="1"/>
  <c r="J63" i="16"/>
  <c r="K62" i="16"/>
  <c r="K97" i="16" s="1"/>
  <c r="J58" i="16"/>
  <c r="K57" i="16"/>
  <c r="K58" i="16" s="1"/>
  <c r="J53" i="16"/>
  <c r="K52" i="16"/>
  <c r="K53" i="16" s="1"/>
  <c r="B51" i="16"/>
  <c r="K47" i="16"/>
  <c r="J47" i="16"/>
  <c r="K46" i="16"/>
  <c r="K95" i="16" s="1"/>
  <c r="J39" i="16"/>
  <c r="J31" i="16"/>
  <c r="A26" i="16"/>
  <c r="J22" i="16"/>
  <c r="K19" i="16"/>
  <c r="K22" i="16" s="1"/>
  <c r="L22" i="16" s="1"/>
  <c r="B14" i="16"/>
  <c r="A12" i="16"/>
  <c r="L58" i="16" l="1"/>
  <c r="L53" i="16"/>
  <c r="L47" i="16"/>
  <c r="L39" i="16"/>
  <c r="K70" i="16"/>
  <c r="L70" i="16" s="1"/>
  <c r="K36" i="16"/>
  <c r="K39" i="16" s="1"/>
  <c r="K29" i="16"/>
  <c r="K31" i="16" s="1"/>
  <c r="L31" i="16" s="1"/>
  <c r="K63" i="16"/>
  <c r="L63" i="16" s="1"/>
  <c r="K96" i="16"/>
  <c r="K86" i="15" l="1"/>
  <c r="J86" i="15"/>
  <c r="L86" i="15" s="1"/>
  <c r="L81" i="15"/>
  <c r="K81" i="15"/>
  <c r="J81" i="15"/>
  <c r="J70" i="15"/>
  <c r="K69" i="15"/>
  <c r="K94" i="15" s="1"/>
  <c r="J63" i="15"/>
  <c r="K62" i="15"/>
  <c r="K97" i="15" s="1"/>
  <c r="J58" i="15"/>
  <c r="K57" i="15"/>
  <c r="K58" i="15" s="1"/>
  <c r="J53" i="15"/>
  <c r="K52" i="15"/>
  <c r="K53" i="15" s="1"/>
  <c r="B51" i="15"/>
  <c r="J47" i="15"/>
  <c r="K46" i="15"/>
  <c r="K95" i="15" s="1"/>
  <c r="K36" i="15"/>
  <c r="K39" i="15" s="1"/>
  <c r="J31" i="15"/>
  <c r="A26" i="15"/>
  <c r="J22" i="15"/>
  <c r="K19" i="15"/>
  <c r="K22" i="15" s="1"/>
  <c r="L22" i="15" s="1"/>
  <c r="B14" i="15"/>
  <c r="A12" i="15"/>
  <c r="K47" i="15" l="1"/>
  <c r="L47" i="15" s="1"/>
  <c r="L53" i="15"/>
  <c r="L58" i="15"/>
  <c r="K29" i="15"/>
  <c r="K31" i="15" s="1"/>
  <c r="L31" i="15" s="1"/>
  <c r="J39" i="15"/>
  <c r="L39" i="15" s="1"/>
  <c r="K70" i="15"/>
  <c r="L70" i="15" s="1"/>
  <c r="K63" i="15"/>
  <c r="L63" i="15" s="1"/>
  <c r="K96" i="15"/>
  <c r="K86" i="14" l="1"/>
  <c r="J86" i="14"/>
  <c r="L86" i="14" s="1"/>
  <c r="K81" i="14"/>
  <c r="L81" i="14" s="1"/>
  <c r="J81" i="14"/>
  <c r="J70" i="14"/>
  <c r="K69" i="14"/>
  <c r="K94" i="14" s="1"/>
  <c r="J63" i="14"/>
  <c r="K62" i="14"/>
  <c r="K63" i="14" s="1"/>
  <c r="L63" i="14" s="1"/>
  <c r="J58" i="14"/>
  <c r="K57" i="14"/>
  <c r="K58" i="14" s="1"/>
  <c r="J53" i="14"/>
  <c r="K52" i="14"/>
  <c r="K53" i="14" s="1"/>
  <c r="B51" i="14"/>
  <c r="J47" i="14"/>
  <c r="K46" i="14"/>
  <c r="K95" i="14" s="1"/>
  <c r="K36" i="14"/>
  <c r="K39" i="14" s="1"/>
  <c r="J31" i="14"/>
  <c r="K29" i="14"/>
  <c r="K31" i="14" s="1"/>
  <c r="A26" i="14"/>
  <c r="K22" i="14"/>
  <c r="L22" i="14" s="1"/>
  <c r="J22" i="14"/>
  <c r="K19" i="14"/>
  <c r="K96" i="14" s="1"/>
  <c r="B14" i="14"/>
  <c r="A12" i="14"/>
  <c r="K97" i="14" l="1"/>
  <c r="L53" i="14"/>
  <c r="K47" i="14"/>
  <c r="L47" i="14" s="1"/>
  <c r="L31" i="14"/>
  <c r="L70" i="14"/>
  <c r="L58" i="14"/>
  <c r="K70" i="14"/>
  <c r="J39" i="14"/>
  <c r="L39" i="14" s="1"/>
  <c r="K86" i="13" l="1"/>
  <c r="J86" i="13"/>
  <c r="L86" i="13" s="1"/>
  <c r="L81" i="13"/>
  <c r="K81" i="13"/>
  <c r="J81" i="13"/>
  <c r="J70" i="13"/>
  <c r="K69" i="13"/>
  <c r="K94" i="13" s="1"/>
  <c r="J63" i="13"/>
  <c r="K62" i="13"/>
  <c r="K97" i="13" s="1"/>
  <c r="K57" i="13"/>
  <c r="K58" i="13" s="1"/>
  <c r="J56" i="13"/>
  <c r="J53" i="13"/>
  <c r="K52" i="13"/>
  <c r="K53" i="13" s="1"/>
  <c r="B51" i="13"/>
  <c r="J47" i="13"/>
  <c r="K46" i="13"/>
  <c r="K47" i="13" s="1"/>
  <c r="L47" i="13" s="1"/>
  <c r="J35" i="13"/>
  <c r="A26" i="13"/>
  <c r="J22" i="13"/>
  <c r="K19" i="13"/>
  <c r="K22" i="13" s="1"/>
  <c r="B14" i="13"/>
  <c r="A12" i="13"/>
  <c r="F16" i="9" l="1"/>
  <c r="J10" i="4"/>
  <c r="L53" i="13"/>
  <c r="J58" i="13"/>
  <c r="L58" i="13" s="1"/>
  <c r="L22" i="13"/>
  <c r="K36" i="13"/>
  <c r="K39" i="13" s="1"/>
  <c r="J39" i="13"/>
  <c r="L39" i="13" s="1"/>
  <c r="K29" i="13"/>
  <c r="K31" i="13" s="1"/>
  <c r="K70" i="13"/>
  <c r="L70" i="13" s="1"/>
  <c r="K95" i="13"/>
  <c r="J31" i="13"/>
  <c r="K63" i="13"/>
  <c r="L63" i="13" s="1"/>
  <c r="K96" i="13"/>
  <c r="L31" i="13" l="1"/>
  <c r="K94" i="12" l="1"/>
  <c r="K86" i="12"/>
  <c r="J86" i="12"/>
  <c r="L86" i="12" s="1"/>
  <c r="L81" i="12"/>
  <c r="K81" i="12"/>
  <c r="J81" i="12"/>
  <c r="J70" i="12"/>
  <c r="K69" i="12"/>
  <c r="K70" i="12" s="1"/>
  <c r="J63" i="12"/>
  <c r="K62" i="12"/>
  <c r="K97" i="12" s="1"/>
  <c r="J58" i="12"/>
  <c r="K57" i="12"/>
  <c r="K58" i="12" s="1"/>
  <c r="J53" i="12"/>
  <c r="K52" i="12"/>
  <c r="K53" i="12" s="1"/>
  <c r="B51" i="12"/>
  <c r="J47" i="12"/>
  <c r="K46" i="12"/>
  <c r="K95" i="12" s="1"/>
  <c r="J39" i="12"/>
  <c r="J31" i="12"/>
  <c r="A26" i="12"/>
  <c r="J22" i="12"/>
  <c r="K19" i="12"/>
  <c r="B14" i="12"/>
  <c r="A12" i="12"/>
  <c r="L53" i="12" l="1"/>
  <c r="K47" i="12"/>
  <c r="L47" i="12" s="1"/>
  <c r="K22" i="12"/>
  <c r="L22" i="12" s="1"/>
  <c r="B16" i="9"/>
  <c r="F10" i="4"/>
  <c r="L70" i="12"/>
  <c r="L58" i="12"/>
  <c r="K36" i="12"/>
  <c r="K39" i="12" s="1"/>
  <c r="L39" i="12" s="1"/>
  <c r="K29" i="12"/>
  <c r="K31" i="12" s="1"/>
  <c r="L31" i="12" s="1"/>
  <c r="K63" i="12"/>
  <c r="L63" i="12" s="1"/>
  <c r="K96" i="12"/>
  <c r="K36" i="2" l="1"/>
  <c r="K29" i="2"/>
  <c r="K19" i="2"/>
  <c r="B23" i="9" l="1"/>
  <c r="D23" i="9"/>
  <c r="F23" i="9"/>
  <c r="D31" i="9"/>
  <c r="F46" i="9"/>
  <c r="N14" i="4"/>
  <c r="J14" i="4"/>
  <c r="H14" i="4"/>
  <c r="F14" i="4"/>
  <c r="K46" i="2"/>
  <c r="K52" i="2"/>
  <c r="G5" i="4" l="1"/>
  <c r="K62" i="2"/>
  <c r="K57" i="2"/>
  <c r="D86" i="3"/>
  <c r="D55" i="3"/>
  <c r="D24" i="3"/>
  <c r="K97" i="2" l="1"/>
  <c r="K96" i="2"/>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J82" i="9" l="1"/>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L14" i="4" l="1"/>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<sst xmlns="http://schemas.openxmlformats.org/spreadsheetml/2006/main" count="8466" uniqueCount="1643">
  <si>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</si>
  <si>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</si>
  <si>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</si>
  <si>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</si>
  <si>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</si>
  <si>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</si>
  <si>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</si>
  <si>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</si>
  <si>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</si>
  <si>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</si>
  <si>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</si>
  <si>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</si>
  <si>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</si>
  <si>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</si>
  <si>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</si>
  <si>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</si>
  <si>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</si>
  <si>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</si>
  <si>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</si>
  <si>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</si>
  <si>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</si>
  <si>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</si>
  <si>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</si>
  <si>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</si>
  <si>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</si>
  <si>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</si>
  <si>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</si>
  <si>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</si>
  <si>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</si>
  <si>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</si>
  <si>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</si>
  <si>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</si>
  <si>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</si>
  <si>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</si>
  <si>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</si>
  <si>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</si>
  <si>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</si>
  <si>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</si>
  <si>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</si>
  <si>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</si>
  <si>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</si>
  <si>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</si>
  <si>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</si>
  <si>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</si>
  <si>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</si>
  <si>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</si>
  <si>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</si>
  <si>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</si>
  <si>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</si>
  <si>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</si>
  <si>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</si>
  <si>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</si>
  <si>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</si>
  <si>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</si>
  <si>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</si>
  <si>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</si>
  <si>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</si>
  <si>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</si>
  <si>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</si>
  <si>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</si>
  <si>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</si>
  <si>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</si>
  <si>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</si>
  <si>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</si>
  <si>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</si>
  <si>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</si>
  <si>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</si>
  <si>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</si>
  <si>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</si>
  <si>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</si>
  <si>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</si>
  <si>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</si>
  <si>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</si>
  <si>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</si>
  <si>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</si>
  <si>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</si>
  <si>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</si>
  <si>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</si>
  <si>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</si>
  <si>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</si>
  <si>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</si>
  <si>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</si>
  <si>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</si>
  <si>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</si>
  <si>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</si>
  <si>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</si>
  <si>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</si>
  <si>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</si>
  <si>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</si>
  <si>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</si>
  <si>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</si>
  <si>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</si>
  <si>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</si>
  <si>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</si>
  <si>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</si>
  <si>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</si>
  <si>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</si>
  <si>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</si>
  <si>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</si>
  <si>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</si>
  <si>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</si>
  <si>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</si>
  <si>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</si>
  <si>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</si>
  <si>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</si>
  <si>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</si>
  <si>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</si>
  <si>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</si>
  <si>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</si>
  <si>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</si>
  <si>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</si>
  <si>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</si>
  <si>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</si>
  <si>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</si>
  <si>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</si>
  <si>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</si>
  <si>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</si>
  <si>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</si>
  <si>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</si>
  <si>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</si>
  <si>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</si>
  <si>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</si>
  <si>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</si>
  <si>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</si>
  <si>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</si>
  <si>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</si>
  <si>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</si>
  <si>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</si>
  <si>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</si>
  <si>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</si>
  <si>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</si>
  <si>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</si>
  <si>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</si>
  <si>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</si>
  <si>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</si>
  <si>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</si>
  <si>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</si>
  <si>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</si>
  <si>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</si>
  <si>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</si>
  <si>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</si>
  <si>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</si>
  <si>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</si>
  <si>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</si>
  <si>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</si>
  <si>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</si>
  <si>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</si>
  <si>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</si>
  <si>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</si>
  <si>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</si>
  <si>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</si>
  <si>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</si>
  <si>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</si>
  <si>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</si>
  <si>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</si>
  <si>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</si>
  <si>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</si>
  <si>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</si>
  <si>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</si>
  <si>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</si>
  <si>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</si>
  <si>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</si>
  <si>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</si>
  <si>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</si>
  <si>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</si>
  <si>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</si>
  <si>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</si>
  <si>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</si>
  <si>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</si>
  <si>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</si>
  <si>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</si>
  <si>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</si>
  <si>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</si>
  <si>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</si>
  <si>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</si>
  <si>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</si>
  <si>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</si>
  <si>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</si>
  <si>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</si>
  <si>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</si>
  <si>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</si>
  <si>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</si>
  <si>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</si>
  <si>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</si>
  <si>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</si>
  <si>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</si>
  <si>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</si>
  <si>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</si>
  <si>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</si>
  <si>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</si>
  <si>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</si>
  <si>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</si>
  <si>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</si>
  <si>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</si>
  <si>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</si>
  <si>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</si>
  <si>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</si>
  <si>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</si>
  <si>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</si>
  <si>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</si>
  <si>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</si>
  <si>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</si>
  <si>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</si>
  <si>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</si>
  <si>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</si>
  <si>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</si>
  <si>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</si>
  <si>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</si>
  <si>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</si>
  <si>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</si>
  <si>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</si>
  <si>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</si>
  <si>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</si>
  <si>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</si>
  <si>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</si>
  <si>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</si>
  <si>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</si>
  <si>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</si>
  <si>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</si>
  <si>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</si>
  <si>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</si>
  <si>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</si>
  <si>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</si>
  <si>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</si>
  <si>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</si>
  <si>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</si>
  <si>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</si>
  <si>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</si>
  <si>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</si>
  <si>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</si>
  <si>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</si>
  <si>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</si>
  <si>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</si>
  <si>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</si>
  <si>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</si>
  <si>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</si>
  <si>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</si>
  <si>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</si>
  <si>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</si>
  <si>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</si>
  <si>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</si>
  <si>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</si>
  <si>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</si>
  <si>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</si>
  <si>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</si>
  <si>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</si>
  <si>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</si>
  <si>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</si>
  <si>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</si>
  <si>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</si>
  <si>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</si>
  <si>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</si>
  <si>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</si>
  <si>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</si>
  <si>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</si>
  <si>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</si>
  <si>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</si>
  <si>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</si>
  <si>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</si>
  <si>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</si>
  <si>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</si>
  <si>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</si>
  <si>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</si>
  <si>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</si>
  <si>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</si>
  <si>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</si>
  <si>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</si>
  <si>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</si>
  <si>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</si>
  <si>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</si>
  <si>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</si>
  <si>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</si>
  <si>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</si>
  <si>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</si>
  <si>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</si>
  <si>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</si>
  <si>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</si>
  <si>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</si>
  <si>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</si>
  <si>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</si>
  <si>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</si>
  <si>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</si>
  <si>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</si>
  <si>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</si>
  <si>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</si>
  <si>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</si>
  <si>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</si>
  <si>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</si>
  <si>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</si>
  <si>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</si>
  <si>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</si>
  <si>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</si>
  <si>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</si>
  <si>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</si>
  <si>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</si>
  <si>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</si>
  <si>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</si>
  <si>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</si>
  <si>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</si>
  <si>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</si>
  <si>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</si>
  <si>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</si>
  <si>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</si>
  <si>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</si>
  <si>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</si>
  <si>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</si>
  <si>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</si>
  <si>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</si>
  <si>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</si>
  <si>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</si>
  <si>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</si>
  <si>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</si>
  <si>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</si>
  <si>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</si>
  <si>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</si>
  <si>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</si>
  <si>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</si>
  <si>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</si>
  <si>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</si>
  <si>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</si>
  <si>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</si>
  <si>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</si>
  <si>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</si>
  <si>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</si>
  <si>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</si>
  <si>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</si>
  <si>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</si>
  <si>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</si>
  <si>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</si>
  <si>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</si>
  <si>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</si>
  <si>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</si>
  <si>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</si>
  <si>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</si>
  <si>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</si>
  <si>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</si>
  <si>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</si>
  <si>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</si>
  <si>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</si>
  <si>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</si>
  <si>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</si>
  <si>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</si>
  <si>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</si>
  <si>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</si>
  <si>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</si>
  <si>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</si>
  <si>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</si>
  <si>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</si>
  <si>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</si>
  <si>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</si>
  <si>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</si>
  <si>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</si>
  <si>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</si>
  <si>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</si>
  <si>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</si>
  <si>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</si>
  <si>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</si>
  <si>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</si>
  <si>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</si>
  <si>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</si>
  <si>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</si>
  <si>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</si>
  <si>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</si>
  <si>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</si>
  <si>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</si>
  <si>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</si>
  <si>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</si>
  <si>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</si>
  <si>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</si>
  <si>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</si>
  <si>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</si>
  <si>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</si>
  <si>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</si>
  <si>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</si>
  <si>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</si>
  <si>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</si>
  <si>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</si>
  <si>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</si>
  <si>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</si>
  <si>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</si>
  <si>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</si>
  <si>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</si>
  <si>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</si>
  <si>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</si>
  <si>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</si>
  <si>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</si>
  <si>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</si>
  <si>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</si>
  <si>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</si>
  <si>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</si>
  <si>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</si>
  <si>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</si>
  <si>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</si>
  <si>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</si>
  <si>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</si>
  <si>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</si>
  <si>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</si>
  <si>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</si>
  <si>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</si>
  <si>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</si>
  <si>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</si>
  <si>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</si>
  <si>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</si>
  <si>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</si>
  <si>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</si>
  <si>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</si>
  <si>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</si>
  <si>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</si>
  <si>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</si>
  <si>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</si>
  <si>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</si>
  <si>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</si>
  <si>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</si>
  <si>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</si>
  <si>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</si>
  <si>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</si>
  <si>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</si>
  <si>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</si>
  <si>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</si>
  <si>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</si>
  <si>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</si>
  <si>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</si>
  <si>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</si>
  <si>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</si>
  <si>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</si>
  <si>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</si>
  <si>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</si>
  <si>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</si>
  <si>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</si>
  <si>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</si>
  <si>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</si>
  <si>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</si>
  <si>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</si>
  <si>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</si>
  <si>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</si>
  <si>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</si>
  <si>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</si>
  <si>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</si>
  <si>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</si>
  <si>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</si>
  <si>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</si>
  <si>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</si>
  <si>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</si>
  <si>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</si>
  <si>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</si>
  <si>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</si>
  <si>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</si>
  <si>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</si>
  <si>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</si>
  <si>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</si>
  <si>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</si>
  <si>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</si>
  <si>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</si>
  <si>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</si>
  <si>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</si>
  <si>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</si>
  <si>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</si>
  <si>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</si>
  <si>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</si>
  <si>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</si>
  <si>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</si>
  <si>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</si>
  <si>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</si>
  <si>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</si>
  <si>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</si>
  <si>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</si>
  <si>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</si>
  <si>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</si>
  <si>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</si>
  <si>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</si>
  <si>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</si>
  <si>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</si>
  <si>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</si>
  <si>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</si>
  <si>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</si>
  <si>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</si>
  <si>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</si>
  <si>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</si>
  <si>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</si>
  <si>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</si>
  <si>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</si>
  <si>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</si>
  <si>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</si>
  <si>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</si>
  <si>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</si>
  <si>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</si>
  <si>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</si>
  <si>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</si>
  <si>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</si>
  <si>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</si>
  <si>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</si>
  <si>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</si>
  <si>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</si>
  <si>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</si>
  <si>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</si>
  <si>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</si>
  <si>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</si>
  <si>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</si>
  <si>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</si>
  <si>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</si>
  <si>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</si>
  <si>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</si>
  <si>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</si>
  <si>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</si>
  <si>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</si>
  <si>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</si>
  <si>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</si>
  <si>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</si>
  <si>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</si>
  <si>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</si>
  <si>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</si>
  <si>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</si>
  <si>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</si>
  <si>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</si>
  <si>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</si>
  <si>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</si>
  <si>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</si>
  <si>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</si>
  <si>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</si>
  <si>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</si>
  <si>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</si>
  <si>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</si>
  <si>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</si>
  <si>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</si>
  <si>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</si>
  <si>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</si>
  <si>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</si>
  <si>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</si>
  <si>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</si>
  <si>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</si>
  <si>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</si>
  <si>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</si>
  <si>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</si>
  <si>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</si>
  <si>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</si>
  <si>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</si>
  <si>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</si>
  <si>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</si>
  <si>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</si>
  <si>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</si>
  <si>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</si>
  <si>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</si>
  <si>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</si>
  <si>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</si>
  <si>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</si>
  <si>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</si>
  <si>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</si>
  <si>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</si>
  <si>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</si>
  <si>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</si>
  <si>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</si>
  <si>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</si>
  <si>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</si>
  <si>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</si>
  <si>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</si>
  <si>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</si>
  <si>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</si>
  <si>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</si>
  <si>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</si>
  <si>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</si>
  <si>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</si>
  <si>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</si>
  <si>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</si>
  <si>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</si>
  <si>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</si>
  <si>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</si>
  <si>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</si>
  <si>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</si>
  <si>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</si>
  <si>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</si>
  <si>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</si>
  <si>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</si>
  <si>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</si>
  <si>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</si>
  <si>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</si>
  <si>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</si>
  <si>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</si>
  <si>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</si>
  <si>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</si>
  <si>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</si>
  <si>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</si>
  <si>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</si>
  <si>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</si>
  <si>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</si>
  <si>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</si>
  <si>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</si>
  <si>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</si>
  <si>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</si>
  <si>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</si>
  <si>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</si>
  <si>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</si>
  <si>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</si>
  <si>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</si>
  <si>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</si>
  <si>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</si>
  <si>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</si>
  <si>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</si>
  <si>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</si>
  <si>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</si>
  <si>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</si>
  <si>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</si>
  <si>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</si>
  <si>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</si>
  <si>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</si>
  <si>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</si>
  <si>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</si>
  <si>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</si>
  <si>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</si>
  <si>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</si>
  <si>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</si>
  <si>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</si>
  <si>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</si>
  <si>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</si>
  <si>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</si>
  <si>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</si>
  <si>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</si>
  <si>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</si>
  <si>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</si>
  <si>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</si>
  <si>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</si>
  <si>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</si>
  <si>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</si>
  <si>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</si>
  <si>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</si>
  <si>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</si>
  <si>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</si>
  <si>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</si>
  <si>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</si>
  <si>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</si>
  <si>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</si>
  <si>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</si>
  <si>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</si>
  <si>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</si>
  <si>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</si>
  <si>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</si>
  <si>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</si>
  <si>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</si>
  <si>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</si>
  <si>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</si>
  <si>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</si>
  <si>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</si>
  <si>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</si>
  <si>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</si>
  <si>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</si>
  <si>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</si>
  <si>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</si>
  <si>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</si>
  <si>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</si>
  <si>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</si>
  <si>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</si>
  <si>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</si>
  <si>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</si>
  <si>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</si>
  <si>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</si>
  <si>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</si>
  <si>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</si>
  <si>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</si>
  <si>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</si>
  <si>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</si>
  <si>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</si>
  <si>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</si>
  <si>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</si>
  <si>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</si>
  <si>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</si>
  <si>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</si>
  <si>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</si>
  <si>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</si>
  <si>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</si>
  <si>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</si>
  <si>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</si>
  <si>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</si>
  <si>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</si>
  <si>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</si>
  <si>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</si>
  <si>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</si>
  <si>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</si>
  <si>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</si>
  <si>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</si>
  <si>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</si>
  <si>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</si>
  <si>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</si>
  <si>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</si>
  <si>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</si>
  <si>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</si>
  <si>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</si>
  <si>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</si>
  <si>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</si>
  <si>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</si>
  <si>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</si>
  <si>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</si>
  <si>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</si>
  <si>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</si>
  <si>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</si>
  <si>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</si>
  <si>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</si>
  <si>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</si>
  <si>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</si>
  <si>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</si>
  <si>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</si>
  <si>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</si>
  <si>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</si>
  <si>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</si>
  <si>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</si>
  <si>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</si>
  <si>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</si>
  <si>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</si>
  <si>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</si>
  <si>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</si>
  <si>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</si>
  <si>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</si>
  <si>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</si>
  <si>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</si>
  <si>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</si>
  <si>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</si>
  <si>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</si>
  <si>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</si>
  <si>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</si>
  <si>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</si>
  <si>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</si>
  <si>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</si>
  <si>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</si>
  <si>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</si>
  <si>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</si>
  <si>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</si>
  <si>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</si>
  <si>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</si>
  <si>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</si>
  <si>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</si>
  <si>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</si>
  <si>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</si>
  <si>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</si>
  <si>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</si>
  <si>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</si>
  <si>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</si>
  <si>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</si>
  <si>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</si>
  <si>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</si>
  <si>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</si>
  <si>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</si>
  <si>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</si>
  <si>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</si>
  <si>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</si>
  <si>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</si>
  <si>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</si>
  <si>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</si>
  <si>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</si>
  <si>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</si>
  <si>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</si>
  <si>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</si>
  <si>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</si>
  <si>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</si>
  <si>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</si>
  <si>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</si>
  <si>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</si>
  <si>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</si>
  <si>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</si>
  <si>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</si>
  <si>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</si>
  <si>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</si>
  <si>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</si>
  <si>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</si>
  <si>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</si>
  <si>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</si>
  <si>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</si>
  <si>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</si>
  <si>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</si>
  <si>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</si>
  <si>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</si>
  <si>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</si>
  <si>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</si>
  <si>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</si>
  <si>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</si>
  <si>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</si>
  <si>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</si>
  <si>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</si>
  <si>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</si>
  <si>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</si>
  <si>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</si>
  <si>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</si>
  <si>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</si>
  <si>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</si>
  <si>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</si>
  <si>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</si>
  <si>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</si>
  <si>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</si>
  <si>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</si>
  <si>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</si>
  <si>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</si>
  <si>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</si>
  <si>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</si>
  <si>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</si>
  <si>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</si>
  <si>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</si>
  <si>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</si>
  <si>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</si>
  <si>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</si>
  <si>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</si>
  <si>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</si>
  <si>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</si>
  <si>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</si>
  <si>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</si>
  <si>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</si>
  <si>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</si>
  <si>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</si>
  <si>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</si>
  <si>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</si>
  <si>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</si>
  <si>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</si>
  <si>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</si>
  <si>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</si>
  <si>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</si>
  <si>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</si>
  <si>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</si>
  <si>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</si>
  <si>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</si>
  <si>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</si>
  <si>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</si>
  <si>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</si>
  <si>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</si>
  <si>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</si>
  <si>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</si>
  <si>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</si>
  <si>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</si>
  <si>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</si>
  <si>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</si>
  <si>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</si>
  <si>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</si>
  <si>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</si>
  <si>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</si>
  <si>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</si>
  <si>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</si>
  <si>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</si>
  <si>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</si>
  <si>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</si>
  <si>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</si>
  <si>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</si>
  <si>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</si>
  <si>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</si>
  <si>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</si>
  <si>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</si>
  <si>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</si>
  <si>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</si>
  <si>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</si>
  <si>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</si>
  <si>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</si>
  <si>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</si>
  <si>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</si>
  <si>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</si>
  <si>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</si>
  <si>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</si>
  <si>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</si>
  <si>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</si>
  <si>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</si>
  <si>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</si>
  <si>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</si>
  <si>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</si>
  <si>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</si>
  <si>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</si>
  <si>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</si>
  <si>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</si>
  <si>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</si>
  <si>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</si>
  <si>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</si>
  <si>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</si>
  <si>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</si>
  <si>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</si>
  <si>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</si>
  <si>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</si>
  <si>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</si>
  <si>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</si>
  <si>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</si>
  <si>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</si>
  <si>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</si>
  <si>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</si>
  <si>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</si>
  <si>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</si>
  <si>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</si>
  <si>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</si>
  <si>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</si>
  <si>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</si>
  <si>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</si>
  <si>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</si>
  <si>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</si>
  <si>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</si>
  <si>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</si>
  <si>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</si>
  <si>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</si>
  <si>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</si>
  <si>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</si>
  <si>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</si>
  <si>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</si>
  <si>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</si>
  <si>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</si>
  <si>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</si>
  <si>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</si>
  <si>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</si>
  <si>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</si>
  <si>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</si>
  <si>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</si>
  <si>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</si>
  <si>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</si>
  <si>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</si>
  <si>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</si>
  <si>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</si>
  <si>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</si>
  <si>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</si>
  <si>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</si>
  <si>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</si>
  <si>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</si>
  <si>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</si>
  <si>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</si>
  <si>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</si>
  <si>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</si>
  <si>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</si>
  <si>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</si>
  <si>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</si>
  <si>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</si>
  <si>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</si>
  <si>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</si>
  <si>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</si>
  <si>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</si>
  <si>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</si>
  <si>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</si>
  <si>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</si>
  <si>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</si>
  <si>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</si>
  <si>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</si>
  <si>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</si>
  <si>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</si>
  <si>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</si>
  <si>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</si>
  <si>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</si>
  <si>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</si>
  <si>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</si>
  <si>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</si>
  <si>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</si>
  <si>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</si>
  <si>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</si>
  <si>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</si>
  <si>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</si>
  <si>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</si>
  <si>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</si>
  <si>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</si>
  <si>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</si>
  <si>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</si>
  <si>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</si>
  <si>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</si>
  <si>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</si>
  <si>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</si>
  <si>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</si>
  <si>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</si>
  <si>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</si>
  <si>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</si>
  <si>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</si>
  <si>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</si>
  <si>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</si>
  <si>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</si>
  <si>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</si>
  <si>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</si>
  <si>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</si>
  <si>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</si>
  <si>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</si>
  <si>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</si>
  <si>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</si>
  <si>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</si>
  <si>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</si>
  <si>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</si>
  <si>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</si>
  <si>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</si>
  <si>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</si>
  <si>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</si>
  <si>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</si>
  <si>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</si>
  <si>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</si>
  <si>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</si>
  <si>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</si>
  <si>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</si>
  <si>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</si>
  <si>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</si>
  <si>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</si>
  <si>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</si>
  <si>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</si>
  <si>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</si>
  <si>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</si>
  <si>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</si>
  <si>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</si>
  <si>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</si>
  <si>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</si>
  <si>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</si>
  <si>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</si>
  <si>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</si>
  <si>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</si>
  <si>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</si>
  <si>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</si>
  <si>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</si>
  <si>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</si>
  <si>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</si>
  <si>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</si>
  <si>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</si>
  <si>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</si>
  <si>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</si>
  <si>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</si>
  <si>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</si>
  <si>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</si>
  <si>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</si>
  <si>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</si>
  <si>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</si>
  <si>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</si>
  <si>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</si>
  <si>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</si>
  <si>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</si>
  <si>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</si>
  <si>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</si>
  <si>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</si>
  <si>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</si>
  <si>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</si>
  <si>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</si>
  <si>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</si>
  <si>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</si>
  <si>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</si>
  <si>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</si>
  <si>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</si>
  <si>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</si>
  <si>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</si>
  <si>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</si>
  <si>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</si>
  <si>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</si>
  <si>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</si>
  <si>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</si>
  <si>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</si>
  <si>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</si>
  <si>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</si>
  <si>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</si>
  <si>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</si>
  <si>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</si>
  <si>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</si>
  <si>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</si>
  <si>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</si>
  <si>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</si>
  <si>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</si>
  <si>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</si>
  <si>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</si>
  <si>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</si>
  <si>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</si>
  <si>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</si>
  <si>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</si>
  <si>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</si>
  <si>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</si>
  <si>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</si>
  <si>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</si>
  <si>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</si>
  <si>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</si>
  <si>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</si>
  <si>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</si>
  <si>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</si>
  <si>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</si>
  <si>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</si>
  <si>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</si>
  <si>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</si>
  <si>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</si>
  <si>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</si>
  <si>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</si>
  <si>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</si>
  <si>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</si>
  <si>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</si>
  <si>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</si>
  <si>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</si>
  <si>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</si>
  <si>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</si>
  <si>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</si>
  <si>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</si>
  <si>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</si>
  <si>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</si>
  <si>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</si>
  <si>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</si>
  <si>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</si>
  <si>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</si>
  <si>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</si>
  <si>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</si>
  <si>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</si>
  <si>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</si>
  <si>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</si>
  <si>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</si>
  <si>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</si>
  <si>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</si>
  <si>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</si>
  <si>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</si>
  <si>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</si>
  <si>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</si>
  <si>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</si>
  <si>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</si>
  <si>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</si>
  <si>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</si>
  <si>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</si>
  <si>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</si>
  <si>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</si>
  <si>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</si>
  <si>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</si>
  <si>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</si>
  <si>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</si>
  <si>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</si>
  <si>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</si>
  <si>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</si>
  <si>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</si>
  <si>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</si>
  <si>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</si>
  <si>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</si>
  <si>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</si>
  <si>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</si>
  <si>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</si>
  <si>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</si>
  <si>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</si>
  <si>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</si>
  <si>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</si>
  <si>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</si>
  <si>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</si>
  <si>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</si>
  <si>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</si>
  <si>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</si>
  <si>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</si>
  <si>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</si>
  <si>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</si>
  <si>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</si>
  <si>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</si>
  <si>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</si>
  <si>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</si>
  <si>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</si>
  <si>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</si>
  <si>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</si>
  <si>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</si>
  <si>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</si>
  <si>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</si>
  <si>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</si>
  <si>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</si>
  <si>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</si>
  <si>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</si>
  <si>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</si>
  <si>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</si>
  <si>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</si>
  <si>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</si>
  <si>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</si>
  <si>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</si>
  <si>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</si>
  <si>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</si>
  <si>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</si>
  <si>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</si>
  <si>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</si>
  <si>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</si>
  <si>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</si>
  <si>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</si>
  <si>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</si>
  <si>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</si>
  <si>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</si>
  <si>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</si>
  <si>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</si>
  <si>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</si>
  <si>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</si>
  <si>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</si>
  <si>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</si>
  <si>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</si>
  <si>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</si>
  <si>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</si>
  <si>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</si>
  <si>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</si>
  <si>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</si>
  <si>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</si>
  <si>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</si>
  <si>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</si>
  <si>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</si>
  <si>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</si>
  <si>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</si>
  <si>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</si>
  <si>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</si>
  <si>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</si>
  <si>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</si>
  <si>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</si>
  <si>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</si>
  <si>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</si>
  <si>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</si>
  <si>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</si>
  <si>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</si>
  <si>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</si>
  <si>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</si>
  <si>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</si>
  <si>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</si>
  <si>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</si>
  <si>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</si>
  <si>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</si>
  <si>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</si>
  <si>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</si>
  <si>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</si>
  <si>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</si>
  <si>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</si>
  <si>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</si>
  <si>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</si>
  <si>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</si>
  <si>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</si>
  <si>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</si>
  <si>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</si>
  <si>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</si>
  <si>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</si>
  <si>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</si>
  <si>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</si>
  <si>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</si>
  <si>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</si>
  <si>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</si>
  <si>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</si>
  <si>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</si>
  <si>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</si>
  <si>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</si>
  <si>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</si>
  <si>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</si>
  <si>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</si>
  <si>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</si>
  <si>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</si>
  <si>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</si>
  <si>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</si>
  <si>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</si>
  <si>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</si>
  <si>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</si>
  <si>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</si>
  <si>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</si>
  <si>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</si>
  <si>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</si>
  <si>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</si>
  <si>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</si>
  <si>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</si>
  <si>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</si>
  <si>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</si>
  <si>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</si>
  <si>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</si>
  <si>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</si>
  <si>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</si>
  <si>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</si>
  <si>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</si>
  <si>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</si>
  <si>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</si>
  <si>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</si>
  <si>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</si>
  <si>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</si>
  <si>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</si>
  <si>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</si>
  <si>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</si>
  <si>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</si>
  <si>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</si>
  <si>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</si>
  <si>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</si>
  <si>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</si>
  <si>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</si>
  <si>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</si>
  <si>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</si>
  <si>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</si>
  <si>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</si>
  <si>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</si>
  <si>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</si>
  <si>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</si>
  <si>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</si>
  <si>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</si>
  <si>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</si>
  <si>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</si>
  <si>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</si>
  <si>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</si>
  <si>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</si>
  <si>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</si>
  <si>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</si>
  <si>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</si>
  <si>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</si>
  <si>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</si>
  <si>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</si>
  <si>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</si>
  <si>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</si>
  <si>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</si>
  <si>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</si>
  <si>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</si>
  <si>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</si>
  <si>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</si>
  <si>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</si>
  <si>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</si>
  <si>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</si>
  <si>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</si>
  <si>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</si>
  <si>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</si>
  <si>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</si>
  <si>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</si>
  <si>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</si>
  <si>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</si>
  <si>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</si>
  <si>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</si>
  <si>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</si>
  <si>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</si>
  <si>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</si>
  <si>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</si>
  <si>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</si>
  <si>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</si>
  <si>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</si>
  <si>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</si>
  <si>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</si>
  <si>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</si>
  <si>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</si>
  <si>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</si>
  <si>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</si>
  <si>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</si>
  <si>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</si>
  <si>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</si>
  <si>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</si>
  <si>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</si>
  <si>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</si>
  <si>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</si>
  <si>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</si>
  <si>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</si>
  <si>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</si>
  <si>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</si>
  <si>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</si>
  <si>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</si>
  <si>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</si>
  <si>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</si>
  <si>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</si>
  <si>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</si>
  <si>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</si>
  <si>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</si>
  <si>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</si>
  <si>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</si>
  <si>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</si>
  <si>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</si>
  <si>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</si>
  <si>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</si>
  <si>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</si>
  <si>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</si>
  <si>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</si>
  <si>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</si>
  <si>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</si>
  <si>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</si>
  <si>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</si>
  <si>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</si>
  <si>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</si>
  <si>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</si>
  <si>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</si>
  <si>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</si>
  <si>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</si>
  <si>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</si>
  <si>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</si>
  <si>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</si>
  <si>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</si>
  <si>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</si>
  <si>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</si>
  <si>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</si>
  <si>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</si>
  <si>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</si>
  <si>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</si>
  <si>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</si>
  <si>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</si>
  <si>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</si>
  <si>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</si>
  <si>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</si>
  <si>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</si>
  <si>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</si>
  <si>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</si>
  <si>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</si>
  <si>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</si>
  <si>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</si>
  <si>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</si>
  <si>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</si>
  <si>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</si>
  <si>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</si>
  <si>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</si>
  <si>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</si>
  <si>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</si>
  <si>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</si>
  <si>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</si>
  <si>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</si>
  <si>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</si>
  <si>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</si>
  <si>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</si>
  <si>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</si>
  <si>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</si>
  <si>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</si>
  <si>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</si>
  <si>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</si>
  <si>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</si>
  <si>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</si>
  <si>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</si>
  <si>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</si>
  <si>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</si>
  <si>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</si>
  <si>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</si>
  <si>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</si>
  <si>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</si>
  <si>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</si>
  <si>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</si>
  <si>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</si>
  <si>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</si>
  <si>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</si>
  <si>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</si>
  <si>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</si>
  <si>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</si>
  <si>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</si>
  <si>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</si>
  <si>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</si>
  <si>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</si>
  <si>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</si>
  <si>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</si>
  <si>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</si>
  <si>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</si>
  <si>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</si>
  <si>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</si>
  <si>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</si>
  <si>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</si>
  <si>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</si>
  <si>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</si>
  <si>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</si>
  <si>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</si>
  <si>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</si>
  <si>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</si>
  <si>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</si>
  <si>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</si>
  <si>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</si>
  <si>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</si>
  <si>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</si>
  <si>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</si>
  <si>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</si>
  <si>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</si>
  <si>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</si>
  <si>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</si>
  <si>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</si>
  <si>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</si>
  <si>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</si>
  <si>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</si>
  <si>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</si>
  <si>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</si>
  <si>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</si>
  <si>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</si>
  <si>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</si>
  <si>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</si>
  <si>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</si>
  <si>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</si>
  <si>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</si>
  <si>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</si>
  <si>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</si>
  <si>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</si>
  <si>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</si>
  <si>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</si>
  <si>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</si>
  <si>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</si>
  <si>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</si>
  <si>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</si>
  <si>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</si>
  <si>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</si>
  <si>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</si>
  <si>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</si>
  <si>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</si>
  <si>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</si>
  <si>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</si>
  <si>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</si>
  <si>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</si>
  <si>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</si>
  <si>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</si>
  <si>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</si>
  <si>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</si>
  <si>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</si>
  <si>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</si>
  <si>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</si>
  <si>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</si>
  <si>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</si>
  <si>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</si>
  <si>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</si>
  <si>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</si>
  <si>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</si>
  <si>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</si>
  <si>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</si>
  <si>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</si>
  <si>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</si>
  <si>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</si>
  <si>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</si>
  <si>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</si>
  <si>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</si>
  <si>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</si>
  <si>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</si>
  <si>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</si>
  <si>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</si>
  <si>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</si>
  <si>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</si>
  <si>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</si>
  <si>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</si>
  <si>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</si>
  <si>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</si>
  <si>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</si>
  <si>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</si>
  <si>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</si>
  <si>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</si>
  <si>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</si>
  <si>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</si>
  <si>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</si>
  <si>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</si>
  <si>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</si>
  <si>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</si>
  <si>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</si>
  <si>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</si>
  <si>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</si>
  <si>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</si>
  <si>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</si>
  <si>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</si>
  <si>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</si>
  <si>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</si>
  <si>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</si>
  <si>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</si>
  <si>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</si>
  <si>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</si>
  <si>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</si>
  <si>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</si>
  <si>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</si>
  <si>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</si>
  <si>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</si>
  <si>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</si>
  <si>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</si>
  <si>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</si>
  <si>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</si>
  <si>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</si>
  <si>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</si>
  <si>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</si>
  <si>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</si>
  <si>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</si>
  <si>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</si>
  <si>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</si>
  <si>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</si>
  <si>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</si>
  <si>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</si>
  <si>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</si>
  <si>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</si>
  <si>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</si>
  <si>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</si>
  <si>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</si>
  <si>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</si>
  <si>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</si>
  <si>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</si>
  <si>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</si>
  <si>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</si>
  <si>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</si>
  <si>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</si>
  <si>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</si>
  <si>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</si>
  <si>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</si>
  <si>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</si>
  <si>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</si>
  <si>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</si>
  <si>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</si>
  <si>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</si>
  <si>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</si>
  <si>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</si>
  <si>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</si>
  <si>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</si>
  <si>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</si>
  <si>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</si>
  <si>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</si>
  <si>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</si>
  <si>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</si>
  <si>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</si>
  <si>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</si>
  <si>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</si>
  <si>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</si>
  <si>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</si>
  <si>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</si>
  <si>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</si>
  <si>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</si>
  <si>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</si>
  <si>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</si>
  <si>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</si>
  <si>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</si>
  <si>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</si>
  <si>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</si>
  <si>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</si>
  <si>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</si>
  <si>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</si>
  <si>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</si>
  <si>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</si>
  <si>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</si>
  <si>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</si>
  <si>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</si>
  <si>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</si>
  <si>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</si>
  <si>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</si>
  <si>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</si>
  <si>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</si>
  <si>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</si>
  <si>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</si>
  <si>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</si>
  <si>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</si>
  <si>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</si>
  <si>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</si>
  <si>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</si>
  <si>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</si>
  <si>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</si>
  <si>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</si>
  <si>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</si>
  <si>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</si>
  <si>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</si>
  <si>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</si>
  <si>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</si>
  <si>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</si>
  <si>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</si>
  <si>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</si>
  <si>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</si>
  <si>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</si>
  <si>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</si>
  <si>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</si>
  <si>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</si>
  <si>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</si>
  <si>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</si>
  <si>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</si>
  <si>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</si>
  <si>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</si>
  <si>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</si>
  <si>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</si>
  <si>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</si>
  <si>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</si>
  <si>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</si>
  <si>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</si>
  <si>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</si>
  <si>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</si>
  <si>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</si>
  <si>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</si>
  <si>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</si>
  <si>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</si>
  <si>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</si>
  <si>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</si>
  <si>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</si>
  <si>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</si>
  <si>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</si>
  <si>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</si>
  <si>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</si>
  <si>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</si>
  <si>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</si>
  <si>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</si>
  <si>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</si>
  <si>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</si>
  <si>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</si>
  <si>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</si>
  <si>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</si>
  <si>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</si>
  <si>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</si>
  <si>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</si>
  <si>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</si>
  <si>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</si>
  <si>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Department of Water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</si>
</sst>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8" fillId="0" borderId="0" xfId="0" applyNumberFormat="1" applyFont="1" applyAlignment="1">
      <alignment horizontal="left"/>
    </xf>
    <xf numFmtId="165" fontId="3" fillId="0" borderId="0" xfId="0" applyNumberFormat="1" applyFont="1" applyAlignment="1" applyProtection="1">
      <alignment horizontal="left"/>
      <protection hidden="1"/>
    </xf>
    <xf numFmtId="165" fontId="42" fillId="0" borderId="0" xfId="0" applyNumberFormat="1" applyFont="1" applyAlignment="1">
      <alignment horizontal="left" wrapText="1"/>
    </xf>
    <xf numFmtId="165" fontId="37" fillId="0" borderId="14" xfId="0" applyNumberFormat="1" applyFont="1" applyBorder="1" applyAlignment="1">
      <alignment horizontal="left"/>
    </xf>
    <xf numFmtId="165" fontId="37"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0" fontId="35" fillId="7" borderId="0" xfId="0" applyFont="1" applyFill="1" applyAlignment="1">
      <alignment horizontal="left"/>
    </xf>
    <xf numFmtId="0" fontId="39" fillId="0" borderId="0" xfId="0" applyFont="1" applyAlignment="1">
      <alignment horizontal="center" vertical="top" wrapText="1"/>
    </xf>
    <xf numFmtId="0" fontId="41" fillId="0" borderId="0" xfId="0" applyFont="1" applyAlignment="1">
      <alignment horizontal="left" vertical="center" wrapText="1"/>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14" fillId="3" borderId="0" xfId="0" applyFont="1" applyFill="1" applyAlignment="1">
      <alignment horizontal="left"/>
    </xf>
    <xf numFmtId="0" fontId="46" fillId="2" borderId="0" xfId="3" applyFont="1" applyFill="1" applyAlignment="1">
      <alignment horizontal="left" vertical="top" wrapText="1"/>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6" fillId="2" borderId="0" xfId="3" applyFont="1" applyFill="1" applyAlignment="1">
      <alignment horizontal="left" vertical="top" wrapText="1"/>
    </xf>
    <xf numFmtId="0" fontId="22" fillId="0" borderId="13" xfId="3" applyFont="1" applyBorder="1" applyAlignment="1">
      <alignment horizontal="center" vertical="top"/>
    </xf>
    <xf numFmtId="0" fontId="22" fillId="0" borderId="0" xfId="3" applyFont="1" applyAlignment="1">
      <alignment horizontal="left" vertical="top"/>
    </xf>
    <xf numFmtId="0" fontId="22" fillId="0" borderId="0" xfId="3" applyFont="1" applyAlignment="1">
      <alignment horizontal="left" vertical="top" wrapText="1"/>
    </xf>
    <xf numFmtId="0" fontId="18"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topLeftCell="A37" zoomScale="85" zoomScaleNormal="85" workbookViewId="0">
      <selection activeCell="J56" sqref="J56"/>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696</v>
      </c>
      <c r="G5" s="180"/>
      <c r="H5" s="180"/>
      <c r="I5" s="180"/>
      <c r="J5" s="47"/>
      <c r="K5" s="47"/>
      <c r="L5" s="48"/>
      <c r="M5" s="48"/>
      <c r="N5" s="48"/>
    </row>
    <row r="6" spans="1:17" ht="15.75" x14ac:dyDescent="0.2">
      <c r="A6" s="173" t="s">
        <v>1</v>
      </c>
      <c r="B6" s="173"/>
      <c r="C6" s="173"/>
      <c r="D6" s="173"/>
      <c r="E6" s="173"/>
      <c r="F6" s="181">
        <v>1</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RESOURCES</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1836623</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f>J15</f>
        <v>1836623</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1836623</v>
      </c>
      <c r="K22" s="29">
        <f>ROUND(SUM(K18:K21),2)</f>
        <v>1836623</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f>J28</f>
        <v>0</v>
      </c>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f>J35</f>
        <v>0</v>
      </c>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0820 - NAT RES &amp; ENVIRON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676631</v>
      </c>
      <c r="K45" s="33"/>
    </row>
    <row r="46" spans="1:12" ht="16.5" customHeight="1" x14ac:dyDescent="0.2">
      <c r="A46" s="56"/>
      <c r="B46" s="71"/>
      <c r="C46" s="165" t="s">
        <v>1587</v>
      </c>
      <c r="D46" s="165"/>
      <c r="E46" s="165"/>
      <c r="F46" s="165"/>
      <c r="G46" s="165"/>
      <c r="H46" s="165"/>
      <c r="I46" s="165"/>
      <c r="J46" s="36"/>
      <c r="K46" s="32">
        <f>J45</f>
        <v>676631</v>
      </c>
    </row>
    <row r="47" spans="1:12" ht="16.5" customHeight="1" x14ac:dyDescent="0.2">
      <c r="A47" s="68"/>
      <c r="B47" s="58"/>
      <c r="C47" s="58"/>
      <c r="D47" s="58"/>
      <c r="E47" s="58"/>
      <c r="F47" s="58"/>
      <c r="G47" s="58"/>
      <c r="H47" s="58"/>
      <c r="I47" s="58"/>
      <c r="J47" s="39">
        <f>ROUND(SUM(J45:J45),2)</f>
        <v>676631</v>
      </c>
      <c r="K47" s="39">
        <f>ROUND(SUM(K46),2)</f>
        <v>676631</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831044</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31153</v>
      </c>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862197</v>
      </c>
    </row>
    <row r="53" spans="1:12" ht="16.5" customHeight="1" x14ac:dyDescent="0.2">
      <c r="A53" s="68"/>
      <c r="B53" s="58"/>
      <c r="C53" s="58"/>
      <c r="D53" s="58"/>
      <c r="E53" s="58"/>
      <c r="F53" s="58"/>
      <c r="G53" s="58"/>
      <c r="H53" s="58"/>
      <c r="I53" s="58"/>
      <c r="J53" s="39">
        <f>ROUND(SUM(J50:J51),2)</f>
        <v>862197</v>
      </c>
      <c r="K53" s="39">
        <f>ROUND(SUM(K52,),2)</f>
        <v>862197</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7">
        <v>831044</v>
      </c>
      <c r="K56" s="36"/>
    </row>
    <row r="57" spans="1:12" ht="16.5" customHeight="1" x14ac:dyDescent="0.25">
      <c r="A57" s="56"/>
      <c r="B57" s="57"/>
      <c r="C57" s="165" t="s">
        <v>1613</v>
      </c>
      <c r="D57" s="165"/>
      <c r="E57" s="165"/>
      <c r="F57" s="165"/>
      <c r="G57" s="165"/>
      <c r="H57" s="165"/>
      <c r="I57" s="165"/>
      <c r="J57" s="36"/>
      <c r="K57" s="32">
        <f>J50</f>
        <v>831044</v>
      </c>
    </row>
    <row r="58" spans="1:12" ht="16.5" customHeight="1" x14ac:dyDescent="0.2">
      <c r="A58" s="68"/>
      <c r="B58" s="58"/>
      <c r="C58" s="58"/>
      <c r="D58" s="58"/>
      <c r="E58" s="58"/>
      <c r="F58" s="58"/>
      <c r="G58" s="58"/>
      <c r="H58" s="58"/>
      <c r="I58" s="58"/>
      <c r="J58" s="39">
        <f>ROUND(SUM(J56:J56),2)</f>
        <v>831044</v>
      </c>
      <c r="K58" s="39">
        <f>ROUND(SUM(K57),2)</f>
        <v>831044</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722676</v>
      </c>
      <c r="K61" s="33"/>
    </row>
    <row r="62" spans="1:12" ht="16.5" customHeight="1" x14ac:dyDescent="0.25">
      <c r="A62" s="56"/>
      <c r="B62" s="57"/>
      <c r="C62" s="165" t="s">
        <v>1623</v>
      </c>
      <c r="D62" s="165"/>
      <c r="E62" s="165"/>
      <c r="F62" s="165"/>
      <c r="G62" s="165"/>
      <c r="H62" s="165"/>
      <c r="I62" s="165"/>
      <c r="J62" s="33"/>
      <c r="K62" s="32">
        <f>J61</f>
        <v>722676</v>
      </c>
    </row>
    <row r="63" spans="1:12" ht="16.5" customHeight="1" x14ac:dyDescent="0.2">
      <c r="A63" s="56"/>
      <c r="B63" s="166" t="s">
        <v>1622</v>
      </c>
      <c r="C63" s="166"/>
      <c r="D63" s="166"/>
      <c r="E63" s="166"/>
      <c r="F63" s="166"/>
      <c r="G63" s="166"/>
      <c r="H63" s="166"/>
      <c r="I63" s="166"/>
      <c r="J63" s="39">
        <f>ROUND(SUM(J61:J61),2)</f>
        <v>722676</v>
      </c>
      <c r="K63" s="39">
        <f>ROUND(SUM(K62),2)</f>
        <v>722676</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tr">
        <f>VLOOKUP($F$8,'Drop Down Menus'!$D$2:$G$10,4,FALSE)</f>
        <v>Cr: Acct 0820 - NAT RES &amp; ENVIRON (GAAP ADJ)</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tr">
        <f>VLOOKUP($F$8,'Drop Down Menus'!$D$2:$G$10,4,FALSE)</f>
        <v>Cr: Acct 0820 - NAT RES &amp; ENVIRON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1836623</v>
      </c>
    </row>
    <row r="95" spans="1:12" ht="16.5" customHeight="1" x14ac:dyDescent="0.25">
      <c r="D95" s="57" t="s">
        <v>1641</v>
      </c>
      <c r="E95"/>
      <c r="F95"/>
      <c r="G95"/>
      <c r="H95" s="44"/>
      <c r="I95"/>
      <c r="J95"/>
      <c r="K95" s="162">
        <f>-K18-K46+J68+J77</f>
        <v>-676631</v>
      </c>
    </row>
    <row r="96" spans="1:12" ht="16.5" customHeight="1" x14ac:dyDescent="0.25">
      <c r="D96" s="57" t="s">
        <v>1639</v>
      </c>
      <c r="E96"/>
      <c r="F96"/>
      <c r="G96"/>
      <c r="H96" s="44"/>
      <c r="I96"/>
      <c r="J96"/>
      <c r="K96" s="162">
        <f>-K19-K37+J56+J61+J76-K85</f>
        <v>-282903</v>
      </c>
    </row>
    <row r="97" spans="1:11" ht="16.5" customHeight="1" x14ac:dyDescent="0.25">
      <c r="D97" s="57" t="s">
        <v>1640</v>
      </c>
      <c r="E97"/>
      <c r="F97"/>
      <c r="G97"/>
      <c r="H97" s="44"/>
      <c r="I97"/>
      <c r="J97"/>
      <c r="K97" s="162">
        <f>-K62</f>
        <v>-722676</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35"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4E933-4413-468F-AFDC-40DAEACACF3B}">
  <sheetPr>
    <tabColor rgb="FF92D050"/>
    <pageSetUpPr fitToPage="1"/>
  </sheetPr>
  <dimension ref="A1:Q115"/>
  <sheetViews>
    <sheetView zoomScale="85" zoomScaleNormal="85" workbookViewId="0">
      <selection activeCell="J62" sqref="J62"/>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696</v>
      </c>
      <c r="G5" s="180"/>
      <c r="H5" s="180"/>
      <c r="I5" s="180"/>
      <c r="J5" s="47"/>
      <c r="K5" s="47"/>
      <c r="L5" s="48"/>
      <c r="M5" s="48"/>
      <c r="N5" s="48"/>
    </row>
    <row r="6" spans="1:17" ht="15.75" x14ac:dyDescent="0.2">
      <c r="A6" s="173" t="s">
        <v>1</v>
      </c>
      <c r="B6" s="173"/>
      <c r="C6" s="173"/>
      <c r="D6" s="173"/>
      <c r="E6" s="173"/>
      <c r="F6" s="181">
        <v>140</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RESOURCES</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25066</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f>J15</f>
        <v>25066</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25066</v>
      </c>
      <c r="K22" s="29">
        <f>ROUND(SUM(K18:K21),2)</f>
        <v>25066</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f>J28</f>
        <v>0</v>
      </c>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f>J35</f>
        <v>0</v>
      </c>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0820 - NAT RES &amp; ENVIRON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9234</v>
      </c>
      <c r="K45" s="33"/>
    </row>
    <row r="46" spans="1:12" ht="16.5" customHeight="1" x14ac:dyDescent="0.2">
      <c r="A46" s="56"/>
      <c r="B46" s="71"/>
      <c r="C46" s="165" t="s">
        <v>1587</v>
      </c>
      <c r="D46" s="165"/>
      <c r="E46" s="165"/>
      <c r="F46" s="165"/>
      <c r="G46" s="165"/>
      <c r="H46" s="165"/>
      <c r="I46" s="165"/>
      <c r="J46" s="36"/>
      <c r="K46" s="32">
        <f>J45</f>
        <v>9234</v>
      </c>
    </row>
    <row r="47" spans="1:12" ht="16.5" customHeight="1" x14ac:dyDescent="0.2">
      <c r="A47" s="68"/>
      <c r="B47" s="58"/>
      <c r="C47" s="58"/>
      <c r="D47" s="58"/>
      <c r="E47" s="58"/>
      <c r="F47" s="58"/>
      <c r="G47" s="58"/>
      <c r="H47" s="58"/>
      <c r="I47" s="58"/>
      <c r="J47" s="39">
        <f>ROUND(SUM(J45:J45),2)</f>
        <v>9234</v>
      </c>
      <c r="K47" s="39">
        <f>ROUND(SUM(K46),2)</f>
        <v>9234</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11342</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425</v>
      </c>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11767</v>
      </c>
    </row>
    <row r="53" spans="1:12" ht="16.5" customHeight="1" x14ac:dyDescent="0.2">
      <c r="A53" s="68"/>
      <c r="B53" s="58"/>
      <c r="C53" s="58"/>
      <c r="D53" s="58"/>
      <c r="E53" s="58"/>
      <c r="F53" s="58"/>
      <c r="G53" s="58"/>
      <c r="H53" s="58"/>
      <c r="I53" s="58"/>
      <c r="J53" s="39">
        <f>ROUND(SUM(J50:J51),2)</f>
        <v>11767</v>
      </c>
      <c r="K53" s="39">
        <f>ROUND(SUM(K52,),2)</f>
        <v>11767</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11342</v>
      </c>
      <c r="K56" s="36"/>
    </row>
    <row r="57" spans="1:12" ht="16.5" customHeight="1" x14ac:dyDescent="0.25">
      <c r="A57" s="56"/>
      <c r="B57" s="57"/>
      <c r="C57" s="165" t="s">
        <v>1613</v>
      </c>
      <c r="D57" s="165"/>
      <c r="E57" s="165"/>
      <c r="F57" s="165"/>
      <c r="G57" s="165"/>
      <c r="H57" s="165"/>
      <c r="I57" s="165"/>
      <c r="J57" s="36"/>
      <c r="K57" s="32">
        <f>J50</f>
        <v>11342</v>
      </c>
    </row>
    <row r="58" spans="1:12" ht="16.5" customHeight="1" x14ac:dyDescent="0.2">
      <c r="A58" s="68"/>
      <c r="B58" s="58"/>
      <c r="C58" s="58"/>
      <c r="D58" s="58"/>
      <c r="E58" s="58"/>
      <c r="F58" s="58"/>
      <c r="G58" s="58"/>
      <c r="H58" s="58"/>
      <c r="I58" s="58"/>
      <c r="J58" s="39">
        <f>ROUND(SUM(J56:J56),2)</f>
        <v>11342</v>
      </c>
      <c r="K58" s="39">
        <f>ROUND(SUM(K57),2)</f>
        <v>11342</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9863</v>
      </c>
      <c r="K61" s="33"/>
    </row>
    <row r="62" spans="1:12" ht="16.5" customHeight="1" x14ac:dyDescent="0.25">
      <c r="A62" s="56"/>
      <c r="B62" s="57"/>
      <c r="C62" s="165" t="s">
        <v>1623</v>
      </c>
      <c r="D62" s="165"/>
      <c r="E62" s="165"/>
      <c r="F62" s="165"/>
      <c r="G62" s="165"/>
      <c r="H62" s="165"/>
      <c r="I62" s="165"/>
      <c r="J62" s="33"/>
      <c r="K62" s="32">
        <f>J61</f>
        <v>9863</v>
      </c>
    </row>
    <row r="63" spans="1:12" ht="16.5" customHeight="1" x14ac:dyDescent="0.2">
      <c r="A63" s="56"/>
      <c r="B63" s="166" t="s">
        <v>1622</v>
      </c>
      <c r="C63" s="166"/>
      <c r="D63" s="166"/>
      <c r="E63" s="166"/>
      <c r="F63" s="166"/>
      <c r="G63" s="166"/>
      <c r="H63" s="166"/>
      <c r="I63" s="166"/>
      <c r="J63" s="39">
        <f>ROUND(SUM(J61:J61),2)</f>
        <v>9863</v>
      </c>
      <c r="K63" s="39">
        <f>ROUND(SUM(K62),2)</f>
        <v>9863</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
        <v>1526</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
        <v>1526</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25066</v>
      </c>
    </row>
    <row r="95" spans="1:12" ht="16.5" customHeight="1" x14ac:dyDescent="0.25">
      <c r="D95" s="57" t="s">
        <v>1641</v>
      </c>
      <c r="E95"/>
      <c r="F95"/>
      <c r="G95"/>
      <c r="H95" s="44"/>
      <c r="I95"/>
      <c r="J95"/>
      <c r="K95" s="162">
        <f>-K18-K46+J68+J77</f>
        <v>-9234</v>
      </c>
    </row>
    <row r="96" spans="1:12" ht="16.5" customHeight="1" x14ac:dyDescent="0.25">
      <c r="D96" s="57" t="s">
        <v>1639</v>
      </c>
      <c r="E96"/>
      <c r="F96"/>
      <c r="G96"/>
      <c r="H96" s="44"/>
      <c r="I96"/>
      <c r="J96"/>
      <c r="K96" s="162">
        <f>-K19-K37+J56+J61+J76-K85</f>
        <v>-3861</v>
      </c>
    </row>
    <row r="97" spans="1:11" ht="16.5" customHeight="1" x14ac:dyDescent="0.25">
      <c r="D97" s="57" t="s">
        <v>1640</v>
      </c>
      <c r="E97"/>
      <c r="F97"/>
      <c r="G97"/>
      <c r="H97" s="44"/>
      <c r="I97"/>
      <c r="J97"/>
      <c r="K97" s="162">
        <f>-K62</f>
        <v>-9863</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GnTQi3YCuUPkRJpiHSb+QoyaS3jNbUQFSrhNrCToiC+ALkhC/+00gmRpIaP2i10/D91XuVAbrvcolEGtXMFefg==" saltValue="frG1zB8ePCpHTKi+N1r5sg=="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34"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21818F9D-935F-4658-BA7E-C61AB7054F36}">
      <formula1>4</formula1>
    </dataValidation>
    <dataValidation type="textLength" operator="lessThan" allowBlank="1" showInputMessage="1" showErrorMessage="1" sqref="E11 A6:A8" xr:uid="{9F1DAAA0-FA32-4CCC-8F27-3398D431791C}">
      <formula1>0</formula1>
    </dataValidation>
    <dataValidation operator="lessThan" allowBlank="1" showInputMessage="1" showErrorMessage="1" sqref="A3:A5 A7:A8 A11" xr:uid="{6B691912-2090-46A3-9E62-F9810EA93AF0}"/>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26015-D7D6-4AD0-8D99-649B2A4932E2}">
  <sheetPr>
    <tabColor rgb="FF92D050"/>
    <pageSetUpPr fitToPage="1"/>
  </sheetPr>
  <dimension ref="A1:Q115"/>
  <sheetViews>
    <sheetView topLeftCell="D19" zoomScale="85" zoomScaleNormal="85" workbookViewId="0">
      <selection activeCell="J62" sqref="J62"/>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696</v>
      </c>
      <c r="G5" s="180"/>
      <c r="H5" s="180"/>
      <c r="I5" s="180"/>
      <c r="J5" s="47"/>
      <c r="K5" s="47"/>
      <c r="L5" s="48"/>
      <c r="M5" s="48"/>
      <c r="N5" s="48"/>
    </row>
    <row r="6" spans="1:17" ht="15.75" x14ac:dyDescent="0.2">
      <c r="A6" s="173" t="s">
        <v>1</v>
      </c>
      <c r="B6" s="173"/>
      <c r="C6" s="173"/>
      <c r="D6" s="173"/>
      <c r="E6" s="173"/>
      <c r="F6" s="181">
        <v>465</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RESOURCES</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694308</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f>J15</f>
        <v>694308</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694308</v>
      </c>
      <c r="K22" s="29">
        <f>ROUND(SUM(K18:K21),2)</f>
        <v>694308</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f>J28</f>
        <v>0</v>
      </c>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f>J28</f>
        <v>0</v>
      </c>
      <c r="K35" s="36"/>
    </row>
    <row r="36" spans="1:12" ht="16.5" customHeight="1" x14ac:dyDescent="0.2">
      <c r="A36" s="56"/>
      <c r="B36" s="71"/>
      <c r="C36" s="165" t="s">
        <v>1581</v>
      </c>
      <c r="D36" s="165"/>
      <c r="E36" s="165"/>
      <c r="F36" s="165"/>
      <c r="G36" s="165"/>
      <c r="H36" s="165"/>
      <c r="I36" s="165"/>
      <c r="J36" s="36"/>
      <c r="K36" s="32">
        <f>J35</f>
        <v>0</v>
      </c>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0820 - NAT RES &amp; ENVIRON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211566</v>
      </c>
      <c r="K45" s="33"/>
    </row>
    <row r="46" spans="1:12" ht="16.5" customHeight="1" x14ac:dyDescent="0.2">
      <c r="A46" s="56"/>
      <c r="B46" s="71"/>
      <c r="C46" s="165" t="s">
        <v>1587</v>
      </c>
      <c r="D46" s="165"/>
      <c r="E46" s="165"/>
      <c r="F46" s="165"/>
      <c r="G46" s="165"/>
      <c r="H46" s="165"/>
      <c r="I46" s="165"/>
      <c r="J46" s="36"/>
      <c r="K46" s="32">
        <f>J45</f>
        <v>211566</v>
      </c>
    </row>
    <row r="47" spans="1:12" ht="16.5" customHeight="1" x14ac:dyDescent="0.2">
      <c r="A47" s="68"/>
      <c r="B47" s="58"/>
      <c r="C47" s="58"/>
      <c r="D47" s="58"/>
      <c r="E47" s="58"/>
      <c r="F47" s="58"/>
      <c r="G47" s="58"/>
      <c r="H47" s="58"/>
      <c r="I47" s="58"/>
      <c r="J47" s="39">
        <f>ROUND(SUM(J45:J45),2)</f>
        <v>211566</v>
      </c>
      <c r="K47" s="39">
        <f>ROUND(SUM(K46),2)</f>
        <v>211566</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259783</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13079</v>
      </c>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272862</v>
      </c>
    </row>
    <row r="53" spans="1:12" ht="16.5" customHeight="1" x14ac:dyDescent="0.2">
      <c r="A53" s="68"/>
      <c r="B53" s="58"/>
      <c r="C53" s="58"/>
      <c r="D53" s="58"/>
      <c r="E53" s="58"/>
      <c r="F53" s="58"/>
      <c r="G53" s="58"/>
      <c r="H53" s="58"/>
      <c r="I53" s="58"/>
      <c r="J53" s="39">
        <f>ROUND(SUM(J50:J51),2)</f>
        <v>272862</v>
      </c>
      <c r="K53" s="39">
        <f>ROUND(SUM(K52,),2)</f>
        <v>272862</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J50</f>
        <v>259783</v>
      </c>
      <c r="K56" s="36"/>
    </row>
    <row r="57" spans="1:12" ht="16.5" customHeight="1" x14ac:dyDescent="0.25">
      <c r="A57" s="56"/>
      <c r="B57" s="57"/>
      <c r="C57" s="165" t="s">
        <v>1613</v>
      </c>
      <c r="D57" s="165"/>
      <c r="E57" s="165"/>
      <c r="F57" s="165"/>
      <c r="G57" s="165"/>
      <c r="H57" s="165"/>
      <c r="I57" s="165"/>
      <c r="J57" s="36"/>
      <c r="K57" s="32">
        <f>J50</f>
        <v>259783</v>
      </c>
    </row>
    <row r="58" spans="1:12" ht="16.5" customHeight="1" x14ac:dyDescent="0.2">
      <c r="A58" s="68"/>
      <c r="B58" s="58"/>
      <c r="C58" s="58"/>
      <c r="D58" s="58"/>
      <c r="E58" s="58"/>
      <c r="F58" s="58"/>
      <c r="G58" s="58"/>
      <c r="H58" s="58"/>
      <c r="I58" s="58"/>
      <c r="J58" s="39">
        <f>ROUND(SUM(J56:J56),2)</f>
        <v>259783</v>
      </c>
      <c r="K58" s="39">
        <f>ROUND(SUM(K57),2)</f>
        <v>259783</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194384</v>
      </c>
      <c r="K61" s="33"/>
    </row>
    <row r="62" spans="1:12" ht="16.5" customHeight="1" x14ac:dyDescent="0.25">
      <c r="A62" s="56"/>
      <c r="B62" s="57"/>
      <c r="C62" s="165" t="s">
        <v>1623</v>
      </c>
      <c r="D62" s="165"/>
      <c r="E62" s="165"/>
      <c r="F62" s="165"/>
      <c r="G62" s="165"/>
      <c r="H62" s="165"/>
      <c r="I62" s="165"/>
      <c r="J62" s="33"/>
      <c r="K62" s="32">
        <f>J61</f>
        <v>194384</v>
      </c>
    </row>
    <row r="63" spans="1:12" ht="16.5" customHeight="1" x14ac:dyDescent="0.2">
      <c r="A63" s="56"/>
      <c r="B63" s="166" t="s">
        <v>1622</v>
      </c>
      <c r="C63" s="166"/>
      <c r="D63" s="166"/>
      <c r="E63" s="166"/>
      <c r="F63" s="166"/>
      <c r="G63" s="166"/>
      <c r="H63" s="166"/>
      <c r="I63" s="166"/>
      <c r="J63" s="39">
        <f>ROUND(SUM(J61:J61),2)</f>
        <v>194384</v>
      </c>
      <c r="K63" s="39">
        <f>ROUND(SUM(K62),2)</f>
        <v>194384</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
        <v>1526</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
        <v>1526</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694308</v>
      </c>
    </row>
    <row r="95" spans="1:12" ht="16.5" customHeight="1" x14ac:dyDescent="0.25">
      <c r="D95" s="57" t="s">
        <v>1641</v>
      </c>
      <c r="E95"/>
      <c r="F95"/>
      <c r="G95"/>
      <c r="H95" s="44"/>
      <c r="I95"/>
      <c r="J95"/>
      <c r="K95" s="162">
        <f>-K18-K46+J68+J77</f>
        <v>-211566</v>
      </c>
    </row>
    <row r="96" spans="1:12" ht="16.5" customHeight="1" x14ac:dyDescent="0.25">
      <c r="D96" s="57" t="s">
        <v>1639</v>
      </c>
      <c r="E96"/>
      <c r="F96"/>
      <c r="G96"/>
      <c r="H96" s="44"/>
      <c r="I96"/>
      <c r="J96"/>
      <c r="K96" s="162">
        <f>-K19-K37+J56+J61+J76-K85</f>
        <v>-240141</v>
      </c>
    </row>
    <row r="97" spans="1:11" ht="16.5" customHeight="1" x14ac:dyDescent="0.25">
      <c r="D97" s="57" t="s">
        <v>1640</v>
      </c>
      <c r="E97"/>
      <c r="F97"/>
      <c r="G97"/>
      <c r="H97" s="44"/>
      <c r="I97"/>
      <c r="J97"/>
      <c r="K97" s="162">
        <f>-K62</f>
        <v>-194384</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8XWz5+nN2Msn1erZ480EBr8lukadM6R1AbV3W0gYB5KacE+cDeJ0TyA8o7FcU+06EHE/v4P/s4KDAm8fablV3g==" saltValue="DwPOov5M8+Dqsy+z+EbyOQ=="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33"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73F2CC2B-6CD4-477D-A6C2-2D48861E5BE2}">
      <formula1>4</formula1>
    </dataValidation>
    <dataValidation type="textLength" operator="lessThan" allowBlank="1" showInputMessage="1" showErrorMessage="1" sqref="E11 A6:A8" xr:uid="{C26A9B9A-4E24-4DDE-B363-59DBAFBF6DAB}">
      <formula1>0</formula1>
    </dataValidation>
    <dataValidation operator="lessThan" allowBlank="1" showInputMessage="1" showErrorMessage="1" sqref="A3:A5 A7:A8 A11" xr:uid="{4A2A4CDE-60E6-4F6E-84BD-84D77E4495E2}"/>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3CA7A-B143-4BEE-901F-5E9FDAAA8017}">
  <sheetPr>
    <tabColor rgb="FF92D050"/>
    <pageSetUpPr fitToPage="1"/>
  </sheetPr>
  <dimension ref="A1:Q115"/>
  <sheetViews>
    <sheetView topLeftCell="A36" zoomScale="85" zoomScaleNormal="85" workbookViewId="0">
      <selection activeCell="J62" sqref="J62"/>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696</v>
      </c>
      <c r="G5" s="180"/>
      <c r="H5" s="180"/>
      <c r="I5" s="180"/>
      <c r="J5" s="47"/>
      <c r="K5" s="47"/>
      <c r="L5" s="48"/>
      <c r="M5" s="48"/>
      <c r="N5" s="48"/>
    </row>
    <row r="6" spans="1:17" ht="15.75" x14ac:dyDescent="0.2">
      <c r="A6" s="173" t="s">
        <v>1</v>
      </c>
      <c r="B6" s="173"/>
      <c r="C6" s="173"/>
      <c r="D6" s="173"/>
      <c r="E6" s="173"/>
      <c r="F6" s="181">
        <v>890</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RESOURCES</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34180</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f>J15</f>
        <v>34180</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34180</v>
      </c>
      <c r="K22" s="29">
        <f>ROUND(SUM(K18:K21),2)</f>
        <v>34180</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f>J28</f>
        <v>0</v>
      </c>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f>J35</f>
        <v>0</v>
      </c>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0820 - NAT RES &amp; ENVIRON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12592</v>
      </c>
      <c r="K45" s="33"/>
    </row>
    <row r="46" spans="1:12" ht="16.5" customHeight="1" x14ac:dyDescent="0.2">
      <c r="A46" s="56"/>
      <c r="B46" s="71"/>
      <c r="C46" s="165" t="s">
        <v>1587</v>
      </c>
      <c r="D46" s="165"/>
      <c r="E46" s="165"/>
      <c r="F46" s="165"/>
      <c r="G46" s="165"/>
      <c r="H46" s="165"/>
      <c r="I46" s="165"/>
      <c r="J46" s="36"/>
      <c r="K46" s="32">
        <f>J45</f>
        <v>12592</v>
      </c>
    </row>
    <row r="47" spans="1:12" ht="16.5" customHeight="1" x14ac:dyDescent="0.2">
      <c r="A47" s="68"/>
      <c r="B47" s="58"/>
      <c r="C47" s="58"/>
      <c r="D47" s="58"/>
      <c r="E47" s="58"/>
      <c r="F47" s="58"/>
      <c r="G47" s="58"/>
      <c r="H47" s="58"/>
      <c r="I47" s="58"/>
      <c r="J47" s="39">
        <f>ROUND(SUM(J45:J45),2)</f>
        <v>12592</v>
      </c>
      <c r="K47" s="39">
        <f>ROUND(SUM(K46),2)</f>
        <v>12592</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15466</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580</v>
      </c>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16046</v>
      </c>
    </row>
    <row r="53" spans="1:12" ht="16.5" customHeight="1" x14ac:dyDescent="0.2">
      <c r="A53" s="68"/>
      <c r="B53" s="58"/>
      <c r="C53" s="58"/>
      <c r="D53" s="58"/>
      <c r="E53" s="58"/>
      <c r="F53" s="58"/>
      <c r="G53" s="58"/>
      <c r="H53" s="58"/>
      <c r="I53" s="58"/>
      <c r="J53" s="39">
        <f>ROUND(SUM(J50:J51),2)</f>
        <v>16046</v>
      </c>
      <c r="K53" s="39">
        <f>ROUND(SUM(K52,),2)</f>
        <v>16046</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15466</v>
      </c>
      <c r="K56" s="36"/>
    </row>
    <row r="57" spans="1:12" ht="16.5" customHeight="1" x14ac:dyDescent="0.25">
      <c r="A57" s="56"/>
      <c r="B57" s="57"/>
      <c r="C57" s="165" t="s">
        <v>1613</v>
      </c>
      <c r="D57" s="165"/>
      <c r="E57" s="165"/>
      <c r="F57" s="165"/>
      <c r="G57" s="165"/>
      <c r="H57" s="165"/>
      <c r="I57" s="165"/>
      <c r="J57" s="36"/>
      <c r="K57" s="32">
        <f>J50</f>
        <v>15466</v>
      </c>
    </row>
    <row r="58" spans="1:12" ht="16.5" customHeight="1" x14ac:dyDescent="0.2">
      <c r="A58" s="68"/>
      <c r="B58" s="58"/>
      <c r="C58" s="58"/>
      <c r="D58" s="58"/>
      <c r="E58" s="58"/>
      <c r="F58" s="58"/>
      <c r="G58" s="58"/>
      <c r="H58" s="58"/>
      <c r="I58" s="58"/>
      <c r="J58" s="39">
        <f>ROUND(SUM(J56:J56),2)</f>
        <v>15466</v>
      </c>
      <c r="K58" s="39">
        <f>ROUND(SUM(K57),2)</f>
        <v>15466</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13449</v>
      </c>
      <c r="K61" s="33"/>
    </row>
    <row r="62" spans="1:12" ht="16.5" customHeight="1" x14ac:dyDescent="0.25">
      <c r="A62" s="56"/>
      <c r="B62" s="57"/>
      <c r="C62" s="165" t="s">
        <v>1623</v>
      </c>
      <c r="D62" s="165"/>
      <c r="E62" s="165"/>
      <c r="F62" s="165"/>
      <c r="G62" s="165"/>
      <c r="H62" s="165"/>
      <c r="I62" s="165"/>
      <c r="J62" s="33"/>
      <c r="K62" s="32">
        <f>J61</f>
        <v>13449</v>
      </c>
    </row>
    <row r="63" spans="1:12" ht="16.5" customHeight="1" x14ac:dyDescent="0.2">
      <c r="A63" s="56"/>
      <c r="B63" s="166" t="s">
        <v>1622</v>
      </c>
      <c r="C63" s="166"/>
      <c r="D63" s="166"/>
      <c r="E63" s="166"/>
      <c r="F63" s="166"/>
      <c r="G63" s="166"/>
      <c r="H63" s="166"/>
      <c r="I63" s="166"/>
      <c r="J63" s="39">
        <f>ROUND(SUM(J61:J61),2)</f>
        <v>13449</v>
      </c>
      <c r="K63" s="39">
        <f>ROUND(SUM(K62),2)</f>
        <v>13449</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
        <v>1526</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
        <v>1526</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34180</v>
      </c>
    </row>
    <row r="95" spans="1:12" ht="16.5" customHeight="1" x14ac:dyDescent="0.25">
      <c r="D95" s="57" t="s">
        <v>1641</v>
      </c>
      <c r="E95"/>
      <c r="F95"/>
      <c r="G95"/>
      <c r="H95" s="44"/>
      <c r="I95"/>
      <c r="J95"/>
      <c r="K95" s="162">
        <f>-K18-K46+J68+J77</f>
        <v>-12592</v>
      </c>
    </row>
    <row r="96" spans="1:12" ht="16.5" customHeight="1" x14ac:dyDescent="0.25">
      <c r="D96" s="57" t="s">
        <v>1639</v>
      </c>
      <c r="E96"/>
      <c r="F96"/>
      <c r="G96"/>
      <c r="H96" s="44"/>
      <c r="I96"/>
      <c r="J96"/>
      <c r="K96" s="162">
        <f>-K19-K37+J56+J61+J76-K85</f>
        <v>-5265</v>
      </c>
    </row>
    <row r="97" spans="1:11" ht="16.5" customHeight="1" x14ac:dyDescent="0.25">
      <c r="D97" s="57" t="s">
        <v>1640</v>
      </c>
      <c r="E97"/>
      <c r="F97"/>
      <c r="G97"/>
      <c r="H97" s="44"/>
      <c r="I97"/>
      <c r="J97"/>
      <c r="K97" s="162">
        <f>-K62</f>
        <v>-13449</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rkQ6E4bmh1BUiDLOzKW9o7PDU0Yk49AoCeWeikleZ4y+dhXIwJJ9JhwQyapSn/F2TKHZp30EAfZYXa/LQCt3nQ==" saltValue="B594xDjTWaBWJYzSRv+nnQ=="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32"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341A7B17-6E08-4B69-9AB5-C4DCCBD9523F}">
      <formula1>4</formula1>
    </dataValidation>
    <dataValidation type="textLength" operator="lessThan" allowBlank="1" showInputMessage="1" showErrorMessage="1" sqref="E11 A6:A8" xr:uid="{2CEDFC2F-A403-4AE3-829C-2BD88B74B254}">
      <formula1>0</formula1>
    </dataValidation>
    <dataValidation operator="lessThan" allowBlank="1" showInputMessage="1" showErrorMessage="1" sqref="A3:A5 A7:A8 A11" xr:uid="{9BE8DDBB-733F-4E71-849F-0FE9A4E912AA}"/>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D0D54-C980-45A1-9089-D5FF1EEFAB86}">
  <sheetPr>
    <tabColor rgb="FF92D050"/>
    <pageSetUpPr fitToPage="1"/>
  </sheetPr>
  <dimension ref="A1:Q115"/>
  <sheetViews>
    <sheetView topLeftCell="A39" zoomScale="85" zoomScaleNormal="85" workbookViewId="0">
      <selection activeCell="J62" sqref="J62"/>
    </sheetView>
  </sheetViews>
  <sheetFormatPr defaultColWidth="0" defaultRowHeight="15" customHeight="1"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696</v>
      </c>
      <c r="G5" s="180"/>
      <c r="H5" s="180"/>
      <c r="I5" s="180"/>
      <c r="J5" s="47"/>
      <c r="K5" s="47"/>
      <c r="L5" s="48"/>
      <c r="M5" s="48"/>
      <c r="N5" s="48"/>
    </row>
    <row r="6" spans="1:17" ht="15.75" x14ac:dyDescent="0.2">
      <c r="A6" s="173" t="s">
        <v>1</v>
      </c>
      <c r="B6" s="173"/>
      <c r="C6" s="173"/>
      <c r="D6" s="173"/>
      <c r="E6" s="173"/>
      <c r="F6" s="181">
        <v>3057</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RESOURCES</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212677</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f>J15</f>
        <v>212677</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212677</v>
      </c>
      <c r="K22" s="29">
        <f>ROUND(SUM(K18:K21),2)</f>
        <v>212677</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f>J28</f>
        <v>0</v>
      </c>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f>J35</f>
        <v>0</v>
      </c>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0820 - NAT RES &amp; ENVIRON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78351</v>
      </c>
      <c r="K45" s="33"/>
    </row>
    <row r="46" spans="1:12" ht="16.5" customHeight="1" x14ac:dyDescent="0.2">
      <c r="A46" s="56"/>
      <c r="B46" s="71"/>
      <c r="C46" s="165" t="s">
        <v>1587</v>
      </c>
      <c r="D46" s="165"/>
      <c r="E46" s="165"/>
      <c r="F46" s="165"/>
      <c r="G46" s="165"/>
      <c r="H46" s="165"/>
      <c r="I46" s="165"/>
      <c r="J46" s="36"/>
      <c r="K46" s="32">
        <f>J45</f>
        <v>78351</v>
      </c>
    </row>
    <row r="47" spans="1:12" ht="16.5" customHeight="1" x14ac:dyDescent="0.2">
      <c r="A47" s="68"/>
      <c r="B47" s="58"/>
      <c r="C47" s="58"/>
      <c r="D47" s="58"/>
      <c r="E47" s="58"/>
      <c r="F47" s="58"/>
      <c r="G47" s="58"/>
      <c r="H47" s="58"/>
      <c r="I47" s="58"/>
      <c r="J47" s="39">
        <f>ROUND(SUM(J45:J45),2)</f>
        <v>78351</v>
      </c>
      <c r="K47" s="39">
        <f>ROUND(SUM(K46),2)</f>
        <v>78351</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96233</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3607</v>
      </c>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99840</v>
      </c>
    </row>
    <row r="53" spans="1:12" ht="16.5" customHeight="1" x14ac:dyDescent="0.2">
      <c r="A53" s="68"/>
      <c r="B53" s="58"/>
      <c r="C53" s="58"/>
      <c r="D53" s="58"/>
      <c r="E53" s="58"/>
      <c r="F53" s="58"/>
      <c r="G53" s="58"/>
      <c r="H53" s="58"/>
      <c r="I53" s="58"/>
      <c r="J53" s="39">
        <f>ROUND(SUM(J50:J51),2)</f>
        <v>99840</v>
      </c>
      <c r="K53" s="39">
        <f>ROUND(SUM(K52,),2)</f>
        <v>99840</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v>96233</v>
      </c>
      <c r="K56" s="36"/>
    </row>
    <row r="57" spans="1:12" ht="16.5" customHeight="1" x14ac:dyDescent="0.25">
      <c r="A57" s="56"/>
      <c r="B57" s="57"/>
      <c r="C57" s="165" t="s">
        <v>1613</v>
      </c>
      <c r="D57" s="165"/>
      <c r="E57" s="165"/>
      <c r="F57" s="165"/>
      <c r="G57" s="165"/>
      <c r="H57" s="165"/>
      <c r="I57" s="165"/>
      <c r="J57" s="36"/>
      <c r="K57" s="32">
        <f>J50</f>
        <v>96233</v>
      </c>
    </row>
    <row r="58" spans="1:12" ht="16.5" customHeight="1" x14ac:dyDescent="0.2">
      <c r="A58" s="68"/>
      <c r="B58" s="58"/>
      <c r="C58" s="58"/>
      <c r="D58" s="58"/>
      <c r="E58" s="58"/>
      <c r="F58" s="58"/>
      <c r="G58" s="58"/>
      <c r="H58" s="58"/>
      <c r="I58" s="58"/>
      <c r="J58" s="39">
        <f>ROUND(SUM(J56:J56),2)</f>
        <v>96233</v>
      </c>
      <c r="K58" s="39">
        <f>ROUND(SUM(K57),2)</f>
        <v>96233</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83685</v>
      </c>
      <c r="K61" s="33"/>
    </row>
    <row r="62" spans="1:12" ht="16.5" customHeight="1" x14ac:dyDescent="0.25">
      <c r="A62" s="56"/>
      <c r="B62" s="57"/>
      <c r="C62" s="165" t="s">
        <v>1623</v>
      </c>
      <c r="D62" s="165"/>
      <c r="E62" s="165"/>
      <c r="F62" s="165"/>
      <c r="G62" s="165"/>
      <c r="H62" s="165"/>
      <c r="I62" s="165"/>
      <c r="J62" s="33"/>
      <c r="K62" s="32">
        <f>J61</f>
        <v>83685</v>
      </c>
    </row>
    <row r="63" spans="1:12" ht="16.5" customHeight="1" x14ac:dyDescent="0.2">
      <c r="A63" s="56"/>
      <c r="B63" s="166" t="s">
        <v>1622</v>
      </c>
      <c r="C63" s="166"/>
      <c r="D63" s="166"/>
      <c r="E63" s="166"/>
      <c r="F63" s="166"/>
      <c r="G63" s="166"/>
      <c r="H63" s="166"/>
      <c r="I63" s="166"/>
      <c r="J63" s="39">
        <f>ROUND(SUM(J61:J61),2)</f>
        <v>83685</v>
      </c>
      <c r="K63" s="39">
        <f>ROUND(SUM(K62),2)</f>
        <v>83685</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
        <v>1526</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
        <v>1526</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212677</v>
      </c>
    </row>
    <row r="95" spans="1:12" ht="16.5" customHeight="1" x14ac:dyDescent="0.25">
      <c r="D95" s="57" t="s">
        <v>1641</v>
      </c>
      <c r="E95"/>
      <c r="F95"/>
      <c r="G95"/>
      <c r="H95" s="44"/>
      <c r="I95"/>
      <c r="J95"/>
      <c r="K95" s="162">
        <f>-K18-K46+J68+J77</f>
        <v>-78351</v>
      </c>
    </row>
    <row r="96" spans="1:12" ht="16.5" customHeight="1" x14ac:dyDescent="0.25">
      <c r="D96" s="57" t="s">
        <v>1639</v>
      </c>
      <c r="E96"/>
      <c r="F96"/>
      <c r="G96"/>
      <c r="H96" s="44"/>
      <c r="I96"/>
      <c r="J96"/>
      <c r="K96" s="162">
        <f>-K19-K37+J56+J61+J76-K85</f>
        <v>-32759</v>
      </c>
    </row>
    <row r="97" spans="1:11" ht="16.5" customHeight="1" x14ac:dyDescent="0.25">
      <c r="D97" s="57" t="s">
        <v>1640</v>
      </c>
      <c r="E97"/>
      <c r="F97"/>
      <c r="G97"/>
      <c r="H97" s="44"/>
      <c r="I97"/>
      <c r="J97"/>
      <c r="K97" s="162">
        <f>-K62</f>
        <v>-83685</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hEVjKkuTd5fh6JdWYdHGtyXKg+OQ2Y43QoGY7eu4rDcUVVJqD+3wIokYPO9HZYHuJ6pJ1vumeANGiZc9zbLj/Q==" saltValue="soGzmroVDgu10XodIy+yNQ=="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31"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B7D5DA99-515A-453C-9340-72F696BF84D8}">
      <formula1>4</formula1>
    </dataValidation>
    <dataValidation type="textLength" operator="lessThan" allowBlank="1" showInputMessage="1" showErrorMessage="1" sqref="E11 A6:A8" xr:uid="{C14C1859-BB82-4C23-9F20-8D985856776E}">
      <formula1>0</formula1>
    </dataValidation>
    <dataValidation operator="lessThan" allowBlank="1" showInputMessage="1" showErrorMessage="1" sqref="A3:A5 A7:A8 A11" xr:uid="{F321999E-5A21-4A3A-A5A4-3103F45EF279}"/>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9EAD7-4EBF-431D-A8DA-E5CED311D57F}">
  <sheetPr>
    <tabColor rgb="FF92D050"/>
    <pageSetUpPr fitToPage="1"/>
  </sheetPr>
  <dimension ref="A1:Q115"/>
  <sheetViews>
    <sheetView topLeftCell="A31" zoomScale="85" zoomScaleNormal="85" workbookViewId="0">
      <selection activeCell="L64" sqref="L64"/>
    </sheetView>
  </sheetViews>
  <sheetFormatPr defaultColWidth="0" defaultRowHeight="15" customHeight="1"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696</v>
      </c>
      <c r="G5" s="180"/>
      <c r="H5" s="180"/>
      <c r="I5" s="180"/>
      <c r="J5" s="47"/>
      <c r="K5" s="47"/>
      <c r="L5" s="48"/>
      <c r="M5" s="48"/>
      <c r="N5" s="48"/>
    </row>
    <row r="6" spans="1:17" ht="15.75" x14ac:dyDescent="0.2">
      <c r="A6" s="173" t="s">
        <v>1</v>
      </c>
      <c r="B6" s="173"/>
      <c r="C6" s="173"/>
      <c r="D6" s="173"/>
      <c r="E6" s="173"/>
      <c r="F6" s="181">
        <v>3237</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RESOURCES</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1519</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f>J15</f>
        <v>1519</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1519</v>
      </c>
      <c r="K22" s="29">
        <f>ROUND(SUM(K18:K21),2)</f>
        <v>1519</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f>J28</f>
        <v>0</v>
      </c>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f>J35</f>
        <v>0</v>
      </c>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0820 - NAT RES &amp; ENVIRON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560</v>
      </c>
      <c r="K45" s="33"/>
    </row>
    <row r="46" spans="1:12" ht="16.5" customHeight="1" x14ac:dyDescent="0.2">
      <c r="A46" s="56"/>
      <c r="B46" s="71"/>
      <c r="C46" s="165" t="s">
        <v>1587</v>
      </c>
      <c r="D46" s="165"/>
      <c r="E46" s="165"/>
      <c r="F46" s="165"/>
      <c r="G46" s="165"/>
      <c r="H46" s="165"/>
      <c r="I46" s="165"/>
      <c r="J46" s="36"/>
      <c r="K46" s="32">
        <f>J45</f>
        <v>560</v>
      </c>
    </row>
    <row r="47" spans="1:12" ht="16.5" customHeight="1" x14ac:dyDescent="0.2">
      <c r="A47" s="68"/>
      <c r="B47" s="58"/>
      <c r="C47" s="58"/>
      <c r="D47" s="58"/>
      <c r="E47" s="58"/>
      <c r="F47" s="58"/>
      <c r="G47" s="58"/>
      <c r="H47" s="58"/>
      <c r="I47" s="58"/>
      <c r="J47" s="39">
        <f>ROUND(SUM(J45:J45),2)</f>
        <v>560</v>
      </c>
      <c r="K47" s="39">
        <f>ROUND(SUM(K46),2)</f>
        <v>560</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687</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26</v>
      </c>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713</v>
      </c>
    </row>
    <row r="53" spans="1:12" ht="16.5" customHeight="1" x14ac:dyDescent="0.2">
      <c r="A53" s="68"/>
      <c r="B53" s="58"/>
      <c r="C53" s="58"/>
      <c r="D53" s="58"/>
      <c r="E53" s="58"/>
      <c r="F53" s="58"/>
      <c r="G53" s="58"/>
      <c r="H53" s="58"/>
      <c r="I53" s="58"/>
      <c r="J53" s="39">
        <f>ROUND(SUM(J50:J51),2)</f>
        <v>713</v>
      </c>
      <c r="K53" s="39">
        <f>ROUND(SUM(K52,),2)</f>
        <v>713</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v>687</v>
      </c>
      <c r="K56" s="36"/>
    </row>
    <row r="57" spans="1:12" ht="16.5" customHeight="1" x14ac:dyDescent="0.25">
      <c r="A57" s="56"/>
      <c r="B57" s="57"/>
      <c r="C57" s="165" t="s">
        <v>1613</v>
      </c>
      <c r="D57" s="165"/>
      <c r="E57" s="165"/>
      <c r="F57" s="165"/>
      <c r="G57" s="165"/>
      <c r="H57" s="165"/>
      <c r="I57" s="165"/>
      <c r="J57" s="36"/>
      <c r="K57" s="32">
        <f>J50</f>
        <v>687</v>
      </c>
    </row>
    <row r="58" spans="1:12" ht="16.5" customHeight="1" x14ac:dyDescent="0.2">
      <c r="A58" s="68"/>
      <c r="B58" s="58"/>
      <c r="C58" s="58"/>
      <c r="D58" s="58"/>
      <c r="E58" s="58"/>
      <c r="F58" s="58"/>
      <c r="G58" s="58"/>
      <c r="H58" s="58"/>
      <c r="I58" s="58"/>
      <c r="J58" s="39">
        <f>ROUND(SUM(J56:J56),2)</f>
        <v>687</v>
      </c>
      <c r="K58" s="39">
        <f>ROUND(SUM(K57),2)</f>
        <v>687</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598</v>
      </c>
      <c r="K61" s="33"/>
    </row>
    <row r="62" spans="1:12" ht="16.5" customHeight="1" x14ac:dyDescent="0.25">
      <c r="A62" s="56"/>
      <c r="B62" s="57"/>
      <c r="C62" s="165" t="s">
        <v>1623</v>
      </c>
      <c r="D62" s="165"/>
      <c r="E62" s="165"/>
      <c r="F62" s="165"/>
      <c r="G62" s="165"/>
      <c r="H62" s="165"/>
      <c r="I62" s="165"/>
      <c r="J62" s="33"/>
      <c r="K62" s="32">
        <f>J61</f>
        <v>598</v>
      </c>
    </row>
    <row r="63" spans="1:12" ht="16.5" customHeight="1" x14ac:dyDescent="0.2">
      <c r="A63" s="56"/>
      <c r="B63" s="166" t="s">
        <v>1622</v>
      </c>
      <c r="C63" s="166"/>
      <c r="D63" s="166"/>
      <c r="E63" s="166"/>
      <c r="F63" s="166"/>
      <c r="G63" s="166"/>
      <c r="H63" s="166"/>
      <c r="I63" s="166"/>
      <c r="J63" s="39">
        <f>ROUND(SUM(J61:J61),2)</f>
        <v>598</v>
      </c>
      <c r="K63" s="39">
        <f>ROUND(SUM(K62),2)</f>
        <v>598</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
        <v>1526</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
        <v>1526</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1519</v>
      </c>
    </row>
    <row r="95" spans="1:12" ht="16.5" customHeight="1" x14ac:dyDescent="0.25">
      <c r="D95" s="57" t="s">
        <v>1641</v>
      </c>
      <c r="E95"/>
      <c r="F95"/>
      <c r="G95"/>
      <c r="H95" s="44"/>
      <c r="I95"/>
      <c r="J95"/>
      <c r="K95" s="162">
        <f>-K18-K46+J68+J77</f>
        <v>-560</v>
      </c>
    </row>
    <row r="96" spans="1:12" ht="16.5" customHeight="1" x14ac:dyDescent="0.25">
      <c r="D96" s="57" t="s">
        <v>1639</v>
      </c>
      <c r="E96"/>
      <c r="F96"/>
      <c r="G96"/>
      <c r="H96" s="44"/>
      <c r="I96"/>
      <c r="J96"/>
      <c r="K96" s="162">
        <f>-K19-K37+J56+J61+J76-K85</f>
        <v>-234</v>
      </c>
    </row>
    <row r="97" spans="1:11" ht="16.5" customHeight="1" x14ac:dyDescent="0.25">
      <c r="D97" s="57" t="s">
        <v>1640</v>
      </c>
      <c r="E97"/>
      <c r="F97"/>
      <c r="G97"/>
      <c r="H97" s="44"/>
      <c r="I97"/>
      <c r="J97"/>
      <c r="K97" s="162">
        <f>-K62</f>
        <v>-598</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pzB3kSpiawrS8gRO4Nt4nGBtBBwvMA+yIfTRlhWSXqY2QJj/H4VJ5JqYh37BE/BkmcPZdXghTzo7hrZJtUCp5A==" saltValue="98G0by4wAqMZmyO4ffYg4w=="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30"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A5C3580F-5C02-4143-8A7B-4B0DBDCC246D}">
      <formula1>4</formula1>
    </dataValidation>
    <dataValidation type="textLength" operator="lessThan" allowBlank="1" showInputMessage="1" showErrorMessage="1" sqref="E11 A6:A8" xr:uid="{4CE04C02-D603-41E9-85B2-950BDE35FA29}">
      <formula1>0</formula1>
    </dataValidation>
    <dataValidation operator="lessThan" allowBlank="1" showInputMessage="1" showErrorMessage="1" sqref="A3:A5 A7:A8 A11" xr:uid="{47A9EAB3-0EC3-45C4-9078-83F511B45D0C}"/>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56985-E6BE-4322-B47A-9AB4AA0DEEA5}">
  <sheetPr>
    <tabColor rgb="FF92D050"/>
    <pageSetUpPr fitToPage="1"/>
  </sheetPr>
  <dimension ref="A1:Q115"/>
  <sheetViews>
    <sheetView topLeftCell="A39" zoomScale="85" zoomScaleNormal="85" workbookViewId="0">
      <selection activeCell="J62" sqref="J62"/>
    </sheetView>
  </sheetViews>
  <sheetFormatPr defaultColWidth="0" defaultRowHeight="15" customHeight="1"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696</v>
      </c>
      <c r="G5" s="180"/>
      <c r="H5" s="180"/>
      <c r="I5" s="180"/>
      <c r="J5" s="47"/>
      <c r="K5" s="47"/>
      <c r="L5" s="48"/>
      <c r="M5" s="48"/>
      <c r="N5" s="48"/>
    </row>
    <row r="6" spans="1:17" ht="15.75" x14ac:dyDescent="0.2">
      <c r="A6" s="173" t="s">
        <v>1</v>
      </c>
      <c r="B6" s="173"/>
      <c r="C6" s="173"/>
      <c r="D6" s="173"/>
      <c r="E6" s="173"/>
      <c r="F6" s="181">
        <v>3398</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RESOURCES</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16710</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f>J15</f>
        <v>16710</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16710</v>
      </c>
      <c r="K22" s="29">
        <f>ROUND(SUM(K18:K21),2)</f>
        <v>16710</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f>J28</f>
        <v>0</v>
      </c>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f>J35</f>
        <v>0</v>
      </c>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0820 - NAT RES &amp; ENVIRON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6156</v>
      </c>
      <c r="K45" s="33"/>
    </row>
    <row r="46" spans="1:12" ht="16.5" customHeight="1" x14ac:dyDescent="0.2">
      <c r="A46" s="56"/>
      <c r="B46" s="71"/>
      <c r="C46" s="165" t="s">
        <v>1587</v>
      </c>
      <c r="D46" s="165"/>
      <c r="E46" s="165"/>
      <c r="F46" s="165"/>
      <c r="G46" s="165"/>
      <c r="H46" s="165"/>
      <c r="I46" s="165"/>
      <c r="J46" s="36"/>
      <c r="K46" s="32">
        <f>J45</f>
        <v>6156</v>
      </c>
    </row>
    <row r="47" spans="1:12" ht="16.5" customHeight="1" x14ac:dyDescent="0.2">
      <c r="A47" s="68"/>
      <c r="B47" s="58"/>
      <c r="C47" s="58"/>
      <c r="D47" s="58"/>
      <c r="E47" s="58"/>
      <c r="F47" s="58"/>
      <c r="G47" s="58"/>
      <c r="H47" s="58"/>
      <c r="I47" s="58"/>
      <c r="J47" s="39">
        <f>ROUND(SUM(J45:J45),2)</f>
        <v>6156</v>
      </c>
      <c r="K47" s="39">
        <f>ROUND(SUM(K46),2)</f>
        <v>6156</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7561</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283</v>
      </c>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7844</v>
      </c>
    </row>
    <row r="53" spans="1:12" ht="16.5" customHeight="1" x14ac:dyDescent="0.2">
      <c r="A53" s="68"/>
      <c r="B53" s="58"/>
      <c r="C53" s="58"/>
      <c r="D53" s="58"/>
      <c r="E53" s="58"/>
      <c r="F53" s="58"/>
      <c r="G53" s="58"/>
      <c r="H53" s="58"/>
      <c r="I53" s="58"/>
      <c r="J53" s="39">
        <f>ROUND(SUM(J50:J51),2)</f>
        <v>7844</v>
      </c>
      <c r="K53" s="39">
        <f>ROUND(SUM(K52,),2)</f>
        <v>7844</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v>7561</v>
      </c>
      <c r="K56" s="36"/>
    </row>
    <row r="57" spans="1:12" ht="16.5" customHeight="1" x14ac:dyDescent="0.25">
      <c r="A57" s="56"/>
      <c r="B57" s="57"/>
      <c r="C57" s="165" t="s">
        <v>1613</v>
      </c>
      <c r="D57" s="165"/>
      <c r="E57" s="165"/>
      <c r="F57" s="165"/>
      <c r="G57" s="165"/>
      <c r="H57" s="165"/>
      <c r="I57" s="165"/>
      <c r="J57" s="36"/>
      <c r="K57" s="32">
        <f>J50</f>
        <v>7561</v>
      </c>
    </row>
    <row r="58" spans="1:12" ht="16.5" customHeight="1" x14ac:dyDescent="0.2">
      <c r="A58" s="68"/>
      <c r="B58" s="58"/>
      <c r="C58" s="58"/>
      <c r="D58" s="58"/>
      <c r="E58" s="58"/>
      <c r="F58" s="58"/>
      <c r="G58" s="58"/>
      <c r="H58" s="58"/>
      <c r="I58" s="58"/>
      <c r="J58" s="39">
        <f>ROUND(SUM(J56:J56),2)</f>
        <v>7561</v>
      </c>
      <c r="K58" s="39">
        <f>ROUND(SUM(K57),2)</f>
        <v>7561</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6575</v>
      </c>
      <c r="K61" s="33"/>
    </row>
    <row r="62" spans="1:12" ht="16.5" customHeight="1" x14ac:dyDescent="0.25">
      <c r="A62" s="56"/>
      <c r="B62" s="57"/>
      <c r="C62" s="165" t="s">
        <v>1623</v>
      </c>
      <c r="D62" s="165"/>
      <c r="E62" s="165"/>
      <c r="F62" s="165"/>
      <c r="G62" s="165"/>
      <c r="H62" s="165"/>
      <c r="I62" s="165"/>
      <c r="J62" s="33"/>
      <c r="K62" s="32">
        <f>J61</f>
        <v>6575</v>
      </c>
    </row>
    <row r="63" spans="1:12" ht="16.5" customHeight="1" x14ac:dyDescent="0.2">
      <c r="A63" s="56"/>
      <c r="B63" s="166" t="s">
        <v>1622</v>
      </c>
      <c r="C63" s="166"/>
      <c r="D63" s="166"/>
      <c r="E63" s="166"/>
      <c r="F63" s="166"/>
      <c r="G63" s="166"/>
      <c r="H63" s="166"/>
      <c r="I63" s="166"/>
      <c r="J63" s="39">
        <f>ROUND(SUM(J61:J61),2)</f>
        <v>6575</v>
      </c>
      <c r="K63" s="39">
        <f>ROUND(SUM(K62),2)</f>
        <v>6575</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
        <v>1526</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
        <v>1526</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16710</v>
      </c>
    </row>
    <row r="95" spans="1:12" ht="16.5" customHeight="1" x14ac:dyDescent="0.25">
      <c r="D95" s="57" t="s">
        <v>1641</v>
      </c>
      <c r="E95"/>
      <c r="F95"/>
      <c r="G95"/>
      <c r="H95" s="44"/>
      <c r="I95"/>
      <c r="J95"/>
      <c r="K95" s="162">
        <f>-K18-K46+J68+J77</f>
        <v>-6156</v>
      </c>
    </row>
    <row r="96" spans="1:12" ht="16.5" customHeight="1" x14ac:dyDescent="0.25">
      <c r="D96" s="57" t="s">
        <v>1639</v>
      </c>
      <c r="E96"/>
      <c r="F96"/>
      <c r="G96"/>
      <c r="H96" s="44"/>
      <c r="I96"/>
      <c r="J96"/>
      <c r="K96" s="162">
        <f>-K19-K37+J56+J61+J76-K85</f>
        <v>-2574</v>
      </c>
    </row>
    <row r="97" spans="1:11" ht="16.5" customHeight="1" x14ac:dyDescent="0.25">
      <c r="D97" s="57" t="s">
        <v>1640</v>
      </c>
      <c r="E97"/>
      <c r="F97"/>
      <c r="G97"/>
      <c r="H97" s="44"/>
      <c r="I97"/>
      <c r="J97"/>
      <c r="K97" s="162">
        <f>-K62</f>
        <v>-6575</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auojZ5p5cqmS/oJrsY3r4f8dcurZ8OsR4s3wZEqn1xXwN3fgWEASSInQD0Ir6itG5la2kF+FAok7n8WeGRAu7Q==" saltValue="ep0VE+/TDwlK0rRzEd8Ebg=="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9"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6855592C-4A4B-46DA-B769-FD377D699220}">
      <formula1>4</formula1>
    </dataValidation>
    <dataValidation type="textLength" operator="lessThan" allowBlank="1" showInputMessage="1" showErrorMessage="1" sqref="E11 A6:A8" xr:uid="{6992FEC4-80FD-4D67-9B9F-7A4DA0D519E5}">
      <formula1>0</formula1>
    </dataValidation>
    <dataValidation operator="lessThan" allowBlank="1" showInputMessage="1" showErrorMessage="1" sqref="A3:A5 A7:A8 A11" xr:uid="{C823631D-5ACD-4E74-99B9-5E6267B7EDFA}"/>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5D85C-65A4-4BB9-B567-65C91EE99CEA}">
  <sheetPr>
    <tabColor rgb="FF92D050"/>
    <pageSetUpPr fitToPage="1"/>
  </sheetPr>
  <dimension ref="A1:Q115"/>
  <sheetViews>
    <sheetView topLeftCell="A30" zoomScale="85" zoomScaleNormal="85" workbookViewId="0">
      <selection activeCell="J92" sqref="J92"/>
    </sheetView>
  </sheetViews>
  <sheetFormatPr defaultColWidth="0" defaultRowHeight="15" customHeight="1"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696</v>
      </c>
      <c r="G5" s="180"/>
      <c r="H5" s="180"/>
      <c r="I5" s="180"/>
      <c r="J5" s="47"/>
      <c r="K5" s="47"/>
      <c r="L5" s="48"/>
      <c r="M5" s="48"/>
      <c r="N5" s="48"/>
    </row>
    <row r="6" spans="1:17" ht="15.75" x14ac:dyDescent="0.2">
      <c r="A6" s="173" t="s">
        <v>1</v>
      </c>
      <c r="B6" s="173"/>
      <c r="C6" s="173"/>
      <c r="D6" s="173"/>
      <c r="E6" s="173"/>
      <c r="F6" s="181">
        <v>6001</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RESOURCES</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5317</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f>J15</f>
        <v>5317</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5317</v>
      </c>
      <c r="K22" s="29">
        <f>ROUND(SUM(K18:K21),2)</f>
        <v>5317</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f>J28</f>
        <v>0</v>
      </c>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f>J35</f>
        <v>0</v>
      </c>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0820 - NAT RES &amp; ENVIRON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1959</v>
      </c>
      <c r="K45" s="33"/>
    </row>
    <row r="46" spans="1:12" ht="16.5" customHeight="1" x14ac:dyDescent="0.2">
      <c r="A46" s="56"/>
      <c r="B46" s="71"/>
      <c r="C46" s="165" t="s">
        <v>1587</v>
      </c>
      <c r="D46" s="165"/>
      <c r="E46" s="165"/>
      <c r="F46" s="165"/>
      <c r="G46" s="165"/>
      <c r="H46" s="165"/>
      <c r="I46" s="165"/>
      <c r="J46" s="36"/>
      <c r="K46" s="32">
        <f>J45</f>
        <v>1959</v>
      </c>
    </row>
    <row r="47" spans="1:12" ht="16.5" customHeight="1" x14ac:dyDescent="0.2">
      <c r="A47" s="68"/>
      <c r="B47" s="58"/>
      <c r="C47" s="58"/>
      <c r="D47" s="58"/>
      <c r="E47" s="58"/>
      <c r="F47" s="58"/>
      <c r="G47" s="58"/>
      <c r="H47" s="58"/>
      <c r="I47" s="58"/>
      <c r="J47" s="39">
        <f>ROUND(SUM(J45:J45),2)</f>
        <v>1959</v>
      </c>
      <c r="K47" s="39">
        <f>ROUND(SUM(K46),2)</f>
        <v>1959</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2406</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90</v>
      </c>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2496</v>
      </c>
    </row>
    <row r="53" spans="1:12" ht="16.5" customHeight="1" x14ac:dyDescent="0.2">
      <c r="A53" s="68"/>
      <c r="B53" s="58"/>
      <c r="C53" s="58"/>
      <c r="D53" s="58"/>
      <c r="E53" s="58"/>
      <c r="F53" s="58"/>
      <c r="G53" s="58"/>
      <c r="H53" s="58"/>
      <c r="I53" s="58"/>
      <c r="J53" s="39">
        <f>ROUND(SUM(J50:J51),2)</f>
        <v>2496</v>
      </c>
      <c r="K53" s="39">
        <f>ROUND(SUM(K52,),2)</f>
        <v>2496</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v>2406</v>
      </c>
      <c r="K56" s="36"/>
    </row>
    <row r="57" spans="1:12" ht="16.5" customHeight="1" x14ac:dyDescent="0.25">
      <c r="A57" s="56"/>
      <c r="B57" s="57"/>
      <c r="C57" s="165" t="s">
        <v>1613</v>
      </c>
      <c r="D57" s="165"/>
      <c r="E57" s="165"/>
      <c r="F57" s="165"/>
      <c r="G57" s="165"/>
      <c r="H57" s="165"/>
      <c r="I57" s="165"/>
      <c r="J57" s="36"/>
      <c r="K57" s="32">
        <f>J50</f>
        <v>2406</v>
      </c>
    </row>
    <row r="58" spans="1:12" ht="16.5" customHeight="1" x14ac:dyDescent="0.2">
      <c r="A58" s="68"/>
      <c r="B58" s="58"/>
      <c r="C58" s="58"/>
      <c r="D58" s="58"/>
      <c r="E58" s="58"/>
      <c r="F58" s="58"/>
      <c r="G58" s="58"/>
      <c r="H58" s="58"/>
      <c r="I58" s="58"/>
      <c r="J58" s="39">
        <f>ROUND(SUM(J56:J56),2)</f>
        <v>2406</v>
      </c>
      <c r="K58" s="39">
        <f>ROUND(SUM(K57),2)</f>
        <v>2406</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2092</v>
      </c>
      <c r="K61" s="33"/>
    </row>
    <row r="62" spans="1:12" ht="16.5" customHeight="1" x14ac:dyDescent="0.25">
      <c r="A62" s="56"/>
      <c r="B62" s="57"/>
      <c r="C62" s="165" t="s">
        <v>1623</v>
      </c>
      <c r="D62" s="165"/>
      <c r="E62" s="165"/>
      <c r="F62" s="165"/>
      <c r="G62" s="165"/>
      <c r="H62" s="165"/>
      <c r="I62" s="165"/>
      <c r="J62" s="33"/>
      <c r="K62" s="32">
        <f>J61</f>
        <v>2092</v>
      </c>
    </row>
    <row r="63" spans="1:12" ht="16.5" customHeight="1" x14ac:dyDescent="0.2">
      <c r="A63" s="56"/>
      <c r="B63" s="166" t="s">
        <v>1622</v>
      </c>
      <c r="C63" s="166"/>
      <c r="D63" s="166"/>
      <c r="E63" s="166"/>
      <c r="F63" s="166"/>
      <c r="G63" s="166"/>
      <c r="H63" s="166"/>
      <c r="I63" s="166"/>
      <c r="J63" s="39">
        <f>ROUND(SUM(J61:J61),2)</f>
        <v>2092</v>
      </c>
      <c r="K63" s="39">
        <f>ROUND(SUM(K62),2)</f>
        <v>2092</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
        <v>1526</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
        <v>1526</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5317</v>
      </c>
    </row>
    <row r="95" spans="1:12" ht="16.5" customHeight="1" x14ac:dyDescent="0.25">
      <c r="D95" s="57" t="s">
        <v>1641</v>
      </c>
      <c r="E95"/>
      <c r="F95"/>
      <c r="G95"/>
      <c r="H95" s="44"/>
      <c r="I95"/>
      <c r="J95"/>
      <c r="K95" s="162">
        <f>-K18-K46+J68+J77</f>
        <v>-1959</v>
      </c>
    </row>
    <row r="96" spans="1:12" ht="16.5" customHeight="1" x14ac:dyDescent="0.25">
      <c r="D96" s="57" t="s">
        <v>1639</v>
      </c>
      <c r="E96"/>
      <c r="F96"/>
      <c r="G96"/>
      <c r="H96" s="44"/>
      <c r="I96"/>
      <c r="J96"/>
      <c r="K96" s="162">
        <f>-K19-K37+J56+J61+J76-K85</f>
        <v>-819</v>
      </c>
    </row>
    <row r="97" spans="1:11" ht="16.5" customHeight="1" x14ac:dyDescent="0.25">
      <c r="D97" s="57" t="s">
        <v>1640</v>
      </c>
      <c r="E97"/>
      <c r="F97"/>
      <c r="G97"/>
      <c r="H97" s="44"/>
      <c r="I97"/>
      <c r="J97"/>
      <c r="K97" s="162">
        <f>-K62</f>
        <v>-2092</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goEmgL+bMPwC9hNWH3JyuKzru+cW6kXBrx5KfD/vSFgvFe/MQyXFsbpEC4swhDQKTUWkOLDDIbvGZwjkC5e6A==" saltValue="4XeUBYT1TOBD9IicID/Cwg=="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8"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80569028-24CE-4865-89AE-132C3074C499}">
      <formula1>4</formula1>
    </dataValidation>
    <dataValidation type="textLength" operator="lessThan" allowBlank="1" showInputMessage="1" showErrorMessage="1" sqref="E11 A6:A8" xr:uid="{60DAC4CB-7414-4091-B466-E24B05823EC1}">
      <formula1>0</formula1>
    </dataValidation>
    <dataValidation operator="lessThan" allowBlank="1" showInputMessage="1" showErrorMessage="1" sqref="A3:A5 A7:A8 A11" xr:uid="{AD9866C9-C29A-4E06-BC87-A6622E8A0415}"/>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78A43-93C5-46FF-85D6-E8BE7538427F}">
  <sheetPr>
    <tabColor rgb="FF92D050"/>
    <pageSetUpPr fitToPage="1"/>
  </sheetPr>
  <dimension ref="A1:Q115"/>
  <sheetViews>
    <sheetView topLeftCell="A34" zoomScale="85" zoomScaleNormal="85" workbookViewId="0">
      <selection activeCell="J62" sqref="J62"/>
    </sheetView>
  </sheetViews>
  <sheetFormatPr defaultColWidth="0" defaultRowHeight="15" customHeight="1"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696</v>
      </c>
      <c r="G5" s="180"/>
      <c r="H5" s="180"/>
      <c r="I5" s="180"/>
      <c r="J5" s="47"/>
      <c r="K5" s="47"/>
      <c r="L5" s="48"/>
      <c r="M5" s="48"/>
      <c r="N5" s="48"/>
    </row>
    <row r="6" spans="1:17" ht="15.75" x14ac:dyDescent="0.2">
      <c r="A6" s="173" t="s">
        <v>1</v>
      </c>
      <c r="B6" s="173"/>
      <c r="C6" s="173"/>
      <c r="D6" s="173"/>
      <c r="E6" s="173"/>
      <c r="F6" s="181">
        <v>6005</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RESOURCES</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1519</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f>J15</f>
        <v>1519</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1519</v>
      </c>
      <c r="K22" s="29">
        <f>ROUND(SUM(K18:K21),2)</f>
        <v>1519</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f>J28</f>
        <v>0</v>
      </c>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f>J35</f>
        <v>0</v>
      </c>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0820 - NAT RES &amp; ENVIRON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560</v>
      </c>
      <c r="K45" s="33"/>
    </row>
    <row r="46" spans="1:12" ht="16.5" customHeight="1" x14ac:dyDescent="0.2">
      <c r="A46" s="56"/>
      <c r="B46" s="71"/>
      <c r="C46" s="165" t="s">
        <v>1587</v>
      </c>
      <c r="D46" s="165"/>
      <c r="E46" s="165"/>
      <c r="F46" s="165"/>
      <c r="G46" s="165"/>
      <c r="H46" s="165"/>
      <c r="I46" s="165"/>
      <c r="J46" s="36"/>
      <c r="K46" s="32">
        <f>J45</f>
        <v>560</v>
      </c>
    </row>
    <row r="47" spans="1:12" ht="16.5" customHeight="1" x14ac:dyDescent="0.2">
      <c r="A47" s="68"/>
      <c r="B47" s="58"/>
      <c r="C47" s="58"/>
      <c r="D47" s="58"/>
      <c r="E47" s="58"/>
      <c r="F47" s="58"/>
      <c r="G47" s="58"/>
      <c r="H47" s="58"/>
      <c r="I47" s="58"/>
      <c r="J47" s="39">
        <f>ROUND(SUM(J45:J45),2)</f>
        <v>560</v>
      </c>
      <c r="K47" s="39">
        <f>ROUND(SUM(K46),2)</f>
        <v>560</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687</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26</v>
      </c>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713</v>
      </c>
    </row>
    <row r="53" spans="1:12" ht="16.5" customHeight="1" x14ac:dyDescent="0.2">
      <c r="A53" s="68"/>
      <c r="B53" s="58"/>
      <c r="C53" s="58"/>
      <c r="D53" s="58"/>
      <c r="E53" s="58"/>
      <c r="F53" s="58"/>
      <c r="G53" s="58"/>
      <c r="H53" s="58"/>
      <c r="I53" s="58"/>
      <c r="J53" s="39">
        <f>ROUND(SUM(J50:J51),2)</f>
        <v>713</v>
      </c>
      <c r="K53" s="39">
        <f>ROUND(SUM(K52,),2)</f>
        <v>713</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v>687</v>
      </c>
      <c r="K56" s="36"/>
    </row>
    <row r="57" spans="1:12" ht="16.5" customHeight="1" x14ac:dyDescent="0.25">
      <c r="A57" s="56"/>
      <c r="B57" s="57"/>
      <c r="C57" s="165" t="s">
        <v>1613</v>
      </c>
      <c r="D57" s="165"/>
      <c r="E57" s="165"/>
      <c r="F57" s="165"/>
      <c r="G57" s="165"/>
      <c r="H57" s="165"/>
      <c r="I57" s="165"/>
      <c r="J57" s="36"/>
      <c r="K57" s="32">
        <f>J50</f>
        <v>687</v>
      </c>
    </row>
    <row r="58" spans="1:12" ht="16.5" customHeight="1" x14ac:dyDescent="0.2">
      <c r="A58" s="68"/>
      <c r="B58" s="58"/>
      <c r="C58" s="58"/>
      <c r="D58" s="58"/>
      <c r="E58" s="58"/>
      <c r="F58" s="58"/>
      <c r="G58" s="58"/>
      <c r="H58" s="58"/>
      <c r="I58" s="58"/>
      <c r="J58" s="39">
        <f>ROUND(SUM(J56:J56),2)</f>
        <v>687</v>
      </c>
      <c r="K58" s="39">
        <f>ROUND(SUM(K57),2)</f>
        <v>687</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598</v>
      </c>
      <c r="K61" s="33"/>
    </row>
    <row r="62" spans="1:12" ht="16.5" customHeight="1" x14ac:dyDescent="0.25">
      <c r="A62" s="56"/>
      <c r="B62" s="57"/>
      <c r="C62" s="165" t="s">
        <v>1623</v>
      </c>
      <c r="D62" s="165"/>
      <c r="E62" s="165"/>
      <c r="F62" s="165"/>
      <c r="G62" s="165"/>
      <c r="H62" s="165"/>
      <c r="I62" s="165"/>
      <c r="J62" s="33"/>
      <c r="K62" s="32">
        <f>J61</f>
        <v>598</v>
      </c>
    </row>
    <row r="63" spans="1:12" ht="16.5" customHeight="1" x14ac:dyDescent="0.2">
      <c r="A63" s="56"/>
      <c r="B63" s="166" t="s">
        <v>1622</v>
      </c>
      <c r="C63" s="166"/>
      <c r="D63" s="166"/>
      <c r="E63" s="166"/>
      <c r="F63" s="166"/>
      <c r="G63" s="166"/>
      <c r="H63" s="166"/>
      <c r="I63" s="166"/>
      <c r="J63" s="39">
        <f>ROUND(SUM(J61:J61),2)</f>
        <v>598</v>
      </c>
      <c r="K63" s="39">
        <f>ROUND(SUM(K62),2)</f>
        <v>598</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
        <v>1526</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
        <v>1526</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1519</v>
      </c>
    </row>
    <row r="95" spans="1:12" ht="16.5" customHeight="1" x14ac:dyDescent="0.25">
      <c r="D95" s="57" t="s">
        <v>1641</v>
      </c>
      <c r="E95"/>
      <c r="F95"/>
      <c r="G95"/>
      <c r="H95" s="44"/>
      <c r="I95"/>
      <c r="J95"/>
      <c r="K95" s="162">
        <f>-K18-K46+J68+J77</f>
        <v>-560</v>
      </c>
    </row>
    <row r="96" spans="1:12" ht="16.5" customHeight="1" x14ac:dyDescent="0.25">
      <c r="D96" s="57" t="s">
        <v>1639</v>
      </c>
      <c r="E96"/>
      <c r="F96"/>
      <c r="G96"/>
      <c r="H96" s="44"/>
      <c r="I96"/>
      <c r="J96"/>
      <c r="K96" s="162">
        <f>-K19-K37+J56+J61+J76-K85</f>
        <v>-234</v>
      </c>
    </row>
    <row r="97" spans="1:11" ht="16.5" customHeight="1" x14ac:dyDescent="0.25">
      <c r="D97" s="57" t="s">
        <v>1640</v>
      </c>
      <c r="E97"/>
      <c r="F97"/>
      <c r="G97"/>
      <c r="H97" s="44"/>
      <c r="I97"/>
      <c r="J97"/>
      <c r="K97" s="162">
        <f>-K62</f>
        <v>-598</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WALlPEKBNJF2hwAAzWLJmrE+5YTrAe+fl4IbZAzrYQNrz1wFPY4qM7yVwjbi7i+wmPg2ZC5m5Lysu09PpteLcQ==" saltValue="q+SxMDfmlgvcVuidVMtkBQ=="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7"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997094A9-C9FF-4D7E-AA44-71EA4E205C55}">
      <formula1>4</formula1>
    </dataValidation>
    <dataValidation type="textLength" operator="lessThan" allowBlank="1" showInputMessage="1" showErrorMessage="1" sqref="E11 A6:A8" xr:uid="{0E08AB60-9A47-433C-B4E2-86985E435227}">
      <formula1>0</formula1>
    </dataValidation>
    <dataValidation operator="lessThan" allowBlank="1" showInputMessage="1" showErrorMessage="1" sqref="A3:A5 A7:A8 A11" xr:uid="{C8ADA0EC-0F88-4373-AE5E-47E9130EEF7C}"/>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1582D-EBE6-49C2-AF6F-D15EE5F929CB}">
  <sheetPr>
    <tabColor rgb="FF92D050"/>
    <pageSetUpPr fitToPage="1"/>
  </sheetPr>
  <dimension ref="A1:Q115"/>
  <sheetViews>
    <sheetView topLeftCell="A39" zoomScale="85" zoomScaleNormal="85" workbookViewId="0">
      <selection activeCell="J62" sqref="J62"/>
    </sheetView>
  </sheetViews>
  <sheetFormatPr defaultColWidth="0" defaultRowHeight="15" customHeight="1"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696</v>
      </c>
      <c r="G5" s="180"/>
      <c r="H5" s="180"/>
      <c r="I5" s="180"/>
      <c r="J5" s="47"/>
      <c r="K5" s="47"/>
      <c r="L5" s="48"/>
      <c r="M5" s="48"/>
      <c r="N5" s="48"/>
    </row>
    <row r="6" spans="1:17" ht="15.75" x14ac:dyDescent="0.2">
      <c r="A6" s="173" t="s">
        <v>1</v>
      </c>
      <c r="B6" s="173"/>
      <c r="C6" s="173"/>
      <c r="D6" s="173"/>
      <c r="E6" s="173"/>
      <c r="F6" s="181">
        <v>6031</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RESOURCES</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6836</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f>J15</f>
        <v>6836</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6836</v>
      </c>
      <c r="K22" s="29">
        <f>ROUND(SUM(K18:K21),2)</f>
        <v>6836</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f>J28</f>
        <v>0</v>
      </c>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f>J35</f>
        <v>0</v>
      </c>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0820 - NAT RES &amp; ENVIRON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2518</v>
      </c>
      <c r="K45" s="33"/>
    </row>
    <row r="46" spans="1:12" ht="16.5" customHeight="1" x14ac:dyDescent="0.2">
      <c r="A46" s="56"/>
      <c r="B46" s="71"/>
      <c r="C46" s="165" t="s">
        <v>1587</v>
      </c>
      <c r="D46" s="165"/>
      <c r="E46" s="165"/>
      <c r="F46" s="165"/>
      <c r="G46" s="165"/>
      <c r="H46" s="165"/>
      <c r="I46" s="165"/>
      <c r="J46" s="36"/>
      <c r="K46" s="32">
        <f>J45</f>
        <v>2518</v>
      </c>
    </row>
    <row r="47" spans="1:12" ht="16.5" customHeight="1" x14ac:dyDescent="0.2">
      <c r="A47" s="68"/>
      <c r="B47" s="58"/>
      <c r="C47" s="58"/>
      <c r="D47" s="58"/>
      <c r="E47" s="58"/>
      <c r="F47" s="58"/>
      <c r="G47" s="58"/>
      <c r="H47" s="58"/>
      <c r="I47" s="58"/>
      <c r="J47" s="39">
        <f>ROUND(SUM(J45:J45),2)</f>
        <v>2518</v>
      </c>
      <c r="K47" s="39">
        <f>ROUND(SUM(K46),2)</f>
        <v>2518</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3093</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116</v>
      </c>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3209</v>
      </c>
    </row>
    <row r="53" spans="1:12" ht="16.5" customHeight="1" x14ac:dyDescent="0.2">
      <c r="A53" s="68"/>
      <c r="B53" s="58"/>
      <c r="C53" s="58"/>
      <c r="D53" s="58"/>
      <c r="E53" s="58"/>
      <c r="F53" s="58"/>
      <c r="G53" s="58"/>
      <c r="H53" s="58"/>
      <c r="I53" s="58"/>
      <c r="J53" s="39">
        <f>ROUND(SUM(J50:J51),2)</f>
        <v>3209</v>
      </c>
      <c r="K53" s="39">
        <f>ROUND(SUM(K52,),2)</f>
        <v>3209</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J50</f>
        <v>3093</v>
      </c>
      <c r="K56" s="36"/>
    </row>
    <row r="57" spans="1:12" ht="16.5" customHeight="1" x14ac:dyDescent="0.25">
      <c r="A57" s="56"/>
      <c r="B57" s="57"/>
      <c r="C57" s="165" t="s">
        <v>1613</v>
      </c>
      <c r="D57" s="165"/>
      <c r="E57" s="165"/>
      <c r="F57" s="165"/>
      <c r="G57" s="165"/>
      <c r="H57" s="165"/>
      <c r="I57" s="165"/>
      <c r="J57" s="36"/>
      <c r="K57" s="32">
        <f>J50</f>
        <v>3093</v>
      </c>
    </row>
    <row r="58" spans="1:12" ht="16.5" customHeight="1" x14ac:dyDescent="0.2">
      <c r="A58" s="68"/>
      <c r="B58" s="58"/>
      <c r="C58" s="58"/>
      <c r="D58" s="58"/>
      <c r="E58" s="58"/>
      <c r="F58" s="58"/>
      <c r="G58" s="58"/>
      <c r="H58" s="58"/>
      <c r="I58" s="58"/>
      <c r="J58" s="39">
        <f>ROUND(SUM(J56:J56),2)</f>
        <v>3093</v>
      </c>
      <c r="K58" s="39">
        <f>ROUND(SUM(K57),2)</f>
        <v>3093</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2690</v>
      </c>
      <c r="K61" s="33"/>
    </row>
    <row r="62" spans="1:12" ht="16.5" customHeight="1" x14ac:dyDescent="0.25">
      <c r="A62" s="56"/>
      <c r="B62" s="57"/>
      <c r="C62" s="165" t="s">
        <v>1623</v>
      </c>
      <c r="D62" s="165"/>
      <c r="E62" s="165"/>
      <c r="F62" s="165"/>
      <c r="G62" s="165"/>
      <c r="H62" s="165"/>
      <c r="I62" s="165"/>
      <c r="J62" s="33"/>
      <c r="K62" s="32">
        <f>J61</f>
        <v>2690</v>
      </c>
    </row>
    <row r="63" spans="1:12" ht="16.5" customHeight="1" x14ac:dyDescent="0.2">
      <c r="A63" s="56"/>
      <c r="B63" s="166" t="s">
        <v>1622</v>
      </c>
      <c r="C63" s="166"/>
      <c r="D63" s="166"/>
      <c r="E63" s="166"/>
      <c r="F63" s="166"/>
      <c r="G63" s="166"/>
      <c r="H63" s="166"/>
      <c r="I63" s="166"/>
      <c r="J63" s="39">
        <f>ROUND(SUM(J61:J61),2)</f>
        <v>2690</v>
      </c>
      <c r="K63" s="39">
        <f>ROUND(SUM(K62),2)</f>
        <v>2690</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
        <v>1526</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
        <v>1526</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6836</v>
      </c>
    </row>
    <row r="95" spans="1:12" ht="16.5" customHeight="1" x14ac:dyDescent="0.25">
      <c r="D95" s="57" t="s">
        <v>1641</v>
      </c>
      <c r="E95"/>
      <c r="F95"/>
      <c r="G95"/>
      <c r="H95" s="44"/>
      <c r="I95"/>
      <c r="J95"/>
      <c r="K95" s="162">
        <f>-K18-K46+J68+J77</f>
        <v>-2518</v>
      </c>
    </row>
    <row r="96" spans="1:12" ht="16.5" customHeight="1" x14ac:dyDescent="0.25">
      <c r="D96" s="57" t="s">
        <v>1639</v>
      </c>
      <c r="E96"/>
      <c r="F96"/>
      <c r="G96"/>
      <c r="H96" s="44"/>
      <c r="I96"/>
      <c r="J96"/>
      <c r="K96" s="162">
        <f>-K19-K37+J56+J61+J76-K85</f>
        <v>-1053</v>
      </c>
    </row>
    <row r="97" spans="1:11" ht="16.5" customHeight="1" x14ac:dyDescent="0.25">
      <c r="D97" s="57" t="s">
        <v>1640</v>
      </c>
      <c r="E97"/>
      <c r="F97"/>
      <c r="G97"/>
      <c r="H97" s="44"/>
      <c r="I97"/>
      <c r="J97"/>
      <c r="K97" s="162">
        <f>-K62</f>
        <v>-2690</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zQIgHlbjJHQ02TTsOX+09LLDFoKcSiiIdJtGcyNpKhEMzbGIoWBfBOUPogfwHZjJGbihWsySGIFcCIcg7RN1jA==" saltValue="aEjmT/idStEKqYYtvkclwQ=="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6"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283AA980-553C-4EFF-92FD-2E4BAB808B69}">
      <formula1>4</formula1>
    </dataValidation>
    <dataValidation type="textLength" operator="lessThan" allowBlank="1" showInputMessage="1" showErrorMessage="1" sqref="E11 A6:A8" xr:uid="{A018FDA7-4050-4E46-BB59-37BD97E9FF6D}">
      <formula1>0</formula1>
    </dataValidation>
    <dataValidation operator="lessThan" allowBlank="1" showInputMessage="1" showErrorMessage="1" sqref="A3:A5 A7:A8 A11" xr:uid="{31B69B8F-700A-4A7E-889F-45EB5E67F987}"/>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BC48C-5D5E-4220-A917-C14E6B3D15A9}">
  <sheetPr>
    <tabColor rgb="FF92D050"/>
    <pageSetUpPr fitToPage="1"/>
  </sheetPr>
  <dimension ref="A1:Q115"/>
  <sheetViews>
    <sheetView topLeftCell="A26" zoomScale="85" zoomScaleNormal="85" workbookViewId="0">
      <selection activeCell="J62" sqref="J62"/>
    </sheetView>
  </sheetViews>
  <sheetFormatPr defaultColWidth="0" defaultRowHeight="15" customHeight="1"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696</v>
      </c>
      <c r="G5" s="180"/>
      <c r="H5" s="180"/>
      <c r="I5" s="180"/>
      <c r="J5" s="47"/>
      <c r="K5" s="47"/>
      <c r="L5" s="48"/>
      <c r="M5" s="48"/>
      <c r="N5" s="48"/>
    </row>
    <row r="6" spans="1:17" ht="15.75" x14ac:dyDescent="0.2">
      <c r="A6" s="173" t="s">
        <v>1</v>
      </c>
      <c r="B6" s="173"/>
      <c r="C6" s="173"/>
      <c r="D6" s="173"/>
      <c r="E6" s="173"/>
      <c r="F6" s="181">
        <v>6051</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RESOURCES</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46333</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f>J15</f>
        <v>46333</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46333</v>
      </c>
      <c r="K22" s="29">
        <f>ROUND(SUM(K18:K21),2)</f>
        <v>46333</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f>J28</f>
        <v>0</v>
      </c>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f>J35</f>
        <v>0</v>
      </c>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0820 - NAT RES &amp; ENVIRON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17070</v>
      </c>
      <c r="K45" s="33"/>
    </row>
    <row r="46" spans="1:12" ht="16.5" customHeight="1" x14ac:dyDescent="0.2">
      <c r="A46" s="56"/>
      <c r="B46" s="71"/>
      <c r="C46" s="165" t="s">
        <v>1587</v>
      </c>
      <c r="D46" s="165"/>
      <c r="E46" s="165"/>
      <c r="F46" s="165"/>
      <c r="G46" s="165"/>
      <c r="H46" s="165"/>
      <c r="I46" s="165"/>
      <c r="J46" s="36"/>
      <c r="K46" s="32">
        <f>J45</f>
        <v>17070</v>
      </c>
    </row>
    <row r="47" spans="1:12" ht="16.5" customHeight="1" x14ac:dyDescent="0.2">
      <c r="A47" s="68"/>
      <c r="B47" s="58"/>
      <c r="C47" s="58"/>
      <c r="D47" s="58"/>
      <c r="E47" s="58"/>
      <c r="F47" s="58"/>
      <c r="G47" s="58"/>
      <c r="H47" s="58"/>
      <c r="I47" s="58"/>
      <c r="J47" s="39">
        <f>ROUND(SUM(J45:J45),2)</f>
        <v>17070</v>
      </c>
      <c r="K47" s="39">
        <f>ROUND(SUM(K46),2)</f>
        <v>17070</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20965</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786</v>
      </c>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21751</v>
      </c>
    </row>
    <row r="53" spans="1:12" ht="16.5" customHeight="1" x14ac:dyDescent="0.2">
      <c r="A53" s="68"/>
      <c r="B53" s="58"/>
      <c r="C53" s="58"/>
      <c r="D53" s="58"/>
      <c r="E53" s="58"/>
      <c r="F53" s="58"/>
      <c r="G53" s="58"/>
      <c r="H53" s="58"/>
      <c r="I53" s="58"/>
      <c r="J53" s="39">
        <f>ROUND(SUM(J50:J51),2)</f>
        <v>21751</v>
      </c>
      <c r="K53" s="39">
        <f>ROUND(SUM(K52,),2)</f>
        <v>21751</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J50</f>
        <v>20965</v>
      </c>
      <c r="K56" s="36"/>
    </row>
    <row r="57" spans="1:12" ht="16.5" customHeight="1" x14ac:dyDescent="0.25">
      <c r="A57" s="56"/>
      <c r="B57" s="57"/>
      <c r="C57" s="165" t="s">
        <v>1613</v>
      </c>
      <c r="D57" s="165"/>
      <c r="E57" s="165"/>
      <c r="F57" s="165"/>
      <c r="G57" s="165"/>
      <c r="H57" s="165"/>
      <c r="I57" s="165"/>
      <c r="J57" s="36"/>
      <c r="K57" s="32">
        <f>J50</f>
        <v>20965</v>
      </c>
    </row>
    <row r="58" spans="1:12" ht="16.5" customHeight="1" x14ac:dyDescent="0.2">
      <c r="A58" s="68"/>
      <c r="B58" s="58"/>
      <c r="C58" s="58"/>
      <c r="D58" s="58"/>
      <c r="E58" s="58"/>
      <c r="F58" s="58"/>
      <c r="G58" s="58"/>
      <c r="H58" s="58"/>
      <c r="I58" s="58"/>
      <c r="J58" s="39">
        <f>ROUND(SUM(J56:J56),2)</f>
        <v>20965</v>
      </c>
      <c r="K58" s="39">
        <f>ROUND(SUM(K57),2)</f>
        <v>20965</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18231</v>
      </c>
      <c r="K61" s="33"/>
    </row>
    <row r="62" spans="1:12" ht="16.5" customHeight="1" x14ac:dyDescent="0.25">
      <c r="A62" s="56"/>
      <c r="B62" s="57"/>
      <c r="C62" s="165" t="s">
        <v>1623</v>
      </c>
      <c r="D62" s="165"/>
      <c r="E62" s="165"/>
      <c r="F62" s="165"/>
      <c r="G62" s="165"/>
      <c r="H62" s="165"/>
      <c r="I62" s="165"/>
      <c r="J62" s="33"/>
      <c r="K62" s="32">
        <f>J61</f>
        <v>18231</v>
      </c>
    </row>
    <row r="63" spans="1:12" ht="16.5" customHeight="1" x14ac:dyDescent="0.2">
      <c r="A63" s="56"/>
      <c r="B63" s="166" t="s">
        <v>1622</v>
      </c>
      <c r="C63" s="166"/>
      <c r="D63" s="166"/>
      <c r="E63" s="166"/>
      <c r="F63" s="166"/>
      <c r="G63" s="166"/>
      <c r="H63" s="166"/>
      <c r="I63" s="166"/>
      <c r="J63" s="39">
        <f>ROUND(SUM(J61:J61),2)</f>
        <v>18231</v>
      </c>
      <c r="K63" s="39">
        <f>ROUND(SUM(K62),2)</f>
        <v>18231</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
        <v>1526</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
        <v>1526</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46333</v>
      </c>
    </row>
    <row r="95" spans="1:12" ht="16.5" customHeight="1" x14ac:dyDescent="0.25">
      <c r="D95" s="57" t="s">
        <v>1641</v>
      </c>
      <c r="E95"/>
      <c r="F95"/>
      <c r="G95"/>
      <c r="H95" s="44"/>
      <c r="I95"/>
      <c r="J95"/>
      <c r="K95" s="162">
        <f>-K18-K46+J68+J77</f>
        <v>-17070</v>
      </c>
    </row>
    <row r="96" spans="1:12" ht="16.5" customHeight="1" x14ac:dyDescent="0.25">
      <c r="D96" s="57" t="s">
        <v>1639</v>
      </c>
      <c r="E96"/>
      <c r="F96"/>
      <c r="G96"/>
      <c r="H96" s="44"/>
      <c r="I96"/>
      <c r="J96"/>
      <c r="K96" s="162">
        <f>-K19-K37+J56+J61+J76-K85</f>
        <v>-7137</v>
      </c>
    </row>
    <row r="97" spans="1:11" ht="16.5" customHeight="1" x14ac:dyDescent="0.25">
      <c r="D97" s="57" t="s">
        <v>1640</v>
      </c>
      <c r="E97"/>
      <c r="F97"/>
      <c r="G97"/>
      <c r="H97" s="44"/>
      <c r="I97"/>
      <c r="J97"/>
      <c r="K97" s="162">
        <f>-K62</f>
        <v>-18231</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6k13VB3pVESAUBZ630Ux4Ru2RWyuy+iOLoN5qUff1UygiINLr0qZL2HaThmCIfwmu8LaDZ2Z9OFUi6ido8vw+w==" saltValue="6We5F8n+xfe42WAVfqrhPw=="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5"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EC68B947-1AFC-48BB-8A70-E449FE3B4A74}">
      <formula1>4</formula1>
    </dataValidation>
    <dataValidation type="textLength" operator="lessThan" allowBlank="1" showInputMessage="1" showErrorMessage="1" sqref="E11 A6:A8" xr:uid="{F7F5E5B7-C5E3-402F-A3EF-1B80E41E5DFA}">
      <formula1>0</formula1>
    </dataValidation>
    <dataValidation operator="lessThan" allowBlank="1" showInputMessage="1" showErrorMessage="1" sqref="A3:A5 A7:A8 A11" xr:uid="{C58024B5-87C3-489F-AD71-FCD578DAE324}"/>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D2368-21B8-432B-93DD-40A08309F67F}">
  <sheetPr>
    <tabColor rgb="FF92D050"/>
    <pageSetUpPr fitToPage="1"/>
  </sheetPr>
  <dimension ref="A1:Q115"/>
  <sheetViews>
    <sheetView topLeftCell="A39" zoomScale="85" zoomScaleNormal="85" workbookViewId="0">
      <selection activeCell="J62" sqref="J62"/>
    </sheetView>
  </sheetViews>
  <sheetFormatPr defaultColWidth="0" defaultRowHeight="15" customHeight="1"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696</v>
      </c>
      <c r="G5" s="180"/>
      <c r="H5" s="180"/>
      <c r="I5" s="180"/>
      <c r="J5" s="47"/>
      <c r="K5" s="47"/>
      <c r="L5" s="48"/>
      <c r="M5" s="48"/>
      <c r="N5" s="48"/>
    </row>
    <row r="6" spans="1:17" ht="15.75" x14ac:dyDescent="0.2">
      <c r="A6" s="173" t="s">
        <v>1</v>
      </c>
      <c r="B6" s="173"/>
      <c r="C6" s="173"/>
      <c r="D6" s="173"/>
      <c r="E6" s="173"/>
      <c r="F6" s="181">
        <v>6083</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RESOURCES</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157989</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f>J15</f>
        <v>157989</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157989</v>
      </c>
      <c r="K22" s="29">
        <f>ROUND(SUM(K18:K21),2)</f>
        <v>157989</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f>J28</f>
        <v>0</v>
      </c>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f>J35</f>
        <v>0</v>
      </c>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0820 - NAT RES &amp; ENVIRON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58205</v>
      </c>
      <c r="K45" s="33"/>
    </row>
    <row r="46" spans="1:12" ht="16.5" customHeight="1" x14ac:dyDescent="0.2">
      <c r="A46" s="56"/>
      <c r="B46" s="71"/>
      <c r="C46" s="165" t="s">
        <v>1587</v>
      </c>
      <c r="D46" s="165"/>
      <c r="E46" s="165"/>
      <c r="F46" s="165"/>
      <c r="G46" s="165"/>
      <c r="H46" s="165"/>
      <c r="I46" s="165"/>
      <c r="J46" s="36"/>
      <c r="K46" s="32">
        <f>J45</f>
        <v>58205</v>
      </c>
    </row>
    <row r="47" spans="1:12" ht="16.5" customHeight="1" x14ac:dyDescent="0.2">
      <c r="A47" s="68"/>
      <c r="B47" s="58"/>
      <c r="C47" s="58"/>
      <c r="D47" s="58"/>
      <c r="E47" s="58"/>
      <c r="F47" s="58"/>
      <c r="G47" s="58"/>
      <c r="H47" s="58"/>
      <c r="I47" s="58"/>
      <c r="J47" s="39">
        <f>ROUND(SUM(J45:J45),2)</f>
        <v>58205</v>
      </c>
      <c r="K47" s="39">
        <f>ROUND(SUM(K46),2)</f>
        <v>58205</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71488</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2680</v>
      </c>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74168</v>
      </c>
    </row>
    <row r="53" spans="1:12" ht="16.5" customHeight="1" x14ac:dyDescent="0.2">
      <c r="A53" s="68"/>
      <c r="B53" s="58"/>
      <c r="C53" s="58"/>
      <c r="D53" s="58"/>
      <c r="E53" s="58"/>
      <c r="F53" s="58"/>
      <c r="G53" s="58"/>
      <c r="H53" s="58"/>
      <c r="I53" s="58"/>
      <c r="J53" s="39">
        <f>ROUND(SUM(J50:J51),2)</f>
        <v>74168</v>
      </c>
      <c r="K53" s="39">
        <f>ROUND(SUM(K52,),2)</f>
        <v>74168</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J50</f>
        <v>71488</v>
      </c>
      <c r="K56" s="36"/>
    </row>
    <row r="57" spans="1:12" ht="16.5" customHeight="1" x14ac:dyDescent="0.25">
      <c r="A57" s="56"/>
      <c r="B57" s="57"/>
      <c r="C57" s="165" t="s">
        <v>1613</v>
      </c>
      <c r="D57" s="165"/>
      <c r="E57" s="165"/>
      <c r="F57" s="165"/>
      <c r="G57" s="165"/>
      <c r="H57" s="165"/>
      <c r="I57" s="165"/>
      <c r="J57" s="36"/>
      <c r="K57" s="32">
        <f>J50</f>
        <v>71488</v>
      </c>
    </row>
    <row r="58" spans="1:12" ht="16.5" customHeight="1" x14ac:dyDescent="0.2">
      <c r="A58" s="68"/>
      <c r="B58" s="58"/>
      <c r="C58" s="58"/>
      <c r="D58" s="58"/>
      <c r="E58" s="58"/>
      <c r="F58" s="58"/>
      <c r="G58" s="58"/>
      <c r="H58" s="58"/>
      <c r="I58" s="58"/>
      <c r="J58" s="39">
        <f>ROUND(SUM(J56:J56),2)</f>
        <v>71488</v>
      </c>
      <c r="K58" s="39">
        <f>ROUND(SUM(K57),2)</f>
        <v>71488</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62166</v>
      </c>
      <c r="K61" s="33"/>
    </row>
    <row r="62" spans="1:12" ht="16.5" customHeight="1" x14ac:dyDescent="0.25">
      <c r="A62" s="56"/>
      <c r="B62" s="57"/>
      <c r="C62" s="165" t="s">
        <v>1623</v>
      </c>
      <c r="D62" s="165"/>
      <c r="E62" s="165"/>
      <c r="F62" s="165"/>
      <c r="G62" s="165"/>
      <c r="H62" s="165"/>
      <c r="I62" s="165"/>
      <c r="J62" s="33"/>
      <c r="K62" s="32">
        <f>J61</f>
        <v>62166</v>
      </c>
    </row>
    <row r="63" spans="1:12" ht="16.5" customHeight="1" x14ac:dyDescent="0.2">
      <c r="A63" s="56"/>
      <c r="B63" s="166" t="s">
        <v>1622</v>
      </c>
      <c r="C63" s="166"/>
      <c r="D63" s="166"/>
      <c r="E63" s="166"/>
      <c r="F63" s="166"/>
      <c r="G63" s="166"/>
      <c r="H63" s="166"/>
      <c r="I63" s="166"/>
      <c r="J63" s="39">
        <f>ROUND(SUM(J61:J61),2)</f>
        <v>62166</v>
      </c>
      <c r="K63" s="39">
        <f>ROUND(SUM(K62),2)</f>
        <v>62166</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
        <v>1526</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
        <v>1526</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157989</v>
      </c>
    </row>
    <row r="95" spans="1:12" ht="16.5" customHeight="1" x14ac:dyDescent="0.25">
      <c r="D95" s="57" t="s">
        <v>1641</v>
      </c>
      <c r="E95"/>
      <c r="F95"/>
      <c r="G95"/>
      <c r="H95" s="44"/>
      <c r="I95"/>
      <c r="J95"/>
      <c r="K95" s="162">
        <f>-K18-K46+J68+J77</f>
        <v>-58205</v>
      </c>
    </row>
    <row r="96" spans="1:12" ht="16.5" customHeight="1" x14ac:dyDescent="0.25">
      <c r="D96" s="57" t="s">
        <v>1639</v>
      </c>
      <c r="E96"/>
      <c r="F96"/>
      <c r="G96"/>
      <c r="H96" s="44"/>
      <c r="I96"/>
      <c r="J96"/>
      <c r="K96" s="162">
        <f>-K19-K37+J56+J61+J76-K85</f>
        <v>-24335</v>
      </c>
    </row>
    <row r="97" spans="1:11" ht="16.5" customHeight="1" x14ac:dyDescent="0.25">
      <c r="D97" s="57" t="s">
        <v>1640</v>
      </c>
      <c r="E97"/>
      <c r="F97"/>
      <c r="G97"/>
      <c r="H97" s="44"/>
      <c r="I97"/>
      <c r="J97"/>
      <c r="K97" s="162">
        <f>-K62</f>
        <v>-62166</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38IsrKeOB2YruxNBmoZP0GiY/EMCsfozmheHyWKjPNn/bDqLWc/Sr/HKN4D2vB29H9U8qlhmxI2Szr5Su9o2QA==" saltValue="C7+bvWWo9f9Vi0kKUD5U0A=="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4"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7EACD1A8-1BD1-441F-955C-F30C9A26E41E}">
      <formula1>4</formula1>
    </dataValidation>
    <dataValidation type="textLength" operator="lessThan" allowBlank="1" showInputMessage="1" showErrorMessage="1" sqref="E11 A6:A8" xr:uid="{46825296-E07C-4F19-A276-BDA58C660B63}">
      <formula1>0</formula1>
    </dataValidation>
    <dataValidation operator="lessThan" allowBlank="1" showInputMessage="1" showErrorMessage="1" sqref="A3:A5 A7:A8 A11" xr:uid="{C3814C88-8BC5-4DCE-A82B-16CE17D8E422}"/>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0D616-6AE1-44B9-B120-07AE1D4A4A1C}">
  <sheetPr>
    <tabColor rgb="FF92D050"/>
    <pageSetUpPr fitToPage="1"/>
  </sheetPr>
  <dimension ref="A1:Q115"/>
  <sheetViews>
    <sheetView topLeftCell="A45" zoomScale="85" zoomScaleNormal="85" workbookViewId="0">
      <selection activeCell="J62" sqref="J62"/>
    </sheetView>
  </sheetViews>
  <sheetFormatPr defaultColWidth="0" defaultRowHeight="15" customHeight="1"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696</v>
      </c>
      <c r="G5" s="180"/>
      <c r="H5" s="180"/>
      <c r="I5" s="180"/>
      <c r="J5" s="47"/>
      <c r="K5" s="47"/>
      <c r="L5" s="48"/>
      <c r="M5" s="48"/>
      <c r="N5" s="48"/>
    </row>
    <row r="6" spans="1:17" ht="15.75" x14ac:dyDescent="0.2">
      <c r="A6" s="173" t="s">
        <v>1</v>
      </c>
      <c r="B6" s="173"/>
      <c r="C6" s="173"/>
      <c r="D6" s="173"/>
      <c r="E6" s="173"/>
      <c r="F6" s="181">
        <v>6088</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RESOURCES</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123809</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f>J15</f>
        <v>123809</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123809</v>
      </c>
      <c r="K22" s="29">
        <f>ROUND(SUM(K18:K21),2)</f>
        <v>123809</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f>J28</f>
        <v>0</v>
      </c>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f>J35</f>
        <v>0</v>
      </c>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0820 - NAT RES &amp; ENVIRON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45612</v>
      </c>
      <c r="K45" s="33"/>
    </row>
    <row r="46" spans="1:12" ht="16.5" customHeight="1" x14ac:dyDescent="0.2">
      <c r="A46" s="56"/>
      <c r="B46" s="71"/>
      <c r="C46" s="165" t="s">
        <v>1587</v>
      </c>
      <c r="D46" s="165"/>
      <c r="E46" s="165"/>
      <c r="F46" s="165"/>
      <c r="G46" s="165"/>
      <c r="H46" s="165"/>
      <c r="I46" s="165"/>
      <c r="J46" s="36"/>
      <c r="K46" s="32">
        <f>J45</f>
        <v>45612</v>
      </c>
    </row>
    <row r="47" spans="1:12" ht="16.5" customHeight="1" x14ac:dyDescent="0.2">
      <c r="A47" s="68"/>
      <c r="B47" s="58"/>
      <c r="C47" s="58"/>
      <c r="D47" s="58"/>
      <c r="E47" s="58"/>
      <c r="F47" s="58"/>
      <c r="G47" s="58"/>
      <c r="H47" s="58"/>
      <c r="I47" s="58"/>
      <c r="J47" s="39">
        <f>ROUND(SUM(J45:J45),2)</f>
        <v>45612</v>
      </c>
      <c r="K47" s="39">
        <f>ROUND(SUM(K46),2)</f>
        <v>45612</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56022</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2100</v>
      </c>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58122</v>
      </c>
    </row>
    <row r="53" spans="1:12" ht="16.5" customHeight="1" x14ac:dyDescent="0.2">
      <c r="A53" s="68"/>
      <c r="B53" s="58"/>
      <c r="C53" s="58"/>
      <c r="D53" s="58"/>
      <c r="E53" s="58"/>
      <c r="F53" s="58"/>
      <c r="G53" s="58"/>
      <c r="H53" s="58"/>
      <c r="I53" s="58"/>
      <c r="J53" s="39">
        <f>ROUND(SUM(J50:J51),2)</f>
        <v>58122</v>
      </c>
      <c r="K53" s="39">
        <f>ROUND(SUM(K52,),2)</f>
        <v>58122</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J50</f>
        <v>56022</v>
      </c>
      <c r="K56" s="36"/>
    </row>
    <row r="57" spans="1:12" ht="16.5" customHeight="1" x14ac:dyDescent="0.25">
      <c r="A57" s="56"/>
      <c r="B57" s="57"/>
      <c r="C57" s="165" t="s">
        <v>1613</v>
      </c>
      <c r="D57" s="165"/>
      <c r="E57" s="165"/>
      <c r="F57" s="165"/>
      <c r="G57" s="165"/>
      <c r="H57" s="165"/>
      <c r="I57" s="165"/>
      <c r="J57" s="36"/>
      <c r="K57" s="32">
        <f>J50</f>
        <v>56022</v>
      </c>
    </row>
    <row r="58" spans="1:12" ht="16.5" customHeight="1" x14ac:dyDescent="0.2">
      <c r="A58" s="68"/>
      <c r="B58" s="58"/>
      <c r="C58" s="58"/>
      <c r="D58" s="58"/>
      <c r="E58" s="58"/>
      <c r="F58" s="58"/>
      <c r="G58" s="58"/>
      <c r="H58" s="58"/>
      <c r="I58" s="58"/>
      <c r="J58" s="39">
        <f>ROUND(SUM(J56:J56),2)</f>
        <v>56022</v>
      </c>
      <c r="K58" s="39">
        <f>ROUND(SUM(K57),2)</f>
        <v>56022</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48716</v>
      </c>
      <c r="K61" s="33"/>
    </row>
    <row r="62" spans="1:12" ht="16.5" customHeight="1" x14ac:dyDescent="0.25">
      <c r="A62" s="56"/>
      <c r="B62" s="57"/>
      <c r="C62" s="165" t="s">
        <v>1623</v>
      </c>
      <c r="D62" s="165"/>
      <c r="E62" s="165"/>
      <c r="F62" s="165"/>
      <c r="G62" s="165"/>
      <c r="H62" s="165"/>
      <c r="I62" s="165"/>
      <c r="J62" s="33"/>
      <c r="K62" s="32">
        <f>J61</f>
        <v>48716</v>
      </c>
    </row>
    <row r="63" spans="1:12" ht="16.5" customHeight="1" x14ac:dyDescent="0.2">
      <c r="A63" s="56"/>
      <c r="B63" s="166" t="s">
        <v>1622</v>
      </c>
      <c r="C63" s="166"/>
      <c r="D63" s="166"/>
      <c r="E63" s="166"/>
      <c r="F63" s="166"/>
      <c r="G63" s="166"/>
      <c r="H63" s="166"/>
      <c r="I63" s="166"/>
      <c r="J63" s="39">
        <f>ROUND(SUM(J61:J61),2)</f>
        <v>48716</v>
      </c>
      <c r="K63" s="39">
        <f>ROUND(SUM(K62),2)</f>
        <v>48716</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
        <v>1526</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
        <v>1526</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123809</v>
      </c>
    </row>
    <row r="95" spans="1:12" ht="16.5" customHeight="1" x14ac:dyDescent="0.25">
      <c r="D95" s="57" t="s">
        <v>1641</v>
      </c>
      <c r="E95"/>
      <c r="F95"/>
      <c r="G95"/>
      <c r="H95" s="44"/>
      <c r="I95"/>
      <c r="J95"/>
      <c r="K95" s="162">
        <f>-K18-K46+J68+J77</f>
        <v>-45612</v>
      </c>
    </row>
    <row r="96" spans="1:12" ht="16.5" customHeight="1" x14ac:dyDescent="0.25">
      <c r="D96" s="57" t="s">
        <v>1639</v>
      </c>
      <c r="E96"/>
      <c r="F96"/>
      <c r="G96"/>
      <c r="H96" s="44"/>
      <c r="I96"/>
      <c r="J96"/>
      <c r="K96" s="162">
        <f>-K19-K37+J56+J61+J76-K85</f>
        <v>-19071</v>
      </c>
    </row>
    <row r="97" spans="1:11" ht="16.5" customHeight="1" x14ac:dyDescent="0.25">
      <c r="D97" s="57" t="s">
        <v>1640</v>
      </c>
      <c r="E97"/>
      <c r="F97"/>
      <c r="G97"/>
      <c r="H97" s="44"/>
      <c r="I97"/>
      <c r="J97"/>
      <c r="K97" s="162">
        <f>-K62</f>
        <v>-48716</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StbzXpZIaUxZ4aLwjKlTUwn+Ff5gnMoEYjj9AVY6EBo+zXyVJB5RqZXueldKTnTbMJYYQQeDeEgfL8DFZAO+5A==" saltValue="R3fL0GHD+KgYUzat2ytMCQ=="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3"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5C255637-EA55-4F9E-A842-4CC259ECB3C5}">
      <formula1>4</formula1>
    </dataValidation>
    <dataValidation type="textLength" operator="lessThan" allowBlank="1" showInputMessage="1" showErrorMessage="1" sqref="E11 A6:A8" xr:uid="{D2872073-67E6-4A1A-B1C1-D4EBC0187B2D}">
      <formula1>0</formula1>
    </dataValidation>
    <dataValidation operator="lessThan" allowBlank="1" showInputMessage="1" showErrorMessage="1" sqref="A3:A5 A7:A8 A11" xr:uid="{9C791CEA-5D08-4C6C-8EAC-5C77E95166FF}"/>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64D95-4BED-49B9-AE5A-63E8600D4691}">
  <sheetPr>
    <tabColor rgb="FF92D050"/>
    <pageSetUpPr fitToPage="1"/>
  </sheetPr>
  <dimension ref="A1:Q115"/>
  <sheetViews>
    <sheetView topLeftCell="A39" zoomScale="85" zoomScaleNormal="85" workbookViewId="0">
      <selection activeCell="C53" sqref="C53"/>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696</v>
      </c>
      <c r="G5" s="180"/>
      <c r="H5" s="180"/>
      <c r="I5" s="180"/>
      <c r="J5" s="47"/>
      <c r="K5" s="47"/>
      <c r="L5" s="48"/>
      <c r="M5" s="48"/>
      <c r="N5" s="48"/>
    </row>
    <row r="6" spans="1:17" ht="15.75" x14ac:dyDescent="0.2">
      <c r="A6" s="173" t="s">
        <v>1</v>
      </c>
      <c r="B6" s="173"/>
      <c r="C6" s="173"/>
      <c r="D6" s="173"/>
      <c r="E6" s="173"/>
      <c r="F6" s="181">
        <v>502</v>
      </c>
      <c r="G6" s="181"/>
      <c r="H6" s="181"/>
      <c r="I6" s="181"/>
      <c r="L6" s="49"/>
      <c r="M6" s="48"/>
      <c r="N6" s="48"/>
      <c r="P6" s="27"/>
    </row>
    <row r="7" spans="1:17" ht="15.75" x14ac:dyDescent="0.2">
      <c r="A7" s="173" t="s">
        <v>1571</v>
      </c>
      <c r="B7" s="173"/>
      <c r="C7" s="173"/>
      <c r="D7" s="173"/>
      <c r="E7" s="173"/>
      <c r="F7" s="172" t="s">
        <v>1570</v>
      </c>
      <c r="G7" s="172"/>
      <c r="H7" s="172"/>
      <c r="I7" s="172"/>
      <c r="L7" s="49"/>
      <c r="M7" s="48"/>
      <c r="N7" s="48"/>
      <c r="P7" s="27"/>
    </row>
    <row r="8" spans="1:17" ht="15.75" x14ac:dyDescent="0.2">
      <c r="A8" s="173" t="s">
        <v>2</v>
      </c>
      <c r="B8" s="173"/>
      <c r="C8" s="173"/>
      <c r="D8" s="173"/>
      <c r="E8" s="173"/>
      <c r="F8" s="174" t="s">
        <v>1603</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6757254</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6757254</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6757254</v>
      </c>
      <c r="K22" s="29">
        <f>ROUND(SUM(K18:K21),2)</f>
        <v>6757254</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c r="L29" s="54"/>
    </row>
    <row r="30" spans="1:17" ht="16.5" customHeight="1" x14ac:dyDescent="0.25">
      <c r="A30" s="56"/>
      <c r="B30" s="57"/>
      <c r="C30" s="165" t="str">
        <f>VLOOKUP($F$8,'Drop Down Menus'!$D$2:$G$10,4,FALSE)</f>
        <v>Cr: Acct 0870 - SERVICES &amp; CHARGES (MG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0870 - SERVICES &amp; CHARGES (MG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2412900</v>
      </c>
      <c r="K45" s="33"/>
    </row>
    <row r="46" spans="1:12" ht="16.5" customHeight="1" x14ac:dyDescent="0.2">
      <c r="A46" s="56"/>
      <c r="B46" s="71"/>
      <c r="C46" s="165" t="s">
        <v>1587</v>
      </c>
      <c r="D46" s="165"/>
      <c r="E46" s="165"/>
      <c r="F46" s="165"/>
      <c r="G46" s="165"/>
      <c r="H46" s="165"/>
      <c r="I46" s="165"/>
      <c r="J46" s="36"/>
      <c r="K46" s="32">
        <f>J45</f>
        <v>2412900</v>
      </c>
    </row>
    <row r="47" spans="1:12" ht="16.5" customHeight="1" x14ac:dyDescent="0.2">
      <c r="A47" s="68"/>
      <c r="B47" s="58"/>
      <c r="C47" s="58"/>
      <c r="D47" s="58"/>
      <c r="E47" s="58"/>
      <c r="F47" s="58"/>
      <c r="G47" s="58"/>
      <c r="H47" s="58"/>
      <c r="I47" s="58"/>
      <c r="J47" s="39">
        <f>ROUND(SUM(J45:J45),2)</f>
        <v>2412900</v>
      </c>
      <c r="K47" s="39">
        <f>ROUND(SUM(K46),2)</f>
        <v>2412900</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3059940</v>
      </c>
      <c r="K50" s="81"/>
    </row>
    <row r="51" spans="1:12" ht="16.5" customHeight="1" x14ac:dyDescent="0.2">
      <c r="A51" s="56"/>
      <c r="B51" s="165" t="str">
        <f>IF(OR($F$7="Proprietary - Internal Service Fund",$F$7="Proprietary - Enterprise Fund"),"Dr: Acct 0894 - INTEREST EXPENSE AND FISCAL CHARGES","Dr: Acct 0851 - DEBT SERVICE - INTEREST LEASES")</f>
        <v>Dr: Acct 0894 - INTEREST EXPENSE AND FISCAL CHARGES</v>
      </c>
      <c r="C51" s="165"/>
      <c r="D51" s="165"/>
      <c r="E51" s="165"/>
      <c r="F51" s="165"/>
      <c r="G51" s="165"/>
      <c r="H51" s="165"/>
      <c r="I51" s="165"/>
      <c r="J51" s="37">
        <v>120437</v>
      </c>
      <c r="K51" s="81"/>
    </row>
    <row r="52" spans="1:12" ht="16.5" customHeight="1" x14ac:dyDescent="0.25">
      <c r="A52" s="56"/>
      <c r="B52" s="57"/>
      <c r="C52" s="165" t="str">
        <f>VLOOKUP($F$8,'Drop Down Menus'!$D$2:$G$10,4,FALSE)</f>
        <v>Cr: Acct 0870 - SERVICES &amp; CHARGES (MG ADJ)</v>
      </c>
      <c r="D52" s="165"/>
      <c r="E52" s="165"/>
      <c r="F52" s="165"/>
      <c r="G52" s="165"/>
      <c r="H52" s="165"/>
      <c r="I52" s="165"/>
      <c r="J52" s="81"/>
      <c r="K52" s="38">
        <f>+J50+J51</f>
        <v>3180377</v>
      </c>
    </row>
    <row r="53" spans="1:12" ht="16.5" customHeight="1" x14ac:dyDescent="0.2">
      <c r="A53" s="68"/>
      <c r="B53" s="58"/>
      <c r="C53" s="58"/>
      <c r="D53" s="58"/>
      <c r="E53" s="58"/>
      <c r="F53" s="58"/>
      <c r="G53" s="58"/>
      <c r="H53" s="58"/>
      <c r="I53" s="58"/>
      <c r="J53" s="39">
        <f>ROUND(SUM(J50:J51),2)</f>
        <v>3180377</v>
      </c>
      <c r="K53" s="39">
        <f>ROUND(SUM(K52,),2)</f>
        <v>3180377</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3059940</v>
      </c>
      <c r="K56" s="36"/>
    </row>
    <row r="57" spans="1:12" ht="16.5" customHeight="1" x14ac:dyDescent="0.25">
      <c r="A57" s="56"/>
      <c r="B57" s="57"/>
      <c r="C57" s="165" t="s">
        <v>1613</v>
      </c>
      <c r="D57" s="165"/>
      <c r="E57" s="165"/>
      <c r="F57" s="165"/>
      <c r="G57" s="165"/>
      <c r="H57" s="165"/>
      <c r="I57" s="165"/>
      <c r="J57" s="36"/>
      <c r="K57" s="32">
        <f>J50</f>
        <v>3059940</v>
      </c>
    </row>
    <row r="58" spans="1:12" ht="16.5" customHeight="1" x14ac:dyDescent="0.2">
      <c r="A58" s="68"/>
      <c r="B58" s="58"/>
      <c r="C58" s="58"/>
      <c r="D58" s="58"/>
      <c r="E58" s="58"/>
      <c r="F58" s="58"/>
      <c r="G58" s="58"/>
      <c r="H58" s="58"/>
      <c r="I58" s="58"/>
      <c r="J58" s="39">
        <f>ROUND(SUM(J56:J56),2)</f>
        <v>3059940</v>
      </c>
      <c r="K58" s="39">
        <f>ROUND(SUM(K57),2)</f>
        <v>3059940</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2444629</v>
      </c>
      <c r="K61" s="33"/>
    </row>
    <row r="62" spans="1:12" ht="16.5" customHeight="1" x14ac:dyDescent="0.25">
      <c r="A62" s="56"/>
      <c r="B62" s="57"/>
      <c r="C62" s="165" t="s">
        <v>1623</v>
      </c>
      <c r="D62" s="165"/>
      <c r="E62" s="165"/>
      <c r="F62" s="165"/>
      <c r="G62" s="165"/>
      <c r="H62" s="165"/>
      <c r="I62" s="165"/>
      <c r="J62" s="33"/>
      <c r="K62" s="32">
        <f>J61</f>
        <v>2444629</v>
      </c>
    </row>
    <row r="63" spans="1:12" ht="16.5" customHeight="1" x14ac:dyDescent="0.2">
      <c r="A63" s="56"/>
      <c r="B63" s="166" t="s">
        <v>1622</v>
      </c>
      <c r="C63" s="166"/>
      <c r="D63" s="166"/>
      <c r="E63" s="166"/>
      <c r="F63" s="166"/>
      <c r="G63" s="166"/>
      <c r="H63" s="166"/>
      <c r="I63" s="166"/>
      <c r="J63" s="39">
        <f>ROUND(SUM(J61:J61),2)</f>
        <v>2444629</v>
      </c>
      <c r="K63" s="39">
        <f>ROUND(SUM(K62),2)</f>
        <v>2444629</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
        <v>1598</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
        <v>1598</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6757254</v>
      </c>
    </row>
    <row r="95" spans="1:12" ht="16.5" customHeight="1" x14ac:dyDescent="0.25">
      <c r="D95" s="57" t="s">
        <v>1641</v>
      </c>
      <c r="E95"/>
      <c r="F95"/>
      <c r="G95"/>
      <c r="H95" s="44"/>
      <c r="I95"/>
      <c r="J95"/>
      <c r="K95" s="162">
        <f>-K18-K46+J68+J77</f>
        <v>-2412900</v>
      </c>
    </row>
    <row r="96" spans="1:12" ht="16.5" customHeight="1" x14ac:dyDescent="0.25">
      <c r="D96" s="57" t="s">
        <v>1639</v>
      </c>
      <c r="E96"/>
      <c r="F96"/>
      <c r="G96"/>
      <c r="H96" s="44"/>
      <c r="I96"/>
      <c r="J96"/>
      <c r="K96" s="162">
        <f>-K19-K37+J56+J61+J76-K85</f>
        <v>-1252685</v>
      </c>
    </row>
    <row r="97" spans="1:11" ht="16.5" customHeight="1" x14ac:dyDescent="0.25">
      <c r="D97" s="57" t="s">
        <v>1640</v>
      </c>
      <c r="E97"/>
      <c r="F97"/>
      <c r="G97"/>
      <c r="H97" s="44"/>
      <c r="I97"/>
      <c r="J97"/>
      <c r="K97" s="162">
        <f>-K62</f>
        <v>-2444629</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IxmF9oqRZFLVp3j8oXUK8B+39XEzbFEKVsHssBZ2WAo+hgORYIBC6GJiweJRRQYpdNBC+vgETfMBCE5uswiJ5g==" saltValue="jdadcy4W2ajUx/6Wz/qDvQ=="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2"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1656D99D-99DE-4A32-A83B-7B0C31A89EA0}">
      <formula1>4</formula1>
    </dataValidation>
    <dataValidation type="textLength" operator="lessThan" allowBlank="1" showInputMessage="1" showErrorMessage="1" sqref="E11 A6:A8" xr:uid="{2D8A425B-891B-467B-850A-C1EAB8B6487D}">
      <formula1>0</formula1>
    </dataValidation>
    <dataValidation operator="lessThan" allowBlank="1" showInputMessage="1" showErrorMessage="1" sqref="A3:A5 A7:A8 A11" xr:uid="{27D2B083-EDA3-43A7-83AC-6DB742A74C46}"/>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0FAB0-AD84-4034-AD1E-E7B19C6861BA}">
  <sheetPr>
    <tabColor rgb="FF92D050"/>
    <pageSetUpPr fitToPage="1"/>
  </sheetPr>
  <dimension ref="A1:Q115"/>
  <sheetViews>
    <sheetView topLeftCell="A45" zoomScale="85" zoomScaleNormal="85" workbookViewId="0">
      <selection activeCell="K59" sqref="K59"/>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696</v>
      </c>
      <c r="G5" s="180"/>
      <c r="H5" s="180"/>
      <c r="I5" s="180"/>
      <c r="J5" s="47"/>
      <c r="K5" s="47"/>
      <c r="L5" s="48"/>
      <c r="M5" s="48"/>
      <c r="N5" s="48"/>
    </row>
    <row r="6" spans="1:17" ht="15.75" x14ac:dyDescent="0.2">
      <c r="A6" s="173" t="s">
        <v>1</v>
      </c>
      <c r="B6" s="173"/>
      <c r="C6" s="173"/>
      <c r="D6" s="173"/>
      <c r="E6" s="173"/>
      <c r="F6" s="181">
        <v>3100</v>
      </c>
      <c r="G6" s="181"/>
      <c r="H6" s="181"/>
      <c r="I6" s="181"/>
      <c r="L6" s="49"/>
      <c r="M6" s="48"/>
      <c r="N6" s="48"/>
      <c r="P6" s="27"/>
    </row>
    <row r="7" spans="1:17" ht="15.75" x14ac:dyDescent="0.2">
      <c r="A7" s="173" t="s">
        <v>1571</v>
      </c>
      <c r="B7" s="173"/>
      <c r="C7" s="173"/>
      <c r="D7" s="173"/>
      <c r="E7" s="173"/>
      <c r="F7" s="172" t="s">
        <v>1570</v>
      </c>
      <c r="G7" s="172"/>
      <c r="H7" s="172"/>
      <c r="I7" s="172"/>
      <c r="L7" s="49"/>
      <c r="M7" s="48"/>
      <c r="N7" s="48"/>
      <c r="P7" s="27"/>
    </row>
    <row r="8" spans="1:17" ht="15.75" x14ac:dyDescent="0.2">
      <c r="A8" s="173" t="s">
        <v>2</v>
      </c>
      <c r="B8" s="173"/>
      <c r="C8" s="173"/>
      <c r="D8" s="173"/>
      <c r="E8" s="173"/>
      <c r="F8" s="174" t="s">
        <v>1603</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9115</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9115</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9115</v>
      </c>
      <c r="K22" s="29">
        <f>ROUND(SUM(K18:K21),2)</f>
        <v>9115</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c r="L29" s="54"/>
    </row>
    <row r="30" spans="1:17" ht="16.5" customHeight="1" x14ac:dyDescent="0.25">
      <c r="A30" s="56"/>
      <c r="B30" s="57"/>
      <c r="C30" s="165" t="str">
        <f>VLOOKUP($F$8,'Drop Down Menus'!$D$2:$G$10,4,FALSE)</f>
        <v>Cr: Acct 0870 - SERVICES &amp; CHARGES (MG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v>0</v>
      </c>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row>
    <row r="37" spans="1:12" ht="16.5" customHeight="1" x14ac:dyDescent="0.2">
      <c r="A37" s="56"/>
      <c r="C37" s="165" t="s">
        <v>1626</v>
      </c>
      <c r="D37" s="165"/>
      <c r="E37" s="165"/>
      <c r="F37" s="165"/>
      <c r="G37" s="165"/>
      <c r="H37" s="165"/>
      <c r="I37" s="165"/>
      <c r="J37" s="36"/>
      <c r="K37" s="32">
        <v>0</v>
      </c>
    </row>
    <row r="38" spans="1:12" ht="16.5" customHeight="1" x14ac:dyDescent="0.25">
      <c r="A38" s="56"/>
      <c r="B38" s="57"/>
      <c r="C38" s="165" t="str">
        <f>VLOOKUP($F$8,'Drop Down Menus'!$D$2:$G$10,4,FALSE)</f>
        <v>Cr: Acct 0870 - SERVICES &amp; CHARGES (MG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3358</v>
      </c>
      <c r="K45" s="33"/>
    </row>
    <row r="46" spans="1:12" ht="16.5" customHeight="1" x14ac:dyDescent="0.2">
      <c r="A46" s="56"/>
      <c r="B46" s="71"/>
      <c r="C46" s="165" t="s">
        <v>1587</v>
      </c>
      <c r="D46" s="165"/>
      <c r="E46" s="165"/>
      <c r="F46" s="165"/>
      <c r="G46" s="165"/>
      <c r="H46" s="165"/>
      <c r="I46" s="165"/>
      <c r="J46" s="36"/>
      <c r="K46" s="32">
        <f>J45</f>
        <v>3358</v>
      </c>
    </row>
    <row r="47" spans="1:12" ht="16.5" customHeight="1" x14ac:dyDescent="0.2">
      <c r="A47" s="68"/>
      <c r="B47" s="58"/>
      <c r="C47" s="58"/>
      <c r="D47" s="58"/>
      <c r="E47" s="58"/>
      <c r="F47" s="58"/>
      <c r="G47" s="58"/>
      <c r="H47" s="58"/>
      <c r="I47" s="58"/>
      <c r="J47" s="39">
        <f>ROUND(SUM(J45:J45),2)</f>
        <v>3358</v>
      </c>
      <c r="K47" s="39">
        <f>ROUND(SUM(K46),2)</f>
        <v>3358</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4124</v>
      </c>
      <c r="K50" s="81"/>
    </row>
    <row r="51" spans="1:12" ht="16.5" customHeight="1" x14ac:dyDescent="0.2">
      <c r="A51" s="56"/>
      <c r="B51" s="165" t="str">
        <f>IF(OR($F$7="Proprietary - Internal Service Fund",$F$7="Proprietary - Enterprise Fund"),"Dr: Acct 0894 - INTEREST EXPENSE AND FISCAL CHARGES","Dr: Acct 0851 - DEBT SERVICE - INTEREST LEASES")</f>
        <v>Dr: Acct 0894 - INTEREST EXPENSE AND FISCAL CHARGES</v>
      </c>
      <c r="C51" s="165"/>
      <c r="D51" s="165"/>
      <c r="E51" s="165"/>
      <c r="F51" s="165"/>
      <c r="G51" s="165"/>
      <c r="H51" s="165"/>
      <c r="I51" s="165"/>
      <c r="J51" s="37">
        <v>155</v>
      </c>
      <c r="K51" s="81"/>
    </row>
    <row r="52" spans="1:12" ht="16.5" customHeight="1" x14ac:dyDescent="0.25">
      <c r="A52" s="56"/>
      <c r="B52" s="57"/>
      <c r="C52" s="165" t="str">
        <f>VLOOKUP($F$8,'Drop Down Menus'!$D$2:$G$10,4,FALSE)</f>
        <v>Cr: Acct 0870 - SERVICES &amp; CHARGES (MG ADJ)</v>
      </c>
      <c r="D52" s="165"/>
      <c r="E52" s="165"/>
      <c r="F52" s="165"/>
      <c r="G52" s="165"/>
      <c r="H52" s="165"/>
      <c r="I52" s="165"/>
      <c r="J52" s="81"/>
      <c r="K52" s="38">
        <f>+J50+J51</f>
        <v>4279</v>
      </c>
    </row>
    <row r="53" spans="1:12" ht="16.5" customHeight="1" x14ac:dyDescent="0.2">
      <c r="A53" s="68"/>
      <c r="B53" s="58"/>
      <c r="C53" s="58"/>
      <c r="D53" s="58"/>
      <c r="E53" s="58"/>
      <c r="F53" s="58"/>
      <c r="G53" s="58"/>
      <c r="H53" s="58"/>
      <c r="I53" s="58"/>
      <c r="J53" s="39">
        <f>ROUND(SUM(J50:J51),2)</f>
        <v>4279</v>
      </c>
      <c r="K53" s="39">
        <f>ROUND(SUM(K52,),2)</f>
        <v>4279</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4124</v>
      </c>
      <c r="K56" s="36"/>
    </row>
    <row r="57" spans="1:12" ht="16.5" customHeight="1" x14ac:dyDescent="0.25">
      <c r="A57" s="56"/>
      <c r="B57" s="57"/>
      <c r="C57" s="165" t="s">
        <v>1613</v>
      </c>
      <c r="D57" s="165"/>
      <c r="E57" s="165"/>
      <c r="F57" s="165"/>
      <c r="G57" s="165"/>
      <c r="H57" s="165"/>
      <c r="I57" s="165"/>
      <c r="J57" s="36"/>
      <c r="K57" s="32">
        <f>J50</f>
        <v>4124</v>
      </c>
    </row>
    <row r="58" spans="1:12" ht="16.5" customHeight="1" x14ac:dyDescent="0.2">
      <c r="A58" s="68"/>
      <c r="B58" s="58"/>
      <c r="C58" s="58"/>
      <c r="D58" s="58"/>
      <c r="E58" s="58"/>
      <c r="F58" s="58"/>
      <c r="G58" s="58"/>
      <c r="H58" s="58"/>
      <c r="I58" s="58"/>
      <c r="J58" s="39">
        <f>ROUND(SUM(J56:J56),2)</f>
        <v>4124</v>
      </c>
      <c r="K58" s="39">
        <f>ROUND(SUM(K57),2)</f>
        <v>4124</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3586</v>
      </c>
      <c r="K61" s="33"/>
    </row>
    <row r="62" spans="1:12" ht="16.5" customHeight="1" x14ac:dyDescent="0.25">
      <c r="A62" s="56"/>
      <c r="B62" s="57"/>
      <c r="C62" s="165" t="s">
        <v>1623</v>
      </c>
      <c r="D62" s="165"/>
      <c r="E62" s="165"/>
      <c r="F62" s="165"/>
      <c r="G62" s="165"/>
      <c r="H62" s="165"/>
      <c r="I62" s="165"/>
      <c r="J62" s="33"/>
      <c r="K62" s="32">
        <v>3586</v>
      </c>
    </row>
    <row r="63" spans="1:12" ht="16.5" customHeight="1" x14ac:dyDescent="0.2">
      <c r="A63" s="56"/>
      <c r="B63" s="166" t="s">
        <v>1622</v>
      </c>
      <c r="C63" s="166"/>
      <c r="D63" s="166"/>
      <c r="E63" s="166"/>
      <c r="F63" s="166"/>
      <c r="G63" s="166"/>
      <c r="H63" s="166"/>
      <c r="I63" s="166"/>
      <c r="J63" s="39">
        <f>ROUND(SUM(J61:J61),2)</f>
        <v>3586</v>
      </c>
      <c r="K63" s="39">
        <f>ROUND(SUM(K62),2)</f>
        <v>3586</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
        <v>1598</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
        <v>1598</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9115</v>
      </c>
    </row>
    <row r="95" spans="1:12" ht="16.5" customHeight="1" x14ac:dyDescent="0.25">
      <c r="D95" s="57" t="s">
        <v>1641</v>
      </c>
      <c r="E95"/>
      <c r="F95"/>
      <c r="G95"/>
      <c r="H95" s="44"/>
      <c r="I95"/>
      <c r="J95"/>
      <c r="K95" s="162">
        <f>-K18-K46+J68+J77</f>
        <v>-3358</v>
      </c>
    </row>
    <row r="96" spans="1:12" ht="16.5" customHeight="1" x14ac:dyDescent="0.25">
      <c r="D96" s="57" t="s">
        <v>1639</v>
      </c>
      <c r="E96"/>
      <c r="F96"/>
      <c r="G96"/>
      <c r="H96" s="44"/>
      <c r="I96"/>
      <c r="J96"/>
      <c r="K96" s="162">
        <f>-K19-K37+J56+J61+J76-K85</f>
        <v>-1405</v>
      </c>
    </row>
    <row r="97" spans="1:11" ht="16.5" customHeight="1" x14ac:dyDescent="0.25">
      <c r="D97" s="57" t="s">
        <v>1640</v>
      </c>
      <c r="E97"/>
      <c r="F97"/>
      <c r="G97"/>
      <c r="H97" s="44"/>
      <c r="I97"/>
      <c r="J97"/>
      <c r="K97" s="162">
        <f>-K62</f>
        <v>-3586</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8By2XOcdfNpwaAP7BNzpDLOWTltzFkr7D+fZ/zzHFscJNA+IJkBsF9QY9Kr3vKsxugAG74ILYlj5NnK9pOEpVg==" saltValue="Uirsyiq3xfqBGvrw9AAcog=="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1"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769C2672-45AF-41CC-AE13-9FFF5CBEF797}">
      <formula1>4</formula1>
    </dataValidation>
    <dataValidation type="textLength" operator="lessThan" allowBlank="1" showInputMessage="1" showErrorMessage="1" sqref="E11 A6:A8" xr:uid="{48501C7D-6E7C-4016-81B6-62C8D68C99EA}">
      <formula1>0</formula1>
    </dataValidation>
    <dataValidation operator="lessThan" allowBlank="1" showInputMessage="1" showErrorMessage="1" sqref="A3:A5 A7:A8 A11" xr:uid="{741F9C8D-B0FD-46AC-AE80-D558176440B0}"/>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B19" sqref="B19"/>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7" t="s">
        <v>1617</v>
      </c>
      <c r="B1" s="187"/>
      <c r="C1" s="187"/>
      <c r="D1" s="187"/>
    </row>
    <row r="2" spans="1:11" ht="21.75" customHeight="1" x14ac:dyDescent="0.2">
      <c r="A2" s="187"/>
      <c r="B2" s="187"/>
      <c r="C2" s="187"/>
      <c r="D2" s="187"/>
      <c r="E2" s="43"/>
      <c r="F2" s="43"/>
      <c r="G2" s="43"/>
      <c r="H2" s="43"/>
      <c r="I2" s="43"/>
      <c r="J2" s="43"/>
    </row>
    <row r="3" spans="1:11" ht="32.25" customHeight="1" x14ac:dyDescent="0.25">
      <c r="A3" s="190" t="s">
        <v>1615</v>
      </c>
      <c r="B3" s="190"/>
      <c r="C3" s="190"/>
      <c r="D3" s="190"/>
      <c r="E3" s="90"/>
      <c r="F3" s="90"/>
      <c r="G3" s="90"/>
      <c r="H3" s="90"/>
      <c r="I3" s="90"/>
      <c r="J3" s="90"/>
      <c r="K3" s="90"/>
    </row>
    <row r="4" spans="1:11" ht="15.75" customHeight="1" x14ac:dyDescent="0.25">
      <c r="A4" s="191" t="s">
        <v>1616</v>
      </c>
      <c r="B4" s="191"/>
      <c r="C4" s="191"/>
      <c r="D4" s="191"/>
      <c r="E4" s="90"/>
      <c r="F4" s="90"/>
      <c r="G4" s="90"/>
      <c r="H4" s="90"/>
      <c r="I4" s="90"/>
      <c r="J4" s="90"/>
      <c r="K4" s="90"/>
    </row>
    <row r="5" spans="1:11" ht="15.75" customHeight="1" x14ac:dyDescent="0.25">
      <c r="A5" s="189" t="s">
        <v>4</v>
      </c>
      <c r="B5" s="189"/>
      <c r="C5" s="189"/>
      <c r="D5" s="89"/>
      <c r="E5" s="90"/>
      <c r="F5" s="90"/>
      <c r="G5" s="90"/>
      <c r="H5" s="90"/>
      <c r="I5" s="90"/>
      <c r="J5" s="90"/>
      <c r="K5" s="90"/>
    </row>
    <row r="6" spans="1:11" ht="15.75" customHeight="1" x14ac:dyDescent="0.25">
      <c r="A6" s="189"/>
      <c r="B6" s="189"/>
      <c r="C6" s="189"/>
      <c r="D6" s="89"/>
      <c r="E6" s="90"/>
      <c r="F6" s="90"/>
      <c r="G6" s="90"/>
      <c r="H6" s="90"/>
      <c r="I6" s="90"/>
      <c r="J6" s="90"/>
      <c r="K6" s="90"/>
    </row>
    <row r="7" spans="1:11" ht="15.75" customHeight="1" x14ac:dyDescent="0.25">
      <c r="A7" s="189" t="s">
        <v>5</v>
      </c>
      <c r="B7" s="189"/>
      <c r="C7" s="189"/>
      <c r="D7" s="89"/>
      <c r="E7" s="90"/>
      <c r="F7" s="90"/>
      <c r="G7" s="90"/>
      <c r="H7" s="90"/>
      <c r="I7" s="90"/>
      <c r="J7" s="90"/>
      <c r="K7" s="90"/>
    </row>
    <row r="8" spans="1:11" ht="15.75" customHeight="1" x14ac:dyDescent="0.25">
      <c r="A8" s="189"/>
      <c r="B8" s="189"/>
      <c r="C8" s="189"/>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92" t="s">
        <v>16</v>
      </c>
      <c r="C11" s="192"/>
    </row>
    <row r="12" spans="1:11" ht="15" customHeight="1" x14ac:dyDescent="0.25">
      <c r="A12" s="92" t="s">
        <v>1601</v>
      </c>
      <c r="B12" s="193">
        <v>3860</v>
      </c>
      <c r="C12" s="193"/>
    </row>
    <row r="13" spans="1:11" ht="15.75" x14ac:dyDescent="0.25">
      <c r="A13" s="92" t="s">
        <v>1600</v>
      </c>
      <c r="B13" s="188" t="s">
        <v>1642</v>
      </c>
      <c r="C13" s="188"/>
      <c r="E13" s="93"/>
      <c r="F13" s="93"/>
      <c r="G13" s="93"/>
      <c r="H13" s="93"/>
      <c r="I13" s="93"/>
      <c r="J13" s="93"/>
      <c r="K13" s="93"/>
    </row>
    <row r="14" spans="1:11" ht="23.25" customHeight="1" x14ac:dyDescent="0.2">
      <c r="A14" s="182" t="s">
        <v>6</v>
      </c>
      <c r="B14" s="182"/>
      <c r="C14" s="182"/>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1165723</v>
      </c>
      <c r="C16" s="2">
        <v>29927</v>
      </c>
      <c r="D16" s="185" t="s">
        <v>1537</v>
      </c>
      <c r="E16" s="97"/>
      <c r="F16" s="97"/>
      <c r="G16" s="97"/>
      <c r="H16" s="97"/>
      <c r="I16" s="97"/>
      <c r="J16" s="97"/>
      <c r="K16" s="97"/>
    </row>
    <row r="17" spans="1:11" ht="15" customHeight="1" x14ac:dyDescent="0.2">
      <c r="A17" s="94" t="str">
        <f>LEFT(A16,4)+1&amp;"–"&amp;RIGHT(A16,4)+1</f>
        <v>2024–2025</v>
      </c>
      <c r="B17" s="2">
        <v>572994</v>
      </c>
      <c r="C17" s="2">
        <v>10031</v>
      </c>
      <c r="D17" s="185"/>
      <c r="E17" s="97"/>
      <c r="F17" s="97"/>
      <c r="G17" s="97"/>
      <c r="H17" s="97"/>
      <c r="I17" s="97"/>
      <c r="J17" s="97"/>
      <c r="K17" s="97"/>
    </row>
    <row r="18" spans="1:11" ht="15" customHeight="1" x14ac:dyDescent="0.2">
      <c r="A18" s="94" t="str">
        <f>LEFT(A17,4)+1&amp;"–"&amp;RIGHT(A17,4)+1</f>
        <v>2025–2026</v>
      </c>
      <c r="B18" s="2">
        <f>47392</f>
        <v>47392</v>
      </c>
      <c r="C18" s="2">
        <v>190</v>
      </c>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6"/>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6"/>
      <c r="E25" s="98"/>
      <c r="F25" s="98"/>
      <c r="G25" s="98"/>
      <c r="H25" s="98"/>
      <c r="I25" s="98"/>
      <c r="J25" s="98"/>
      <c r="K25" s="98"/>
    </row>
    <row r="26" spans="1:11" ht="15" customHeight="1" x14ac:dyDescent="0.2">
      <c r="A26" s="94" t="str">
        <f t="shared" si="0"/>
        <v>2053–2058</v>
      </c>
      <c r="B26" s="2"/>
      <c r="C26" s="2"/>
      <c r="D26" s="23" t="s">
        <v>116</v>
      </c>
      <c r="E26" s="99"/>
      <c r="F26" s="99"/>
      <c r="G26" s="99"/>
      <c r="H26" s="99"/>
      <c r="I26" s="99"/>
    </row>
    <row r="27" spans="1:11" ht="15" customHeight="1" x14ac:dyDescent="0.2">
      <c r="A27" s="94" t="str">
        <f t="shared" si="0"/>
        <v>2058–2063</v>
      </c>
      <c r="B27" s="2"/>
      <c r="C27" s="2"/>
      <c r="D27" s="186"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6"/>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6"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6"/>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83" t="str">
        <f>B11</f>
        <v>2022–2023</v>
      </c>
      <c r="C42" s="183"/>
    </row>
    <row r="43" spans="1:11" ht="15.75" customHeight="1" x14ac:dyDescent="0.25">
      <c r="A43" s="92" t="s">
        <v>1601</v>
      </c>
      <c r="B43" s="184">
        <f>B12</f>
        <v>3860</v>
      </c>
      <c r="C43" s="184"/>
    </row>
    <row r="44" spans="1:11" ht="15.75" x14ac:dyDescent="0.25">
      <c r="A44" s="92" t="s">
        <v>1600</v>
      </c>
      <c r="B44" s="183" t="str">
        <f>B13</f>
        <v>Department of Water Resources</v>
      </c>
      <c r="C44" s="183"/>
    </row>
    <row r="45" spans="1:11" x14ac:dyDescent="0.2">
      <c r="A45" s="182" t="s">
        <v>6</v>
      </c>
      <c r="B45" s="182"/>
      <c r="C45" s="182"/>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6" t="s">
        <v>1537</v>
      </c>
    </row>
    <row r="48" spans="1:11" ht="15" customHeight="1" x14ac:dyDescent="0.2">
      <c r="A48" s="94" t="str">
        <f>LEFT(A47,4)+1&amp;"–"&amp;RIGHT(A47,4)+1</f>
        <v>2024–2025</v>
      </c>
      <c r="B48" s="2"/>
      <c r="C48" s="2"/>
      <c r="D48" s="186"/>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6"/>
    </row>
    <row r="54" spans="1:4" ht="15" customHeight="1" x14ac:dyDescent="0.2">
      <c r="A54" s="94" t="str">
        <f t="shared" si="1"/>
        <v>2038–2043</v>
      </c>
      <c r="B54" s="2"/>
      <c r="C54" s="2"/>
      <c r="D54" s="23"/>
    </row>
    <row r="55" spans="1:4" ht="15" customHeight="1" x14ac:dyDescent="0.2">
      <c r="A55" s="94" t="str">
        <f t="shared" si="1"/>
        <v>2043–2048</v>
      </c>
      <c r="B55" s="2"/>
      <c r="C55" s="2"/>
      <c r="D55"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6"/>
    </row>
    <row r="57" spans="1:4" ht="15.75" customHeight="1" x14ac:dyDescent="0.2">
      <c r="A57" s="94" t="str">
        <f t="shared" si="1"/>
        <v>2053–2058</v>
      </c>
      <c r="B57" s="2"/>
      <c r="C57" s="2"/>
      <c r="D57" s="23"/>
    </row>
    <row r="58" spans="1:4" ht="15.75" customHeight="1" x14ac:dyDescent="0.2">
      <c r="A58" s="94" t="str">
        <f t="shared" si="1"/>
        <v>2058–2063</v>
      </c>
      <c r="B58" s="2"/>
      <c r="C58" s="2"/>
      <c r="D58" s="186"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6"/>
    </row>
    <row r="60" spans="1:4" x14ac:dyDescent="0.2">
      <c r="A60" s="94" t="str">
        <f t="shared" si="1"/>
        <v>2068–2073</v>
      </c>
      <c r="B60" s="2"/>
      <c r="C60" s="2"/>
      <c r="D60" s="25"/>
    </row>
    <row r="61" spans="1:4" ht="15" customHeight="1" x14ac:dyDescent="0.2">
      <c r="A61" s="94" t="str">
        <f t="shared" si="1"/>
        <v>2073–2078</v>
      </c>
      <c r="B61" s="2"/>
      <c r="C61" s="2"/>
      <c r="D61" s="186"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6"/>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83" t="str">
        <f>B11</f>
        <v>2022–2023</v>
      </c>
      <c r="C73" s="183"/>
    </row>
    <row r="74" spans="1:4" ht="15.75" customHeight="1" x14ac:dyDescent="0.25">
      <c r="A74" s="92" t="s">
        <v>1601</v>
      </c>
      <c r="B74" s="184">
        <f>B12</f>
        <v>3860</v>
      </c>
      <c r="C74" s="184"/>
    </row>
    <row r="75" spans="1:4" ht="15.75" x14ac:dyDescent="0.25">
      <c r="A75" s="92" t="s">
        <v>1600</v>
      </c>
      <c r="B75" s="183" t="str">
        <f>B13</f>
        <v>Department of Water Resources</v>
      </c>
      <c r="C75" s="183"/>
    </row>
    <row r="76" spans="1:4" x14ac:dyDescent="0.2">
      <c r="A76" s="182" t="s">
        <v>6</v>
      </c>
      <c r="B76" s="182"/>
      <c r="C76" s="182"/>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f>2444629+3586</f>
        <v>2448215</v>
      </c>
      <c r="C78" s="2">
        <f>65007.0422270116+80</f>
        <v>65087.042227011603</v>
      </c>
      <c r="D78" s="185" t="s">
        <v>1537</v>
      </c>
    </row>
    <row r="79" spans="1:4" ht="15" customHeight="1" x14ac:dyDescent="0.2">
      <c r="A79" s="94" t="str">
        <f>LEFT(A78,4)+1&amp;"–"&amp;RIGHT(A78,4)+1</f>
        <v>2024–2025</v>
      </c>
      <c r="B79" s="2">
        <f>1252685+1405</f>
        <v>1254090</v>
      </c>
      <c r="C79" s="2">
        <f>22564.3178283654+23</f>
        <v>22587.317828365402</v>
      </c>
      <c r="D79" s="185"/>
    </row>
    <row r="80" spans="1:4" x14ac:dyDescent="0.2">
      <c r="A80" s="94" t="str">
        <f>LEFT(A79,4)+1&amp;"–"&amp;RIGHT(A79,4)+1</f>
        <v>2025–2026</v>
      </c>
      <c r="B80" s="2"/>
      <c r="C80" s="2"/>
      <c r="D80" s="25" t="s">
        <v>116</v>
      </c>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v>0</v>
      </c>
    </row>
    <row r="83" spans="1:4" x14ac:dyDescent="0.2">
      <c r="A83" s="94" t="str">
        <f>LEFT(A82,4)+1&amp;"–"&amp;RIGHT(A82,4)+5</f>
        <v>2028–2033</v>
      </c>
      <c r="B83" s="2"/>
      <c r="C83" s="2"/>
      <c r="D83"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6"/>
    </row>
    <row r="85" spans="1:4" x14ac:dyDescent="0.2">
      <c r="A85" s="94" t="str">
        <f t="shared" si="2"/>
        <v>2038–2043</v>
      </c>
      <c r="B85" s="2"/>
      <c r="C85" s="2"/>
      <c r="D85" s="23">
        <v>0</v>
      </c>
    </row>
    <row r="86" spans="1:4" ht="15" customHeight="1" x14ac:dyDescent="0.2">
      <c r="A86" s="94" t="str">
        <f t="shared" si="2"/>
        <v>2043–2048</v>
      </c>
      <c r="B86" s="2"/>
      <c r="C86" s="2"/>
      <c r="D86"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6"/>
    </row>
    <row r="88" spans="1:4" ht="15" customHeight="1" x14ac:dyDescent="0.2">
      <c r="A88" s="94" t="str">
        <f t="shared" si="2"/>
        <v>2053–2058</v>
      </c>
      <c r="B88" s="2"/>
      <c r="C88" s="2"/>
      <c r="D88" s="23">
        <v>0</v>
      </c>
    </row>
    <row r="89" spans="1:4" ht="15.75" customHeight="1" x14ac:dyDescent="0.2">
      <c r="A89" s="94" t="str">
        <f t="shared" si="2"/>
        <v>2058–2063</v>
      </c>
      <c r="B89" s="2"/>
      <c r="C89" s="2"/>
      <c r="D89" s="186"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6"/>
    </row>
    <row r="91" spans="1:4" x14ac:dyDescent="0.2">
      <c r="A91" s="94" t="str">
        <f t="shared" si="2"/>
        <v>2068–2073</v>
      </c>
      <c r="B91" s="2"/>
      <c r="C91" s="2"/>
      <c r="D91" s="25" t="s">
        <v>116</v>
      </c>
    </row>
    <row r="92" spans="1:4" ht="15" customHeight="1" x14ac:dyDescent="0.2">
      <c r="A92" s="94" t="str">
        <f t="shared" si="2"/>
        <v>2073–2078</v>
      </c>
      <c r="B92" s="2"/>
      <c r="C92" s="2"/>
      <c r="D92" s="186"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6"/>
    </row>
    <row r="94" spans="1:4" x14ac:dyDescent="0.2">
      <c r="A94" s="94" t="str">
        <f t="shared" si="2"/>
        <v>2083–2088</v>
      </c>
      <c r="B94" s="2"/>
      <c r="C94" s="2"/>
      <c r="D94" s="23">
        <v>0</v>
      </c>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6Mosk8hDA7bfQXvfbgQbZrzAMKAZmyljMDxh686c7yQ+arVMhgwPdRCOA5wxef7FUhQofwCcIf8XCr9ZaK7jpw==" saltValue="feJJOtPOK1TI+/XK8Gb+kg=="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J10" sqref="J10"/>
    </sheetView>
  </sheetViews>
  <sheetFormatPr defaultColWidth="9.140625"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4" t="s">
        <v>119</v>
      </c>
      <c r="H3" s="194"/>
      <c r="I3" s="194"/>
      <c r="J3" s="194"/>
      <c r="K3" s="194"/>
      <c r="L3" s="194"/>
      <c r="M3" s="194"/>
      <c r="N3" s="108"/>
      <c r="O3" s="108"/>
      <c r="P3" s="108"/>
      <c r="Q3" s="109"/>
    </row>
    <row r="4" spans="2:17" ht="20.25" x14ac:dyDescent="0.3">
      <c r="B4" s="107"/>
      <c r="D4" s="108"/>
      <c r="E4" s="108"/>
      <c r="F4" s="108"/>
      <c r="G4" s="194" t="str">
        <f>"FY "&amp;'Department Note Disclosure'!$B$11</f>
        <v>FY 2022–2023</v>
      </c>
      <c r="H4" s="194"/>
      <c r="I4" s="194"/>
      <c r="J4" s="194"/>
      <c r="K4" s="194"/>
      <c r="L4" s="194"/>
      <c r="M4" s="194"/>
      <c r="N4" s="108"/>
      <c r="O4" s="108"/>
      <c r="P4" s="108"/>
      <c r="Q4" s="109"/>
    </row>
    <row r="5" spans="2:17" ht="20.25" x14ac:dyDescent="0.3">
      <c r="B5" s="107"/>
      <c r="D5" s="108"/>
      <c r="E5" s="108"/>
      <c r="F5" s="108"/>
      <c r="G5" s="195" t="str">
        <f>"Business Unit " &amp;'Fund 0001 Journal Entries'!$F$5&amp;" "&amp;'Fund 0001 Journal Entries'!$F$4</f>
        <v>Business Unit 3860 Department of Water Resources</v>
      </c>
      <c r="H5" s="195"/>
      <c r="I5" s="195"/>
      <c r="J5" s="195"/>
      <c r="K5" s="195"/>
      <c r="L5" s="195"/>
      <c r="M5" s="195"/>
      <c r="N5" s="108"/>
      <c r="O5" s="108"/>
      <c r="P5" s="108"/>
      <c r="Q5" s="109"/>
    </row>
    <row r="6" spans="2:17" x14ac:dyDescent="0.25">
      <c r="B6" s="107"/>
      <c r="Q6" s="109"/>
    </row>
    <row r="7" spans="2:17" x14ac:dyDescent="0.25">
      <c r="B7" s="107"/>
      <c r="C7" s="196" t="s">
        <v>1620</v>
      </c>
      <c r="D7" s="196"/>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0001 Journal Entries'!$F$3,4)</f>
        <v>Balance
July 1, 2022</v>
      </c>
      <c r="G8" s="116"/>
      <c r="H8" s="117" t="s">
        <v>10</v>
      </c>
      <c r="I8" s="116"/>
      <c r="J8" s="117" t="s">
        <v>11</v>
      </c>
      <c r="K8" s="116"/>
      <c r="L8" s="115" t="str">
        <f>"Balance
June 30, "&amp;RIGHT('Fund 0001 Journal Entries'!$F$3,4)</f>
        <v>Balance
June 30, 2023</v>
      </c>
      <c r="M8" s="116"/>
      <c r="N8" s="115" t="s">
        <v>12</v>
      </c>
      <c r="O8" s="116"/>
      <c r="P8" s="115" t="s">
        <v>13</v>
      </c>
      <c r="Q8" s="109"/>
    </row>
    <row r="9" spans="2:17" x14ac:dyDescent="0.25">
      <c r="B9" s="107"/>
      <c r="C9" s="197" t="s">
        <v>14</v>
      </c>
      <c r="D9" s="197"/>
      <c r="Q9" s="109"/>
    </row>
    <row r="10" spans="2:17" ht="18.75" thickBot="1" x14ac:dyDescent="0.3">
      <c r="B10" s="107"/>
      <c r="D10" s="101" t="s">
        <v>118</v>
      </c>
      <c r="F10" s="3">
        <f>+'Fund 0001 Journal Entries'!K19+'Fund 0140 Journal Entries'!K19+'Fund 0465 Journal Entries'!K19+'Fund 0890 Journal Entries'!K19+'Fund 3057 Journal Entries'!K19+'Fund 3237 Journal Entries'!K19+'Fund 3398 Journal Entries'!K19+'Fund 6001 Journal Entries'!K19+'Fund 6005 Journal Entries'!K19+'Fund 6031 Journal Entries'!K19+'Fund 6051 Journal Entries'!K19+'Fund 6083 Journal Entries'!K19+'Fund 6088 Journal Entries'!K19</f>
        <v>3162886</v>
      </c>
      <c r="H10" s="3">
        <f>+'Fund 0001 Journal Entries'!K37+'Fund 0140 Journal Entries'!K37+'Fund 0465 Journal Entries'!K37+'Fund 0890 Journal Entries'!K37+'Fund 3057 Journal Entries'!K37+'Fund 3237 Journal Entries'!K37+'Fund 3398 Journal Entries'!K37+'Fund 6001 Journal Entries'!K37+'Fund 6005 Journal Entries'!K37+'Fund 6031 Journal Entries'!K37+'Fund 6051 Journal Entries'!K37+'Fund 6083 Journal Entries'!K37+'Fund 6088 Journal Entries'!K37</f>
        <v>0</v>
      </c>
      <c r="J10" s="3">
        <f>+'Fund 0001 Journal Entries'!J56+'Fund 0140 Journal Entries'!J56+'Fund 0465 Journal Entries'!J56+'Fund 0890 Journal Entries'!J56+'Fund 3057 Journal Entries'!J56+'Fund 3237 Journal Entries'!J56+'Fund 3398 Journal Entries'!J56+'Fund 6001 Journal Entries'!J56+'Fund 6005 Journal Entries'!J56+'Fund 6031 Journal Entries'!J56+'Fund 6051 Journal Entries'!J56+'Fund 6083 Journal Entries'!J56+'Fund 6088 Journal Entries'!J56</f>
        <v>1376777</v>
      </c>
      <c r="L10" s="119">
        <f>SUM(F10+H10-J10)</f>
        <v>1786109</v>
      </c>
      <c r="N10" s="3">
        <f>+'Fund 0001 Journal Entries'!J61+'Fund 0140 Journal Entries'!J61+'Fund 0465 Journal Entries'!J61+'Fund 0890 Journal Entries'!J61+'Fund 3057 Journal Entries'!J61+'Fund 3237 Journal Entries'!J61+'Fund 3398 Journal Entries'!J61+'Fund 6001 Journal Entries'!J61+'Fund 6005 Journal Entries'!J61+'Fund 6031 Journal Entries'!J61+'Fund 6051 Journal Entries'!J61+'Fund 6083 Journal Entries'!J61+'Fund 6088 Journal Entries'!J61</f>
        <v>1165723</v>
      </c>
      <c r="P10" s="119">
        <f>L10-N10</f>
        <v>620386</v>
      </c>
      <c r="Q10" s="109"/>
    </row>
    <row r="11" spans="2:17" ht="19.5" thickTop="1" thickBot="1" x14ac:dyDescent="0.3">
      <c r="B11" s="107"/>
      <c r="C11" s="197" t="s">
        <v>15</v>
      </c>
      <c r="D11" s="197"/>
      <c r="F11" s="120">
        <f>SUM(F10:F10)</f>
        <v>3162886</v>
      </c>
      <c r="H11" s="120">
        <f>SUM(H10:H10)</f>
        <v>0</v>
      </c>
      <c r="J11" s="120">
        <f>SUM(J10:J10)</f>
        <v>1376777</v>
      </c>
      <c r="L11" s="120">
        <f>SUM(L10:L10)</f>
        <v>1786109</v>
      </c>
      <c r="N11" s="120">
        <f>SUM(N10:N10)</f>
        <v>1165723</v>
      </c>
      <c r="P11" s="120">
        <f>SUM(P10:P10)</f>
        <v>620386</v>
      </c>
      <c r="Q11" s="109"/>
    </row>
    <row r="12" spans="2:17" ht="18.75" thickTop="1" x14ac:dyDescent="0.25">
      <c r="B12" s="107"/>
      <c r="G12" s="121"/>
      <c r="Q12" s="109"/>
    </row>
    <row r="13" spans="2:17" x14ac:dyDescent="0.25">
      <c r="B13" s="107"/>
      <c r="C13" s="197" t="s">
        <v>1572</v>
      </c>
      <c r="D13" s="197"/>
      <c r="Q13" s="109"/>
    </row>
    <row r="14" spans="2:17" ht="18.75" thickBot="1" x14ac:dyDescent="0.3">
      <c r="B14" s="107"/>
      <c r="D14" s="101" t="s">
        <v>118</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19">
        <f>SUM(F14+H14-J14)</f>
        <v>0</v>
      </c>
      <c r="N14" s="3">
        <f>IF('Fund 0001 Journal Entries'!$F$7="Proprietary - Internal Service Fund",'Fund 0001 Journal Entries'!$J$61,0)</f>
        <v>0</v>
      </c>
      <c r="P14" s="119">
        <f>L14-N14</f>
        <v>0</v>
      </c>
      <c r="Q14" s="109"/>
    </row>
    <row r="15" spans="2:17" ht="19.5" thickTop="1" thickBot="1" x14ac:dyDescent="0.3">
      <c r="B15" s="107"/>
      <c r="C15" s="197" t="s">
        <v>1584</v>
      </c>
      <c r="D15" s="197"/>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7" t="s">
        <v>1576</v>
      </c>
      <c r="D17" s="197"/>
      <c r="Q17" s="109"/>
    </row>
    <row r="18" spans="1:17" ht="18.75" thickBot="1" x14ac:dyDescent="0.3">
      <c r="B18" s="107"/>
      <c r="D18" s="101" t="s">
        <v>118</v>
      </c>
      <c r="F18" s="3">
        <f>+'Fund 0502 Journal Entries'!K19+'Fund 3100 Journal Entries'!K19</f>
        <v>6766369</v>
      </c>
      <c r="H18" s="3">
        <f>+'Fund 0502 Journal Entries'!K37+'Fund 3100 Journal Entries'!K37</f>
        <v>0</v>
      </c>
      <c r="J18" s="3">
        <f>+'Fund 0502 Journal Entries'!J56+'Fund 3100 Journal Entries'!J56</f>
        <v>3064064</v>
      </c>
      <c r="L18" s="119">
        <f>SUM(F18+H18-J18)</f>
        <v>3702305</v>
      </c>
      <c r="N18" s="3">
        <f>+'Fund 0502 Journal Entries'!J61+'Fund 3100 Journal Entries'!J61</f>
        <v>2448215</v>
      </c>
      <c r="P18" s="119">
        <f>L18-N18</f>
        <v>1254090</v>
      </c>
      <c r="Q18" s="109"/>
    </row>
    <row r="19" spans="1:17" ht="19.5" thickTop="1" thickBot="1" x14ac:dyDescent="0.3">
      <c r="B19" s="107"/>
      <c r="C19" s="197" t="s">
        <v>1585</v>
      </c>
      <c r="D19" s="197"/>
      <c r="F19" s="120">
        <f>SUM(F18:F18)</f>
        <v>6766369</v>
      </c>
      <c r="H19" s="120">
        <f>SUM(H18:H18)</f>
        <v>0</v>
      </c>
      <c r="J19" s="120">
        <f>SUM(J18:J18)</f>
        <v>3064064</v>
      </c>
      <c r="L19" s="120">
        <f>SUM(L18:L18)</f>
        <v>3702305</v>
      </c>
      <c r="N19" s="120">
        <f>SUM(N18:N18)</f>
        <v>2448215</v>
      </c>
      <c r="P19" s="120">
        <f>SUM(P18:P18)</f>
        <v>1254090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8" t="s">
        <v>1625</v>
      </c>
      <c r="B25" s="198"/>
      <c r="C25" s="198"/>
      <c r="D25" s="198"/>
      <c r="E25" s="198"/>
      <c r="F25" s="198"/>
      <c r="G25" s="198"/>
      <c r="H25" s="198"/>
      <c r="I25" s="198"/>
      <c r="J25" s="198"/>
      <c r="K25" s="198"/>
      <c r="L25" s="198"/>
      <c r="M25" s="198"/>
      <c r="N25" s="198"/>
      <c r="O25" s="198"/>
      <c r="P25" s="198"/>
      <c r="Q25" s="198"/>
    </row>
    <row r="26" spans="1:17" x14ac:dyDescent="0.25">
      <c r="A26" s="198"/>
      <c r="B26" s="198"/>
      <c r="C26" s="198"/>
      <c r="D26" s="198"/>
      <c r="E26" s="198"/>
      <c r="F26" s="198"/>
      <c r="G26" s="198"/>
      <c r="H26" s="198"/>
      <c r="I26" s="198"/>
      <c r="J26" s="198"/>
      <c r="K26" s="198"/>
      <c r="L26" s="198"/>
      <c r="M26" s="198"/>
      <c r="N26" s="198"/>
      <c r="O26" s="198"/>
      <c r="P26" s="198"/>
      <c r="Q26" s="198"/>
    </row>
  </sheetData>
  <sheetProtection algorithmName="SHA-512" hashValue="tY9hrwLf3GwALQw7F5PAMTQmKPv8cp2RY9IXjY0u9B3bEnU1mV6Rscu3leyZHquHY3PqAuBF6BZ7RMXx9XtLHA==" saltValue="eHl7xCruky0R8DVyVyHYXg==" spinCount="100000" sheet="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N18 J10 F14 H14 J14 N10 N14 F18 H18 J18 H10"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63" zoomScale="112" zoomScaleNormal="112" workbookViewId="0">
      <selection activeCell="F46" sqref="F46"/>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199" t="s">
        <v>1563</v>
      </c>
      <c r="B5" s="199"/>
      <c r="C5" s="199"/>
      <c r="D5" s="199"/>
      <c r="E5" s="199"/>
      <c r="F5" s="199"/>
      <c r="G5" s="199"/>
      <c r="H5" s="199"/>
      <c r="I5" s="199"/>
      <c r="J5" s="199"/>
      <c r="K5" s="199"/>
      <c r="L5" s="199"/>
      <c r="M5" s="199"/>
    </row>
    <row r="6" spans="1:13" ht="15" customHeight="1" x14ac:dyDescent="0.25">
      <c r="A6" s="199"/>
      <c r="B6" s="199"/>
      <c r="C6" s="199"/>
      <c r="D6" s="199"/>
      <c r="E6" s="199"/>
      <c r="F6" s="199"/>
      <c r="G6" s="199"/>
      <c r="H6" s="199"/>
      <c r="I6" s="199"/>
      <c r="J6" s="199"/>
      <c r="K6" s="199"/>
      <c r="L6" s="199"/>
      <c r="M6" s="199"/>
    </row>
    <row r="7" spans="1:13" x14ac:dyDescent="0.25">
      <c r="A7" s="199"/>
      <c r="B7" s="199"/>
      <c r="C7" s="199"/>
      <c r="D7" s="199"/>
      <c r="E7" s="199"/>
      <c r="F7" s="199"/>
      <c r="G7" s="199"/>
      <c r="H7" s="199"/>
      <c r="I7" s="199"/>
      <c r="J7" s="199"/>
      <c r="K7" s="199"/>
      <c r="L7" s="199"/>
      <c r="M7" s="199"/>
    </row>
    <row r="8" spans="1:13" ht="15" customHeight="1" x14ac:dyDescent="0.25">
      <c r="A8" s="201" t="s">
        <v>1621</v>
      </c>
      <c r="B8" s="201"/>
      <c r="C8" s="201"/>
      <c r="D8" s="201"/>
      <c r="E8" s="201"/>
      <c r="F8" s="201"/>
      <c r="G8" s="201"/>
      <c r="H8" s="201"/>
      <c r="I8" s="201"/>
      <c r="J8" s="201"/>
      <c r="K8" s="201"/>
      <c r="L8" s="201"/>
      <c r="M8" s="201"/>
    </row>
    <row r="9" spans="1:13" ht="15" customHeight="1" x14ac:dyDescent="0.25">
      <c r="A9" s="201"/>
      <c r="B9" s="201"/>
      <c r="C9" s="201"/>
      <c r="D9" s="201"/>
      <c r="E9" s="201"/>
      <c r="F9" s="201"/>
      <c r="G9" s="201"/>
      <c r="H9" s="201"/>
      <c r="I9" s="201"/>
      <c r="J9" s="201"/>
      <c r="K9" s="201"/>
      <c r="L9" s="201"/>
      <c r="M9" s="201"/>
    </row>
    <row r="10" spans="1:13" ht="15" customHeight="1" x14ac:dyDescent="0.25">
      <c r="A10" s="201"/>
      <c r="B10" s="201"/>
      <c r="C10" s="201"/>
      <c r="D10" s="201"/>
      <c r="E10" s="201"/>
      <c r="F10" s="201"/>
      <c r="G10" s="201"/>
      <c r="H10" s="201"/>
      <c r="I10" s="201"/>
      <c r="J10" s="201"/>
      <c r="K10" s="201"/>
      <c r="L10" s="201"/>
      <c r="M10" s="201"/>
    </row>
    <row r="11" spans="1:13" x14ac:dyDescent="0.25">
      <c r="A11" s="133" t="s">
        <v>1560</v>
      </c>
      <c r="B11" s="134"/>
      <c r="C11" s="135"/>
      <c r="D11" s="134"/>
      <c r="E11" s="135"/>
      <c r="F11" s="134"/>
      <c r="G11" s="135"/>
      <c r="H11" s="134"/>
      <c r="I11" s="135"/>
      <c r="J11" s="134"/>
      <c r="K11" s="134"/>
      <c r="L11" s="134"/>
      <c r="M11" s="134"/>
    </row>
    <row r="12" spans="1:13" x14ac:dyDescent="0.25">
      <c r="A12" s="137"/>
      <c r="B12" s="203" t="s">
        <v>1574</v>
      </c>
      <c r="C12" s="203"/>
      <c r="D12" s="203"/>
      <c r="E12" s="203"/>
      <c r="F12" s="203"/>
      <c r="G12" s="203"/>
      <c r="H12" s="203"/>
      <c r="I12" s="203"/>
      <c r="J12" s="203"/>
      <c r="K12" s="203"/>
      <c r="L12" s="203"/>
      <c r="M12" s="203"/>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2" t="s">
        <v>1624</v>
      </c>
      <c r="C14" s="202"/>
      <c r="D14" s="202"/>
      <c r="E14" s="202"/>
      <c r="F14" s="202"/>
      <c r="G14" s="202"/>
      <c r="H14" s="202"/>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+'Fund 0001 Journal Entries'!K19+'Fund 0140 Journal Entries'!K19+'Fund 0465 Journal Entries'!K19+'Fund 0890 Journal Entries'!K19+'Fund 3057 Journal Entries'!K19+'Fund 3237 Journal Entries'!K19+'Fund 3398 Journal Entries'!K19+'Fund 6001 Journal Entries'!K19+'Fund 6005 Journal Entries'!K19+'Fund 6031 Journal Entries'!K19+'Fund 6051 Journal Entries'!K19+'Fund 6083 Journal Entries'!K19+'Fund 6088 Journal Entries'!K19</f>
        <v>3162886</v>
      </c>
      <c r="C16" s="15" t="s">
        <v>1552</v>
      </c>
      <c r="D16" s="14">
        <f>+'Fund 0001 Journal Entries'!K37+'Fund 0140 Journal Entries'!K37+'Fund 0465 Journal Entries'!K37+'Fund 0890 Journal Entries'!K37+'Fund 3057 Journal Entries'!K37+'Fund 3237 Journal Entries'!K37+'Fund 3398 Journal Entries'!K37+'Fund 6001 Journal Entries'!K37+'Fund 6005 Journal Entries'!K37+'Fund 6031 Journal Entries'!K37+'Fund 6051 Journal Entries'!K37+'Fund 6083 Journal Entries'!K37+'Fund 6088 Journal Entries'!K37</f>
        <v>0</v>
      </c>
      <c r="E16" s="16" t="s">
        <v>1554</v>
      </c>
      <c r="F16" s="14">
        <f>+'Fund 0001 Journal Entries'!J56+'Fund 0140 Journal Entries'!J56+'Fund 0465 Journal Entries'!J56+'Fund 0890 Journal Entries'!J56+'Fund 3057 Journal Entries'!J56+'Fund 3237 Journal Entries'!J56+'Fund 3398 Journal Entries'!J56+'Fund 6001 Journal Entries'!J56+'Fund 6005 Journal Entries'!J56+'Fund 6031 Journal Entries'!J56+'Fund 6051 Journal Entries'!J56+'Fund 6083 Journal Entries'!J56+'Fund 6088 Journal Entries'!J56</f>
        <v>1376777</v>
      </c>
      <c r="G16" s="16" t="s">
        <v>1556</v>
      </c>
      <c r="H16" s="17">
        <f>+B16+D16-F16</f>
        <v>1786109</v>
      </c>
      <c r="I16" s="16"/>
      <c r="J16" s="18">
        <f>ROUND(SUM('Department Note Disclosure'!$B$16:$B$39),0)</f>
        <v>1786109</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3" t="s">
        <v>1573</v>
      </c>
      <c r="C19" s="203"/>
      <c r="D19" s="203"/>
      <c r="E19" s="203"/>
      <c r="F19" s="203"/>
      <c r="G19" s="203"/>
      <c r="H19" s="203"/>
      <c r="I19" s="203"/>
      <c r="J19" s="203"/>
      <c r="K19" s="203"/>
      <c r="L19" s="203"/>
      <c r="M19" s="203"/>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2" t="s">
        <v>1624</v>
      </c>
      <c r="C21" s="202"/>
      <c r="D21" s="202"/>
      <c r="E21" s="202"/>
      <c r="F21" s="202"/>
      <c r="G21" s="202"/>
      <c r="H21" s="202"/>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0001 Journal Entries'!$F$7="Proprietary - Internal Service Fund",ROUND('Fund 0001 Journal Entries'!$K$19,0),0)</f>
        <v>0</v>
      </c>
      <c r="C23" s="15" t="s">
        <v>1552</v>
      </c>
      <c r="D23" s="14">
        <f>IF('Fund 0001 Journal Entries'!$F$7="Proprietary - Internal Service Fund",ROUND('Fund 0001 Journal Entries'!$K$37,0),0)</f>
        <v>0</v>
      </c>
      <c r="E23" s="16" t="s">
        <v>1554</v>
      </c>
      <c r="F23" s="14">
        <f>IF('Fund 0001 Journal Entries'!$F$7="Proprietary - Internal Service Fund",ROUND('Fund 0001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3" t="s">
        <v>1575</v>
      </c>
      <c r="C27" s="203"/>
      <c r="D27" s="203"/>
      <c r="E27" s="203"/>
      <c r="F27" s="203"/>
      <c r="G27" s="203"/>
      <c r="H27" s="203"/>
      <c r="I27" s="203"/>
      <c r="J27" s="203"/>
      <c r="K27" s="203"/>
      <c r="L27" s="203"/>
      <c r="M27" s="203"/>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2" t="s">
        <v>1624</v>
      </c>
      <c r="C29" s="202"/>
      <c r="D29" s="202"/>
      <c r="E29" s="202"/>
      <c r="F29" s="202"/>
      <c r="G29" s="202"/>
      <c r="H29" s="202"/>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+'Fund 0502 Journal Entries'!K19+'Fund 3100 Journal Entries'!K19</f>
        <v>6766369</v>
      </c>
      <c r="C31" s="15" t="s">
        <v>1552</v>
      </c>
      <c r="D31" s="14">
        <f>IF('Fund 0001 Journal Entries'!$F$7="Proprietary - Enterprise Fund",ROUND('Fund 0001 Journal Entries'!$K$37,0),0)</f>
        <v>0</v>
      </c>
      <c r="E31" s="16" t="s">
        <v>1554</v>
      </c>
      <c r="F31" s="14">
        <f>+'Fund 0502 Journal Entries'!J56+'Fund 3100 Journal Entries'!J56</f>
        <v>3064064</v>
      </c>
      <c r="G31" s="16" t="s">
        <v>1556</v>
      </c>
      <c r="H31" s="17">
        <f>+B31+D31-F31</f>
        <v>3702305</v>
      </c>
      <c r="I31" s="16"/>
      <c r="J31" s="18">
        <f>ROUND(SUM('Department Note Disclosure'!$B$78:$B$101),0)</f>
        <v>3702305</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3" t="s">
        <v>1574</v>
      </c>
      <c r="C35" s="203"/>
      <c r="D35" s="203"/>
      <c r="E35" s="203"/>
      <c r="F35" s="203"/>
      <c r="G35" s="203"/>
      <c r="H35" s="203"/>
      <c r="I35" s="203"/>
      <c r="J35" s="203"/>
      <c r="K35" s="203"/>
      <c r="L35" s="203"/>
      <c r="M35" s="203"/>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2" t="s">
        <v>1624</v>
      </c>
      <c r="C37" s="202"/>
      <c r="D37" s="202"/>
      <c r="E37" s="202"/>
      <c r="F37" s="202"/>
      <c r="G37" s="202"/>
      <c r="H37" s="202"/>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+'Fund 0001 Journal Entries'!J61+'Fund 0140 Journal Entries'!J61+'Fund 0465 Journal Entries'!J61+'Fund 0890 Journal Entries'!J61+'Fund 3057 Journal Entries'!J61+'Fund 3237 Journal Entries'!J61+'Fund 3398 Journal Entries'!J61+'Fund 6001 Journal Entries'!J61+'Fund 6005 Journal Entries'!J61+'Fund 6031 Journal Entries'!J61+'Fund 6051 Journal Entries'!J61+'Fund 6083 Journal Entries'!J61+'Fund 6088 Journal Entries'!J61</f>
        <v>1165723</v>
      </c>
      <c r="G39" s="150"/>
      <c r="H39" s="150"/>
      <c r="I39" s="20"/>
      <c r="J39" s="18">
        <f>ROUND('Department Note Disclosure'!$B$16,0)</f>
        <v>1165723</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3" t="s">
        <v>1573</v>
      </c>
      <c r="C42" s="203"/>
      <c r="D42" s="203"/>
      <c r="E42" s="203"/>
      <c r="F42" s="203"/>
      <c r="G42" s="203"/>
      <c r="H42" s="203"/>
      <c r="I42" s="203"/>
      <c r="J42" s="203"/>
      <c r="K42" s="203"/>
      <c r="L42" s="203"/>
      <c r="M42" s="203"/>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2" t="s">
        <v>1624</v>
      </c>
      <c r="C44" s="202"/>
      <c r="D44" s="202"/>
      <c r="E44" s="202"/>
      <c r="F44" s="202"/>
      <c r="G44" s="202"/>
      <c r="H44" s="202"/>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0001 Journal Entries'!$F$7="Proprietary - Internal Service Fund",ROUND('Fund 0001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3" t="s">
        <v>1575</v>
      </c>
      <c r="C49" s="203"/>
      <c r="D49" s="203"/>
      <c r="E49" s="203"/>
      <c r="F49" s="203"/>
      <c r="G49" s="203"/>
      <c r="H49" s="203"/>
      <c r="I49" s="203"/>
      <c r="J49" s="203"/>
      <c r="K49" s="203"/>
      <c r="L49" s="203"/>
      <c r="M49" s="203"/>
    </row>
    <row r="50" spans="1:13" x14ac:dyDescent="0.25">
      <c r="A50" s="137"/>
      <c r="B50" s="137"/>
      <c r="C50" s="138"/>
      <c r="D50" s="137"/>
      <c r="E50" s="138"/>
      <c r="F50" s="137"/>
      <c r="G50" s="138"/>
      <c r="H50" s="137"/>
      <c r="I50" s="138"/>
      <c r="J50" s="137"/>
      <c r="K50" s="137"/>
      <c r="L50" s="137"/>
      <c r="M50" s="137"/>
    </row>
    <row r="51" spans="1:13" x14ac:dyDescent="0.25">
      <c r="A51" s="137"/>
      <c r="B51" s="202" t="s">
        <v>1624</v>
      </c>
      <c r="C51" s="202"/>
      <c r="D51" s="202"/>
      <c r="E51" s="202"/>
      <c r="F51" s="202"/>
      <c r="G51" s="202"/>
      <c r="H51" s="202"/>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+'Fund 0502 Journal Entries'!J61+'Fund 3100 Journal Entries'!J61</f>
        <v>2448215</v>
      </c>
      <c r="G53" s="150"/>
      <c r="H53" s="150"/>
      <c r="I53" s="20"/>
      <c r="J53" s="18">
        <f>ROUND('Department Note Disclosure'!$B$78,0)</f>
        <v>2448215</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4" t="s">
        <v>1574</v>
      </c>
      <c r="C57" s="204"/>
      <c r="D57" s="204"/>
      <c r="E57" s="204"/>
      <c r="F57" s="204"/>
      <c r="G57" s="204"/>
      <c r="H57" s="204"/>
      <c r="I57" s="204"/>
      <c r="J57" s="204"/>
      <c r="K57" s="204"/>
      <c r="L57" s="204"/>
      <c r="M57" s="204"/>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200" t="s">
        <v>1624</v>
      </c>
      <c r="C59" s="200"/>
      <c r="D59" s="200"/>
      <c r="E59" s="200"/>
      <c r="F59" s="200"/>
      <c r="G59" s="151"/>
      <c r="H59" s="200" t="s">
        <v>119</v>
      </c>
      <c r="I59" s="200"/>
      <c r="J59" s="200"/>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3162886</v>
      </c>
      <c r="H61" s="154" t="str">
        <f>"Balance July 1, "&amp;LEFT('Fund 0001 Journal Entries'!$F$3,4)</f>
        <v>Balance July 1, 2022</v>
      </c>
      <c r="J61" s="22">
        <f>ROUND('SBITA Liabilities'!$F$10,0)</f>
        <v>3162886</v>
      </c>
      <c r="L61" s="19">
        <f>D61-J61</f>
        <v>0</v>
      </c>
    </row>
    <row r="62" spans="1:13" x14ac:dyDescent="0.25">
      <c r="B62" s="152" t="s">
        <v>1630</v>
      </c>
      <c r="D62" s="22">
        <f>$D$16</f>
        <v>0</v>
      </c>
      <c r="H62" s="154" t="s">
        <v>10</v>
      </c>
      <c r="J62" s="22">
        <f>ROUND('SBITA Liabilities'!$H$10,0)</f>
        <v>0</v>
      </c>
      <c r="L62" s="19">
        <f>D62-J62</f>
        <v>0</v>
      </c>
    </row>
    <row r="63" spans="1:13" x14ac:dyDescent="0.25">
      <c r="B63" s="152" t="s">
        <v>1555</v>
      </c>
      <c r="D63" s="22">
        <f>$F$16</f>
        <v>1376777</v>
      </c>
      <c r="H63" s="154" t="s">
        <v>11</v>
      </c>
      <c r="J63" s="22">
        <f>ROUND('SBITA Liabilities'!$J$10,0)</f>
        <v>1376777</v>
      </c>
      <c r="L63" s="19">
        <f>D63-J63</f>
        <v>0</v>
      </c>
    </row>
    <row r="64" spans="1:13" x14ac:dyDescent="0.25">
      <c r="B64" s="152" t="s">
        <v>1559</v>
      </c>
      <c r="D64" s="22">
        <f>$F$39</f>
        <v>1165723</v>
      </c>
      <c r="H64" s="154" t="s">
        <v>12</v>
      </c>
      <c r="J64" s="22">
        <f>ROUND('SBITA Liabilities'!$N$10,0)</f>
        <v>1165723</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5" customFormat="1" x14ac:dyDescent="0.25">
      <c r="A67" s="136"/>
      <c r="B67" s="205" t="s">
        <v>1573</v>
      </c>
    </row>
    <row r="68" spans="1:13" ht="6" customHeight="1" x14ac:dyDescent="0.25">
      <c r="B68" s="156"/>
    </row>
    <row r="69" spans="1:13" ht="15" customHeight="1" x14ac:dyDescent="0.25">
      <c r="B69" s="200" t="s">
        <v>1624</v>
      </c>
      <c r="C69" s="200"/>
      <c r="D69" s="200"/>
      <c r="E69" s="200"/>
      <c r="F69" s="200"/>
      <c r="G69" s="151"/>
      <c r="H69" s="200" t="s">
        <v>119</v>
      </c>
      <c r="I69" s="200"/>
      <c r="J69" s="200"/>
    </row>
    <row r="70" spans="1:13" x14ac:dyDescent="0.25">
      <c r="H70" s="137"/>
      <c r="I70" s="137"/>
      <c r="J70" s="137"/>
      <c r="K70" s="137"/>
      <c r="L70" s="146" t="s">
        <v>1564</v>
      </c>
    </row>
    <row r="71" spans="1:13" x14ac:dyDescent="0.25">
      <c r="B71" s="152" t="s">
        <v>1553</v>
      </c>
      <c r="D71" s="22">
        <f>$B$23</f>
        <v>0</v>
      </c>
      <c r="H71" s="154" t="str">
        <f>"Balance July 1, "&amp;LEFT('Fund 0001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5" t="s">
        <v>1575</v>
      </c>
      <c r="C77" s="205"/>
      <c r="D77" s="205"/>
      <c r="E77" s="205"/>
      <c r="F77" s="205"/>
      <c r="G77" s="205"/>
      <c r="H77" s="205"/>
      <c r="I77" s="205"/>
      <c r="J77" s="205"/>
      <c r="K77" s="205"/>
      <c r="L77" s="205"/>
      <c r="M77" s="205"/>
    </row>
    <row r="78" spans="1:13" ht="6" customHeight="1" x14ac:dyDescent="0.25">
      <c r="B78" s="156"/>
    </row>
    <row r="79" spans="1:13" ht="15" customHeight="1" x14ac:dyDescent="0.25">
      <c r="B79" s="200" t="s">
        <v>1624</v>
      </c>
      <c r="C79" s="200"/>
      <c r="D79" s="200"/>
      <c r="E79" s="200"/>
      <c r="F79" s="200"/>
      <c r="G79" s="151"/>
      <c r="H79" s="200" t="s">
        <v>119</v>
      </c>
      <c r="I79" s="200"/>
      <c r="J79" s="200"/>
    </row>
    <row r="80" spans="1:13" x14ac:dyDescent="0.25">
      <c r="H80" s="137"/>
      <c r="I80" s="137"/>
      <c r="J80" s="137"/>
      <c r="K80" s="137"/>
      <c r="L80" s="146" t="s">
        <v>1564</v>
      </c>
    </row>
    <row r="81" spans="1:13" x14ac:dyDescent="0.25">
      <c r="B81" s="152" t="s">
        <v>1553</v>
      </c>
      <c r="D81" s="22">
        <f>$B$31</f>
        <v>6766369</v>
      </c>
      <c r="H81" s="154" t="str">
        <f>"Balance July 1, "&amp;LEFT('Fund 0001 Journal Entries'!$F$3,4)</f>
        <v>Balance July 1, 2022</v>
      </c>
      <c r="J81" s="22">
        <f>ROUND('SBITA Liabilities'!$F$18,0)</f>
        <v>6766369</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3064064</v>
      </c>
      <c r="H83" s="154" t="s">
        <v>11</v>
      </c>
      <c r="J83" s="22">
        <f>ROUND('SBITA Liabilities'!$J$18,0)</f>
        <v>3064064</v>
      </c>
      <c r="L83" s="19">
        <f>D83-J83</f>
        <v>0</v>
      </c>
    </row>
    <row r="84" spans="1:13" x14ac:dyDescent="0.25">
      <c r="B84" s="152" t="s">
        <v>1559</v>
      </c>
      <c r="D84" s="22">
        <f>F53</f>
        <v>2448215</v>
      </c>
      <c r="H84" s="154" t="s">
        <v>12</v>
      </c>
      <c r="J84" s="22">
        <f>ROUND('SBITA Liabilities'!$N$18,0)</f>
        <v>2448215</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D0tjg2tk+zWUtzxzenIhfo5piQPC8vq/AM+EiXalKBYlC0ShSF2oCKqwrBU0h7h1Zos9DQyKTQmTnprTZvlllQ==" saltValue="wJouK6u6ljCnpx+dbqSBvA==" spinCount="100000" sheet="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69"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EBE6C419-5E13-400E-A03F-D24A652AACDB}"/>
</file>

<file path=customXml/itemProps2.xml><?xml version="1.0" encoding="utf-8"?>
<ds:datastoreItem xmlns:ds="http://schemas.openxmlformats.org/officeDocument/2006/customXml" ds:itemID="{5BAE707E-4030-457E-9CB4-EFEDB59A1391}"/>
</file>

<file path=customXml/itemProps3.xml><?xml version="1.0" encoding="utf-8"?>
<ds:datastoreItem xmlns:ds="http://schemas.openxmlformats.org/officeDocument/2006/customXml" ds:itemID="{BFBF0135-0DA6-4A7A-9E6C-7577E7E252B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17</vt:i4>
      </vt:variant>
    </vt:vector>
  </HeadingPairs>
  <TitlesOfParts>
    <vt:vector size="37" baseType="lpstr">
      <vt:lpstr>Fund 0001 Journal Entries</vt:lpstr>
      <vt:lpstr>Fund 0140 Journal Entries</vt:lpstr>
      <vt:lpstr>Fund 0465 Journal Entries</vt:lpstr>
      <vt:lpstr>Fund 0890 Journal Entries</vt:lpstr>
      <vt:lpstr>Fund 3057 Journal Entries</vt:lpstr>
      <vt:lpstr>Fund 3237 Journal Entries</vt:lpstr>
      <vt:lpstr>Fund 3398 Journal Entries</vt:lpstr>
      <vt:lpstr>Fund 6001 Journal Entries</vt:lpstr>
      <vt:lpstr>Fund 6005 Journal Entries</vt:lpstr>
      <vt:lpstr>Fund 6031 Journal Entries</vt:lpstr>
      <vt:lpstr>Fund 6051 Journal Entries</vt:lpstr>
      <vt:lpstr>Fund 6083 Journal Entries</vt:lpstr>
      <vt:lpstr>Fund 6088 Journal Entries</vt:lpstr>
      <vt:lpstr>Fund 0502 Journal Entries</vt:lpstr>
      <vt:lpstr>Fund 3100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0140 Journal Entries'!Print_Area</vt:lpstr>
      <vt:lpstr>'Fund 0465 Journal Entries'!Print_Area</vt:lpstr>
      <vt:lpstr>'Fund 0502 Journal Entries'!Print_Area</vt:lpstr>
      <vt:lpstr>'Fund 0890 Journal Entries'!Print_Area</vt:lpstr>
      <vt:lpstr>'Fund 3057 Journal Entries'!Print_Area</vt:lpstr>
      <vt:lpstr>'Fund 3100 Journal Entries'!Print_Area</vt:lpstr>
      <vt:lpstr>'Fund 3237 Journal Entries'!Print_Area</vt:lpstr>
      <vt:lpstr>'Fund 3398 Journal Entries'!Print_Area</vt:lpstr>
      <vt:lpstr>'Fund 6001 Journal Entries'!Print_Area</vt:lpstr>
      <vt:lpstr>'Fund 6005 Journal Entries'!Print_Area</vt:lpstr>
      <vt:lpstr>'Fund 6031 Journal Entries'!Print_Area</vt:lpstr>
      <vt:lpstr>'Fund 6051 Journal Entries'!Print_Area</vt:lpstr>
      <vt:lpstr>'Fund 6083 Journal Entries'!Print_Area</vt:lpstr>
      <vt:lpstr>'Fund 6088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2024-06-13T01:59:47Z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3301800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