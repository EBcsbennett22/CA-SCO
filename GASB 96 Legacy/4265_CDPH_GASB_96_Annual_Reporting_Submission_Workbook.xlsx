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EA7482F9-30DA-4F61-82BA-EB91D106BC81}"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Fund 0203 Journal Entries" sheetId="11" r:id="rId2"/>
    <sheet name="Fund 0890 Journal Entries" sheetId="10" r:id="rId3"/>
    <sheet name="Department Note Disclosure" sheetId="3" r:id="rId4"/>
    <sheet name="SBITA Liabilities" sheetId="4" r:id="rId5"/>
    <sheet name="Check Figures " sheetId="9" r:id="rId6"/>
    <sheet name="Drop Down Menus" sheetId="1" state="hidden" r:id="rId7"/>
    <sheet name="GAAP02Aindex" sheetId="7" state="hidden" r:id="rId8"/>
  </sheets>
  <definedNames>
    <definedName name="ActuaryCredentialsGASB">#REF!</definedName>
    <definedName name="ActuaryNameGASB">#REF!</definedName>
    <definedName name="ActuaryTitleGASB">#REF!</definedName>
    <definedName name="AdjCNSDate">#REF!</definedName>
    <definedName name="AdjCNSDate1">#REF!</definedName>
    <definedName name="AdjCNSDateTempEnable">#REF!</definedName>
    <definedName name="AgencyCode">#REF!</definedName>
    <definedName name="AgencyCode1">#REF!</definedName>
    <definedName name="AnalystGASB">#REF!</definedName>
    <definedName name="Annuity">#REF!</definedName>
    <definedName name="Annuity1">#REF!</definedName>
    <definedName name="AnnuityLY">#REF!</definedName>
    <definedName name="ASTABPF">#REF!</definedName>
    <definedName name="ASTABPF1">#REF!</definedName>
    <definedName name="ASTEBPF">#REF!</definedName>
    <definedName name="ClientShortGASB">#REF!</definedName>
    <definedName name="CLPOWERDisc">#REF!</definedName>
    <definedName name="CLPOWERDiscMinus1">#REF!</definedName>
    <definedName name="CLPOWERDiscPlus1">#REF!</definedName>
    <definedName name="CLPOWERExp">#REF!</definedName>
    <definedName name="CNSDateDisc">#REF!</definedName>
    <definedName name="CNSDateDisc1">#REF!</definedName>
    <definedName name="ColaRate">#REF!</definedName>
    <definedName name="ConsultantNameGASB">#REF!</definedName>
    <definedName name="ConsultantTitleGASB">#REF!</definedName>
    <definedName name="Disc1DELTACENSUS">#REF!</definedName>
    <definedName name="Disc1INTNDIV12">#REF!</definedName>
    <definedName name="Disc1SINTADJBOM">#REF!</definedName>
    <definedName name="Disc1SINTNDIV12">#REF!</definedName>
    <definedName name="DiscDELTACENSUS">#REF!</definedName>
    <definedName name="DiscINTADJBOM">#REF!</definedName>
    <definedName name="DiscINTNDIV12">#REF!</definedName>
    <definedName name="DiscMinusOneINTADJBOM">#REF!</definedName>
    <definedName name="DiscMinusOneINTNDIV12">#REF!</definedName>
    <definedName name="DiscPlusOneINTADJBOM">#REF!</definedName>
    <definedName name="DiscPlusOneINTNDIV12">#REF!</definedName>
    <definedName name="EmployerRates">#REF!</definedName>
    <definedName name="EmployerRates1">#REF!</definedName>
    <definedName name="EmployerRatesLEO">#REF!</definedName>
    <definedName name="EmployerRatesLEO1">#REF!</definedName>
    <definedName name="ERData">#REF!</definedName>
    <definedName name="ERID">#REF!</definedName>
    <definedName name="ERInfo">#REF!</definedName>
    <definedName name="Exp1INTADJBOM">#REF!</definedName>
    <definedName name="Exp1INTNDIV12">#REF!</definedName>
    <definedName name="FracYearProj">#REF!</definedName>
    <definedName name="FundOfficeContactGASB">#REF!</definedName>
    <definedName name="FYrsGASB">#REF!</definedName>
    <definedName name="GainLoss">#REF!</definedName>
    <definedName name="GASBDiscMinusOneINTADJBOM">#REF!</definedName>
    <definedName name="GASBDiscMinusOneINTNDIV12">#REF!</definedName>
    <definedName name="InflRate">#REF!</definedName>
    <definedName name="InflRate1">#REF!</definedName>
    <definedName name="IntDisc">#REF!</definedName>
    <definedName name="IntDisc1">#REF!</definedName>
    <definedName name="IntDisc1S">#REF!</definedName>
    <definedName name="INTDiscMinusOne">#REF!</definedName>
    <definedName name="INTDiscPlusOne">#REF!</definedName>
    <definedName name="IntExp1">#REF!</definedName>
    <definedName name="MeasureDate">#REF!</definedName>
    <definedName name="MeasureDate1">#REF!</definedName>
    <definedName name="MeasureDate2">#REF!</definedName>
    <definedName name="N">"N/A"</definedName>
    <definedName name="NDIV12Disc">#REF!</definedName>
    <definedName name="NDIV12DiscMinus1">#REF!</definedName>
    <definedName name="NDIV12DiscPlus1">#REF!</definedName>
    <definedName name="NDIV12Exp">#REF!</definedName>
    <definedName name="OfficeAddr1GASB">#REF!</definedName>
    <definedName name="OfficeAddr2GASB">#REF!</definedName>
    <definedName name="Offices">#REF!</definedName>
    <definedName name="Pension">#REF!</definedName>
    <definedName name="Pension1">#REF!</definedName>
    <definedName name="PensionLY">#REF!</definedName>
    <definedName name="PlanNameLongGASB">#REF!</definedName>
    <definedName name="PlanNameShortGASB">#REF!</definedName>
    <definedName name="_xlnm.Print_Area" localSheetId="3">'Department Note Disclosure'!$A$3:$D$101</definedName>
    <definedName name="_xlnm.Print_Area" localSheetId="0">'Fund 0001 Journal Entries'!$A$3:$K$70</definedName>
    <definedName name="_xlnm.Print_Area" localSheetId="1">'Fund 0203 Journal Entries'!$A$3:$K$70</definedName>
    <definedName name="_xlnm.Print_Area" localSheetId="2">'Fund 0890 Journal Entries'!$A$3:$K$70</definedName>
    <definedName name="_xlnm.Print_Area" localSheetId="4">'SBITA Liabilities'!$B$2:$Q$21</definedName>
    <definedName name="ProjDisc?">#REF!</definedName>
    <definedName name="ProValResults">#REF!</definedName>
    <definedName name="ProValResults1">#REF!</definedName>
    <definedName name="ReportDate67">#REF!</definedName>
    <definedName name="ReportDate671">#REF!</definedName>
    <definedName name="ReportDate68">#REF!</definedName>
    <definedName name="ReportDate681">#REF!</definedName>
    <definedName name="ReviewerGASB">#REF!</definedName>
    <definedName name="Rnd_0">#REF!</definedName>
    <definedName name="RORRate681">#REF!</definedName>
    <definedName name="SalRate">#REF!</definedName>
    <definedName name="SalRate1">#REF!</definedName>
    <definedName name="SegalOfficeGASB">#REF!</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0" l="1"/>
  <c r="J10" i="4" l="1"/>
  <c r="D92" i="3"/>
  <c r="D61" i="3"/>
  <c r="D89" i="3"/>
  <c r="D58" i="3"/>
  <c r="D30" i="3"/>
  <c r="D27" i="3"/>
  <c r="C52" i="10" l="1"/>
  <c r="C52" i="11"/>
  <c r="C52" i="2"/>
  <c r="C38" i="10"/>
  <c r="C38" i="11"/>
  <c r="C38" i="2"/>
  <c r="C30" i="10"/>
  <c r="C30" i="11"/>
  <c r="C30" i="2"/>
  <c r="F8" i="10"/>
  <c r="F8" i="11"/>
  <c r="F8" i="2"/>
  <c r="F39" i="9"/>
  <c r="F16" i="9"/>
  <c r="N10" i="4"/>
  <c r="K86" i="11"/>
  <c r="J86" i="11"/>
  <c r="L86" i="11" s="1"/>
  <c r="L81" i="11"/>
  <c r="K81" i="11"/>
  <c r="J81" i="11"/>
  <c r="J70" i="11"/>
  <c r="K69" i="11"/>
  <c r="K94" i="11" s="1"/>
  <c r="J63" i="11"/>
  <c r="K62" i="11"/>
  <c r="K97" i="11" s="1"/>
  <c r="J58" i="11"/>
  <c r="K57" i="11"/>
  <c r="K58" i="11" s="1"/>
  <c r="K53" i="11"/>
  <c r="J53" i="11"/>
  <c r="K52" i="11"/>
  <c r="B51" i="11"/>
  <c r="J47" i="11"/>
  <c r="K46" i="11"/>
  <c r="K95" i="11" s="1"/>
  <c r="K39" i="11"/>
  <c r="J39" i="11"/>
  <c r="L39" i="11" s="1"/>
  <c r="K31" i="11"/>
  <c r="L31" i="11" s="1"/>
  <c r="J31" i="11"/>
  <c r="A26" i="11"/>
  <c r="J22" i="11"/>
  <c r="K19" i="11"/>
  <c r="K96" i="11" s="1"/>
  <c r="B14" i="11"/>
  <c r="A12" i="11"/>
  <c r="K63" i="11" l="1"/>
  <c r="L63" i="11" s="1"/>
  <c r="L53" i="11"/>
  <c r="L58" i="11"/>
  <c r="K47" i="11"/>
  <c r="L47" i="11" s="1"/>
  <c r="K70" i="11"/>
  <c r="L70" i="11" s="1"/>
  <c r="K22" i="11"/>
  <c r="L22" i="11" s="1"/>
  <c r="L86" i="10" l="1"/>
  <c r="K86" i="10"/>
  <c r="J86" i="10"/>
  <c r="K81" i="10"/>
  <c r="J81" i="10"/>
  <c r="L81" i="10" s="1"/>
  <c r="J70" i="10"/>
  <c r="K69" i="10"/>
  <c r="K94" i="10" s="1"/>
  <c r="K63" i="10"/>
  <c r="J63" i="10"/>
  <c r="L63" i="10" s="1"/>
  <c r="K62" i="10"/>
  <c r="K97" i="10" s="1"/>
  <c r="J58" i="10"/>
  <c r="K57" i="10"/>
  <c r="K58" i="10" s="1"/>
  <c r="K53" i="10"/>
  <c r="J53" i="10"/>
  <c r="K52" i="10"/>
  <c r="B51" i="10"/>
  <c r="J47" i="10"/>
  <c r="K46" i="10"/>
  <c r="K95" i="10" s="1"/>
  <c r="J39" i="10"/>
  <c r="K37" i="10"/>
  <c r="K39" i="10" s="1"/>
  <c r="K36" i="10"/>
  <c r="K31" i="10"/>
  <c r="J31" i="10"/>
  <c r="L31" i="10" s="1"/>
  <c r="K29" i="10"/>
  <c r="A26" i="10"/>
  <c r="J22" i="10"/>
  <c r="K19" i="10"/>
  <c r="K96" i="10" s="1"/>
  <c r="B14" i="10"/>
  <c r="A12" i="10"/>
  <c r="L53" i="10" l="1"/>
  <c r="L58" i="10"/>
  <c r="L39" i="10"/>
  <c r="K22" i="10"/>
  <c r="L22" i="10" s="1"/>
  <c r="K47" i="10"/>
  <c r="L47" i="10" s="1"/>
  <c r="K70" i="10"/>
  <c r="L70" i="10" s="1"/>
  <c r="K37" i="2" l="1"/>
  <c r="K36" i="2"/>
  <c r="H10" i="4" l="1"/>
  <c r="D16" i="9"/>
  <c r="K19" i="2"/>
  <c r="B16" i="9" l="1"/>
  <c r="F10" i="4"/>
  <c r="B23" i="9"/>
  <c r="D23" i="9"/>
  <c r="F23" i="9"/>
  <c r="B31" i="9"/>
  <c r="D31" i="9"/>
  <c r="F31" i="9"/>
  <c r="F46" i="9"/>
  <c r="F53" i="9"/>
  <c r="N14" i="4"/>
  <c r="J14" i="4"/>
  <c r="H14" i="4"/>
  <c r="F14" i="4"/>
  <c r="F18" i="4"/>
  <c r="H18" i="4"/>
  <c r="J18" i="4"/>
  <c r="N18" i="4"/>
  <c r="K46" i="2"/>
  <c r="K52" i="2"/>
  <c r="G5" i="4" l="1"/>
  <c r="K62" i="2"/>
  <c r="K57" i="2"/>
  <c r="D86" i="3"/>
  <c r="D55" i="3"/>
  <c r="D24" i="3"/>
  <c r="K97" i="2" l="1"/>
  <c r="K96" i="2"/>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J82" i="9" l="1"/>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L14" i="4" l="1"/>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<sst xmlns="http://schemas.openxmlformats.org/spreadsheetml/2006/main" count="7681" uniqueCount="1644">
  <si>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</si>
  <si>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</si>
  <si>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</si>
  <si>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</si>
  <si>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</si>
  <si>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</si>
  <si>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</si>
  <si>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</si>
  <si>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</si>
  <si>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</si>
  <si>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</si>
  <si>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</si>
  <si>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</si>
  <si>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</si>
  <si>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</si>
  <si>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</si>
  <si>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</si>
  <si>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</si>
  <si>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</si>
  <si>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</si>
  <si>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</si>
  <si>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</si>
  <si>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</si>
  <si>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</si>
  <si>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</si>
  <si>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</si>
  <si>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</si>
  <si>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</si>
  <si>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</si>
  <si>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</si>
  <si>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</si>
  <si>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</si>
  <si>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</si>
  <si>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</si>
  <si>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</si>
  <si>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</si>
  <si>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</si>
  <si>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</si>
  <si>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</si>
  <si>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</si>
  <si>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</si>
  <si>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</si>
  <si>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</si>
  <si>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</si>
  <si>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</si>
  <si>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</si>
  <si>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</si>
  <si>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</si>
  <si>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</si>
  <si>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</si>
  <si>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</si>
  <si>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</si>
  <si>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</si>
  <si>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</si>
  <si>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</si>
  <si>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</si>
  <si>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</si>
  <si>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</si>
  <si>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</si>
  <si>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</si>
  <si>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</si>
  <si>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</si>
  <si>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</si>
  <si>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</si>
  <si>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</si>
  <si>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</si>
  <si>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</si>
  <si>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</si>
  <si>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</si>
  <si>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</si>
  <si>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</si>
  <si>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</si>
  <si>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</si>
  <si>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</si>
  <si>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</si>
  <si>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</si>
  <si>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</si>
  <si>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</si>
  <si>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</si>
  <si>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</si>
  <si>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</si>
  <si>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</si>
  <si>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</si>
  <si>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</si>
  <si>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</si>
  <si>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</si>
  <si>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</si>
  <si>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</si>
  <si>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</si>
  <si>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</si>
  <si>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</si>
  <si>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</si>
  <si>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</si>
  <si>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</si>
  <si>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</si>
  <si>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</si>
  <si>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</si>
  <si>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</si>
  <si>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</si>
  <si>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</si>
  <si>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</si>
  <si>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</si>
  <si>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</si>
  <si>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</si>
  <si>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</si>
  <si>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</si>
  <si>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</si>
  <si>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</si>
  <si>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</si>
  <si>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</si>
  <si>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</si>
  <si>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</si>
  <si>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</si>
  <si>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</si>
  <si>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</si>
  <si>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</si>
  <si>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</si>
  <si>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</si>
  <si>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</si>
  <si>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</si>
  <si>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</si>
  <si>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</si>
  <si>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</si>
  <si>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</si>
  <si>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</si>
  <si>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</si>
  <si>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</si>
  <si>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</si>
  <si>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</si>
  <si>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</si>
  <si>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</si>
  <si>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</si>
  <si>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</si>
  <si>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</si>
  <si>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</si>
  <si>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</si>
  <si>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</si>
  <si>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</si>
  <si>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</si>
  <si>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</si>
  <si>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</si>
  <si>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</si>
  <si>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</si>
  <si>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</si>
  <si>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</si>
  <si>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</si>
  <si>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</si>
  <si>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</si>
  <si>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</si>
  <si>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</si>
  <si>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</si>
  <si>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</si>
  <si>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</si>
  <si>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</si>
  <si>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</si>
  <si>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</si>
  <si>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</si>
  <si>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</si>
  <si>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</si>
  <si>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</si>
  <si>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</si>
  <si>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</si>
  <si>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</si>
  <si>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</si>
  <si>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</si>
  <si>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</si>
  <si>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</si>
  <si>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</si>
  <si>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</si>
  <si>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</si>
  <si>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</si>
  <si>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</si>
  <si>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</si>
  <si>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</si>
  <si>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</si>
  <si>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</si>
  <si>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</si>
  <si>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</si>
  <si>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</si>
  <si>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</si>
  <si>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</si>
  <si>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</si>
  <si>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</si>
  <si>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</si>
  <si>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</si>
  <si>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</si>
  <si>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</si>
  <si>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</si>
  <si>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</si>
  <si>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</si>
  <si>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</si>
  <si>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</si>
  <si>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</si>
  <si>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</si>
  <si>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</si>
  <si>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</si>
  <si>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</si>
  <si>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</si>
  <si>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</si>
  <si>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</si>
  <si>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</si>
  <si>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</si>
  <si>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</si>
  <si>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</si>
  <si>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</si>
  <si>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</si>
  <si>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</si>
  <si>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</si>
  <si>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</si>
  <si>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</si>
  <si>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</si>
  <si>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</si>
  <si>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</si>
  <si>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</si>
  <si>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</si>
  <si>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</si>
  <si>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</si>
  <si>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</si>
  <si>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</si>
  <si>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</si>
  <si>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</si>
  <si>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</si>
  <si>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</si>
  <si>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</si>
  <si>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</si>
  <si>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</si>
  <si>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</si>
  <si>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</si>
  <si>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</si>
  <si>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</si>
  <si>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</si>
  <si>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</si>
  <si>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</si>
  <si>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</si>
  <si>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</si>
  <si>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</si>
  <si>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</si>
  <si>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</si>
  <si>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</si>
  <si>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</si>
  <si>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</si>
  <si>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</si>
  <si>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</si>
  <si>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</si>
  <si>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</si>
  <si>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</si>
  <si>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</si>
  <si>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</si>
  <si>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</si>
  <si>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</si>
  <si>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</si>
  <si>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</si>
  <si>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</si>
  <si>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</si>
  <si>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</si>
  <si>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</si>
  <si>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</si>
  <si>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</si>
  <si>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</si>
  <si>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</si>
  <si>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</si>
  <si>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</si>
  <si>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</si>
  <si>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</si>
  <si>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</si>
  <si>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</si>
  <si>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</si>
  <si>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</si>
  <si>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</si>
  <si>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</si>
  <si>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</si>
  <si>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</si>
  <si>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</si>
  <si>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</si>
  <si>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</si>
  <si>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</si>
  <si>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</si>
  <si>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</si>
  <si>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</si>
  <si>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</si>
  <si>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</si>
  <si>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</si>
  <si>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</si>
  <si>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</si>
  <si>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</si>
  <si>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</si>
  <si>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</si>
  <si>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</si>
  <si>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</si>
  <si>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</si>
  <si>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</si>
  <si>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</si>
  <si>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</si>
  <si>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</si>
  <si>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</si>
  <si>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</si>
  <si>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</si>
  <si>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</si>
  <si>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</si>
  <si>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</si>
  <si>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</si>
  <si>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</si>
  <si>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</si>
  <si>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</si>
  <si>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</si>
  <si>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</si>
  <si>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</si>
  <si>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</si>
  <si>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</si>
  <si>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</si>
  <si>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</si>
  <si>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</si>
  <si>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</si>
  <si>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</si>
  <si>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</si>
  <si>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</si>
  <si>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</si>
  <si>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</si>
  <si>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</si>
  <si>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</si>
  <si>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</si>
  <si>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</si>
  <si>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</si>
  <si>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</si>
  <si>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</si>
  <si>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</si>
  <si>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</si>
  <si>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</si>
  <si>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</si>
  <si>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</si>
  <si>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</si>
  <si>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</si>
  <si>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</si>
  <si>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</si>
  <si>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</si>
  <si>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</si>
  <si>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</si>
  <si>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</si>
  <si>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</si>
  <si>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</si>
  <si>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</si>
  <si>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</si>
  <si>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</si>
  <si>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</si>
  <si>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</si>
  <si>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</si>
  <si>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</si>
  <si>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</si>
  <si>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</si>
  <si>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</si>
  <si>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</si>
  <si>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</si>
  <si>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</si>
  <si>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</si>
  <si>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</si>
  <si>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</si>
  <si>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</si>
  <si>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</si>
  <si>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</si>
  <si>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</si>
  <si>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</si>
  <si>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</si>
  <si>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</si>
  <si>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</si>
  <si>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</si>
  <si>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</si>
  <si>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</si>
  <si>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</si>
  <si>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</si>
  <si>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</si>
  <si>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</si>
  <si>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</si>
  <si>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</si>
  <si>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</si>
  <si>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</si>
  <si>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</si>
  <si>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</si>
  <si>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</si>
  <si>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</si>
  <si>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</si>
  <si>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</si>
  <si>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</si>
  <si>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</si>
  <si>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</si>
  <si>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</si>
  <si>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</si>
  <si>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</si>
  <si>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</si>
  <si>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</si>
  <si>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</si>
  <si>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</si>
  <si>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</si>
  <si>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</si>
  <si>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</si>
  <si>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</si>
  <si>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</si>
  <si>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</si>
  <si>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</si>
  <si>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</si>
  <si>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</si>
  <si>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</si>
  <si>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</si>
  <si>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</si>
  <si>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</si>
  <si>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</si>
  <si>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</si>
  <si>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</si>
  <si>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</si>
  <si>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</si>
  <si>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</si>
  <si>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</si>
  <si>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</si>
  <si>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</si>
  <si>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</si>
  <si>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</si>
  <si>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</si>
  <si>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</si>
  <si>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</si>
  <si>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</si>
  <si>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</si>
  <si>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</si>
  <si>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</si>
  <si>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</si>
  <si>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</si>
  <si>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</si>
  <si>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</si>
  <si>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</si>
  <si>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</si>
  <si>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</si>
  <si>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</si>
  <si>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</si>
  <si>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</si>
  <si>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</si>
  <si>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</si>
  <si>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</si>
  <si>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</si>
  <si>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</si>
  <si>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</si>
  <si>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</si>
  <si>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</si>
  <si>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</si>
  <si>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</si>
  <si>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</si>
  <si>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</si>
  <si>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</si>
  <si>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</si>
  <si>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</si>
  <si>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</si>
  <si>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</si>
  <si>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</si>
  <si>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</si>
  <si>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</si>
  <si>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</si>
  <si>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</si>
  <si>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</si>
  <si>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</si>
  <si>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</si>
  <si>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</si>
  <si>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</si>
  <si>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</si>
  <si>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</si>
  <si>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</si>
  <si>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</si>
  <si>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</si>
  <si>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</si>
  <si>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</si>
  <si>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</si>
  <si>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</si>
  <si>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</si>
  <si>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</si>
  <si>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</si>
  <si>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</si>
  <si>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</si>
  <si>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</si>
  <si>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</si>
  <si>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</si>
  <si>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</si>
  <si>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</si>
  <si>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</si>
  <si>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</si>
  <si>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</si>
  <si>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</si>
  <si>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</si>
  <si>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</si>
  <si>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</si>
  <si>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</si>
  <si>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</si>
  <si>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</si>
  <si>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</si>
  <si>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</si>
  <si>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</si>
  <si>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</si>
  <si>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</si>
  <si>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</si>
  <si>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</si>
  <si>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</si>
  <si>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</si>
  <si>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</si>
  <si>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</si>
  <si>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</si>
  <si>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</si>
  <si>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</si>
  <si>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</si>
  <si>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</si>
  <si>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</si>
  <si>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</si>
  <si>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</si>
  <si>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</si>
  <si>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</si>
  <si>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</si>
  <si>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</si>
  <si>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</si>
  <si>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</si>
  <si>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</si>
  <si>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</si>
  <si>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</si>
  <si>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</si>
  <si>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</si>
  <si>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</si>
  <si>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</si>
  <si>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</si>
  <si>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</si>
  <si>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</si>
  <si>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</si>
  <si>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</si>
  <si>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</si>
  <si>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</si>
  <si>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</si>
  <si>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</si>
  <si>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</si>
  <si>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</si>
  <si>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</si>
  <si>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</si>
  <si>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</si>
  <si>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</si>
  <si>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</si>
  <si>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</si>
  <si>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</si>
  <si>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</si>
  <si>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</si>
  <si>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</si>
  <si>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</si>
  <si>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</si>
  <si>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</si>
  <si>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</si>
  <si>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</si>
  <si>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</si>
  <si>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</si>
  <si>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</si>
  <si>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</si>
  <si>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</si>
  <si>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</si>
  <si>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</si>
  <si>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</si>
  <si>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</si>
  <si>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</si>
  <si>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</si>
  <si>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</si>
  <si>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</si>
  <si>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</si>
  <si>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</si>
  <si>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</si>
  <si>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</si>
  <si>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</si>
  <si>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</si>
  <si>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</si>
  <si>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</si>
  <si>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</si>
  <si>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</si>
  <si>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</si>
  <si>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</si>
  <si>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</si>
  <si>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</si>
  <si>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</si>
  <si>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</si>
  <si>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</si>
  <si>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</si>
  <si>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</si>
  <si>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</si>
  <si>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</si>
  <si>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</si>
  <si>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</si>
  <si>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</si>
  <si>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</si>
  <si>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</si>
  <si>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</si>
  <si>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</si>
  <si>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</si>
  <si>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</si>
  <si>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</si>
  <si>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</si>
  <si>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</si>
  <si>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</si>
  <si>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</si>
  <si>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</si>
  <si>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</si>
  <si>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</si>
  <si>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</si>
  <si>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</si>
  <si>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</si>
  <si>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</si>
  <si>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</si>
  <si>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</si>
  <si>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</si>
  <si>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</si>
  <si>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</si>
  <si>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</si>
  <si>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</si>
  <si>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</si>
  <si>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</si>
  <si>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</si>
  <si>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</si>
  <si>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</si>
  <si>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</si>
  <si>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</si>
  <si>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</si>
  <si>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</si>
  <si>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</si>
  <si>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</si>
  <si>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</si>
  <si>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</si>
  <si>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</si>
  <si>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</si>
  <si>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</si>
  <si>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</si>
  <si>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</si>
  <si>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</si>
  <si>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</si>
  <si>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</si>
  <si>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</si>
  <si>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</si>
  <si>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</si>
  <si>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</si>
  <si>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</si>
  <si>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</si>
  <si>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</si>
  <si>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</si>
  <si>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</si>
  <si>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</si>
  <si>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</si>
  <si>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</si>
  <si>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</si>
  <si>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</si>
  <si>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</si>
  <si>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</si>
  <si>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</si>
  <si>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</si>
  <si>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</si>
  <si>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</si>
  <si>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</si>
  <si>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</si>
  <si>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</si>
  <si>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</si>
  <si>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</si>
  <si>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</si>
  <si>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</si>
  <si>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</si>
  <si>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</si>
  <si>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</si>
  <si>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</si>
  <si>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</si>
  <si>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</si>
  <si>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</si>
  <si>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</si>
  <si>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</si>
  <si>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</si>
  <si>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</si>
  <si>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</si>
  <si>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</si>
  <si>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</si>
  <si>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</si>
  <si>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</si>
  <si>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</si>
  <si>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</si>
  <si>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</si>
  <si>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</si>
  <si>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</si>
  <si>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</si>
  <si>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</si>
  <si>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</si>
  <si>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</si>
  <si>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</si>
  <si>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</si>
  <si>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</si>
  <si>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</si>
  <si>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</si>
  <si>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</si>
  <si>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</si>
  <si>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</si>
  <si>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</si>
  <si>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</si>
  <si>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</si>
  <si>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</si>
  <si>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</si>
  <si>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</si>
  <si>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</si>
  <si>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</si>
  <si>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</si>
  <si>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</si>
  <si>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</si>
  <si>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</si>
  <si>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</si>
  <si>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</si>
  <si>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</si>
  <si>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</si>
  <si>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</si>
  <si>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</si>
  <si>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</si>
  <si>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</si>
  <si>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</si>
  <si>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</si>
  <si>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</si>
  <si>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</si>
  <si>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</si>
  <si>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</si>
  <si>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</si>
  <si>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</si>
  <si>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</si>
  <si>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</si>
  <si>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</si>
  <si>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</si>
  <si>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</si>
  <si>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</si>
  <si>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</si>
  <si>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</si>
  <si>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</si>
  <si>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</si>
  <si>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</si>
  <si>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</si>
  <si>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</si>
  <si>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</si>
  <si>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</si>
  <si>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</si>
  <si>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</si>
  <si>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</si>
  <si>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</si>
  <si>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</si>
  <si>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</si>
  <si>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</si>
  <si>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</si>
  <si>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</si>
  <si>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</si>
  <si>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</si>
  <si>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</si>
  <si>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</si>
  <si>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</si>
  <si>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</si>
  <si>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</si>
  <si>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</si>
  <si>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</si>
  <si>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</si>
  <si>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</si>
  <si>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</si>
  <si>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</si>
  <si>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</si>
  <si>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</si>
  <si>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</si>
  <si>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</si>
  <si>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</si>
  <si>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</si>
  <si>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</si>
  <si>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</si>
  <si>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</si>
  <si>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</si>
  <si>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</si>
  <si>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</si>
  <si>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</si>
  <si>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</si>
  <si>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</si>
  <si>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</si>
  <si>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</si>
  <si>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</si>
  <si>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</si>
  <si>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</si>
  <si>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</si>
  <si>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</si>
  <si>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</si>
  <si>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</si>
  <si>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</si>
  <si>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</si>
  <si>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</si>
  <si>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</si>
  <si>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</si>
  <si>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</si>
  <si>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</si>
  <si>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</si>
  <si>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</si>
  <si>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</si>
  <si>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</si>
  <si>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</si>
  <si>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</si>
  <si>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</si>
  <si>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</si>
  <si>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</si>
  <si>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</si>
  <si>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</si>
  <si>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</si>
  <si>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</si>
  <si>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</si>
  <si>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</si>
  <si>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</si>
  <si>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</si>
  <si>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</si>
  <si>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</si>
  <si>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</si>
  <si>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</si>
  <si>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</si>
  <si>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</si>
  <si>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</si>
  <si>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</si>
  <si>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</si>
  <si>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</si>
  <si>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</si>
  <si>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</si>
  <si>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</si>
  <si>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</si>
  <si>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</si>
  <si>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</si>
  <si>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</si>
  <si>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</si>
  <si>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</si>
  <si>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</si>
  <si>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</si>
  <si>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</si>
  <si>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</si>
  <si>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</si>
  <si>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</si>
  <si>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</si>
  <si>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</si>
  <si>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</si>
  <si>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</si>
  <si>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</si>
  <si>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</si>
  <si>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</si>
  <si>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</si>
  <si>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</si>
  <si>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</si>
  <si>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</si>
  <si>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</si>
  <si>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</si>
  <si>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</si>
  <si>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</si>
  <si>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</si>
  <si>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</si>
  <si>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</si>
  <si>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</si>
  <si>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</si>
  <si>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</si>
  <si>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</si>
  <si>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</si>
  <si>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</si>
  <si>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</si>
  <si>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</si>
  <si>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</si>
  <si>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</si>
  <si>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</si>
  <si>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</si>
  <si>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</si>
  <si>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</si>
  <si>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</si>
  <si>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</si>
  <si>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</si>
  <si>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</si>
  <si>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</si>
  <si>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</si>
  <si>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</si>
  <si>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</si>
  <si>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</si>
  <si>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</si>
  <si>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</si>
  <si>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</si>
  <si>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</si>
  <si>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</si>
  <si>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</si>
  <si>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</si>
  <si>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</si>
  <si>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</si>
  <si>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</si>
  <si>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</si>
  <si>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</si>
  <si>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</si>
  <si>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</si>
  <si>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</si>
  <si>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</si>
  <si>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</si>
  <si>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</si>
  <si>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</si>
  <si>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</si>
  <si>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</si>
  <si>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</si>
  <si>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</si>
  <si>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</si>
  <si>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</si>
  <si>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</si>
  <si>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</si>
  <si>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</si>
  <si>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</si>
  <si>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</si>
  <si>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</si>
  <si>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</si>
  <si>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</si>
  <si>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</si>
  <si>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</si>
  <si>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</si>
  <si>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</si>
  <si>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</si>
  <si>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</si>
  <si>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</si>
  <si>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</si>
  <si>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</si>
  <si>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</si>
  <si>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</si>
  <si>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</si>
  <si>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</si>
  <si>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</si>
  <si>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</si>
  <si>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</si>
  <si>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</si>
  <si>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</si>
  <si>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</si>
  <si>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</si>
  <si>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</si>
  <si>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</si>
  <si>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</si>
  <si>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</si>
  <si>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</si>
  <si>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</si>
  <si>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</si>
  <si>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</si>
  <si>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</si>
  <si>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</si>
  <si>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</si>
  <si>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</si>
  <si>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</si>
  <si>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</si>
  <si>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</si>
  <si>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</si>
  <si>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</si>
  <si>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</si>
  <si>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</si>
  <si>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</si>
  <si>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</si>
  <si>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</si>
  <si>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</si>
  <si>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</si>
  <si>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</si>
  <si>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</si>
  <si>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</si>
  <si>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</si>
  <si>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</si>
  <si>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</si>
  <si>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</si>
  <si>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</si>
  <si>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</si>
  <si>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</si>
  <si>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</si>
  <si>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</si>
  <si>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</si>
  <si>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</si>
  <si>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</si>
  <si>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</si>
  <si>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</si>
  <si>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</si>
  <si>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</si>
  <si>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</si>
  <si>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</si>
  <si>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</si>
  <si>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</si>
  <si>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</si>
  <si>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</si>
  <si>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</si>
  <si>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</si>
  <si>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</si>
  <si>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</si>
  <si>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</si>
  <si>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</si>
  <si>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</si>
  <si>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</si>
  <si>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</si>
  <si>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</si>
  <si>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</si>
  <si>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</si>
  <si>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</si>
  <si>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</si>
  <si>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</si>
  <si>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</si>
  <si>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</si>
  <si>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</si>
  <si>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</si>
  <si>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</si>
  <si>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</si>
  <si>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</si>
  <si>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</si>
  <si>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</si>
  <si>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</si>
  <si>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</si>
  <si>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</si>
  <si>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</si>
  <si>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</si>
  <si>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</si>
  <si>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</si>
  <si>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</si>
  <si>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</si>
  <si>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</si>
  <si>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</si>
  <si>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</si>
  <si>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</si>
  <si>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</si>
  <si>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</si>
  <si>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</si>
  <si>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</si>
  <si>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</si>
  <si>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</si>
  <si>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</si>
  <si>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</si>
  <si>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</si>
  <si>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</si>
  <si>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</si>
  <si>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</si>
  <si>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</si>
  <si>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</si>
  <si>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</si>
  <si>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</si>
  <si>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</si>
  <si>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</si>
  <si>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</si>
  <si>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</si>
  <si>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</si>
  <si>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</si>
  <si>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</si>
  <si>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</si>
  <si>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</si>
  <si>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</si>
  <si>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</si>
  <si>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</si>
  <si>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</si>
  <si>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</si>
  <si>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</si>
  <si>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</si>
  <si>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</si>
  <si>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</si>
  <si>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</si>
  <si>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</si>
  <si>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</si>
  <si>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</si>
  <si>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</si>
  <si>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</si>
  <si>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</si>
  <si>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</si>
  <si>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</si>
  <si>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</si>
  <si>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</si>
  <si>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</si>
  <si>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</si>
  <si>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</si>
  <si>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</si>
  <si>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</si>
  <si>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</si>
  <si>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</si>
  <si>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</si>
  <si>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</si>
  <si>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</si>
  <si>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</si>
  <si>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</si>
  <si>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</si>
  <si>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</si>
  <si>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</si>
  <si>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</si>
  <si>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</si>
  <si>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</si>
  <si>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</si>
  <si>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</si>
  <si>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</si>
  <si>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</si>
  <si>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</si>
  <si>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</si>
  <si>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</si>
  <si>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</si>
  <si>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</si>
  <si>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</si>
  <si>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</si>
  <si>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</si>
  <si>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</si>
  <si>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</si>
  <si>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</si>
  <si>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</si>
  <si>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</si>
  <si>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</si>
  <si>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</si>
  <si>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</si>
  <si>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</si>
  <si>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</si>
  <si>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</si>
  <si>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</si>
  <si>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</si>
  <si>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</si>
  <si>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</si>
  <si>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</si>
  <si>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</si>
  <si>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</si>
  <si>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</si>
  <si>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</si>
  <si>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</si>
  <si>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</si>
  <si>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</si>
  <si>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</si>
  <si>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</si>
  <si>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</si>
  <si>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</si>
  <si>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</si>
  <si>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</si>
  <si>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</si>
  <si>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</si>
  <si>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</si>
  <si>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</si>
  <si>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</si>
  <si>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</si>
  <si>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</si>
  <si>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</si>
  <si>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</si>
  <si>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</si>
  <si>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</si>
  <si>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</si>
  <si>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</si>
  <si>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</si>
  <si>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</si>
  <si>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</si>
  <si>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</si>
  <si>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</si>
  <si>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</si>
  <si>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</si>
  <si>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</si>
  <si>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</si>
  <si>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</si>
  <si>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</si>
  <si>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</si>
  <si>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</si>
  <si>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</si>
  <si>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</si>
  <si>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</si>
  <si>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</si>
  <si>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</si>
  <si>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</si>
  <si>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</si>
  <si>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</si>
  <si>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</si>
  <si>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</si>
  <si>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</si>
  <si>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</si>
  <si>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</si>
  <si>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</si>
  <si>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</si>
  <si>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</si>
  <si>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</si>
  <si>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</si>
  <si>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</si>
  <si>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</si>
  <si>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</si>
  <si>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</si>
  <si>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</si>
  <si>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</si>
  <si>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</si>
  <si>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</si>
  <si>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</si>
  <si>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</si>
  <si>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</si>
  <si>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</si>
  <si>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</si>
  <si>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</si>
  <si>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</si>
  <si>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</si>
  <si>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</si>
  <si>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</si>
  <si>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</si>
  <si>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</si>
  <si>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</si>
  <si>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</si>
  <si>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</si>
  <si>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</si>
  <si>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</si>
  <si>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</si>
  <si>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</si>
  <si>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</si>
  <si>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</si>
  <si>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</si>
  <si>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</si>
  <si>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</si>
  <si>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</si>
  <si>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</si>
  <si>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</si>
  <si>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</si>
  <si>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</si>
  <si>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</si>
  <si>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</si>
  <si>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</si>
  <si>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</si>
  <si>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</si>
  <si>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</si>
  <si>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</si>
  <si>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</si>
  <si>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</si>
  <si>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</si>
  <si>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</si>
  <si>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</si>
  <si>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</si>
  <si>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</si>
  <si>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</si>
  <si>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</si>
  <si>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</si>
  <si>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</si>
  <si>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</si>
  <si>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</si>
  <si>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</si>
  <si>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</si>
  <si>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</si>
  <si>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</si>
  <si>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</si>
  <si>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</si>
  <si>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</si>
  <si>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</si>
  <si>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</si>
  <si>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</si>
  <si>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</si>
  <si>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</si>
  <si>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</si>
  <si>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</si>
  <si>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</si>
  <si>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</si>
  <si>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</si>
  <si>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</si>
  <si>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</si>
  <si>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</si>
  <si>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</si>
  <si>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</si>
  <si>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</si>
  <si>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</si>
  <si>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</si>
  <si>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</si>
  <si>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</si>
  <si>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</si>
  <si>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</si>
  <si>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</si>
  <si>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</si>
  <si>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</si>
  <si>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</si>
  <si>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</si>
  <si>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</si>
  <si>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</si>
  <si>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</si>
  <si>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</si>
  <si>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</si>
  <si>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</si>
  <si>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</si>
  <si>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</si>
  <si>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</si>
  <si>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</si>
  <si>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</si>
  <si>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</si>
  <si>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</si>
  <si>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</si>
  <si>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</si>
  <si>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</si>
  <si>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</si>
  <si>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</si>
  <si>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</si>
  <si>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</si>
  <si>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</si>
  <si>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</si>
  <si>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</si>
  <si>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</si>
  <si>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</si>
  <si>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</si>
  <si>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</si>
  <si>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</si>
  <si>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</si>
  <si>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</si>
  <si>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</si>
  <si>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</si>
  <si>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</si>
  <si>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</si>
  <si>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</si>
  <si>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</si>
  <si>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</si>
  <si>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</si>
  <si>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</si>
  <si>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</si>
  <si>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</si>
  <si>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</si>
  <si>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</si>
  <si>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</si>
  <si>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</si>
  <si>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</si>
  <si>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</si>
  <si>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</si>
  <si>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</si>
  <si>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</si>
  <si>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</si>
  <si>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</si>
  <si>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</si>
  <si>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</si>
  <si>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</si>
  <si>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</si>
  <si>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</si>
  <si>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</si>
  <si>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</si>
  <si>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</si>
  <si>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</si>
  <si>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</si>
  <si>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</si>
  <si>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</si>
  <si>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</si>
  <si>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</si>
  <si>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</si>
  <si>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</si>
  <si>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</si>
  <si>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</si>
  <si>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</si>
  <si>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</si>
  <si>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</si>
  <si>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</si>
  <si>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</si>
  <si>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</si>
  <si>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</si>
  <si>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</si>
  <si>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</si>
  <si>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</si>
  <si>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</si>
  <si>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</si>
  <si>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</si>
  <si>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</si>
  <si>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</si>
  <si>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</si>
  <si>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</si>
  <si>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</si>
  <si>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</si>
  <si>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</si>
  <si>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</si>
  <si>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</si>
  <si>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</si>
  <si>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</si>
  <si>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</si>
  <si>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</si>
  <si>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</si>
  <si>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</si>
  <si>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</si>
  <si>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</si>
  <si>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</si>
  <si>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</si>
  <si>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</si>
  <si>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</si>
  <si>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</si>
  <si>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</si>
  <si>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</si>
  <si>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</si>
  <si>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</si>
  <si>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</si>
  <si>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</si>
  <si>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</si>
  <si>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</si>
  <si>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</si>
  <si>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</si>
  <si>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</si>
  <si>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</si>
  <si>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</si>
  <si>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</si>
  <si>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</si>
  <si>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</si>
  <si>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</si>
  <si>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</si>
  <si>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</si>
  <si>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</si>
  <si>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</si>
  <si>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</si>
  <si>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</si>
  <si>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</si>
  <si>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</si>
  <si>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</si>
  <si>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</si>
  <si>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</si>
  <si>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</si>
  <si>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</si>
  <si>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</si>
  <si>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</si>
  <si>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</si>
  <si>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</si>
  <si>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</si>
  <si>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</si>
  <si>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</si>
  <si>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</si>
  <si>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</si>
  <si>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</si>
  <si>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</si>
  <si>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</si>
  <si>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</si>
  <si>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</si>
  <si>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</si>
  <si>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</si>
  <si>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</si>
  <si>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</si>
  <si>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</si>
  <si>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</si>
  <si>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</si>
  <si>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</si>
  <si>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</si>
  <si>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</si>
  <si>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</si>
  <si>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</si>
  <si>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</si>
  <si>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</si>
  <si>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</si>
  <si>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</si>
  <si>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</si>
  <si>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</si>
  <si>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</si>
  <si>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</si>
  <si>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</si>
  <si>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</si>
  <si>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</si>
  <si>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</si>
  <si>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</si>
  <si>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</si>
  <si>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</si>
  <si>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</si>
  <si>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</si>
  <si>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</si>
  <si>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</si>
  <si>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</si>
  <si>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</si>
  <si>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</si>
  <si>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</si>
  <si>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</si>
  <si>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</si>
  <si>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</si>
  <si>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</si>
  <si>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</si>
  <si>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</si>
  <si>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</si>
  <si>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</si>
  <si>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</si>
  <si>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</si>
  <si>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</si>
  <si>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</si>
  <si>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</si>
  <si>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</si>
  <si>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</si>
  <si>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</si>
  <si>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</si>
  <si>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</si>
  <si>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</si>
  <si>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</si>
  <si>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</si>
  <si>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</si>
  <si>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</si>
  <si>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</si>
  <si>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</si>
  <si>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</si>
  <si>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</si>
  <si>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</si>
  <si>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</si>
  <si>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</si>
  <si>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</si>
  <si>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</si>
  <si>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</si>
  <si>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</si>
  <si>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</si>
  <si>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</si>
  <si>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</si>
  <si>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</si>
  <si>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</si>
  <si>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</si>
  <si>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</si>
  <si>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</si>
  <si>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</si>
  <si>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</si>
  <si>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</si>
  <si>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</si>
  <si>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</si>
  <si>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</si>
  <si>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</si>
  <si>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</si>
  <si>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</si>
  <si>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</si>
  <si>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</si>
  <si>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</si>
  <si>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</si>
  <si>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</si>
  <si>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</si>
  <si>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</si>
  <si>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</si>
  <si>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</si>
  <si>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</si>
  <si>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</si>
  <si>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</si>
  <si>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</si>
  <si>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</si>
  <si>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</si>
  <si>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</si>
  <si>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</si>
  <si>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</si>
  <si>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</si>
  <si>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</si>
  <si>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</si>
  <si>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</si>
  <si>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</si>
  <si>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</si>
  <si>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</si>
  <si>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</si>
  <si>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</si>
  <si>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</si>
  <si>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</si>
  <si>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</si>
  <si>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</si>
  <si>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</si>
  <si>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</si>
  <si>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</si>
  <si>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</si>
  <si>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</si>
  <si>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</si>
  <si>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</si>
  <si>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</si>
  <si>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</si>
  <si>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</si>
  <si>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</si>
  <si>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</si>
  <si>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</si>
  <si>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</si>
  <si>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</si>
  <si>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</si>
  <si>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</si>
  <si>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</si>
  <si>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</si>
  <si>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</si>
  <si>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</si>
  <si>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</si>
  <si>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</si>
  <si>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</si>
  <si>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</si>
  <si>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</si>
  <si>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</si>
  <si>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</si>
  <si>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</si>
  <si>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</si>
  <si>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</si>
  <si>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</si>
  <si>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</si>
  <si>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</si>
  <si>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</si>
  <si>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</si>
  <si>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</si>
  <si>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</si>
  <si>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</si>
  <si>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</si>
  <si>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</si>
  <si>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</si>
  <si>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</si>
  <si>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</si>
  <si>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</si>
  <si>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</si>
  <si>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</si>
  <si>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</si>
  <si>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</si>
  <si>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</si>
  <si>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</si>
  <si>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</si>
  <si>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</si>
  <si>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</si>
  <si>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</si>
  <si>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</si>
  <si>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</si>
  <si>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</si>
  <si>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</si>
  <si>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</si>
  <si>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</si>
  <si>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</si>
  <si>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</si>
  <si>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</si>
  <si>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</si>
  <si>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</si>
  <si>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</si>
  <si>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</si>
  <si>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</si>
  <si>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</si>
  <si>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</si>
  <si>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</si>
  <si>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</si>
  <si>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</si>
  <si>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</si>
  <si>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</si>
  <si>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</si>
  <si>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</si>
  <si>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</si>
  <si>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</si>
  <si>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</si>
  <si>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</si>
  <si>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</si>
  <si>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</si>
  <si>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</si>
  <si>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</si>
  <si>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</si>
  <si>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</si>
  <si>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</si>
  <si>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</si>
  <si>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</si>
  <si>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</si>
  <si>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</si>
  <si>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</si>
  <si>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</si>
  <si>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</si>
  <si>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</si>
  <si>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</si>
  <si>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</si>
  <si>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</si>
  <si>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</si>
  <si>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</si>
  <si>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</si>
  <si>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</si>
  <si>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</si>
  <si>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</si>
  <si>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</si>
  <si>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</si>
  <si>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</si>
  <si>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</si>
  <si>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</si>
  <si>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</si>
  <si>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</si>
  <si>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</si>
  <si>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</si>
  <si>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</si>
  <si>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</si>
  <si>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</si>
  <si>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</si>
  <si>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</si>
  <si>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</si>
  <si>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</si>
  <si>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</si>
  <si>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</si>
  <si>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</si>
  <si>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</si>
  <si>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</si>
  <si>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</si>
  <si>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</si>
  <si>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</si>
  <si>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Ca Department of Public Health</t>
  </si>
  <si>
    <t>CA Department of Public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</si>
</sst>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8" fillId="0" borderId="0" xfId="0" applyNumberFormat="1" applyFont="1" applyAlignment="1">
      <alignment horizontal="left"/>
    </xf>
    <xf numFmtId="165" fontId="3" fillId="0" borderId="0" xfId="0" applyNumberFormat="1" applyFont="1" applyAlignment="1" applyProtection="1">
      <alignment horizontal="left"/>
      <protection hidden="1"/>
    </xf>
    <xf numFmtId="165" fontId="42" fillId="0" borderId="0" xfId="0" applyNumberFormat="1" applyFont="1" applyAlignment="1">
      <alignment horizontal="left" wrapText="1"/>
    </xf>
    <xf numFmtId="165" fontId="37" fillId="0" borderId="14" xfId="0" applyNumberFormat="1" applyFont="1" applyBorder="1" applyAlignment="1">
      <alignment horizontal="left"/>
    </xf>
    <xf numFmtId="165" fontId="37" fillId="0" borderId="0" xfId="0" applyNumberFormat="1" applyFont="1" applyAlignment="1">
      <alignment horizontal="left"/>
    </xf>
    <xf numFmtId="0" fontId="37" fillId="0" borderId="14" xfId="0" applyFont="1" applyBorder="1" applyAlignment="1">
      <alignment horizontal="left"/>
    </xf>
    <xf numFmtId="0" fontId="37" fillId="0" borderId="0" xfId="0" applyFont="1" applyAlignment="1">
      <alignment horizontal="left"/>
    </xf>
    <xf numFmtId="165" fontId="3" fillId="0" borderId="0" xfId="0" applyNumberFormat="1" applyFont="1" applyAlignment="1">
      <alignment horizontal="left"/>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0" fontId="35" fillId="7" borderId="0" xfId="0" applyFont="1" applyFill="1" applyAlignment="1">
      <alignment horizontal="left"/>
    </xf>
    <xf numFmtId="0" fontId="39" fillId="0" borderId="0" xfId="0" applyFont="1" applyAlignment="1">
      <alignment horizontal="center" vertical="top" wrapText="1"/>
    </xf>
    <xf numFmtId="0" fontId="41" fillId="0" borderId="0" xfId="0" applyFont="1" applyAlignment="1">
      <alignment horizontal="left" vertical="center" wrapText="1"/>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14" fillId="3" borderId="0" xfId="0" applyFont="1" applyFill="1" applyAlignment="1">
      <alignment horizontal="left"/>
    </xf>
    <xf numFmtId="0" fontId="46" fillId="2" borderId="0" xfId="3" applyFont="1" applyFill="1" applyAlignment="1">
      <alignment horizontal="left" vertical="top" wrapText="1"/>
    </xf>
    <xf numFmtId="0" fontId="21" fillId="0" borderId="0" xfId="3" applyFont="1" applyAlignment="1">
      <alignment horizontal="left" vertical="top" wrapText="1"/>
    </xf>
    <xf numFmtId="0" fontId="22" fillId="0" borderId="13" xfId="3" applyFont="1" applyBorder="1" applyAlignment="1">
      <alignment horizontal="center" vertical="top" wrapText="1"/>
    </xf>
    <xf numFmtId="0" fontId="26" fillId="2" borderId="0" xfId="3" applyFont="1" applyFill="1" applyAlignment="1">
      <alignment horizontal="left" vertical="top" wrapText="1"/>
    </xf>
    <xf numFmtId="0" fontId="22" fillId="0" borderId="13" xfId="3" applyFont="1" applyBorder="1" applyAlignment="1">
      <alignment horizontal="center" vertical="top"/>
    </xf>
    <xf numFmtId="0" fontId="22" fillId="0" borderId="0" xfId="3" applyFont="1" applyAlignment="1">
      <alignment horizontal="left" vertical="top"/>
    </xf>
    <xf numFmtId="0" fontId="22" fillId="0" borderId="0" xfId="3" applyFont="1" applyAlignment="1">
      <alignment horizontal="left" vertical="top" wrapText="1"/>
    </xf>
    <xf numFmtId="0" fontId="18" fillId="0" borderId="0" xfId="3" applyFont="1" applyAlignment="1">
      <alignment horizontal="left"/>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topLeftCell="A17" zoomScale="85" zoomScaleNormal="85" workbookViewId="0">
      <selection activeCell="J45" sqref="J45"/>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757</v>
      </c>
      <c r="G5" s="180"/>
      <c r="H5" s="180"/>
      <c r="I5" s="180"/>
      <c r="J5" s="47"/>
      <c r="K5" s="47"/>
      <c r="L5" s="48"/>
      <c r="M5" s="48"/>
      <c r="N5" s="48"/>
    </row>
    <row r="6" spans="1:17" ht="15.75" x14ac:dyDescent="0.2">
      <c r="A6" s="173" t="s">
        <v>1</v>
      </c>
      <c r="B6" s="173"/>
      <c r="C6" s="173"/>
      <c r="D6" s="173"/>
      <c r="E6" s="173"/>
      <c r="F6" s="181">
        <v>1</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HEALTH AND HUMAN SERVICES</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25625213</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f>J15</f>
        <v>25625213</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c r="Q21" s="28"/>
    </row>
    <row r="22" spans="1:17" ht="16.5" customHeight="1" x14ac:dyDescent="0.2">
      <c r="A22" s="56"/>
      <c r="B22" s="58"/>
      <c r="C22" s="58"/>
      <c r="D22" s="58"/>
      <c r="E22" s="58"/>
      <c r="F22" s="58"/>
      <c r="G22" s="58"/>
      <c r="H22" s="58"/>
      <c r="I22" s="58"/>
      <c r="J22" s="29">
        <f>ROUND(SUM(J15:J17),2)</f>
        <v>25625213</v>
      </c>
      <c r="K22" s="29">
        <f>ROUND(SUM(K18:K21),2)</f>
        <v>25625213</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v>4858632</v>
      </c>
      <c r="K28" s="33"/>
      <c r="L28" s="54"/>
    </row>
    <row r="29" spans="1:17" ht="16.5" customHeight="1" x14ac:dyDescent="0.25">
      <c r="A29" s="56"/>
      <c r="B29" s="57"/>
      <c r="C29" s="165" t="s">
        <v>1578</v>
      </c>
      <c r="D29" s="165"/>
      <c r="E29" s="165"/>
      <c r="F29" s="165"/>
      <c r="G29" s="165"/>
      <c r="H29" s="165"/>
      <c r="I29" s="165"/>
      <c r="J29" s="33"/>
      <c r="K29" s="32">
        <v>4858632</v>
      </c>
      <c r="L29" s="54"/>
    </row>
    <row r="30" spans="1:17" ht="16.5" customHeight="1" x14ac:dyDescent="0.25">
      <c r="A30" s="56"/>
      <c r="B30" s="57"/>
      <c r="C30" s="165" t="str">
        <f>VLOOKUP($F$8,'Drop Down Menus'!$D$2:$G$10,4,FALSE)</f>
        <v>Cr: Acct 0815 - HLTH&amp;HUM SV SV.LAB(GAAP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4858632</v>
      </c>
      <c r="K31" s="29">
        <f>ROUND(SUM(K28:K30),2)</f>
        <v>4858632</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v>4858632</v>
      </c>
      <c r="K34" s="70"/>
      <c r="L34" s="54"/>
    </row>
    <row r="35" spans="1:12" ht="16.5" customHeight="1" x14ac:dyDescent="0.2">
      <c r="B35" s="165" t="s">
        <v>1579</v>
      </c>
      <c r="C35" s="165"/>
      <c r="D35" s="165"/>
      <c r="E35" s="165"/>
      <c r="F35" s="165"/>
      <c r="G35" s="165"/>
      <c r="H35" s="165"/>
      <c r="I35" s="165"/>
      <c r="J35" s="32">
        <v>4858632</v>
      </c>
      <c r="K35" s="36"/>
    </row>
    <row r="36" spans="1:12" ht="16.5" customHeight="1" x14ac:dyDescent="0.2">
      <c r="A36" s="56"/>
      <c r="B36" s="71"/>
      <c r="C36" s="165" t="s">
        <v>1581</v>
      </c>
      <c r="D36" s="165"/>
      <c r="E36" s="165"/>
      <c r="F36" s="165"/>
      <c r="G36" s="165"/>
      <c r="H36" s="165"/>
      <c r="I36" s="165"/>
      <c r="J36" s="36"/>
      <c r="K36" s="32">
        <f>J34</f>
        <v>4858632</v>
      </c>
    </row>
    <row r="37" spans="1:12" ht="16.5" customHeight="1" x14ac:dyDescent="0.2">
      <c r="A37" s="56"/>
      <c r="C37" s="165" t="s">
        <v>1626</v>
      </c>
      <c r="D37" s="165"/>
      <c r="E37" s="165"/>
      <c r="F37" s="165"/>
      <c r="G37" s="165"/>
      <c r="H37" s="165"/>
      <c r="I37" s="165"/>
      <c r="J37" s="36"/>
      <c r="K37" s="32">
        <f>J35</f>
        <v>4858632</v>
      </c>
    </row>
    <row r="38" spans="1:12" ht="16.5" customHeight="1" x14ac:dyDescent="0.25">
      <c r="A38" s="56"/>
      <c r="B38" s="57"/>
      <c r="C38" s="165" t="str">
        <f>VLOOKUP($F$8,'Drop Down Menus'!$D$2:$G$10,4,FALSE)</f>
        <v>Cr: Acct 0815 - HLTH&amp;HUM SV SV.LAB(GAAP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9717264</v>
      </c>
      <c r="K39" s="29">
        <f>ROUND(SUM(K36:K38),2)</f>
        <v>9717264</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10308705</v>
      </c>
      <c r="K45" s="33"/>
    </row>
    <row r="46" spans="1:12" ht="16.5" customHeight="1" x14ac:dyDescent="0.2">
      <c r="A46" s="56"/>
      <c r="B46" s="71"/>
      <c r="C46" s="165" t="s">
        <v>1587</v>
      </c>
      <c r="D46" s="165"/>
      <c r="E46" s="165"/>
      <c r="F46" s="165"/>
      <c r="G46" s="165"/>
      <c r="H46" s="165"/>
      <c r="I46" s="165"/>
      <c r="J46" s="36"/>
      <c r="K46" s="32">
        <f>J45</f>
        <v>10308705</v>
      </c>
    </row>
    <row r="47" spans="1:12" ht="16.5" customHeight="1" x14ac:dyDescent="0.2">
      <c r="A47" s="68"/>
      <c r="B47" s="58"/>
      <c r="C47" s="58"/>
      <c r="D47" s="58"/>
      <c r="E47" s="58"/>
      <c r="F47" s="58"/>
      <c r="G47" s="58"/>
      <c r="H47" s="58"/>
      <c r="I47" s="58"/>
      <c r="J47" s="39">
        <f>ROUND(SUM(J45:J45),2)</f>
        <v>10308705</v>
      </c>
      <c r="K47" s="39">
        <f>ROUND(SUM(K46),2)</f>
        <v>10308705</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6413077</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574860</v>
      </c>
      <c r="K51" s="81"/>
    </row>
    <row r="52" spans="1:12" ht="16.5" customHeight="1" x14ac:dyDescent="0.25">
      <c r="A52" s="56"/>
      <c r="B52" s="57"/>
      <c r="C52" s="165" t="str">
        <f>VLOOKUP($F$8,'Drop Down Menus'!$D$2:$G$10,4,FALSE)</f>
        <v>Cr: Acct 0815 - HLTH&amp;HUM SV SV.LAB(GAAP ADJ)</v>
      </c>
      <c r="D52" s="165"/>
      <c r="E52" s="165"/>
      <c r="F52" s="165"/>
      <c r="G52" s="165"/>
      <c r="H52" s="165"/>
      <c r="I52" s="165"/>
      <c r="J52" s="81"/>
      <c r="K52" s="38">
        <f>+J50+J51</f>
        <v>6987937</v>
      </c>
    </row>
    <row r="53" spans="1:12" ht="16.5" customHeight="1" x14ac:dyDescent="0.2">
      <c r="A53" s="68"/>
      <c r="B53" s="58"/>
      <c r="C53" s="58"/>
      <c r="D53" s="58"/>
      <c r="E53" s="58"/>
      <c r="F53" s="58"/>
      <c r="G53" s="58"/>
      <c r="H53" s="58"/>
      <c r="I53" s="58"/>
      <c r="J53" s="39">
        <f>ROUND(SUM(J50:J51),2)</f>
        <v>6987937</v>
      </c>
      <c r="K53" s="39">
        <f>ROUND(SUM(K52,),2)</f>
        <v>6987937</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v>6413077</v>
      </c>
      <c r="K56" s="36"/>
    </row>
    <row r="57" spans="1:12" ht="16.5" customHeight="1" x14ac:dyDescent="0.25">
      <c r="A57" s="56"/>
      <c r="B57" s="57"/>
      <c r="C57" s="165" t="s">
        <v>1613</v>
      </c>
      <c r="D57" s="165"/>
      <c r="E57" s="165"/>
      <c r="F57" s="165"/>
      <c r="G57" s="165"/>
      <c r="H57" s="165"/>
      <c r="I57" s="165"/>
      <c r="J57" s="36"/>
      <c r="K57" s="32">
        <f>J50</f>
        <v>6413077</v>
      </c>
    </row>
    <row r="58" spans="1:12" ht="16.5" customHeight="1" x14ac:dyDescent="0.2">
      <c r="A58" s="68"/>
      <c r="B58" s="58"/>
      <c r="C58" s="58"/>
      <c r="D58" s="58"/>
      <c r="E58" s="58"/>
      <c r="F58" s="58"/>
      <c r="G58" s="58"/>
      <c r="H58" s="58"/>
      <c r="I58" s="58"/>
      <c r="J58" s="39">
        <f>ROUND(SUM(J56:J56),2)</f>
        <v>6413077</v>
      </c>
      <c r="K58" s="39">
        <f>ROUND(SUM(K57),2)</f>
        <v>6413077</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10886377</v>
      </c>
      <c r="K61" s="33"/>
    </row>
    <row r="62" spans="1:12" ht="16.5" customHeight="1" x14ac:dyDescent="0.25">
      <c r="A62" s="56"/>
      <c r="B62" s="57"/>
      <c r="C62" s="165" t="s">
        <v>1623</v>
      </c>
      <c r="D62" s="165"/>
      <c r="E62" s="165"/>
      <c r="F62" s="165"/>
      <c r="G62" s="165"/>
      <c r="H62" s="165"/>
      <c r="I62" s="165"/>
      <c r="J62" s="33"/>
      <c r="K62" s="32">
        <f>J61</f>
        <v>10886377</v>
      </c>
    </row>
    <row r="63" spans="1:12" ht="16.5" customHeight="1" x14ac:dyDescent="0.2">
      <c r="A63" s="56"/>
      <c r="B63" s="166" t="s">
        <v>1622</v>
      </c>
      <c r="C63" s="166"/>
      <c r="D63" s="166"/>
      <c r="E63" s="166"/>
      <c r="F63" s="166"/>
      <c r="G63" s="166"/>
      <c r="H63" s="166"/>
      <c r="I63" s="166"/>
      <c r="J63" s="39">
        <f>ROUND(SUM(J61:J61),2)</f>
        <v>10886377</v>
      </c>
      <c r="K63" s="39">
        <f>ROUND(SUM(K62),2)</f>
        <v>10886377</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tr">
        <f>VLOOKUP($F$8,'Drop Down Menus'!$D$2:$G$10,4,FALSE)</f>
        <v>Cr: Acct 0815 - HLTH&amp;HUM SV SV.LAB(GAAP ADJ)</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tr">
        <f>VLOOKUP($F$8,'Drop Down Menus'!$D$2:$G$10,4,FALSE)</f>
        <v>Cr: Acct 0815 - HLTH&amp;HUM SV SV.LAB(GAAP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30483845</v>
      </c>
    </row>
    <row r="95" spans="1:12" ht="16.5" customHeight="1" x14ac:dyDescent="0.25">
      <c r="D95" s="57" t="s">
        <v>1641</v>
      </c>
      <c r="E95"/>
      <c r="F95"/>
      <c r="G95"/>
      <c r="H95" s="44"/>
      <c r="I95"/>
      <c r="J95"/>
      <c r="K95" s="162">
        <f>-K18-K46+J68+J77</f>
        <v>-10308705</v>
      </c>
    </row>
    <row r="96" spans="1:12" ht="16.5" customHeight="1" x14ac:dyDescent="0.25">
      <c r="D96" s="57" t="s">
        <v>1639</v>
      </c>
      <c r="E96"/>
      <c r="F96"/>
      <c r="G96"/>
      <c r="H96" s="44"/>
      <c r="I96"/>
      <c r="J96"/>
      <c r="K96" s="162">
        <f>-K19-K37+J56+J61+J76-K85</f>
        <v>-13184391</v>
      </c>
    </row>
    <row r="97" spans="1:11" ht="16.5" customHeight="1" x14ac:dyDescent="0.25">
      <c r="D97" s="57" t="s">
        <v>1640</v>
      </c>
      <c r="E97"/>
      <c r="F97"/>
      <c r="G97"/>
      <c r="H97" s="44"/>
      <c r="I97"/>
      <c r="J97"/>
      <c r="K97" s="162">
        <f>-K62</f>
        <v>-10886377</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5YC31pl6lhcUsGKv26mxfU+NxDFe//4sCii5pp93sa8QhqWH9reavkP+oJsvBP44O9ja4AspYbcJzS7+Q7KCQQ==" saltValue="6CO8WFetHxj9ywF1z50t0w==" spinCount="100000" sheet="1" objects="1" scenarios="1" formatColumns="0" formatRows="0"/>
  <mergeCells count="58">
    <mergeCell ref="B68:I68"/>
    <mergeCell ref="C69:I69"/>
    <mergeCell ref="C62:I62"/>
    <mergeCell ref="B61:I61"/>
    <mergeCell ref="C52:I52"/>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29:I29"/>
    <mergeCell ref="C30:I30"/>
    <mergeCell ref="B34:I34"/>
    <mergeCell ref="B33:K33"/>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s>
  <conditionalFormatting sqref="L1 L3:L1048576">
    <cfRule type="cellIs" dxfId="23"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7559C-63CA-491F-A95D-0C9B822F82D6}">
  <sheetPr>
    <tabColor rgb="FF92D050"/>
    <pageSetUpPr fitToPage="1"/>
  </sheetPr>
  <dimension ref="A1:Q115"/>
  <sheetViews>
    <sheetView topLeftCell="A15" zoomScale="85" zoomScaleNormal="85" workbookViewId="0">
      <selection activeCell="J62" sqref="J62"/>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1643</v>
      </c>
      <c r="G4" s="172"/>
      <c r="H4" s="172"/>
      <c r="I4" s="172"/>
    </row>
    <row r="5" spans="1:17" ht="15.75" x14ac:dyDescent="0.2">
      <c r="A5" s="173" t="s">
        <v>1602</v>
      </c>
      <c r="B5" s="173"/>
      <c r="C5" s="173"/>
      <c r="D5" s="173"/>
      <c r="E5" s="173"/>
      <c r="F5" s="180" t="s">
        <v>757</v>
      </c>
      <c r="G5" s="180"/>
      <c r="H5" s="180"/>
      <c r="I5" s="180"/>
      <c r="J5" s="47"/>
      <c r="K5" s="47"/>
      <c r="L5" s="48"/>
      <c r="M5" s="48"/>
      <c r="N5" s="48"/>
    </row>
    <row r="6" spans="1:17" ht="15.75" x14ac:dyDescent="0.2">
      <c r="A6" s="173" t="s">
        <v>1</v>
      </c>
      <c r="B6" s="173"/>
      <c r="C6" s="173"/>
      <c r="D6" s="173"/>
      <c r="E6" s="173"/>
      <c r="F6" s="181">
        <v>203</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HEALTH AND HUMAN SERVICES</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113837</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f>J15</f>
        <v>113837</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c r="Q21" s="28"/>
    </row>
    <row r="22" spans="1:17" ht="16.5" customHeight="1" x14ac:dyDescent="0.2">
      <c r="A22" s="56"/>
      <c r="B22" s="58"/>
      <c r="C22" s="58"/>
      <c r="D22" s="58"/>
      <c r="E22" s="58"/>
      <c r="F22" s="58"/>
      <c r="G22" s="58"/>
      <c r="H22" s="58"/>
      <c r="I22" s="58"/>
      <c r="J22" s="29">
        <f>ROUND(SUM(J15:J17),2)</f>
        <v>113837</v>
      </c>
      <c r="K22" s="29">
        <f>ROUND(SUM(K18:K21),2)</f>
        <v>113837</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c r="K28" s="33"/>
      <c r="L28" s="54"/>
    </row>
    <row r="29" spans="1:17" ht="16.5" customHeight="1" x14ac:dyDescent="0.25">
      <c r="A29" s="56"/>
      <c r="B29" s="57"/>
      <c r="C29" s="165" t="s">
        <v>1578</v>
      </c>
      <c r="D29" s="165"/>
      <c r="E29" s="165"/>
      <c r="F29" s="165"/>
      <c r="G29" s="165"/>
      <c r="H29" s="165"/>
      <c r="I29" s="165"/>
      <c r="J29" s="33"/>
      <c r="K29" s="32"/>
      <c r="L29" s="54"/>
    </row>
    <row r="30" spans="1:17" ht="16.5" customHeight="1" x14ac:dyDescent="0.25">
      <c r="A30" s="56"/>
      <c r="B30" s="57"/>
      <c r="C30" s="165" t="str">
        <f>VLOOKUP($F$8,'Drop Down Menus'!$D$2:$G$10,4,FALSE)</f>
        <v>Cr: Acct 0815 - HLTH&amp;HUM SV SV.LAB(GAAP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c r="K34" s="70"/>
      <c r="L34" s="54"/>
    </row>
    <row r="35" spans="1:12" ht="16.5" customHeight="1" x14ac:dyDescent="0.2">
      <c r="B35" s="165" t="s">
        <v>1579</v>
      </c>
      <c r="C35" s="165"/>
      <c r="D35" s="165"/>
      <c r="E35" s="165"/>
      <c r="F35" s="165"/>
      <c r="G35" s="165"/>
      <c r="H35" s="165"/>
      <c r="I35" s="165"/>
      <c r="J35" s="32"/>
      <c r="K35" s="36"/>
    </row>
    <row r="36" spans="1:12" ht="16.5" customHeight="1" x14ac:dyDescent="0.2">
      <c r="A36" s="56"/>
      <c r="B36" s="71"/>
      <c r="C36" s="165" t="s">
        <v>1581</v>
      </c>
      <c r="D36" s="165"/>
      <c r="E36" s="165"/>
      <c r="F36" s="165"/>
      <c r="G36" s="165"/>
      <c r="H36" s="165"/>
      <c r="I36" s="165"/>
      <c r="J36" s="36"/>
      <c r="K36" s="32"/>
    </row>
    <row r="37" spans="1:12" ht="16.5" customHeight="1" x14ac:dyDescent="0.2">
      <c r="A37" s="56"/>
      <c r="C37" s="165" t="s">
        <v>1626</v>
      </c>
      <c r="D37" s="165"/>
      <c r="E37" s="165"/>
      <c r="F37" s="165"/>
      <c r="G37" s="165"/>
      <c r="H37" s="165"/>
      <c r="I37" s="165"/>
      <c r="J37" s="36"/>
      <c r="K37" s="32"/>
    </row>
    <row r="38" spans="1:12" ht="16.5" customHeight="1" x14ac:dyDescent="0.25">
      <c r="A38" s="56"/>
      <c r="B38" s="57"/>
      <c r="C38" s="165" t="str">
        <f>VLOOKUP($F$8,'Drop Down Menus'!$D$2:$G$10,4,FALSE)</f>
        <v>Cr: Acct 0815 - HLTH&amp;HUM SV SV.LAB(GAAP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48761</v>
      </c>
      <c r="K45" s="33"/>
    </row>
    <row r="46" spans="1:12" ht="16.5" customHeight="1" x14ac:dyDescent="0.2">
      <c r="A46" s="56"/>
      <c r="B46" s="71"/>
      <c r="C46" s="165" t="s">
        <v>1587</v>
      </c>
      <c r="D46" s="165"/>
      <c r="E46" s="165"/>
      <c r="F46" s="165"/>
      <c r="G46" s="165"/>
      <c r="H46" s="165"/>
      <c r="I46" s="165"/>
      <c r="J46" s="36"/>
      <c r="K46" s="32">
        <f>J45</f>
        <v>48761</v>
      </c>
    </row>
    <row r="47" spans="1:12" ht="16.5" customHeight="1" x14ac:dyDescent="0.2">
      <c r="A47" s="68"/>
      <c r="B47" s="58"/>
      <c r="C47" s="58"/>
      <c r="D47" s="58"/>
      <c r="E47" s="58"/>
      <c r="F47" s="58"/>
      <c r="G47" s="58"/>
      <c r="H47" s="58"/>
      <c r="I47" s="58"/>
      <c r="J47" s="39">
        <f>ROUND(SUM(J45:J45),2)</f>
        <v>48761</v>
      </c>
      <c r="K47" s="39">
        <f>ROUND(SUM(K46),2)</f>
        <v>48761</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33805</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2325</v>
      </c>
      <c r="K51" s="81"/>
    </row>
    <row r="52" spans="1:12" ht="16.5" customHeight="1" x14ac:dyDescent="0.25">
      <c r="A52" s="56"/>
      <c r="B52" s="57"/>
      <c r="C52" s="165" t="str">
        <f>VLOOKUP($F$8,'Drop Down Menus'!$D$2:$G$10,4,FALSE)</f>
        <v>Cr: Acct 0815 - HLTH&amp;HUM SV SV.LAB(GAAP ADJ)</v>
      </c>
      <c r="D52" s="165"/>
      <c r="E52" s="165"/>
      <c r="F52" s="165"/>
      <c r="G52" s="165"/>
      <c r="H52" s="165"/>
      <c r="I52" s="165"/>
      <c r="J52" s="81"/>
      <c r="K52" s="38">
        <f>+J50+J51</f>
        <v>36130</v>
      </c>
    </row>
    <row r="53" spans="1:12" ht="16.5" customHeight="1" x14ac:dyDescent="0.2">
      <c r="A53" s="68"/>
      <c r="B53" s="58"/>
      <c r="C53" s="58"/>
      <c r="D53" s="58"/>
      <c r="E53" s="58"/>
      <c r="F53" s="58"/>
      <c r="G53" s="58"/>
      <c r="H53" s="58"/>
      <c r="I53" s="58"/>
      <c r="J53" s="39">
        <f>ROUND(SUM(J50:J51),2)</f>
        <v>36130</v>
      </c>
      <c r="K53" s="39">
        <f>ROUND(SUM(K52,),2)</f>
        <v>36130</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v>33805</v>
      </c>
      <c r="K56" s="36"/>
    </row>
    <row r="57" spans="1:12" ht="16.5" customHeight="1" x14ac:dyDescent="0.25">
      <c r="A57" s="56"/>
      <c r="B57" s="57"/>
      <c r="C57" s="165" t="s">
        <v>1613</v>
      </c>
      <c r="D57" s="165"/>
      <c r="E57" s="165"/>
      <c r="F57" s="165"/>
      <c r="G57" s="165"/>
      <c r="H57" s="165"/>
      <c r="I57" s="165"/>
      <c r="J57" s="36"/>
      <c r="K57" s="32">
        <f>J50</f>
        <v>33805</v>
      </c>
    </row>
    <row r="58" spans="1:12" ht="16.5" customHeight="1" x14ac:dyDescent="0.2">
      <c r="A58" s="68"/>
      <c r="B58" s="58"/>
      <c r="C58" s="58"/>
      <c r="D58" s="58"/>
      <c r="E58" s="58"/>
      <c r="F58" s="58"/>
      <c r="G58" s="58"/>
      <c r="H58" s="58"/>
      <c r="I58" s="58"/>
      <c r="J58" s="39">
        <f>ROUND(SUM(J56:J56),2)</f>
        <v>33805</v>
      </c>
      <c r="K58" s="39">
        <f>ROUND(SUM(K57),2)</f>
        <v>33805</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34626</v>
      </c>
      <c r="K61" s="33"/>
    </row>
    <row r="62" spans="1:12" ht="16.5" customHeight="1" x14ac:dyDescent="0.25">
      <c r="A62" s="56"/>
      <c r="B62" s="57"/>
      <c r="C62" s="165" t="s">
        <v>1623</v>
      </c>
      <c r="D62" s="165"/>
      <c r="E62" s="165"/>
      <c r="F62" s="165"/>
      <c r="G62" s="165"/>
      <c r="H62" s="165"/>
      <c r="I62" s="165"/>
      <c r="J62" s="33"/>
      <c r="K62" s="32">
        <f>J61</f>
        <v>34626</v>
      </c>
    </row>
    <row r="63" spans="1:12" ht="16.5" customHeight="1" x14ac:dyDescent="0.2">
      <c r="A63" s="56"/>
      <c r="B63" s="166" t="s">
        <v>1622</v>
      </c>
      <c r="C63" s="166"/>
      <c r="D63" s="166"/>
      <c r="E63" s="166"/>
      <c r="F63" s="166"/>
      <c r="G63" s="166"/>
      <c r="H63" s="166"/>
      <c r="I63" s="166"/>
      <c r="J63" s="39">
        <f>ROUND(SUM(J61:J61),2)</f>
        <v>34626</v>
      </c>
      <c r="K63" s="39">
        <f>ROUND(SUM(K62),2)</f>
        <v>34626</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
        <v>1523</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
        <v>1523</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113837</v>
      </c>
    </row>
    <row r="95" spans="1:12" ht="16.5" customHeight="1" x14ac:dyDescent="0.25">
      <c r="D95" s="57" t="s">
        <v>1641</v>
      </c>
      <c r="E95"/>
      <c r="F95"/>
      <c r="G95"/>
      <c r="H95" s="44"/>
      <c r="I95"/>
      <c r="J95"/>
      <c r="K95" s="162">
        <f>-K18-K46+J68+J77</f>
        <v>-48761</v>
      </c>
    </row>
    <row r="96" spans="1:12" ht="16.5" customHeight="1" x14ac:dyDescent="0.25">
      <c r="D96" s="57" t="s">
        <v>1639</v>
      </c>
      <c r="E96"/>
      <c r="F96"/>
      <c r="G96"/>
      <c r="H96" s="44"/>
      <c r="I96"/>
      <c r="J96"/>
      <c r="K96" s="162">
        <f>-K19-K37+J56+J61+J76-K85</f>
        <v>-45406</v>
      </c>
    </row>
    <row r="97" spans="1:11" ht="16.5" customHeight="1" x14ac:dyDescent="0.25">
      <c r="D97" s="57" t="s">
        <v>1640</v>
      </c>
      <c r="E97"/>
      <c r="F97"/>
      <c r="G97"/>
      <c r="H97" s="44"/>
      <c r="I97"/>
      <c r="J97"/>
      <c r="K97" s="162">
        <f>-K62</f>
        <v>-34626</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U9vb29xvgOcjPDKekmpiNRPvdkczFEsn7WKMi4332Pl0CEDE8NrTEZ2cdXxsjJyRDZSSSYCuFyNcEjCu1WeOyQ==" saltValue="2r6By4ubRAGqHcjhZq58kQ=="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2"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1D26DAFA-A059-4D36-90C6-A63E474853F7}">
      <formula1>4</formula1>
    </dataValidation>
    <dataValidation type="textLength" operator="lessThan" allowBlank="1" showInputMessage="1" showErrorMessage="1" sqref="E11 A6:A8" xr:uid="{A1637829-35B5-41E0-A946-D095C14F18BF}">
      <formula1>0</formula1>
    </dataValidation>
    <dataValidation operator="lessThan" allowBlank="1" showInputMessage="1" showErrorMessage="1" sqref="A3:A5 A7:A8 A11" xr:uid="{61775F1A-78AC-4EA5-AA50-B56961D5F0CC}"/>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C069E-BD1A-4500-B9F9-E777A7A5DF55}">
  <sheetPr>
    <tabColor rgb="FF92D050"/>
    <pageSetUpPr fitToPage="1"/>
  </sheetPr>
  <dimension ref="A1:Q115"/>
  <sheetViews>
    <sheetView topLeftCell="A35" zoomScale="85" zoomScaleNormal="85" workbookViewId="0">
      <selection activeCell="J62" sqref="J62"/>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1643</v>
      </c>
      <c r="G4" s="172"/>
      <c r="H4" s="172"/>
      <c r="I4" s="172"/>
    </row>
    <row r="5" spans="1:17" ht="15.75" x14ac:dyDescent="0.2">
      <c r="A5" s="173" t="s">
        <v>1602</v>
      </c>
      <c r="B5" s="173"/>
      <c r="C5" s="173"/>
      <c r="D5" s="173"/>
      <c r="E5" s="173"/>
      <c r="F5" s="180" t="s">
        <v>757</v>
      </c>
      <c r="G5" s="180"/>
      <c r="H5" s="180"/>
      <c r="I5" s="180"/>
      <c r="J5" s="47"/>
      <c r="K5" s="47"/>
      <c r="L5" s="48"/>
      <c r="M5" s="48"/>
      <c r="N5" s="48"/>
    </row>
    <row r="6" spans="1:17" ht="15.75" x14ac:dyDescent="0.2">
      <c r="A6" s="173" t="s">
        <v>1</v>
      </c>
      <c r="B6" s="173"/>
      <c r="C6" s="173"/>
      <c r="D6" s="173"/>
      <c r="E6" s="173"/>
      <c r="F6" s="181">
        <v>890</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HEALTH AND HUMAN SERVICES</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f>J15</f>
        <v>0</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c r="Q21" s="28"/>
    </row>
    <row r="22" spans="1:17" ht="16.5" customHeight="1" x14ac:dyDescent="0.2">
      <c r="A22" s="56"/>
      <c r="B22" s="58"/>
      <c r="C22" s="58"/>
      <c r="D22" s="58"/>
      <c r="E22" s="58"/>
      <c r="F22" s="58"/>
      <c r="G22" s="58"/>
      <c r="H22" s="58"/>
      <c r="I22" s="58"/>
      <c r="J22" s="29">
        <f>ROUND(SUM(J15:J17),2)</f>
        <v>0</v>
      </c>
      <c r="K22" s="29">
        <f>ROUND(SUM(K18:K21),2)</f>
        <v>0</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v>597628.99965595757</v>
      </c>
      <c r="K28" s="33"/>
      <c r="L28" s="54"/>
    </row>
    <row r="29" spans="1:17" ht="16.5" customHeight="1" x14ac:dyDescent="0.25">
      <c r="A29" s="56"/>
      <c r="B29" s="57"/>
      <c r="C29" s="165" t="s">
        <v>1578</v>
      </c>
      <c r="D29" s="165"/>
      <c r="E29" s="165"/>
      <c r="F29" s="165"/>
      <c r="G29" s="165"/>
      <c r="H29" s="165"/>
      <c r="I29" s="165"/>
      <c r="J29" s="33"/>
      <c r="K29" s="32">
        <f>J28</f>
        <v>597628.99965595757</v>
      </c>
      <c r="L29" s="54"/>
    </row>
    <row r="30" spans="1:17" ht="16.5" customHeight="1" x14ac:dyDescent="0.25">
      <c r="A30" s="56"/>
      <c r="B30" s="57"/>
      <c r="C30" s="165" t="str">
        <f>VLOOKUP($F$8,'Drop Down Menus'!$D$2:$G$10,4,FALSE)</f>
        <v>Cr: Acct 0815 - HLTH&amp;HUM SV SV.LAB(GAAP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597629</v>
      </c>
      <c r="K31" s="29">
        <f>ROUND(SUM(K28:K30),2)</f>
        <v>597629</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v>597628.99965595757</v>
      </c>
      <c r="K34" s="70"/>
      <c r="L34" s="54"/>
    </row>
    <row r="35" spans="1:12" ht="16.5" customHeight="1" x14ac:dyDescent="0.2">
      <c r="B35" s="165" t="s">
        <v>1579</v>
      </c>
      <c r="C35" s="165"/>
      <c r="D35" s="165"/>
      <c r="E35" s="165"/>
      <c r="F35" s="165"/>
      <c r="G35" s="165"/>
      <c r="H35" s="165"/>
      <c r="I35" s="165"/>
      <c r="J35" s="32">
        <v>597628.99965595757</v>
      </c>
      <c r="K35" s="36"/>
    </row>
    <row r="36" spans="1:12" ht="16.5" customHeight="1" x14ac:dyDescent="0.2">
      <c r="A36" s="56"/>
      <c r="B36" s="71"/>
      <c r="C36" s="165" t="s">
        <v>1581</v>
      </c>
      <c r="D36" s="165"/>
      <c r="E36" s="165"/>
      <c r="F36" s="165"/>
      <c r="G36" s="165"/>
      <c r="H36" s="165"/>
      <c r="I36" s="165"/>
      <c r="J36" s="36"/>
      <c r="K36" s="32">
        <f>J34</f>
        <v>597628.99965595757</v>
      </c>
    </row>
    <row r="37" spans="1:12" ht="16.5" customHeight="1" x14ac:dyDescent="0.2">
      <c r="A37" s="56"/>
      <c r="C37" s="165" t="s">
        <v>1626</v>
      </c>
      <c r="D37" s="165"/>
      <c r="E37" s="165"/>
      <c r="F37" s="165"/>
      <c r="G37" s="165"/>
      <c r="H37" s="165"/>
      <c r="I37" s="165"/>
      <c r="J37" s="36"/>
      <c r="K37" s="32">
        <f>J35</f>
        <v>597628.99965595757</v>
      </c>
    </row>
    <row r="38" spans="1:12" ht="16.5" customHeight="1" x14ac:dyDescent="0.25">
      <c r="A38" s="56"/>
      <c r="B38" s="57"/>
      <c r="C38" s="165" t="str">
        <f>VLOOKUP($F$8,'Drop Down Menus'!$D$2:$G$10,4,FALSE)</f>
        <v>Cr: Acct 0815 - HLTH&amp;HUM SV SV.LAB(GAAP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1195258</v>
      </c>
      <c r="K39" s="29">
        <f>ROUND(SUM(K36:K38),2)</f>
        <v>1195258</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199210</v>
      </c>
      <c r="K45" s="33"/>
    </row>
    <row r="46" spans="1:12" ht="16.5" customHeight="1" x14ac:dyDescent="0.2">
      <c r="A46" s="56"/>
      <c r="B46" s="71"/>
      <c r="C46" s="165" t="s">
        <v>1587</v>
      </c>
      <c r="D46" s="165"/>
      <c r="E46" s="165"/>
      <c r="F46" s="165"/>
      <c r="G46" s="165"/>
      <c r="H46" s="165"/>
      <c r="I46" s="165"/>
      <c r="J46" s="36"/>
      <c r="K46" s="32">
        <f>J45</f>
        <v>199210</v>
      </c>
    </row>
    <row r="47" spans="1:12" ht="16.5" customHeight="1" x14ac:dyDescent="0.2">
      <c r="A47" s="68"/>
      <c r="B47" s="58"/>
      <c r="C47" s="58"/>
      <c r="D47" s="58"/>
      <c r="E47" s="58"/>
      <c r="F47" s="58"/>
      <c r="G47" s="58"/>
      <c r="H47" s="58"/>
      <c r="I47" s="58"/>
      <c r="J47" s="39">
        <f>ROUND(SUM(J45:J45),2)</f>
        <v>199210</v>
      </c>
      <c r="K47" s="39">
        <f>ROUND(SUM(K46),2)</f>
        <v>199210</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-7208</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7208</v>
      </c>
      <c r="K51" s="81"/>
    </row>
    <row r="52" spans="1:12" ht="16.5" customHeight="1" x14ac:dyDescent="0.25">
      <c r="A52" s="56"/>
      <c r="B52" s="57"/>
      <c r="C52" s="165" t="str">
        <f>VLOOKUP($F$8,'Drop Down Menus'!$D$2:$G$10,4,FALSE)</f>
        <v>Cr: Acct 0815 - HLTH&amp;HUM SV SV.LAB(GAAP ADJ)</v>
      </c>
      <c r="D52" s="165"/>
      <c r="E52" s="165"/>
      <c r="F52" s="165"/>
      <c r="G52" s="165"/>
      <c r="H52" s="165"/>
      <c r="I52" s="165"/>
      <c r="J52" s="81"/>
      <c r="K52" s="38">
        <f>+J50+J51</f>
        <v>0</v>
      </c>
    </row>
    <row r="53" spans="1:12" ht="16.5" customHeight="1" x14ac:dyDescent="0.2">
      <c r="A53" s="68"/>
      <c r="B53" s="58"/>
      <c r="C53" s="58"/>
      <c r="D53" s="58"/>
      <c r="E53" s="58"/>
      <c r="F53" s="58"/>
      <c r="G53" s="58"/>
      <c r="H53" s="58"/>
      <c r="I53" s="58"/>
      <c r="J53" s="39">
        <f>ROUND(SUM(J50:J51),2)</f>
        <v>0</v>
      </c>
      <c r="K53" s="39">
        <f>ROUND(SUM(K52,),2)</f>
        <v>0</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-7208</v>
      </c>
      <c r="K56" s="36"/>
    </row>
    <row r="57" spans="1:12" ht="16.5" customHeight="1" x14ac:dyDescent="0.25">
      <c r="A57" s="56"/>
      <c r="B57" s="57"/>
      <c r="C57" s="165" t="s">
        <v>1613</v>
      </c>
      <c r="D57" s="165"/>
      <c r="E57" s="165"/>
      <c r="F57" s="165"/>
      <c r="G57" s="165"/>
      <c r="H57" s="165"/>
      <c r="I57" s="165"/>
      <c r="J57" s="36"/>
      <c r="K57" s="32">
        <f>J50</f>
        <v>-7208</v>
      </c>
    </row>
    <row r="58" spans="1:12" ht="16.5" customHeight="1" x14ac:dyDescent="0.2">
      <c r="A58" s="68"/>
      <c r="B58" s="58"/>
      <c r="C58" s="58"/>
      <c r="D58" s="58"/>
      <c r="E58" s="58"/>
      <c r="F58" s="58"/>
      <c r="G58" s="58"/>
      <c r="H58" s="58"/>
      <c r="I58" s="58"/>
      <c r="J58" s="39">
        <f>ROUND(SUM(J56:J56),2)</f>
        <v>-7208</v>
      </c>
      <c r="K58" s="39">
        <f>ROUND(SUM(K57),2)</f>
        <v>-7208</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604837</v>
      </c>
      <c r="K61" s="33"/>
    </row>
    <row r="62" spans="1:12" ht="16.5" customHeight="1" x14ac:dyDescent="0.25">
      <c r="A62" s="56"/>
      <c r="B62" s="57"/>
      <c r="C62" s="165" t="s">
        <v>1623</v>
      </c>
      <c r="D62" s="165"/>
      <c r="E62" s="165"/>
      <c r="F62" s="165"/>
      <c r="G62" s="165"/>
      <c r="H62" s="165"/>
      <c r="I62" s="165"/>
      <c r="J62" s="33"/>
      <c r="K62" s="32">
        <f>J61</f>
        <v>604837</v>
      </c>
    </row>
    <row r="63" spans="1:12" ht="16.5" customHeight="1" x14ac:dyDescent="0.2">
      <c r="A63" s="56"/>
      <c r="B63" s="166" t="s">
        <v>1622</v>
      </c>
      <c r="C63" s="166"/>
      <c r="D63" s="166"/>
      <c r="E63" s="166"/>
      <c r="F63" s="166"/>
      <c r="G63" s="166"/>
      <c r="H63" s="166"/>
      <c r="I63" s="166"/>
      <c r="J63" s="39">
        <f>ROUND(SUM(J61:J61),2)</f>
        <v>604837</v>
      </c>
      <c r="K63" s="39">
        <f>ROUND(SUM(K62),2)</f>
        <v>604837</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
        <v>1523</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
        <v>1523</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597628.99965595757</v>
      </c>
    </row>
    <row r="95" spans="1:12" ht="16.5" customHeight="1" x14ac:dyDescent="0.25">
      <c r="D95" s="57" t="s">
        <v>1641</v>
      </c>
      <c r="E95"/>
      <c r="F95"/>
      <c r="G95"/>
      <c r="H95" s="44"/>
      <c r="I95"/>
      <c r="J95"/>
      <c r="K95" s="162">
        <f>-K18-K46+J68+J77</f>
        <v>-199210</v>
      </c>
    </row>
    <row r="96" spans="1:12" ht="16.5" customHeight="1" x14ac:dyDescent="0.25">
      <c r="D96" s="57" t="s">
        <v>1639</v>
      </c>
      <c r="E96"/>
      <c r="F96"/>
      <c r="G96"/>
      <c r="H96" s="44"/>
      <c r="I96"/>
      <c r="J96"/>
      <c r="K96" s="162">
        <f>-K19-K37+J56+J61+J76-K85</f>
        <v>3.4404243342578411E-4</v>
      </c>
    </row>
    <row r="97" spans="1:11" ht="16.5" customHeight="1" x14ac:dyDescent="0.25">
      <c r="D97" s="57" t="s">
        <v>1640</v>
      </c>
      <c r="E97"/>
      <c r="F97"/>
      <c r="G97"/>
      <c r="H97" s="44"/>
      <c r="I97"/>
      <c r="J97"/>
      <c r="K97" s="162">
        <f>-K62</f>
        <v>-604837</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2sNJyyGAp5EcreIuPXXTKBtdorSy9gFbyTDDkoHoKBswX1nGdvQFpUeppGXahdSvZCt8Uhe1FIy3CAXd6wvFag==" saltValue="I/1k5j2qzVFubKXe7RGacA=="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1"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DA31AB93-4179-4E14-9B2F-D588DECCE5FF}">
      <formula1>4</formula1>
    </dataValidation>
    <dataValidation type="textLength" operator="lessThan" allowBlank="1" showInputMessage="1" showErrorMessage="1" sqref="E11 A6:A8" xr:uid="{4EDF053F-A309-48EB-96B9-8546E114E79A}">
      <formula1>0</formula1>
    </dataValidation>
    <dataValidation operator="lessThan" allowBlank="1" showInputMessage="1" showErrorMessage="1" sqref="A3:A5 A7:A8 A11" xr:uid="{E4F13B84-1B27-4D77-BF13-6A126F1968CA}"/>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topLeftCell="A10" zoomScaleNormal="100" workbookViewId="0">
      <selection activeCell="B20" sqref="B20"/>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7" t="s">
        <v>1617</v>
      </c>
      <c r="B1" s="187"/>
      <c r="C1" s="187"/>
      <c r="D1" s="187"/>
    </row>
    <row r="2" spans="1:11" ht="21.75" customHeight="1" x14ac:dyDescent="0.2">
      <c r="A2" s="187"/>
      <c r="B2" s="187"/>
      <c r="C2" s="187"/>
      <c r="D2" s="187"/>
      <c r="E2" s="43"/>
      <c r="F2" s="43"/>
      <c r="G2" s="43"/>
      <c r="H2" s="43"/>
      <c r="I2" s="43"/>
      <c r="J2" s="43"/>
    </row>
    <row r="3" spans="1:11" ht="32.25" customHeight="1" x14ac:dyDescent="0.25">
      <c r="A3" s="190" t="s">
        <v>1615</v>
      </c>
      <c r="B3" s="190"/>
      <c r="C3" s="190"/>
      <c r="D3" s="190"/>
      <c r="E3" s="90"/>
      <c r="F3" s="90"/>
      <c r="G3" s="90"/>
      <c r="H3" s="90"/>
      <c r="I3" s="90"/>
      <c r="J3" s="90"/>
      <c r="K3" s="90"/>
    </row>
    <row r="4" spans="1:11" ht="15.75" customHeight="1" x14ac:dyDescent="0.25">
      <c r="A4" s="191" t="s">
        <v>1616</v>
      </c>
      <c r="B4" s="191"/>
      <c r="C4" s="191"/>
      <c r="D4" s="191"/>
      <c r="E4" s="90"/>
      <c r="F4" s="90"/>
      <c r="G4" s="90"/>
      <c r="H4" s="90"/>
      <c r="I4" s="90"/>
      <c r="J4" s="90"/>
      <c r="K4" s="90"/>
    </row>
    <row r="5" spans="1:11" ht="15.75" customHeight="1" x14ac:dyDescent="0.25">
      <c r="A5" s="189" t="s">
        <v>4</v>
      </c>
      <c r="B5" s="189"/>
      <c r="C5" s="189"/>
      <c r="D5" s="89"/>
      <c r="E5" s="90"/>
      <c r="F5" s="90"/>
      <c r="G5" s="90"/>
      <c r="H5" s="90"/>
      <c r="I5" s="90"/>
      <c r="J5" s="90"/>
      <c r="K5" s="90"/>
    </row>
    <row r="6" spans="1:11" ht="15.75" customHeight="1" x14ac:dyDescent="0.25">
      <c r="A6" s="189"/>
      <c r="B6" s="189"/>
      <c r="C6" s="189"/>
      <c r="D6" s="89"/>
      <c r="E6" s="90"/>
      <c r="F6" s="90"/>
      <c r="G6" s="90"/>
      <c r="H6" s="90"/>
      <c r="I6" s="90"/>
      <c r="J6" s="90"/>
      <c r="K6" s="90"/>
    </row>
    <row r="7" spans="1:11" ht="15.75" customHeight="1" x14ac:dyDescent="0.25">
      <c r="A7" s="189" t="s">
        <v>5</v>
      </c>
      <c r="B7" s="189"/>
      <c r="C7" s="189"/>
      <c r="D7" s="89"/>
      <c r="E7" s="90"/>
      <c r="F7" s="90"/>
      <c r="G7" s="90"/>
      <c r="H7" s="90"/>
      <c r="I7" s="90"/>
      <c r="J7" s="90"/>
      <c r="K7" s="90"/>
    </row>
    <row r="8" spans="1:11" ht="15.75" customHeight="1" x14ac:dyDescent="0.25">
      <c r="A8" s="189"/>
      <c r="B8" s="189"/>
      <c r="C8" s="189"/>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92" t="s">
        <v>16</v>
      </c>
      <c r="C11" s="192"/>
    </row>
    <row r="12" spans="1:11" ht="15" customHeight="1" x14ac:dyDescent="0.25">
      <c r="A12" s="92" t="s">
        <v>1601</v>
      </c>
      <c r="B12" s="193">
        <v>4265</v>
      </c>
      <c r="C12" s="193"/>
    </row>
    <row r="13" spans="1:11" ht="15.75" x14ac:dyDescent="0.25">
      <c r="A13" s="92" t="s">
        <v>1600</v>
      </c>
      <c r="B13" s="188" t="s">
        <v>1642</v>
      </c>
      <c r="C13" s="188"/>
      <c r="E13" s="93"/>
      <c r="F13" s="93"/>
      <c r="G13" s="93"/>
      <c r="H13" s="93"/>
      <c r="I13" s="93"/>
      <c r="J13" s="93"/>
      <c r="K13" s="93"/>
    </row>
    <row r="14" spans="1:11" ht="23.25" customHeight="1" x14ac:dyDescent="0.2">
      <c r="A14" s="182" t="s">
        <v>6</v>
      </c>
      <c r="B14" s="182"/>
      <c r="C14" s="182"/>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11525840</v>
      </c>
      <c r="C16" s="2">
        <v>482374</v>
      </c>
      <c r="D16" s="185" t="s">
        <v>1537</v>
      </c>
      <c r="E16" s="97"/>
      <c r="F16" s="97"/>
      <c r="G16" s="97"/>
      <c r="H16" s="97"/>
      <c r="I16" s="97"/>
      <c r="J16" s="97"/>
      <c r="K16" s="97"/>
    </row>
    <row r="17" spans="1:11" ht="15" customHeight="1" x14ac:dyDescent="0.2">
      <c r="A17" s="94" t="str">
        <f>LEFT(A16,4)+1&amp;"–"&amp;RIGHT(A16,4)+1</f>
        <v>2024–2025</v>
      </c>
      <c r="B17" s="2">
        <v>4934529</v>
      </c>
      <c r="C17" s="2">
        <v>255839</v>
      </c>
      <c r="D17" s="185"/>
      <c r="E17" s="97"/>
      <c r="F17" s="97"/>
      <c r="G17" s="97"/>
      <c r="H17" s="97"/>
      <c r="I17" s="97"/>
      <c r="J17" s="97"/>
      <c r="K17" s="97"/>
    </row>
    <row r="18" spans="1:11" ht="15" customHeight="1" x14ac:dyDescent="0.2">
      <c r="A18" s="94" t="str">
        <f>LEFT(A17,4)+1&amp;"–"&amp;RIGHT(A17,4)+1</f>
        <v>2025–2026</v>
      </c>
      <c r="B18" s="2">
        <v>7616206</v>
      </c>
      <c r="C18" s="2">
        <v>131602</v>
      </c>
      <c r="D18" s="25" t="s">
        <v>116</v>
      </c>
      <c r="E18" s="97"/>
      <c r="F18" s="97"/>
      <c r="G18" s="97"/>
      <c r="H18" s="97"/>
      <c r="I18" s="97"/>
      <c r="J18" s="97"/>
      <c r="K18" s="97"/>
    </row>
    <row r="19" spans="1:11" ht="15" customHeight="1" x14ac:dyDescent="0.2">
      <c r="A19" s="94" t="str">
        <f>LEFT(A18,4)+1&amp;"–"&amp;RIGHT(A18,4)+1</f>
        <v>2026–2027</v>
      </c>
      <c r="B19" s="2">
        <v>679062</v>
      </c>
      <c r="C19" s="2">
        <v>9927</v>
      </c>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6"/>
      <c r="E22" s="95"/>
      <c r="F22" s="95"/>
      <c r="G22" s="95"/>
      <c r="H22" s="95"/>
      <c r="I22" s="95"/>
      <c r="J22" s="95"/>
      <c r="K22" s="95"/>
    </row>
    <row r="23" spans="1:11" ht="15" customHeight="1" x14ac:dyDescent="0.25">
      <c r="A23" s="94" t="str">
        <f t="shared" si="0"/>
        <v>2038–2043</v>
      </c>
      <c r="B23" s="2"/>
      <c r="C23" s="2"/>
      <c r="D23" s="23">
        <v>0</v>
      </c>
      <c r="E23" s="95"/>
      <c r="F23" s="95"/>
      <c r="G23" s="95"/>
      <c r="H23" s="95"/>
      <c r="I23" s="95"/>
      <c r="J23" s="95"/>
      <c r="K23" s="95"/>
    </row>
    <row r="24" spans="1:11" ht="15" customHeight="1" x14ac:dyDescent="0.2">
      <c r="A24" s="94" t="str">
        <f t="shared" si="0"/>
        <v>2043–2048</v>
      </c>
      <c r="B24" s="2"/>
      <c r="C24" s="2"/>
      <c r="D24"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6"/>
      <c r="E25" s="98"/>
      <c r="F25" s="98"/>
      <c r="G25" s="98"/>
      <c r="H25" s="98"/>
      <c r="I25" s="98"/>
      <c r="J25" s="98"/>
      <c r="K25" s="98"/>
    </row>
    <row r="26" spans="1:11" ht="15" customHeight="1" x14ac:dyDescent="0.2">
      <c r="A26" s="94" t="str">
        <f t="shared" si="0"/>
        <v>2053–2058</v>
      </c>
      <c r="B26" s="2"/>
      <c r="C26" s="2"/>
      <c r="D26" s="23">
        <v>0</v>
      </c>
      <c r="E26" s="99"/>
      <c r="F26" s="99"/>
      <c r="G26" s="99"/>
      <c r="H26" s="99"/>
      <c r="I26" s="99"/>
    </row>
    <row r="27" spans="1:11" ht="15" customHeight="1" x14ac:dyDescent="0.2">
      <c r="A27" s="94" t="str">
        <f t="shared" si="0"/>
        <v>2058–2063</v>
      </c>
      <c r="B27" s="2"/>
      <c r="C27" s="2"/>
      <c r="D27" s="186"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6"/>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6"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6"/>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83" t="str">
        <f>B11</f>
        <v>2022–2023</v>
      </c>
      <c r="C42" s="183"/>
    </row>
    <row r="43" spans="1:11" ht="15.75" customHeight="1" x14ac:dyDescent="0.25">
      <c r="A43" s="92" t="s">
        <v>1601</v>
      </c>
      <c r="B43" s="184">
        <f>B12</f>
        <v>4265</v>
      </c>
      <c r="C43" s="184"/>
    </row>
    <row r="44" spans="1:11" ht="15.75" x14ac:dyDescent="0.25">
      <c r="A44" s="92" t="s">
        <v>1600</v>
      </c>
      <c r="B44" s="183" t="str">
        <f>B13</f>
        <v>Ca Department of Public Health</v>
      </c>
      <c r="C44" s="183"/>
    </row>
    <row r="45" spans="1:11" x14ac:dyDescent="0.2">
      <c r="A45" s="182" t="s">
        <v>6</v>
      </c>
      <c r="B45" s="182"/>
      <c r="C45" s="182"/>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6" t="s">
        <v>1537</v>
      </c>
    </row>
    <row r="48" spans="1:11" ht="15" customHeight="1" x14ac:dyDescent="0.2">
      <c r="A48" s="94" t="str">
        <f>LEFT(A47,4)+1&amp;"–"&amp;RIGHT(A47,4)+1</f>
        <v>2024–2025</v>
      </c>
      <c r="B48" s="2"/>
      <c r="C48" s="2"/>
      <c r="D48" s="186"/>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6"/>
    </row>
    <row r="54" spans="1:4" ht="15" customHeight="1" x14ac:dyDescent="0.2">
      <c r="A54" s="94" t="str">
        <f t="shared" si="1"/>
        <v>2038–2043</v>
      </c>
      <c r="B54" s="2"/>
      <c r="C54" s="2"/>
      <c r="D54" s="23"/>
    </row>
    <row r="55" spans="1:4" ht="15" customHeight="1" x14ac:dyDescent="0.2">
      <c r="A55" s="94" t="str">
        <f t="shared" si="1"/>
        <v>2043–2048</v>
      </c>
      <c r="B55" s="2"/>
      <c r="C55" s="2"/>
      <c r="D55"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6"/>
    </row>
    <row r="57" spans="1:4" ht="15.75" customHeight="1" x14ac:dyDescent="0.2">
      <c r="A57" s="94" t="str">
        <f t="shared" si="1"/>
        <v>2053–2058</v>
      </c>
      <c r="B57" s="2"/>
      <c r="C57" s="2"/>
      <c r="D57" s="23"/>
    </row>
    <row r="58" spans="1:4" ht="15.75" customHeight="1" x14ac:dyDescent="0.2">
      <c r="A58" s="94" t="str">
        <f t="shared" si="1"/>
        <v>2058–2063</v>
      </c>
      <c r="B58" s="2"/>
      <c r="C58" s="2"/>
      <c r="D58" s="186"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6"/>
    </row>
    <row r="60" spans="1:4" x14ac:dyDescent="0.2">
      <c r="A60" s="94" t="str">
        <f t="shared" si="1"/>
        <v>2068–2073</v>
      </c>
      <c r="B60" s="2"/>
      <c r="C60" s="2"/>
      <c r="D60" s="25"/>
    </row>
    <row r="61" spans="1:4" ht="15" customHeight="1" x14ac:dyDescent="0.2">
      <c r="A61" s="94" t="str">
        <f t="shared" si="1"/>
        <v>2073–2078</v>
      </c>
      <c r="B61" s="2"/>
      <c r="C61" s="2"/>
      <c r="D61" s="186"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6"/>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83" t="str">
        <f>B11</f>
        <v>2022–2023</v>
      </c>
      <c r="C73" s="183"/>
    </row>
    <row r="74" spans="1:4" ht="15.75" customHeight="1" x14ac:dyDescent="0.25">
      <c r="A74" s="92" t="s">
        <v>1601</v>
      </c>
      <c r="B74" s="184">
        <f>B12</f>
        <v>4265</v>
      </c>
      <c r="C74" s="184"/>
    </row>
    <row r="75" spans="1:4" ht="15.75" x14ac:dyDescent="0.25">
      <c r="A75" s="92" t="s">
        <v>1600</v>
      </c>
      <c r="B75" s="183" t="str">
        <f>B13</f>
        <v>Ca Department of Public Health</v>
      </c>
      <c r="C75" s="183"/>
    </row>
    <row r="76" spans="1:4" x14ac:dyDescent="0.2">
      <c r="A76" s="182" t="s">
        <v>6</v>
      </c>
      <c r="B76" s="182"/>
      <c r="C76" s="182"/>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85" t="s">
        <v>1537</v>
      </c>
    </row>
    <row r="79" spans="1:4" ht="15" customHeight="1" x14ac:dyDescent="0.2">
      <c r="A79" s="94" t="str">
        <f>LEFT(A78,4)+1&amp;"–"&amp;RIGHT(A78,4)+1</f>
        <v>2024–2025</v>
      </c>
      <c r="B79" s="2"/>
      <c r="C79" s="2"/>
      <c r="D79" s="185"/>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6"/>
    </row>
    <row r="85" spans="1:4" x14ac:dyDescent="0.2">
      <c r="A85" s="94" t="str">
        <f t="shared" si="2"/>
        <v>2038–2043</v>
      </c>
      <c r="B85" s="2"/>
      <c r="C85" s="2"/>
      <c r="D85" s="23"/>
    </row>
    <row r="86" spans="1:4" ht="15" customHeight="1" x14ac:dyDescent="0.2">
      <c r="A86" s="94" t="str">
        <f t="shared" si="2"/>
        <v>2043–2048</v>
      </c>
      <c r="B86" s="2"/>
      <c r="C86" s="2"/>
      <c r="D86"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6"/>
    </row>
    <row r="88" spans="1:4" ht="15" customHeight="1" x14ac:dyDescent="0.2">
      <c r="A88" s="94" t="str">
        <f t="shared" si="2"/>
        <v>2053–2058</v>
      </c>
      <c r="B88" s="2"/>
      <c r="C88" s="2"/>
      <c r="D88" s="23"/>
    </row>
    <row r="89" spans="1:4" ht="15.75" customHeight="1" x14ac:dyDescent="0.2">
      <c r="A89" s="94" t="str">
        <f t="shared" si="2"/>
        <v>2058–2063</v>
      </c>
      <c r="B89" s="2"/>
      <c r="C89" s="2"/>
      <c r="D89" s="186"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6"/>
    </row>
    <row r="91" spans="1:4" x14ac:dyDescent="0.2">
      <c r="A91" s="94" t="str">
        <f t="shared" si="2"/>
        <v>2068–2073</v>
      </c>
      <c r="B91" s="2"/>
      <c r="C91" s="2"/>
      <c r="D91" s="25"/>
    </row>
    <row r="92" spans="1:4" ht="15" customHeight="1" x14ac:dyDescent="0.2">
      <c r="A92" s="94" t="str">
        <f t="shared" si="2"/>
        <v>2073–2078</v>
      </c>
      <c r="B92" s="2"/>
      <c r="C92" s="2"/>
      <c r="D92" s="186"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6"/>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YTfWpPGshHFi1df/+rBlxJEtP29tENBPktC6/7efOrv12UT/64c7EgKT79wXWaZtgzj0v9L75B9C7J12AkzRzQ==" saltValue="k5iU+7KL189Q7+nxohzEhQ==" spinCount="100000" sheet="1" objects="1" scenarios="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H10" sqref="H10"/>
    </sheetView>
  </sheetViews>
  <sheetFormatPr defaultColWidth="9.140625"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4" t="s">
        <v>119</v>
      </c>
      <c r="H3" s="194"/>
      <c r="I3" s="194"/>
      <c r="J3" s="194"/>
      <c r="K3" s="194"/>
      <c r="L3" s="194"/>
      <c r="M3" s="194"/>
      <c r="N3" s="108"/>
      <c r="O3" s="108"/>
      <c r="P3" s="108"/>
      <c r="Q3" s="109"/>
    </row>
    <row r="4" spans="2:17" ht="20.25" x14ac:dyDescent="0.3">
      <c r="B4" s="107"/>
      <c r="D4" s="108"/>
      <c r="E4" s="108"/>
      <c r="F4" s="108"/>
      <c r="G4" s="194" t="str">
        <f>"FY "&amp;'Department Note Disclosure'!$B$11</f>
        <v>FY 2022–2023</v>
      </c>
      <c r="H4" s="194"/>
      <c r="I4" s="194"/>
      <c r="J4" s="194"/>
      <c r="K4" s="194"/>
      <c r="L4" s="194"/>
      <c r="M4" s="194"/>
      <c r="N4" s="108"/>
      <c r="O4" s="108"/>
      <c r="P4" s="108"/>
      <c r="Q4" s="109"/>
    </row>
    <row r="5" spans="2:17" ht="20.25" x14ac:dyDescent="0.3">
      <c r="B5" s="107"/>
      <c r="D5" s="108"/>
      <c r="E5" s="108"/>
      <c r="F5" s="108"/>
      <c r="G5" s="195" t="str">
        <f>"Business Unit " &amp;'Fund 0001 Journal Entries'!$F$5&amp;" "&amp;'Fund 0001 Journal Entries'!$F$4</f>
        <v>Business Unit 4265 Ca Department of Public Health</v>
      </c>
      <c r="H5" s="195"/>
      <c r="I5" s="195"/>
      <c r="J5" s="195"/>
      <c r="K5" s="195"/>
      <c r="L5" s="195"/>
      <c r="M5" s="195"/>
      <c r="N5" s="108"/>
      <c r="O5" s="108"/>
      <c r="P5" s="108"/>
      <c r="Q5" s="109"/>
    </row>
    <row r="6" spans="2:17" x14ac:dyDescent="0.25">
      <c r="B6" s="107"/>
      <c r="Q6" s="109"/>
    </row>
    <row r="7" spans="2:17" x14ac:dyDescent="0.25">
      <c r="B7" s="107"/>
      <c r="C7" s="196" t="s">
        <v>1620</v>
      </c>
      <c r="D7" s="196"/>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0001 Journal Entries'!$F$3,4)</f>
        <v>Balance
July 1, 2022</v>
      </c>
      <c r="G8" s="116"/>
      <c r="H8" s="117" t="s">
        <v>10</v>
      </c>
      <c r="I8" s="116"/>
      <c r="J8" s="117" t="s">
        <v>11</v>
      </c>
      <c r="K8" s="116"/>
      <c r="L8" s="115" t="str">
        <f>"Balance
June 30, "&amp;RIGHT('Fund 0001 Journal Entries'!$F$3,4)</f>
        <v>Balance
June 30, 2023</v>
      </c>
      <c r="M8" s="116"/>
      <c r="N8" s="115" t="s">
        <v>12</v>
      </c>
      <c r="O8" s="116"/>
      <c r="P8" s="115" t="s">
        <v>13</v>
      </c>
      <c r="Q8" s="109"/>
    </row>
    <row r="9" spans="2:17" x14ac:dyDescent="0.25">
      <c r="B9" s="107"/>
      <c r="C9" s="197" t="s">
        <v>14</v>
      </c>
      <c r="D9" s="197"/>
      <c r="Q9" s="109"/>
    </row>
    <row r="10" spans="2:17" ht="18.75" thickBot="1" x14ac:dyDescent="0.3">
      <c r="B10" s="107"/>
      <c r="D10" s="101" t="s">
        <v>118</v>
      </c>
      <c r="F10" s="3">
        <f>+'Fund 0001 Journal Entries'!K19+'Fund 0203 Journal Entries'!K19+'Fund 0890 Journal Entries'!K19</f>
        <v>25739050</v>
      </c>
      <c r="H10" s="3">
        <f>+'Fund 0001 Journal Entries'!K37+'Fund 0203 Journal Entries'!K37+'Fund 0890 Journal Entries'!K37-'Fund 0890 Journal Entries'!J56</f>
        <v>5463468.9996559573</v>
      </c>
      <c r="J10" s="3">
        <f>'Fund 0001 Journal Entries'!J56+'Fund 0203 Journal Entries'!J56</f>
        <v>6446882</v>
      </c>
      <c r="L10" s="119">
        <f>SUM(F10+H10-J10)</f>
        <v>24755636.999655958</v>
      </c>
      <c r="N10" s="3">
        <f>+'Fund 0001 Journal Entries'!J61+'Fund 0203 Journal Entries'!J61+'Fund 0890 Journal Entries'!J61</f>
        <v>11525840</v>
      </c>
      <c r="P10" s="119">
        <f>L10-N10</f>
        <v>13229796.999655958</v>
      </c>
      <c r="Q10" s="109"/>
    </row>
    <row r="11" spans="2:17" ht="19.5" thickTop="1" thickBot="1" x14ac:dyDescent="0.3">
      <c r="B11" s="107"/>
      <c r="C11" s="197" t="s">
        <v>15</v>
      </c>
      <c r="D11" s="197"/>
      <c r="F11" s="120">
        <f>SUM(F10:F10)</f>
        <v>25739050</v>
      </c>
      <c r="H11" s="120">
        <f>SUM(H10:H10)</f>
        <v>5463468.9996559573</v>
      </c>
      <c r="J11" s="120">
        <f>SUM(J10:J10)</f>
        <v>6446882</v>
      </c>
      <c r="L11" s="120">
        <f>SUM(L10:L10)</f>
        <v>24755636.999655958</v>
      </c>
      <c r="N11" s="120">
        <f>SUM(N10:N10)</f>
        <v>11525840</v>
      </c>
      <c r="P11" s="120">
        <f>SUM(P10:P10)</f>
        <v>13229796.999655958</v>
      </c>
      <c r="Q11" s="109"/>
    </row>
    <row r="12" spans="2:17" ht="18.75" thickTop="1" x14ac:dyDescent="0.25">
      <c r="B12" s="107"/>
      <c r="G12" s="121"/>
      <c r="Q12" s="109"/>
    </row>
    <row r="13" spans="2:17" x14ac:dyDescent="0.25">
      <c r="B13" s="107"/>
      <c r="C13" s="197" t="s">
        <v>1572</v>
      </c>
      <c r="D13" s="197"/>
      <c r="Q13" s="109"/>
    </row>
    <row r="14" spans="2:17" ht="18.75" thickBot="1" x14ac:dyDescent="0.3">
      <c r="B14" s="107"/>
      <c r="D14" s="101" t="s">
        <v>118</v>
      </c>
      <c r="F14" s="3">
        <f>IF('Fund 0001 Journal Entries'!$F$7="Proprietary - Internal Service Fund",'Fund 0001 Journal Entries'!$K$19,0)</f>
        <v>0</v>
      </c>
      <c r="H14" s="3">
        <f>IF('Fund 0001 Journal Entries'!$F$7="Proprietary - Internal Service Fund",'Fund 0001 Journal Entries'!$K$37,0)</f>
        <v>0</v>
      </c>
      <c r="J14" s="3">
        <f>IF('Fund 0001 Journal Entries'!$F$7="Proprietary - Internal Service Fund",'Fund 0001 Journal Entries'!$J$56,0)</f>
        <v>0</v>
      </c>
      <c r="L14" s="119">
        <f>SUM(F14+H14-J14)</f>
        <v>0</v>
      </c>
      <c r="N14" s="3">
        <f>IF('Fund 0001 Journal Entries'!$F$7="Proprietary - Internal Service Fund",'Fund 0001 Journal Entries'!$J$61,0)</f>
        <v>0</v>
      </c>
      <c r="P14" s="119">
        <f>L14-N14</f>
        <v>0</v>
      </c>
      <c r="Q14" s="109"/>
    </row>
    <row r="15" spans="2:17" ht="19.5" thickTop="1" thickBot="1" x14ac:dyDescent="0.3">
      <c r="B15" s="107"/>
      <c r="C15" s="197" t="s">
        <v>1584</v>
      </c>
      <c r="D15" s="197"/>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7" t="s">
        <v>1576</v>
      </c>
      <c r="D17" s="197"/>
      <c r="Q17" s="109"/>
    </row>
    <row r="18" spans="1:17" ht="18.75" thickBot="1" x14ac:dyDescent="0.3">
      <c r="B18" s="107"/>
      <c r="D18" s="101" t="s">
        <v>118</v>
      </c>
      <c r="F18" s="3">
        <f>IF('Fund 0001 Journal Entries'!$F$7="Proprietary - Enterprise Fund",'Fund 0001 Journal Entries'!$K$19,0)</f>
        <v>0</v>
      </c>
      <c r="H18" s="3">
        <f>IF('Fund 0001 Journal Entries'!$F$7="Proprietary - Enterprise Fund",'Fund 0001 Journal Entries'!$K$37,0)</f>
        <v>0</v>
      </c>
      <c r="J18" s="3">
        <f>IF('Fund 0001 Journal Entries'!$F$7="Proprietary - Enterprise Fund",'Fund 0001 Journal Entries'!$J$56,0)</f>
        <v>0</v>
      </c>
      <c r="L18" s="119">
        <f>SUM(F18+H18-J18)</f>
        <v>0</v>
      </c>
      <c r="N18" s="3">
        <f>IF('Fund 0001 Journal Entries'!$F$7="Proprietary - Enterprise Fund",'Fund 0001 Journal Entries'!$J$61,0)</f>
        <v>0</v>
      </c>
      <c r="P18" s="119">
        <f>L18-N18</f>
        <v>0</v>
      </c>
      <c r="Q18" s="109"/>
    </row>
    <row r="19" spans="1:17" ht="19.5" thickTop="1" thickBot="1" x14ac:dyDescent="0.3">
      <c r="B19" s="107"/>
      <c r="C19" s="197" t="s">
        <v>1585</v>
      </c>
      <c r="D19" s="197"/>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8" t="s">
        <v>1625</v>
      </c>
      <c r="B25" s="198"/>
      <c r="C25" s="198"/>
      <c r="D25" s="198"/>
      <c r="E25" s="198"/>
      <c r="F25" s="198"/>
      <c r="G25" s="198"/>
      <c r="H25" s="198"/>
      <c r="I25" s="198"/>
      <c r="J25" s="198"/>
      <c r="K25" s="198"/>
      <c r="L25" s="198"/>
      <c r="M25" s="198"/>
      <c r="N25" s="198"/>
      <c r="O25" s="198"/>
      <c r="P25" s="198"/>
      <c r="Q25" s="198"/>
    </row>
    <row r="26" spans="1:17" x14ac:dyDescent="0.25">
      <c r="A26" s="198"/>
      <c r="B26" s="198"/>
      <c r="C26" s="198"/>
      <c r="D26" s="198"/>
      <c r="E26" s="198"/>
      <c r="F26" s="198"/>
      <c r="G26" s="198"/>
      <c r="H26" s="198"/>
      <c r="I26" s="198"/>
      <c r="J26" s="198"/>
      <c r="K26" s="198"/>
      <c r="L26" s="198"/>
      <c r="M26" s="198"/>
      <c r="N26" s="198"/>
      <c r="O26" s="198"/>
      <c r="P26" s="198"/>
      <c r="Q26" s="198"/>
    </row>
  </sheetData>
  <sheetProtection algorithmName="SHA-512" hashValue="RlerA8UDBokz5xLxVq5mPPKi228yU9Td0GpYSzf9Y1LoQIPBVoWjM5KocLLFojryAwk5eBxTNrCuTJYo6oxKLQ==" saltValue="F7IH8ZWhpJHU/JRLtA65/A==" spinCount="100000" sheet="1" objects="1" scenarios="1" formatColumns="0" formatRows="0"/>
  <mergeCells count="11">
    <mergeCell ref="A25:Q26"/>
    <mergeCell ref="C11:D11"/>
    <mergeCell ref="C13:D13"/>
    <mergeCell ref="C15:D15"/>
    <mergeCell ref="C17:D17"/>
    <mergeCell ref="C19:D19"/>
    <mergeCell ref="G3:M3"/>
    <mergeCell ref="G4:M4"/>
    <mergeCell ref="G5:M5"/>
    <mergeCell ref="C7:D7"/>
    <mergeCell ref="C9:D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topLeftCell="A3" zoomScale="112" zoomScaleNormal="112" workbookViewId="0">
      <selection activeCell="J62" sqref="J62"/>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199" t="s">
        <v>1563</v>
      </c>
      <c r="B5" s="199"/>
      <c r="C5" s="199"/>
      <c r="D5" s="199"/>
      <c r="E5" s="199"/>
      <c r="F5" s="199"/>
      <c r="G5" s="199"/>
      <c r="H5" s="199"/>
      <c r="I5" s="199"/>
      <c r="J5" s="199"/>
      <c r="K5" s="199"/>
      <c r="L5" s="199"/>
      <c r="M5" s="199"/>
    </row>
    <row r="6" spans="1:13" ht="15" customHeight="1" x14ac:dyDescent="0.25">
      <c r="A6" s="199"/>
      <c r="B6" s="199"/>
      <c r="C6" s="199"/>
      <c r="D6" s="199"/>
      <c r="E6" s="199"/>
      <c r="F6" s="199"/>
      <c r="G6" s="199"/>
      <c r="H6" s="199"/>
      <c r="I6" s="199"/>
      <c r="J6" s="199"/>
      <c r="K6" s="199"/>
      <c r="L6" s="199"/>
      <c r="M6" s="199"/>
    </row>
    <row r="7" spans="1:13" x14ac:dyDescent="0.25">
      <c r="A7" s="199"/>
      <c r="B7" s="199"/>
      <c r="C7" s="199"/>
      <c r="D7" s="199"/>
      <c r="E7" s="199"/>
      <c r="F7" s="199"/>
      <c r="G7" s="199"/>
      <c r="H7" s="199"/>
      <c r="I7" s="199"/>
      <c r="J7" s="199"/>
      <c r="K7" s="199"/>
      <c r="L7" s="199"/>
      <c r="M7" s="199"/>
    </row>
    <row r="8" spans="1:13" ht="15" customHeight="1" x14ac:dyDescent="0.25">
      <c r="A8" s="201" t="s">
        <v>1621</v>
      </c>
      <c r="B8" s="201"/>
      <c r="C8" s="201"/>
      <c r="D8" s="201"/>
      <c r="E8" s="201"/>
      <c r="F8" s="201"/>
      <c r="G8" s="201"/>
      <c r="H8" s="201"/>
      <c r="I8" s="201"/>
      <c r="J8" s="201"/>
      <c r="K8" s="201"/>
      <c r="L8" s="201"/>
      <c r="M8" s="201"/>
    </row>
    <row r="9" spans="1:13" ht="15" customHeight="1" x14ac:dyDescent="0.25">
      <c r="A9" s="201"/>
      <c r="B9" s="201"/>
      <c r="C9" s="201"/>
      <c r="D9" s="201"/>
      <c r="E9" s="201"/>
      <c r="F9" s="201"/>
      <c r="G9" s="201"/>
      <c r="H9" s="201"/>
      <c r="I9" s="201"/>
      <c r="J9" s="201"/>
      <c r="K9" s="201"/>
      <c r="L9" s="201"/>
      <c r="M9" s="201"/>
    </row>
    <row r="10" spans="1:13" ht="15" customHeight="1" x14ac:dyDescent="0.25">
      <c r="A10" s="201"/>
      <c r="B10" s="201"/>
      <c r="C10" s="201"/>
      <c r="D10" s="201"/>
      <c r="E10" s="201"/>
      <c r="F10" s="201"/>
      <c r="G10" s="201"/>
      <c r="H10" s="201"/>
      <c r="I10" s="201"/>
      <c r="J10" s="201"/>
      <c r="K10" s="201"/>
      <c r="L10" s="201"/>
      <c r="M10" s="201"/>
    </row>
    <row r="11" spans="1:13" x14ac:dyDescent="0.25">
      <c r="A11" s="133" t="s">
        <v>1560</v>
      </c>
      <c r="B11" s="134"/>
      <c r="C11" s="135"/>
      <c r="D11" s="134"/>
      <c r="E11" s="135"/>
      <c r="F11" s="134"/>
      <c r="G11" s="135"/>
      <c r="H11" s="134"/>
      <c r="I11" s="135"/>
      <c r="J11" s="134"/>
      <c r="K11" s="134"/>
      <c r="L11" s="134"/>
      <c r="M11" s="134"/>
    </row>
    <row r="12" spans="1:13" x14ac:dyDescent="0.25">
      <c r="A12" s="137"/>
      <c r="B12" s="203" t="s">
        <v>1574</v>
      </c>
      <c r="C12" s="203"/>
      <c r="D12" s="203"/>
      <c r="E12" s="203"/>
      <c r="F12" s="203"/>
      <c r="G12" s="203"/>
      <c r="H12" s="203"/>
      <c r="I12" s="203"/>
      <c r="J12" s="203"/>
      <c r="K12" s="203"/>
      <c r="L12" s="203"/>
      <c r="M12" s="203"/>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2" t="s">
        <v>1624</v>
      </c>
      <c r="C14" s="202"/>
      <c r="D14" s="202"/>
      <c r="E14" s="202"/>
      <c r="F14" s="202"/>
      <c r="G14" s="202"/>
      <c r="H14" s="202"/>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+'Fund 0001 Journal Entries'!K19+'Fund 0203 Journal Entries'!K19+'Fund 0890 Journal Entries'!K19</f>
        <v>25739050</v>
      </c>
      <c r="C16" s="15" t="s">
        <v>1552</v>
      </c>
      <c r="D16" s="14">
        <f>+'Fund 0001 Journal Entries'!K37+'Fund 0203 Journal Entries'!K37+'Fund 0890 Journal Entries'!K37</f>
        <v>5456260.9996559573</v>
      </c>
      <c r="E16" s="16" t="s">
        <v>1554</v>
      </c>
      <c r="F16" s="14">
        <f>+'Fund 0001 Journal Entries'!J56+'Fund 0203 Journal Entries'!J56+'Fund 0890 Journal Entries'!J56</f>
        <v>6439674</v>
      </c>
      <c r="G16" s="16" t="s">
        <v>1556</v>
      </c>
      <c r="H16" s="17">
        <f>+B16+D16-F16</f>
        <v>24755636.999655958</v>
      </c>
      <c r="I16" s="16"/>
      <c r="J16" s="18">
        <f>ROUND(SUM('Department Note Disclosure'!$B$16:$B$39),0)</f>
        <v>24755637</v>
      </c>
      <c r="K16" s="15"/>
      <c r="L16" s="19">
        <f>H16-J16</f>
        <v>-3.4404173493385315E-4</v>
      </c>
      <c r="M16" s="137"/>
    </row>
    <row r="17" spans="1:13" ht="15" customHeight="1" x14ac:dyDescent="0.25">
      <c r="A17" s="147"/>
      <c r="B17" s="147"/>
      <c r="C17" s="148"/>
      <c r="D17" s="149" t="str">
        <f>IF(OR(L16&gt;0, (L16&lt;0)), "Please review and correct the variance.","")</f>
        <v>Please review and correct the variance.</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3" t="s">
        <v>1573</v>
      </c>
      <c r="C19" s="203"/>
      <c r="D19" s="203"/>
      <c r="E19" s="203"/>
      <c r="F19" s="203"/>
      <c r="G19" s="203"/>
      <c r="H19" s="203"/>
      <c r="I19" s="203"/>
      <c r="J19" s="203"/>
      <c r="K19" s="203"/>
      <c r="L19" s="203"/>
      <c r="M19" s="203"/>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2" t="s">
        <v>1624</v>
      </c>
      <c r="C21" s="202"/>
      <c r="D21" s="202"/>
      <c r="E21" s="202"/>
      <c r="F21" s="202"/>
      <c r="G21" s="202"/>
      <c r="H21" s="202"/>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0001 Journal Entries'!$F$7="Proprietary - Internal Service Fund",ROUND('Fund 0001 Journal Entries'!$K$19,0),0)</f>
        <v>0</v>
      </c>
      <c r="C23" s="15" t="s">
        <v>1552</v>
      </c>
      <c r="D23" s="14">
        <f>IF('Fund 0001 Journal Entries'!$F$7="Proprietary - Internal Service Fund",ROUND('Fund 0001 Journal Entries'!$K$37,0),0)</f>
        <v>0</v>
      </c>
      <c r="E23" s="16" t="s">
        <v>1554</v>
      </c>
      <c r="F23" s="14">
        <f>IF('Fund 0001 Journal Entries'!$F$7="Proprietary - Internal Service Fund",ROUND('Fund 0001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3" t="s">
        <v>1575</v>
      </c>
      <c r="C27" s="203"/>
      <c r="D27" s="203"/>
      <c r="E27" s="203"/>
      <c r="F27" s="203"/>
      <c r="G27" s="203"/>
      <c r="H27" s="203"/>
      <c r="I27" s="203"/>
      <c r="J27" s="203"/>
      <c r="K27" s="203"/>
      <c r="L27" s="203"/>
      <c r="M27" s="203"/>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2" t="s">
        <v>1624</v>
      </c>
      <c r="C29" s="202"/>
      <c r="D29" s="202"/>
      <c r="E29" s="202"/>
      <c r="F29" s="202"/>
      <c r="G29" s="202"/>
      <c r="H29" s="202"/>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0001 Journal Entries'!$F$7="Proprietary - Enterprise Fund",ROUND('Fund 0001 Journal Entries'!$K$19,0),0)</f>
        <v>0</v>
      </c>
      <c r="C31" s="15" t="s">
        <v>1552</v>
      </c>
      <c r="D31" s="14">
        <f>IF('Fund 0001 Journal Entries'!$F$7="Proprietary - Enterprise Fund",ROUND('Fund 0001 Journal Entries'!$K$37,0),0)</f>
        <v>0</v>
      </c>
      <c r="E31" s="16" t="s">
        <v>1554</v>
      </c>
      <c r="F31" s="14">
        <f>IF('Fund 0001 Journal Entries'!$F$7="Proprietary - Enterprise Fund",ROUND('Fund 0001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3" t="s">
        <v>1574</v>
      </c>
      <c r="C35" s="203"/>
      <c r="D35" s="203"/>
      <c r="E35" s="203"/>
      <c r="F35" s="203"/>
      <c r="G35" s="203"/>
      <c r="H35" s="203"/>
      <c r="I35" s="203"/>
      <c r="J35" s="203"/>
      <c r="K35" s="203"/>
      <c r="L35" s="203"/>
      <c r="M35" s="203"/>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2" t="s">
        <v>1624</v>
      </c>
      <c r="C37" s="202"/>
      <c r="D37" s="202"/>
      <c r="E37" s="202"/>
      <c r="F37" s="202"/>
      <c r="G37" s="202"/>
      <c r="H37" s="202"/>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+'Fund 0001 Journal Entries'!J61+'Fund 0203 Journal Entries'!J61+'Fund 0890 Journal Entries'!J61</f>
        <v>11525840</v>
      </c>
      <c r="G39" s="150"/>
      <c r="H39" s="150"/>
      <c r="I39" s="20"/>
      <c r="J39" s="18">
        <f>ROUND('Department Note Disclosure'!$B$16,0)</f>
        <v>11525840</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3" t="s">
        <v>1573</v>
      </c>
      <c r="C42" s="203"/>
      <c r="D42" s="203"/>
      <c r="E42" s="203"/>
      <c r="F42" s="203"/>
      <c r="G42" s="203"/>
      <c r="H42" s="203"/>
      <c r="I42" s="203"/>
      <c r="J42" s="203"/>
      <c r="K42" s="203"/>
      <c r="L42" s="203"/>
      <c r="M42" s="203"/>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2" t="s">
        <v>1624</v>
      </c>
      <c r="C44" s="202"/>
      <c r="D44" s="202"/>
      <c r="E44" s="202"/>
      <c r="F44" s="202"/>
      <c r="G44" s="202"/>
      <c r="H44" s="202"/>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0001 Journal Entries'!$F$7="Proprietary - Internal Service Fund",ROUND('Fund 0001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3" t="s">
        <v>1575</v>
      </c>
      <c r="C49" s="203"/>
      <c r="D49" s="203"/>
      <c r="E49" s="203"/>
      <c r="F49" s="203"/>
      <c r="G49" s="203"/>
      <c r="H49" s="203"/>
      <c r="I49" s="203"/>
      <c r="J49" s="203"/>
      <c r="K49" s="203"/>
      <c r="L49" s="203"/>
      <c r="M49" s="203"/>
    </row>
    <row r="50" spans="1:13" x14ac:dyDescent="0.25">
      <c r="A50" s="137"/>
      <c r="B50" s="137"/>
      <c r="C50" s="138"/>
      <c r="D50" s="137"/>
      <c r="E50" s="138"/>
      <c r="F50" s="137"/>
      <c r="G50" s="138"/>
      <c r="H50" s="137"/>
      <c r="I50" s="138"/>
      <c r="J50" s="137"/>
      <c r="K50" s="137"/>
      <c r="L50" s="137"/>
      <c r="M50" s="137"/>
    </row>
    <row r="51" spans="1:13" x14ac:dyDescent="0.25">
      <c r="A51" s="137"/>
      <c r="B51" s="202" t="s">
        <v>1624</v>
      </c>
      <c r="C51" s="202"/>
      <c r="D51" s="202"/>
      <c r="E51" s="202"/>
      <c r="F51" s="202"/>
      <c r="G51" s="202"/>
      <c r="H51" s="202"/>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0001 Journal Entries'!$F$7="Proprietary - Enterprise Fund",ROUND('Fund 0001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4" t="s">
        <v>1574</v>
      </c>
      <c r="C57" s="204"/>
      <c r="D57" s="204"/>
      <c r="E57" s="204"/>
      <c r="F57" s="204"/>
      <c r="G57" s="204"/>
      <c r="H57" s="204"/>
      <c r="I57" s="204"/>
      <c r="J57" s="204"/>
      <c r="K57" s="204"/>
      <c r="L57" s="204"/>
      <c r="M57" s="204"/>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200" t="s">
        <v>1624</v>
      </c>
      <c r="C59" s="200"/>
      <c r="D59" s="200"/>
      <c r="E59" s="200"/>
      <c r="F59" s="200"/>
      <c r="G59" s="151"/>
      <c r="H59" s="200" t="s">
        <v>119</v>
      </c>
      <c r="I59" s="200"/>
      <c r="J59" s="200"/>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25739050</v>
      </c>
      <c r="H61" s="154" t="str">
        <f>"Balance July 1, "&amp;LEFT('Fund 0001 Journal Entries'!$F$3,4)</f>
        <v>Balance July 1, 2022</v>
      </c>
      <c r="J61" s="22">
        <f>ROUND('SBITA Liabilities'!$F$10,0)</f>
        <v>25739050</v>
      </c>
      <c r="L61" s="19">
        <f>D61-J61</f>
        <v>0</v>
      </c>
    </row>
    <row r="62" spans="1:13" x14ac:dyDescent="0.25">
      <c r="B62" s="152" t="s">
        <v>1630</v>
      </c>
      <c r="D62" s="22">
        <f>$D$16</f>
        <v>5456260.9996559573</v>
      </c>
      <c r="H62" s="154" t="s">
        <v>10</v>
      </c>
      <c r="J62" s="22">
        <f>ROUND('SBITA Liabilities'!$H$10,0)</f>
        <v>5463469</v>
      </c>
      <c r="L62" s="19">
        <f>D62-J62</f>
        <v>-7208.0003440426663</v>
      </c>
    </row>
    <row r="63" spans="1:13" x14ac:dyDescent="0.25">
      <c r="B63" s="152" t="s">
        <v>1555</v>
      </c>
      <c r="D63" s="22">
        <f>$F$16</f>
        <v>6439674</v>
      </c>
      <c r="H63" s="154" t="s">
        <v>11</v>
      </c>
      <c r="J63" s="22">
        <f>ROUND('SBITA Liabilities'!$J$10,0)</f>
        <v>6446882</v>
      </c>
      <c r="L63" s="19">
        <f>D63-J63</f>
        <v>-7208</v>
      </c>
    </row>
    <row r="64" spans="1:13" x14ac:dyDescent="0.25">
      <c r="B64" s="152" t="s">
        <v>1559</v>
      </c>
      <c r="D64" s="22">
        <f>$F$39</f>
        <v>11525840</v>
      </c>
      <c r="H64" s="154" t="s">
        <v>12</v>
      </c>
      <c r="J64" s="22">
        <f>ROUND('SBITA Liabilities'!$N$10,0)</f>
        <v>11525840</v>
      </c>
      <c r="L64" s="19">
        <f>D64-J64</f>
        <v>0</v>
      </c>
    </row>
    <row r="65" spans="1:13" ht="15.95" customHeight="1" x14ac:dyDescent="0.25">
      <c r="D65" s="149" t="str">
        <f>IF(OR(L61&gt;0, (L61&lt;0),L62&gt;0,L62&lt;0,L63&gt;0,L63&lt;0,L64&gt;0,L64&lt;0), "Please review and correct the variance.","")</f>
        <v>Please review and correct the variance.</v>
      </c>
    </row>
    <row r="66" spans="1:13" ht="6" customHeight="1" x14ac:dyDescent="0.25">
      <c r="D66" s="155"/>
    </row>
    <row r="67" spans="1:13" s="205" customFormat="1" x14ac:dyDescent="0.25">
      <c r="A67" s="136"/>
      <c r="B67" s="205" t="s">
        <v>1573</v>
      </c>
    </row>
    <row r="68" spans="1:13" ht="6" customHeight="1" x14ac:dyDescent="0.25">
      <c r="B68" s="156"/>
    </row>
    <row r="69" spans="1:13" ht="15" customHeight="1" x14ac:dyDescent="0.25">
      <c r="B69" s="200" t="s">
        <v>1624</v>
      </c>
      <c r="C69" s="200"/>
      <c r="D69" s="200"/>
      <c r="E69" s="200"/>
      <c r="F69" s="200"/>
      <c r="G69" s="151"/>
      <c r="H69" s="200" t="s">
        <v>119</v>
      </c>
      <c r="I69" s="200"/>
      <c r="J69" s="200"/>
    </row>
    <row r="70" spans="1:13" x14ac:dyDescent="0.25">
      <c r="H70" s="137"/>
      <c r="I70" s="137"/>
      <c r="J70" s="137"/>
      <c r="K70" s="137"/>
      <c r="L70" s="146" t="s">
        <v>1564</v>
      </c>
    </row>
    <row r="71" spans="1:13" x14ac:dyDescent="0.25">
      <c r="B71" s="152" t="s">
        <v>1553</v>
      </c>
      <c r="D71" s="22">
        <f>$B$23</f>
        <v>0</v>
      </c>
      <c r="H71" s="154" t="str">
        <f>"Balance July 1, "&amp;LEFT('Fund 0001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5" t="s">
        <v>1575</v>
      </c>
      <c r="C77" s="205"/>
      <c r="D77" s="205"/>
      <c r="E77" s="205"/>
      <c r="F77" s="205"/>
      <c r="G77" s="205"/>
      <c r="H77" s="205"/>
      <c r="I77" s="205"/>
      <c r="J77" s="205"/>
      <c r="K77" s="205"/>
      <c r="L77" s="205"/>
      <c r="M77" s="205"/>
    </row>
    <row r="78" spans="1:13" ht="6" customHeight="1" x14ac:dyDescent="0.25">
      <c r="B78" s="156"/>
    </row>
    <row r="79" spans="1:13" ht="15" customHeight="1" x14ac:dyDescent="0.25">
      <c r="B79" s="200" t="s">
        <v>1624</v>
      </c>
      <c r="C79" s="200"/>
      <c r="D79" s="200"/>
      <c r="E79" s="200"/>
      <c r="F79" s="200"/>
      <c r="G79" s="151"/>
      <c r="H79" s="200" t="s">
        <v>119</v>
      </c>
      <c r="I79" s="200"/>
      <c r="J79" s="200"/>
    </row>
    <row r="80" spans="1:13" x14ac:dyDescent="0.25">
      <c r="H80" s="137"/>
      <c r="I80" s="137"/>
      <c r="J80" s="137"/>
      <c r="K80" s="137"/>
      <c r="L80" s="146" t="s">
        <v>1564</v>
      </c>
    </row>
    <row r="81" spans="1:13" x14ac:dyDescent="0.25">
      <c r="B81" s="152" t="s">
        <v>1553</v>
      </c>
      <c r="D81" s="22">
        <f>$B$31</f>
        <v>0</v>
      </c>
      <c r="H81" s="154" t="str">
        <f>"Balance July 1, "&amp;LEFT('Fund 0001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H79:J79"/>
    <mergeCell ref="B57:M57"/>
    <mergeCell ref="B67:XFD67"/>
    <mergeCell ref="B77:M77"/>
    <mergeCell ref="B49:M49"/>
    <mergeCell ref="B51:H51"/>
    <mergeCell ref="B79:F79"/>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D6C6A39F-6FD4-4F5F-9D70-DD0CA8551000}"/>
</file>

<file path=customXml/itemProps2.xml><?xml version="1.0" encoding="utf-8"?>
<ds:datastoreItem xmlns:ds="http://schemas.openxmlformats.org/officeDocument/2006/customXml" ds:itemID="{48539974-BDF0-46D3-A7A5-8A5B832C9BE2}"/>
</file>

<file path=customXml/itemProps3.xml><?xml version="1.0" encoding="utf-8"?>
<ds:datastoreItem xmlns:ds="http://schemas.openxmlformats.org/officeDocument/2006/customXml" ds:itemID="{DC97F72D-43D7-4984-BC8B-B251B7D8C71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Fund 0001 Journal Entries</vt:lpstr>
      <vt:lpstr>Fund 0203 Journal Entries</vt:lpstr>
      <vt:lpstr>Fund 0890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'Fund 0203 Journal Entries'!Print_Area</vt:lpstr>
      <vt:lpstr>'Fund 0890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2024-06-13T02:08:39Z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3301000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