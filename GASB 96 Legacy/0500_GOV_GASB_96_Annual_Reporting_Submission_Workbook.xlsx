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AE39AE16-6F37-49CF-97A3-837C199875C4}" xr6:coauthVersionLast="47" xr6:coauthVersionMax="47" xr10:uidLastSave="{00000000-0000-0000-0000-000000000000}"/>
  <bookViews>
    <workbookView xWindow="39150" yWindow="-110" windowWidth="38620" windowHeight="21220" activeTab="1" xr2:uid="{00000000-000D-0000-FFFF-FFFF00000000}"/>
  </bookViews>
  <sheets>
    <sheet name="Fund 050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0500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 i="2" l="1"/>
  <c r="D92" i="3" l="1"/>
  <c r="D61" i="3"/>
  <c r="D89" i="3"/>
  <c r="D58" i="3"/>
  <c r="D30" i="3" l="1"/>
  <c r="D27" i="3"/>
  <c r="B16" i="9" l="1"/>
  <c r="D16" i="9"/>
  <c r="B23" i="9"/>
  <c r="D23" i="9"/>
  <c r="F23" i="9"/>
  <c r="B31" i="9"/>
  <c r="D31" i="9"/>
  <c r="F31" i="9"/>
  <c r="F53" i="9"/>
  <c r="F10" i="4"/>
  <c r="H10" i="4"/>
  <c r="N10" i="4"/>
  <c r="N14" i="4"/>
  <c r="J14" i="4"/>
  <c r="H14" i="4"/>
  <c r="F14" i="4"/>
  <c r="F18" i="4"/>
  <c r="H18" i="4"/>
  <c r="J18" i="4"/>
  <c r="N18" i="4"/>
  <c r="K46" i="2"/>
  <c r="K52" i="2"/>
  <c r="G5" i="4" l="1"/>
  <c r="K62" i="2"/>
  <c r="F46" i="9"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s="1"/>
  <c r="D17" i="9" s="1"/>
  <c r="D65" i="9" l="1"/>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<sst xmlns="http://schemas.openxmlformats.org/spreadsheetml/2006/main" count="7552" uniqueCount="1643">
  <si>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</si>
  <si>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</si>
  <si>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</si>
  <si>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</si>
  <si>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</si>
  <si>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</si>
  <si>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</si>
  <si>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</si>
  <si>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</si>
  <si>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</si>
  <si>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</si>
  <si>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</si>
  <si>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</si>
  <si>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</si>
  <si>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</si>
  <si>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</si>
  <si>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</si>
  <si>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</si>
  <si>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</si>
  <si>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</si>
  <si>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</si>
  <si>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</si>
  <si>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</si>
  <si>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</si>
  <si>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</si>
  <si>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</si>
  <si>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</si>
  <si>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</si>
  <si>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</si>
  <si>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</si>
  <si>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</si>
  <si>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</si>
  <si>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</si>
  <si>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</si>
  <si>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</si>
  <si>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</si>
  <si>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</si>
  <si>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</si>
  <si>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</si>
  <si>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</si>
  <si>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</si>
  <si>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</si>
  <si>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</si>
  <si>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</si>
  <si>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</si>
  <si>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</si>
  <si>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</si>
  <si>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</si>
  <si>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</si>
  <si>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</si>
  <si>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</si>
  <si>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</si>
  <si>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</si>
  <si>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</si>
  <si>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</si>
  <si>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</si>
  <si>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</si>
  <si>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</si>
  <si>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</si>
  <si>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</si>
  <si>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</si>
  <si>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</si>
  <si>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</si>
  <si>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</si>
  <si>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</si>
  <si>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</si>
  <si>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</si>
  <si>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</si>
  <si>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</si>
  <si>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</si>
  <si>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</si>
  <si>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</si>
  <si>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</si>
  <si>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</si>
  <si>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</si>
  <si>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</si>
  <si>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</si>
  <si>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</si>
  <si>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</si>
  <si>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</si>
  <si>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</si>
  <si>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</si>
  <si>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</si>
  <si>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</si>
  <si>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</si>
  <si>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</si>
  <si>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</si>
  <si>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</si>
  <si>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</si>
  <si>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</si>
  <si>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</si>
  <si>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</si>
  <si>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</si>
  <si>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</si>
  <si>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</si>
  <si>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</si>
  <si>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</si>
  <si>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</si>
  <si>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</si>
  <si>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</si>
  <si>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</si>
  <si>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</si>
  <si>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</si>
  <si>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</si>
  <si>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</si>
  <si>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</si>
  <si>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</si>
  <si>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</si>
  <si>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</si>
  <si>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</si>
  <si>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</si>
  <si>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</si>
  <si>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</si>
  <si>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</si>
  <si>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</si>
  <si>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</si>
  <si>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</si>
  <si>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</si>
  <si>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</si>
  <si>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</si>
  <si>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</si>
  <si>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</si>
  <si>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</si>
  <si>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</si>
  <si>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</si>
  <si>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</si>
  <si>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</si>
  <si>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</si>
  <si>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</si>
  <si>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</si>
  <si>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</si>
  <si>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</si>
  <si>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</si>
  <si>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</si>
  <si>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</si>
  <si>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</si>
  <si>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</si>
  <si>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</si>
  <si>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</si>
  <si>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</si>
  <si>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</si>
  <si>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</si>
  <si>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</si>
  <si>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</si>
  <si>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</si>
  <si>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</si>
  <si>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</si>
  <si>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</si>
  <si>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</si>
  <si>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</si>
  <si>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</si>
  <si>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</si>
  <si>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</si>
  <si>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</si>
  <si>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</si>
  <si>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</si>
  <si>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</si>
  <si>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</si>
  <si>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</si>
  <si>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</si>
  <si>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</si>
  <si>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</si>
  <si>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</si>
  <si>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</si>
  <si>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</si>
  <si>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</si>
  <si>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</si>
  <si>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</si>
  <si>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</si>
  <si>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</si>
  <si>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</si>
  <si>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</si>
  <si>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</si>
  <si>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</si>
  <si>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</si>
  <si>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</si>
  <si>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</si>
  <si>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</si>
  <si>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</si>
  <si>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</si>
  <si>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</si>
  <si>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</si>
  <si>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</si>
  <si>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</si>
  <si>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</si>
  <si>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</si>
  <si>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</si>
  <si>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</si>
  <si>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</si>
  <si>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</si>
  <si>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</si>
  <si>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</si>
  <si>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</si>
  <si>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</si>
  <si>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</si>
  <si>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</si>
  <si>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</si>
  <si>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</si>
  <si>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</si>
  <si>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</si>
  <si>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</si>
  <si>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</si>
  <si>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</si>
  <si>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</si>
  <si>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</si>
  <si>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</si>
  <si>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</si>
  <si>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</si>
  <si>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</si>
  <si>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</si>
  <si>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</si>
  <si>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</si>
  <si>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</si>
  <si>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</si>
  <si>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</si>
  <si>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</si>
  <si>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</si>
  <si>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</si>
  <si>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</si>
  <si>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</si>
  <si>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</si>
  <si>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</si>
  <si>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</si>
  <si>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</si>
  <si>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</si>
  <si>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</si>
  <si>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</si>
  <si>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</si>
  <si>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</si>
  <si>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</si>
  <si>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</si>
  <si>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</si>
  <si>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</si>
  <si>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</si>
  <si>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</si>
  <si>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</si>
  <si>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</si>
  <si>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</si>
  <si>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</si>
  <si>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</si>
  <si>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</si>
  <si>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</si>
  <si>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</si>
  <si>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</si>
  <si>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</si>
  <si>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</si>
  <si>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</si>
  <si>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</si>
  <si>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</si>
  <si>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</si>
  <si>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</si>
  <si>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</si>
  <si>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</si>
  <si>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</si>
  <si>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</si>
  <si>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</si>
  <si>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</si>
  <si>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</si>
  <si>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</si>
  <si>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</si>
  <si>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</si>
  <si>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</si>
  <si>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</si>
  <si>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</si>
  <si>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</si>
  <si>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</si>
  <si>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</si>
  <si>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</si>
  <si>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</si>
  <si>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</si>
  <si>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</si>
  <si>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</si>
  <si>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</si>
  <si>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</si>
  <si>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</si>
  <si>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</si>
  <si>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</si>
  <si>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</si>
  <si>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</si>
  <si>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</si>
  <si>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</si>
  <si>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</si>
  <si>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</si>
  <si>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</si>
  <si>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</si>
  <si>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</si>
  <si>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</si>
  <si>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</si>
  <si>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</si>
  <si>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</si>
  <si>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</si>
  <si>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</si>
  <si>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</si>
  <si>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</si>
  <si>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</si>
  <si>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</si>
  <si>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</si>
  <si>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</si>
  <si>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</si>
  <si>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</si>
  <si>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</si>
  <si>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</si>
  <si>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</si>
  <si>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</si>
  <si>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</si>
  <si>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</si>
  <si>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</si>
  <si>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</si>
  <si>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</si>
  <si>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</si>
  <si>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</si>
  <si>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</si>
  <si>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</si>
  <si>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</si>
  <si>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</si>
  <si>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</si>
  <si>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</si>
  <si>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</si>
  <si>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</si>
  <si>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</si>
  <si>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</si>
  <si>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</si>
  <si>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</si>
  <si>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</si>
  <si>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</si>
  <si>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</si>
  <si>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</si>
  <si>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</si>
  <si>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</si>
  <si>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</si>
  <si>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</si>
  <si>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</si>
  <si>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</si>
  <si>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</si>
  <si>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</si>
  <si>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</si>
  <si>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</si>
  <si>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</si>
  <si>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</si>
  <si>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</si>
  <si>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</si>
  <si>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</si>
  <si>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</si>
  <si>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</si>
  <si>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</si>
  <si>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</si>
  <si>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</si>
  <si>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</si>
  <si>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</si>
  <si>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</si>
  <si>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</si>
  <si>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</si>
  <si>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</si>
  <si>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</si>
  <si>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</si>
  <si>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</si>
  <si>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</si>
  <si>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</si>
  <si>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</si>
  <si>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</si>
  <si>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</si>
  <si>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</si>
  <si>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</si>
  <si>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</si>
  <si>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</si>
  <si>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</si>
  <si>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</si>
  <si>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</si>
  <si>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</si>
  <si>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</si>
  <si>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</si>
  <si>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</si>
  <si>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</si>
  <si>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</si>
  <si>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</si>
  <si>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</si>
  <si>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</si>
  <si>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</si>
  <si>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</si>
  <si>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</si>
  <si>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</si>
  <si>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</si>
  <si>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</si>
  <si>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</si>
  <si>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</si>
  <si>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</si>
  <si>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</si>
  <si>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</si>
  <si>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</si>
  <si>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</si>
  <si>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</si>
  <si>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</si>
  <si>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</si>
  <si>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</si>
  <si>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</si>
  <si>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</si>
  <si>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</si>
  <si>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</si>
  <si>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</si>
  <si>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</si>
  <si>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</si>
  <si>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</si>
  <si>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</si>
  <si>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</si>
  <si>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</si>
  <si>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</si>
  <si>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</si>
  <si>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</si>
  <si>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</si>
  <si>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</si>
  <si>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</si>
  <si>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</si>
  <si>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</si>
  <si>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</si>
  <si>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</si>
  <si>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</si>
  <si>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</si>
  <si>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</si>
  <si>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</si>
  <si>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</si>
  <si>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</si>
  <si>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</si>
  <si>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</si>
  <si>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</si>
  <si>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</si>
  <si>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</si>
  <si>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</si>
  <si>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</si>
  <si>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</si>
  <si>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</si>
  <si>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</si>
  <si>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</si>
  <si>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</si>
  <si>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</si>
  <si>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</si>
  <si>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</si>
  <si>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</si>
  <si>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</si>
  <si>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</si>
  <si>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</si>
  <si>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</si>
  <si>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</si>
  <si>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</si>
  <si>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</si>
  <si>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</si>
  <si>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</si>
  <si>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</si>
  <si>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</si>
  <si>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</si>
  <si>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</si>
  <si>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</si>
  <si>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</si>
  <si>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</si>
  <si>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</si>
  <si>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</si>
  <si>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</si>
  <si>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</si>
  <si>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</si>
  <si>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</si>
  <si>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</si>
  <si>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</si>
  <si>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</si>
  <si>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</si>
  <si>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</si>
  <si>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</si>
  <si>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</si>
  <si>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</si>
  <si>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</si>
  <si>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</si>
  <si>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</si>
  <si>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</si>
  <si>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</si>
  <si>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</si>
  <si>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</si>
  <si>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</si>
  <si>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</si>
  <si>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</si>
  <si>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</si>
  <si>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</si>
  <si>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</si>
  <si>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</si>
  <si>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</si>
  <si>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</si>
  <si>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</si>
  <si>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</si>
  <si>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</si>
  <si>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</si>
  <si>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</si>
  <si>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</si>
  <si>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</si>
  <si>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</si>
  <si>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</si>
  <si>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</si>
  <si>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</si>
  <si>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</si>
  <si>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</si>
  <si>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</si>
  <si>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</si>
  <si>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</si>
  <si>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</si>
  <si>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</si>
  <si>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</si>
  <si>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</si>
  <si>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</si>
  <si>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</si>
  <si>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</si>
  <si>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</si>
  <si>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</si>
  <si>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</si>
  <si>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</si>
  <si>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</si>
  <si>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</si>
  <si>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</si>
  <si>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</si>
  <si>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</si>
  <si>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</si>
  <si>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</si>
  <si>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</si>
  <si>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</si>
  <si>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</si>
  <si>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</si>
  <si>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</si>
  <si>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</si>
  <si>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</si>
  <si>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</si>
  <si>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</si>
  <si>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</si>
  <si>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</si>
  <si>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</si>
  <si>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</si>
  <si>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</si>
  <si>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</si>
  <si>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</si>
  <si>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</si>
  <si>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</si>
  <si>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</si>
  <si>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</si>
  <si>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</si>
  <si>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</si>
  <si>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</si>
  <si>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</si>
  <si>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</si>
  <si>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</si>
  <si>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</si>
  <si>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</si>
  <si>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</si>
  <si>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</si>
  <si>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</si>
  <si>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</si>
  <si>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</si>
  <si>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</si>
  <si>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</si>
  <si>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</si>
  <si>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</si>
  <si>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</si>
  <si>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</si>
  <si>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</si>
  <si>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</si>
  <si>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</si>
  <si>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</si>
  <si>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</si>
  <si>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</si>
  <si>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</si>
  <si>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</si>
  <si>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</si>
  <si>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</si>
  <si>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</si>
  <si>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</si>
  <si>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</si>
  <si>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</si>
  <si>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</si>
  <si>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</si>
  <si>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</si>
  <si>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</si>
  <si>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</si>
  <si>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</si>
  <si>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</si>
  <si>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</si>
  <si>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</si>
  <si>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</si>
  <si>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</si>
  <si>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</si>
  <si>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</si>
  <si>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</si>
  <si>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</si>
  <si>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</si>
  <si>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</si>
  <si>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</si>
  <si>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</si>
  <si>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</si>
  <si>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</si>
  <si>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</si>
  <si>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</si>
  <si>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</si>
  <si>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</si>
  <si>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</si>
  <si>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</si>
  <si>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</si>
  <si>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</si>
  <si>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</si>
  <si>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</si>
  <si>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</si>
  <si>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</si>
  <si>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</si>
  <si>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</si>
  <si>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</si>
  <si>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</si>
  <si>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</si>
  <si>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</si>
  <si>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</si>
  <si>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</si>
  <si>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</si>
  <si>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</si>
  <si>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</si>
  <si>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</si>
  <si>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</si>
  <si>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</si>
  <si>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</si>
  <si>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</si>
  <si>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</si>
  <si>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</si>
  <si>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</si>
  <si>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</si>
  <si>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</si>
  <si>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</si>
  <si>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</si>
  <si>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</si>
  <si>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</si>
  <si>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</si>
  <si>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</si>
  <si>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</si>
  <si>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</si>
  <si>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</si>
  <si>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</si>
  <si>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</si>
  <si>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</si>
  <si>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</si>
  <si>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</si>
  <si>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</si>
  <si>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</si>
  <si>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</si>
  <si>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</si>
  <si>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</si>
  <si>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</si>
  <si>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</si>
  <si>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</si>
  <si>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</si>
  <si>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</si>
  <si>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</si>
  <si>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</si>
  <si>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</si>
  <si>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</si>
  <si>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</si>
  <si>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</si>
  <si>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</si>
  <si>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</si>
  <si>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</si>
  <si>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</si>
  <si>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</si>
  <si>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</si>
  <si>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</si>
  <si>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</si>
  <si>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</si>
  <si>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</si>
  <si>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</si>
  <si>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</si>
  <si>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</si>
  <si>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</si>
  <si>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</si>
  <si>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</si>
  <si>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</si>
  <si>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</si>
  <si>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</si>
  <si>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</si>
  <si>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</si>
  <si>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</si>
  <si>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</si>
  <si>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</si>
  <si>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</si>
  <si>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</si>
  <si>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</si>
  <si>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</si>
  <si>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</si>
  <si>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</si>
  <si>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</si>
  <si>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</si>
  <si>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</si>
  <si>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</si>
  <si>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</si>
  <si>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</si>
  <si>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</si>
  <si>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</si>
  <si>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</si>
  <si>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</si>
  <si>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</si>
  <si>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</si>
  <si>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</si>
  <si>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</si>
  <si>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</si>
  <si>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</si>
  <si>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</si>
  <si>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</si>
  <si>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</si>
  <si>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</si>
  <si>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</si>
  <si>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</si>
  <si>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</si>
  <si>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</si>
  <si>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</si>
  <si>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</si>
  <si>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</si>
  <si>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</si>
  <si>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</si>
  <si>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</si>
  <si>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</si>
  <si>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</si>
  <si>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</si>
  <si>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</si>
  <si>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</si>
  <si>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</si>
  <si>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</si>
  <si>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</si>
  <si>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</si>
  <si>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</si>
  <si>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</si>
  <si>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</si>
  <si>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</si>
  <si>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</si>
  <si>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</si>
  <si>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</si>
  <si>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</si>
  <si>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</si>
  <si>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</si>
  <si>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</si>
  <si>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</si>
  <si>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</si>
  <si>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</si>
  <si>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</si>
  <si>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</si>
  <si>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</si>
  <si>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</si>
  <si>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</si>
  <si>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</si>
  <si>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</si>
  <si>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</si>
  <si>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</si>
  <si>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</si>
  <si>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</si>
  <si>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</si>
  <si>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</si>
  <si>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</si>
  <si>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</si>
  <si>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</si>
  <si>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</si>
  <si>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</si>
  <si>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</si>
  <si>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</si>
  <si>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</si>
  <si>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</si>
  <si>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</si>
  <si>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</si>
  <si>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</si>
  <si>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</si>
  <si>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</si>
  <si>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</si>
  <si>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</si>
  <si>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</si>
  <si>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</si>
  <si>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</si>
  <si>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</si>
  <si>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</si>
  <si>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</si>
  <si>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</si>
  <si>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</si>
  <si>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</si>
  <si>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</si>
  <si>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</si>
  <si>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</si>
  <si>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</si>
  <si>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</si>
  <si>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</si>
  <si>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</si>
  <si>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</si>
  <si>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</si>
  <si>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</si>
  <si>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</si>
  <si>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</si>
  <si>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</si>
  <si>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</si>
  <si>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</si>
  <si>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</si>
  <si>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</si>
  <si>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</si>
  <si>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</si>
  <si>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</si>
  <si>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</si>
  <si>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</si>
  <si>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</si>
  <si>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</si>
  <si>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</si>
  <si>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</si>
  <si>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</si>
  <si>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</si>
  <si>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</si>
  <si>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</si>
  <si>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</si>
  <si>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</si>
  <si>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</si>
  <si>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</si>
  <si>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</si>
  <si>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</si>
  <si>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</si>
  <si>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</si>
  <si>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</si>
  <si>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</si>
  <si>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</si>
  <si>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</si>
  <si>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</si>
  <si>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</si>
  <si>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</si>
  <si>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</si>
  <si>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</si>
  <si>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</si>
  <si>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</si>
  <si>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</si>
  <si>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</si>
  <si>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</si>
  <si>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</si>
  <si>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</si>
  <si>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</si>
  <si>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</si>
  <si>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</si>
  <si>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</si>
  <si>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</si>
  <si>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</si>
  <si>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</si>
  <si>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</si>
  <si>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</si>
  <si>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</si>
  <si>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</si>
  <si>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</si>
  <si>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</si>
  <si>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</si>
  <si>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</si>
  <si>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</si>
  <si>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</si>
  <si>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</si>
  <si>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</si>
  <si>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</si>
  <si>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</si>
  <si>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</si>
  <si>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</si>
  <si>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</si>
  <si>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</si>
  <si>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</si>
  <si>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</si>
  <si>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</si>
  <si>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</si>
  <si>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</si>
  <si>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</si>
  <si>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</si>
  <si>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</si>
  <si>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</si>
  <si>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</si>
  <si>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</si>
  <si>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</si>
  <si>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</si>
  <si>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</si>
  <si>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</si>
  <si>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</si>
  <si>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</si>
  <si>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</si>
  <si>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</si>
  <si>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</si>
  <si>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</si>
  <si>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</si>
  <si>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</si>
  <si>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</si>
  <si>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</si>
  <si>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</si>
  <si>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</si>
  <si>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</si>
  <si>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</si>
  <si>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</si>
  <si>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</si>
  <si>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</si>
  <si>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</si>
  <si>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</si>
  <si>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</si>
  <si>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</si>
  <si>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</si>
  <si>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</si>
  <si>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</si>
  <si>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</si>
  <si>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</si>
  <si>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</si>
  <si>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</si>
  <si>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</si>
  <si>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</si>
  <si>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</si>
  <si>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</si>
  <si>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</si>
  <si>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</si>
  <si>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</si>
  <si>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</si>
  <si>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</si>
  <si>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</si>
  <si>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</si>
  <si>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</si>
  <si>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</si>
  <si>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</si>
  <si>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</si>
  <si>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</si>
  <si>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</si>
  <si>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</si>
  <si>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</si>
  <si>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</si>
  <si>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</si>
  <si>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</si>
  <si>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</si>
  <si>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</si>
  <si>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</si>
  <si>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</si>
  <si>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</si>
  <si>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</si>
  <si>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</si>
  <si>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</si>
  <si>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</si>
  <si>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</si>
  <si>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</si>
  <si>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</si>
  <si>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</si>
  <si>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</si>
  <si>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</si>
  <si>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</si>
  <si>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</si>
  <si>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</si>
  <si>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</si>
  <si>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</si>
  <si>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</si>
  <si>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</si>
  <si>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</si>
  <si>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</si>
  <si>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</si>
  <si>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</si>
  <si>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</si>
  <si>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</si>
  <si>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</si>
  <si>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</si>
  <si>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</si>
  <si>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</si>
  <si>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</si>
  <si>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</si>
  <si>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</si>
  <si>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</si>
  <si>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</si>
  <si>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</si>
  <si>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</si>
  <si>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</si>
  <si>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</si>
  <si>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</si>
  <si>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</si>
  <si>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</si>
  <si>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</si>
  <si>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</si>
  <si>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</si>
  <si>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</si>
  <si>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</si>
  <si>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</si>
  <si>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</si>
  <si>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</si>
  <si>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</si>
  <si>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</si>
  <si>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</si>
  <si>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</si>
  <si>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</si>
  <si>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</si>
  <si>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</si>
  <si>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</si>
  <si>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</si>
  <si>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</si>
  <si>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</si>
  <si>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</si>
  <si>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</si>
  <si>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</si>
  <si>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</si>
  <si>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</si>
  <si>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</si>
  <si>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</si>
  <si>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</si>
  <si>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</si>
  <si>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</si>
  <si>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</si>
  <si>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</si>
  <si>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</si>
  <si>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</si>
  <si>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</si>
  <si>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</si>
  <si>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</si>
  <si>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</si>
  <si>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</si>
  <si>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</si>
  <si>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</si>
  <si>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</si>
  <si>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</si>
  <si>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</si>
  <si>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</si>
  <si>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</si>
  <si>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</si>
  <si>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</si>
  <si>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</si>
  <si>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</si>
  <si>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</si>
  <si>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</si>
  <si>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</si>
  <si>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</si>
  <si>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</si>
  <si>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</si>
  <si>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</si>
  <si>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</si>
  <si>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</si>
  <si>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</si>
  <si>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</si>
  <si>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</si>
  <si>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</si>
  <si>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</si>
  <si>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</si>
  <si>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</si>
  <si>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</si>
  <si>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</si>
  <si>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</si>
  <si>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</si>
  <si>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</si>
  <si>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</si>
  <si>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</si>
  <si>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</si>
  <si>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</si>
  <si>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</si>
  <si>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</si>
  <si>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</si>
  <si>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</si>
  <si>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</si>
  <si>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</si>
  <si>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</si>
  <si>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</si>
  <si>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</si>
  <si>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</si>
  <si>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</si>
  <si>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</si>
  <si>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</si>
  <si>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</si>
  <si>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</si>
  <si>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</si>
  <si>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</si>
  <si>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</si>
  <si>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</si>
  <si>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</si>
  <si>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</si>
  <si>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</si>
  <si>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</si>
  <si>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</si>
  <si>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</si>
  <si>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</si>
  <si>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</si>
  <si>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</si>
  <si>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</si>
  <si>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</si>
  <si>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</si>
  <si>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</si>
  <si>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</si>
  <si>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</si>
  <si>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</si>
  <si>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</si>
  <si>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</si>
  <si>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</si>
  <si>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</si>
  <si>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</si>
  <si>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</si>
  <si>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</si>
  <si>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</si>
  <si>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</si>
  <si>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</si>
  <si>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</si>
  <si>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</si>
  <si>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</si>
  <si>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</si>
  <si>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</si>
  <si>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</si>
  <si>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</si>
  <si>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</si>
  <si>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</si>
  <si>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</si>
  <si>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</si>
  <si>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</si>
  <si>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</si>
  <si>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</si>
  <si>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</si>
  <si>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</si>
  <si>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</si>
  <si>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</si>
  <si>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</si>
  <si>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</si>
  <si>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</si>
  <si>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</si>
  <si>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</si>
  <si>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</si>
  <si>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</si>
  <si>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</si>
  <si>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</si>
  <si>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</si>
  <si>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</si>
  <si>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</si>
  <si>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</si>
  <si>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</si>
  <si>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</si>
  <si>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</si>
  <si>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</si>
  <si>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</si>
  <si>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</si>
  <si>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</si>
  <si>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</si>
  <si>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</si>
  <si>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</si>
  <si>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</si>
  <si>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</si>
  <si>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</si>
  <si>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</si>
  <si>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</si>
  <si>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</si>
  <si>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</si>
  <si>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</si>
  <si>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</si>
  <si>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</si>
  <si>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</si>
  <si>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</si>
  <si>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</si>
  <si>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</si>
  <si>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</si>
  <si>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</si>
  <si>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</si>
  <si>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</si>
  <si>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</si>
  <si>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</si>
  <si>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</si>
  <si>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</si>
  <si>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</si>
  <si>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</si>
  <si>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</si>
  <si>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</si>
  <si>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</si>
  <si>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</si>
  <si>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</si>
  <si>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</si>
  <si>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</si>
  <si>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</si>
  <si>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</si>
  <si>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</si>
  <si>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</si>
  <si>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</si>
  <si>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</si>
  <si>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</si>
  <si>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</si>
  <si>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</si>
  <si>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</si>
  <si>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</si>
  <si>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</si>
  <si>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</si>
  <si>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</si>
  <si>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</si>
  <si>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</si>
  <si>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</si>
  <si>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</si>
  <si>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</si>
  <si>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</si>
  <si>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</si>
  <si>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</si>
  <si>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</si>
  <si>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</si>
  <si>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</si>
  <si>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</si>
  <si>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</si>
  <si>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</si>
  <si>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</si>
  <si>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</si>
  <si>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</si>
  <si>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</si>
  <si>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</si>
  <si>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</si>
  <si>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</si>
  <si>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</si>
  <si>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</si>
  <si>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</si>
  <si>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</si>
  <si>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</si>
  <si>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</si>
  <si>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</si>
  <si>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</si>
  <si>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</si>
  <si>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</si>
  <si>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</si>
  <si>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</si>
  <si>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</si>
  <si>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</si>
  <si>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</si>
  <si>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</si>
  <si>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</si>
  <si>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</si>
  <si>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</si>
  <si>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</si>
  <si>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</si>
  <si>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</si>
  <si>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</si>
  <si>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</si>
  <si>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</si>
  <si>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</si>
  <si>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</si>
  <si>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</si>
  <si>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</si>
  <si>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</si>
  <si>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</si>
  <si>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</si>
  <si>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</si>
  <si>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</si>
  <si>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</si>
  <si>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</si>
  <si>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</si>
  <si>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</si>
  <si>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</si>
  <si>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</si>
  <si>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</si>
  <si>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</si>
  <si>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</si>
  <si>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</si>
  <si>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</si>
  <si>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</si>
  <si>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</si>
  <si>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</si>
  <si>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</si>
  <si>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</si>
  <si>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</si>
  <si>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</si>
  <si>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</si>
  <si>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</si>
  <si>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</si>
  <si>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</si>
  <si>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</si>
  <si>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</si>
  <si>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</si>
  <si>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</si>
  <si>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</si>
  <si>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</si>
  <si>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</si>
  <si>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</si>
  <si>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</si>
  <si>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</si>
  <si>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</si>
  <si>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</si>
  <si>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</si>
  <si>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</si>
  <si>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</si>
  <si>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</si>
  <si>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</si>
  <si>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</si>
  <si>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</si>
  <si>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</si>
  <si>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</si>
  <si>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</si>
  <si>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</si>
  <si>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</si>
  <si>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</si>
  <si>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</si>
  <si>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</si>
  <si>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</si>
  <si>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</si>
  <si>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</si>
  <si>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</si>
  <si>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</si>
  <si>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</si>
  <si>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</si>
  <si>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</si>
  <si>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</si>
  <si>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</si>
  <si>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</si>
  <si>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</si>
  <si>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</si>
  <si>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</si>
  <si>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</si>
  <si>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</si>
  <si>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</si>
  <si>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</si>
  <si>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</si>
  <si>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</si>
  <si>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</si>
  <si>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</si>
  <si>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</si>
  <si>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</si>
  <si>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</si>
  <si>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</si>
  <si>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</si>
  <si>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</si>
  <si>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</si>
  <si>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</si>
  <si>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</si>
  <si>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</si>
  <si>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</si>
  <si>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</si>
  <si>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</si>
  <si>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</si>
  <si>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</si>
  <si>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</si>
  <si>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</si>
  <si>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</si>
  <si>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</si>
  <si>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</si>
  <si>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</si>
  <si>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</si>
  <si>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</si>
  <si>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</si>
  <si>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</si>
  <si>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</si>
  <si>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</si>
  <si>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</si>
  <si>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</si>
  <si>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</si>
  <si>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</si>
  <si>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</si>
  <si>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</si>
  <si>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</si>
  <si>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</si>
  <si>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</si>
  <si>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</si>
  <si>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</si>
  <si>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</si>
  <si>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</si>
  <si>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</si>
  <si>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</si>
  <si>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</si>
  <si>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</si>
  <si>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</si>
  <si>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</si>
  <si>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</si>
  <si>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</si>
  <si>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</si>
  <si>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</si>
  <si>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</si>
  <si>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</si>
  <si>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</si>
  <si>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</si>
  <si>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</si>
  <si>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</si>
  <si>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</si>
  <si>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</si>
  <si>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</si>
  <si>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</si>
  <si>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</si>
  <si>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</si>
  <si>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</si>
  <si>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</si>
  <si>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</si>
  <si>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</si>
  <si>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</si>
  <si>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</si>
  <si>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</si>
  <si>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</si>
  <si>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</si>
  <si>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</si>
  <si>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</si>
  <si>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</si>
  <si>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</si>
  <si>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</si>
  <si>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</si>
  <si>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</si>
  <si>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</si>
  <si>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</si>
  <si>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</si>
  <si>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</si>
  <si>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</si>
  <si>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</si>
  <si>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</si>
  <si>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</si>
  <si>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</si>
  <si>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</si>
  <si>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</si>
  <si>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</si>
  <si>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</si>
  <si>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</si>
  <si>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</si>
  <si>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</si>
  <si>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</si>
  <si>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</si>
  <si>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</si>
  <si>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</si>
  <si>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</si>
  <si>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</si>
  <si>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</si>
  <si>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</si>
  <si>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</si>
  <si>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</si>
  <si>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</si>
  <si>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</si>
  <si>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</si>
  <si>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</si>
  <si>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</si>
  <si>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</si>
  <si>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</si>
  <si>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</si>
  <si>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</si>
  <si>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</si>
  <si>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</si>
  <si>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</si>
  <si>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</si>
  <si>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</si>
  <si>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</si>
  <si>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</si>
  <si>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</si>
  <si>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</si>
  <si>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</si>
  <si>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</si>
  <si>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</si>
  <si>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</si>
  <si>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</si>
  <si>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</si>
  <si>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</si>
  <si>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</si>
  <si>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</si>
  <si>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</si>
  <si>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</si>
  <si>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</si>
  <si>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</si>
  <si>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</si>
  <si>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</si>
  <si>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</si>
  <si>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</si>
  <si>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</si>
  <si>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</si>
  <si>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</si>
  <si>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</si>
  <si>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</si>
  <si>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</si>
  <si>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</si>
  <si>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</si>
  <si>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</si>
  <si>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</si>
  <si>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</si>
  <si>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</si>
  <si>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</si>
  <si>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</si>
  <si>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</si>
  <si>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</si>
  <si>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</si>
  <si>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</si>
  <si>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</si>
  <si>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</si>
  <si>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</si>
  <si>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</si>
  <si>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</si>
  <si>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</si>
  <si>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</si>
  <si>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</si>
  <si>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</si>
  <si>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</si>
  <si>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</si>
  <si>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</si>
  <si>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</si>
  <si>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</si>
  <si>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</si>
  <si>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</si>
  <si>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</si>
  <si>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</si>
  <si>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</si>
  <si>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</si>
  <si>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</si>
  <si>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</si>
  <si>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</si>
  <si>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</si>
  <si>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</si>
  <si>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</si>
  <si>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</si>
  <si>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</si>
  <si>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</si>
  <si>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</si>
  <si>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</si>
  <si>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</si>
  <si>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</si>
  <si>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</si>
  <si>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</si>
  <si>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</si>
  <si>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</si>
  <si>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</si>
  <si>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</si>
  <si>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</si>
  <si>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</si>
  <si>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</si>
  <si>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</si>
  <si>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</si>
  <si>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</si>
  <si>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</si>
  <si>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</si>
  <si>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</si>
  <si>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</si>
  <si>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</si>
  <si>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</si>
  <si>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</si>
  <si>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</si>
  <si>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</si>
  <si>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</si>
  <si>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</si>
  <si>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</si>
  <si>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</si>
  <si>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</si>
  <si>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</si>
  <si>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</si>
  <si>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</si>
  <si>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</si>
  <si>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</si>
  <si>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</si>
  <si>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</si>
  <si>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</si>
  <si>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</si>
  <si>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</si>
  <si>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</si>
  <si>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</si>
  <si>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</si>
  <si>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</si>
  <si>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</si>
  <si>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</si>
  <si>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</si>
  <si>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</si>
  <si>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</si>
  <si>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</si>
  <si>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</si>
  <si>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</si>
  <si>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</si>
  <si>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</si>
  <si>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</si>
  <si>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</si>
  <si>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</si>
  <si>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</si>
  <si>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</si>
  <si>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</si>
  <si>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</si>
  <si>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</si>
  <si>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</si>
  <si>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</si>
  <si>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</si>
  <si>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</si>
  <si>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</si>
  <si>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</si>
  <si>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</si>
  <si>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</si>
  <si>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</si>
  <si>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</si>
  <si>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</si>
  <si>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</si>
  <si>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</si>
  <si>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</si>
  <si>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</si>
  <si>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</si>
  <si>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</si>
  <si>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</si>
  <si>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</si>
  <si>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</si>
  <si>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</si>
  <si>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</si>
  <si>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</si>
  <si>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</si>
  <si>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</si>
  <si>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</si>
  <si>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</si>
  <si>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</si>
  <si>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</si>
  <si>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</si>
  <si>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</si>
  <si>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</si>
  <si>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</si>
  <si>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</si>
  <si>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</si>
  <si>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</si>
  <si>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</si>
  <si>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</si>
  <si>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</si>
  <si>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</si>
  <si>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</si>
  <si>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</si>
  <si>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</si>
  <si>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</si>
  <si>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</si>
  <si>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</si>
  <si>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</si>
  <si>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</si>
  <si>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</si>
  <si>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</si>
  <si>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</si>
  <si>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</si>
  <si>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</si>
  <si>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</si>
  <si>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</si>
  <si>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</si>
  <si>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</si>
  <si>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</si>
  <si>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</si>
  <si>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</si>
  <si>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</si>
  <si>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</si>
  <si>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</si>
  <si>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</si>
  <si>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</si>
  <si>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</si>
  <si>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</si>
  <si>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</si>
  <si>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</si>
  <si>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</si>
  <si>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</si>
  <si>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</si>
  <si>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</si>
  <si>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</si>
  <si>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</si>
  <si>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</si>
  <si>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</si>
  <si>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</si>
  <si>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</si>
  <si>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</si>
  <si>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</si>
  <si>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</si>
  <si>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</si>
  <si>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</si>
  <si>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</si>
  <si>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</si>
  <si>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</si>
  <si>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</si>
  <si>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</si>
  <si>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</si>
  <si>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</si>
  <si>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</si>
  <si>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</si>
  <si>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</si>
  <si>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</si>
  <si>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</si>
  <si>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</si>
  <si>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</si>
  <si>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</si>
  <si>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</si>
  <si>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Governor's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</si>
</sst>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zoomScale="80" zoomScaleNormal="80" workbookViewId="0">
      <selection activeCell="F6" sqref="F6:I6"/>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213</v>
      </c>
      <c r="G5" s="180"/>
      <c r="H5" s="180"/>
      <c r="I5" s="180"/>
      <c r="J5" s="47"/>
      <c r="K5" s="47"/>
      <c r="L5" s="48"/>
      <c r="M5" s="48"/>
      <c r="N5" s="48"/>
    </row>
    <row r="6" spans="1:17" ht="15.75" x14ac:dyDescent="0.2">
      <c r="A6" s="173" t="s">
        <v>1</v>
      </c>
      <c r="B6" s="173"/>
      <c r="C6" s="173"/>
      <c r="D6" s="173"/>
      <c r="E6" s="173"/>
      <c r="F6" s="181">
        <v>9740</v>
      </c>
      <c r="G6" s="181"/>
      <c r="H6" s="181"/>
      <c r="I6" s="181"/>
      <c r="L6" s="49"/>
      <c r="M6" s="48"/>
      <c r="N6" s="48"/>
      <c r="P6" s="27"/>
    </row>
    <row r="7" spans="1:17" ht="15.75" x14ac:dyDescent="0.2">
      <c r="A7" s="173" t="s">
        <v>1571</v>
      </c>
      <c r="B7" s="173"/>
      <c r="C7" s="173"/>
      <c r="D7" s="173"/>
      <c r="E7" s="173"/>
      <c r="F7" s="172" t="s">
        <v>1569</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PROPRIETARY FUND</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401353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401353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401353</v>
      </c>
      <c r="K22" s="29">
        <f>ROUND(SUM(K18:K21),2)</f>
        <v>401353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0870 - SERVICES &amp; CHARGES (MG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0</v>
      </c>
      <c r="K34" s="70"/>
      <c r="L34" s="54"/>
    </row>
    <row r="35" spans="1:12" ht="16.5" customHeight="1" x14ac:dyDescent="0.2">
      <c r="B35" s="165" t="s">
        <v>1579</v>
      </c>
      <c r="C35" s="165"/>
      <c r="D35" s="165"/>
      <c r="E35" s="165"/>
      <c r="F35" s="165"/>
      <c r="G35" s="165"/>
      <c r="H35" s="165"/>
      <c r="I35" s="165"/>
      <c r="J35" s="32">
        <v>0</v>
      </c>
      <c r="K35" s="36"/>
    </row>
    <row r="36" spans="1:12" ht="16.5" customHeight="1" x14ac:dyDescent="0.2">
      <c r="A36" s="56"/>
      <c r="B36" s="71"/>
      <c r="C36" s="165" t="s">
        <v>1581</v>
      </c>
      <c r="D36" s="165"/>
      <c r="E36" s="165"/>
      <c r="F36" s="165"/>
      <c r="G36" s="165"/>
      <c r="H36" s="165"/>
      <c r="I36" s="165"/>
      <c r="J36" s="36"/>
      <c r="K36" s="32">
        <v>0</v>
      </c>
    </row>
    <row r="37" spans="1:12" ht="16.5" customHeight="1" x14ac:dyDescent="0.2">
      <c r="A37" s="56"/>
      <c r="C37" s="165" t="s">
        <v>1626</v>
      </c>
      <c r="D37" s="165"/>
      <c r="E37" s="165"/>
      <c r="F37" s="165"/>
      <c r="G37" s="165"/>
      <c r="H37" s="165"/>
      <c r="I37" s="165"/>
      <c r="J37" s="36"/>
      <c r="K37" s="32">
        <v>0</v>
      </c>
    </row>
    <row r="38" spans="1:12" ht="16.5" customHeight="1" x14ac:dyDescent="0.25">
      <c r="A38" s="56"/>
      <c r="B38" s="57"/>
      <c r="C38" s="165" t="str">
        <f>VLOOKUP($F$8,'Drop Down Menus'!$D$2:$G$10,4,FALSE)</f>
        <v>Cr: Acct 0870 - SERVICES &amp; CHARGES (MG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133784</v>
      </c>
      <c r="K45" s="33"/>
    </row>
    <row r="46" spans="1:12" ht="16.5" customHeight="1" x14ac:dyDescent="0.2">
      <c r="A46" s="56"/>
      <c r="B46" s="71"/>
      <c r="C46" s="165" t="s">
        <v>1587</v>
      </c>
      <c r="D46" s="165"/>
      <c r="E46" s="165"/>
      <c r="F46" s="165"/>
      <c r="G46" s="165"/>
      <c r="H46" s="165"/>
      <c r="I46" s="165"/>
      <c r="J46" s="36"/>
      <c r="K46" s="32">
        <f>J45</f>
        <v>133784</v>
      </c>
    </row>
    <row r="47" spans="1:12" ht="16.5" customHeight="1" x14ac:dyDescent="0.2">
      <c r="A47" s="68"/>
      <c r="B47" s="58"/>
      <c r="C47" s="58"/>
      <c r="D47" s="58"/>
      <c r="E47" s="58"/>
      <c r="F47" s="58"/>
      <c r="G47" s="58"/>
      <c r="H47" s="58"/>
      <c r="I47" s="58"/>
      <c r="J47" s="39">
        <f>ROUND(SUM(J45:J45),2)</f>
        <v>133784</v>
      </c>
      <c r="K47" s="39">
        <f>ROUND(SUM(K46),2)</f>
        <v>133784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99334</v>
      </c>
      <c r="K50" s="81"/>
    </row>
    <row r="51" spans="1:12" ht="16.5" customHeight="1" x14ac:dyDescent="0.2">
      <c r="A51" s="56"/>
      <c r="B51" s="165" t="str">
        <f>IF(OR($F$7="Proprietary - Internal Service Fund",$F$7="Proprietary - Enterprise Fund"),"Dr: Acct 0894 - INTEREST EXPENSE AND FISCAL CHARGES","Dr: Acct 0851 - DEBT SERVICE - INTEREST LEASES")</f>
        <v>Dr: Acct 0894 - INTEREST EXPENSE AND FISCAL CHARGES</v>
      </c>
      <c r="C51" s="165"/>
      <c r="D51" s="165"/>
      <c r="E51" s="165"/>
      <c r="F51" s="165"/>
      <c r="G51" s="165"/>
      <c r="H51" s="165"/>
      <c r="I51" s="165"/>
      <c r="J51" s="37">
        <v>1406</v>
      </c>
      <c r="K51" s="81"/>
    </row>
    <row r="52" spans="1:12" ht="16.5" customHeight="1" x14ac:dyDescent="0.25">
      <c r="A52" s="56"/>
      <c r="B52" s="57"/>
      <c r="C52" s="165" t="str">
        <f>VLOOKUP($F$8,'Drop Down Menus'!$D$2:$G$10,4,FALSE)</f>
        <v>Cr: Acct 0870 - SERVICES &amp; CHARGES (MG ADJ)</v>
      </c>
      <c r="D52" s="165"/>
      <c r="E52" s="165"/>
      <c r="F52" s="165"/>
      <c r="G52" s="165"/>
      <c r="H52" s="165"/>
      <c r="I52" s="165"/>
      <c r="J52" s="81"/>
      <c r="K52" s="38">
        <f>+J50+J51</f>
        <v>100740</v>
      </c>
    </row>
    <row r="53" spans="1:12" ht="16.5" customHeight="1" x14ac:dyDescent="0.2">
      <c r="A53" s="68"/>
      <c r="B53" s="58"/>
      <c r="C53" s="58"/>
      <c r="D53" s="58"/>
      <c r="E53" s="58"/>
      <c r="F53" s="58"/>
      <c r="G53" s="58"/>
      <c r="H53" s="58"/>
      <c r="I53" s="58"/>
      <c r="J53" s="39">
        <f>ROUND(SUM(J50:J51),2)</f>
        <v>100740</v>
      </c>
      <c r="K53" s="39">
        <f>ROUND(SUM(K52,),2)</f>
        <v>100740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99334</v>
      </c>
      <c r="K56" s="36"/>
    </row>
    <row r="57" spans="1:12" ht="16.5" customHeight="1" x14ac:dyDescent="0.25">
      <c r="A57" s="56"/>
      <c r="B57" s="57"/>
      <c r="C57" s="165" t="s">
        <v>1613</v>
      </c>
      <c r="D57" s="165"/>
      <c r="E57" s="165"/>
      <c r="F57" s="165"/>
      <c r="G57" s="165"/>
      <c r="H57" s="165"/>
      <c r="I57" s="165"/>
      <c r="J57" s="36"/>
      <c r="K57" s="32">
        <f>J56</f>
        <v>99334</v>
      </c>
    </row>
    <row r="58" spans="1:12" ht="16.5" customHeight="1" x14ac:dyDescent="0.2">
      <c r="A58" s="68"/>
      <c r="B58" s="58"/>
      <c r="C58" s="58"/>
      <c r="D58" s="58"/>
      <c r="E58" s="58"/>
      <c r="F58" s="58"/>
      <c r="G58" s="58"/>
      <c r="H58" s="58"/>
      <c r="I58" s="58"/>
      <c r="J58" s="39">
        <f>ROUND(SUM(J56:J56),2)</f>
        <v>99334</v>
      </c>
      <c r="K58" s="39">
        <f>ROUND(SUM(K57),2)</f>
        <v>99334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201279</v>
      </c>
      <c r="K61" s="33"/>
    </row>
    <row r="62" spans="1:12" ht="16.5" customHeight="1" x14ac:dyDescent="0.25">
      <c r="A62" s="56"/>
      <c r="B62" s="57"/>
      <c r="C62" s="165" t="s">
        <v>1623</v>
      </c>
      <c r="D62" s="165"/>
      <c r="E62" s="165"/>
      <c r="F62" s="165"/>
      <c r="G62" s="165"/>
      <c r="H62" s="165"/>
      <c r="I62" s="165"/>
      <c r="J62" s="33"/>
      <c r="K62" s="32">
        <f>J61</f>
        <v>201279</v>
      </c>
    </row>
    <row r="63" spans="1:12" ht="16.5" customHeight="1" x14ac:dyDescent="0.2">
      <c r="A63" s="56"/>
      <c r="B63" s="166" t="s">
        <v>1622</v>
      </c>
      <c r="C63" s="166"/>
      <c r="D63" s="166"/>
      <c r="E63" s="166"/>
      <c r="F63" s="166"/>
      <c r="G63" s="166"/>
      <c r="H63" s="166"/>
      <c r="I63" s="166"/>
      <c r="J63" s="39">
        <f>ROUND(SUM(J61:J61),2)</f>
        <v>201279</v>
      </c>
      <c r="K63" s="39">
        <f>ROUND(SUM(K62),2)</f>
        <v>201279</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0870 - SERVICES &amp; CHARGES (MG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0870 - SERVICES &amp; CHARGES (MG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401353</v>
      </c>
    </row>
    <row r="95" spans="1:12" ht="16.5" customHeight="1" x14ac:dyDescent="0.25">
      <c r="D95" s="57" t="s">
        <v>1641</v>
      </c>
      <c r="E95"/>
      <c r="F95"/>
      <c r="G95"/>
      <c r="H95" s="44"/>
      <c r="I95"/>
      <c r="J95"/>
      <c r="K95" s="162">
        <f>-K18-K46+J68+J77</f>
        <v>-133784</v>
      </c>
    </row>
    <row r="96" spans="1:12" ht="16.5" customHeight="1" x14ac:dyDescent="0.25">
      <c r="D96" s="57" t="s">
        <v>1639</v>
      </c>
      <c r="E96"/>
      <c r="F96"/>
      <c r="G96"/>
      <c r="H96" s="44"/>
      <c r="I96"/>
      <c r="J96"/>
      <c r="K96" s="162">
        <f>-K19-K37+J56+J61+J76-K85</f>
        <v>-100740</v>
      </c>
    </row>
    <row r="97" spans="1:11" ht="16.5" customHeight="1" x14ac:dyDescent="0.25">
      <c r="D97" s="57" t="s">
        <v>1640</v>
      </c>
      <c r="E97"/>
      <c r="F97"/>
      <c r="G97"/>
      <c r="H97" s="44"/>
      <c r="I97"/>
      <c r="J97"/>
      <c r="K97" s="162">
        <f>-K62</f>
        <v>-201279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abSelected="1" zoomScaleNormal="100" workbookViewId="0">
      <selection activeCell="B13" sqref="B13:C1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500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c r="C16" s="2"/>
      <c r="D16" s="185" t="s">
        <v>1537</v>
      </c>
      <c r="E16" s="97"/>
      <c r="F16" s="97"/>
      <c r="G16" s="97"/>
      <c r="H16" s="97"/>
      <c r="I16" s="97"/>
      <c r="J16" s="97"/>
      <c r="K16" s="97"/>
    </row>
    <row r="17" spans="1:11" ht="15" customHeight="1" x14ac:dyDescent="0.2">
      <c r="A17" s="94" t="str">
        <f>LEFT(A16,4)+1&amp;"–"&amp;RIGHT(A16,4)+1</f>
        <v>2024–2025</v>
      </c>
      <c r="B17" s="2"/>
      <c r="C17" s="2"/>
      <c r="D17" s="185"/>
      <c r="E17" s="97"/>
      <c r="F17" s="97"/>
      <c r="G17" s="97"/>
      <c r="H17" s="97"/>
      <c r="I17" s="97"/>
      <c r="J17" s="97"/>
      <c r="K17" s="97"/>
    </row>
    <row r="18" spans="1:11" ht="15" customHeight="1" x14ac:dyDescent="0.2">
      <c r="A18" s="94" t="str">
        <f>LEFT(A17,4)+1&amp;"–"&amp;RIGHT(A17,4)+1</f>
        <v>2025–2026</v>
      </c>
      <c r="B18" s="2"/>
      <c r="C18" s="2"/>
      <c r="D18" s="25"/>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500</v>
      </c>
      <c r="C43" s="184"/>
    </row>
    <row r="44" spans="1:11" ht="15.75" x14ac:dyDescent="0.25">
      <c r="A44" s="92" t="s">
        <v>1600</v>
      </c>
      <c r="B44" s="183" t="str">
        <f>B13</f>
        <v>Governor's Office</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v>201279</v>
      </c>
      <c r="C47" s="2">
        <v>201</v>
      </c>
      <c r="D47" s="186" t="s">
        <v>1537</v>
      </c>
    </row>
    <row r="48" spans="1:11" ht="15" customHeight="1" x14ac:dyDescent="0.2">
      <c r="A48" s="94" t="str">
        <f>LEFT(A47,4)+1&amp;"–"&amp;RIGHT(A47,4)+1</f>
        <v>2024–2025</v>
      </c>
      <c r="B48" s="2">
        <v>100740</v>
      </c>
      <c r="C48" s="2">
        <v>0</v>
      </c>
      <c r="D48" s="186"/>
    </row>
    <row r="49" spans="1:4" x14ac:dyDescent="0.2">
      <c r="A49" s="94" t="str">
        <f>LEFT(A48,4)+1&amp;"–"&amp;RIGHT(A48,4)+1</f>
        <v>2025–2026</v>
      </c>
      <c r="B49" s="2"/>
      <c r="C49" s="2"/>
      <c r="D49" s="25" t="s">
        <v>116</v>
      </c>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v>0</v>
      </c>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v>0</v>
      </c>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t="s">
        <v>116</v>
      </c>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t="s">
        <v>116</v>
      </c>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v>0</v>
      </c>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500</v>
      </c>
      <c r="C74" s="184"/>
    </row>
    <row r="75" spans="1:4" ht="15.75" x14ac:dyDescent="0.25">
      <c r="A75" s="92" t="s">
        <v>1600</v>
      </c>
      <c r="B75" s="183" t="str">
        <f>B13</f>
        <v>Governor's Office</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D1" zoomScaleNormal="100" workbookViewId="0">
      <selection activeCell="F14" sqref="F14"/>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0500 Journal Entries'!$F$5&amp;" "&amp;'Fund 0500 Journal Entries'!$F$4</f>
        <v>Business Unit 0500 Governor's Office</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0500 Journal Entries'!$F$3,4)</f>
        <v>Balance
July 1, 2022</v>
      </c>
      <c r="G8" s="116"/>
      <c r="H8" s="117" t="s">
        <v>10</v>
      </c>
      <c r="I8" s="116"/>
      <c r="J8" s="117" t="s">
        <v>11</v>
      </c>
      <c r="K8" s="116"/>
      <c r="L8" s="115" t="str">
        <f>"Balance
June 30, "&amp;RIGHT('Fund 0500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0500 Journal Entries'!$F$7="Governmental Fund",'Fund 0500 Journal Entries'!$K$19,0)</f>
        <v>0</v>
      </c>
      <c r="H10" s="3">
        <f>IF('Fund 0500 Journal Entries'!$F$7="Governmental Fund",'Fund 0500 Journal Entries'!$K$37,0)</f>
        <v>0</v>
      </c>
      <c r="J10" s="3">
        <f>IF('Fund 0500 Journal Entries'!$F$7="Governmental Fund",'Fund 0500 Journal Entries'!$J$56,0)</f>
        <v>0</v>
      </c>
      <c r="L10" s="119">
        <f>SUM(F10+H10-J10)</f>
        <v>0</v>
      </c>
      <c r="N10" s="3">
        <f>IF('Fund 0500 Journal Entries'!$F$7="Governmental Fund",'Fund 0500 Journal Entries'!$J$61,0)</f>
        <v>0</v>
      </c>
      <c r="P10" s="119">
        <f>L10-N10</f>
        <v>0</v>
      </c>
      <c r="Q10" s="109"/>
    </row>
    <row r="11" spans="2:17" ht="19.5" thickTop="1" thickBot="1" x14ac:dyDescent="0.3">
      <c r="B11" s="107"/>
      <c r="C11" s="197" t="s">
        <v>15</v>
      </c>
      <c r="D11" s="197"/>
      <c r="F11" s="120">
        <f>SUM(F10:F10)</f>
        <v>0</v>
      </c>
      <c r="H11" s="120">
        <f>SUM(H10:H10)</f>
        <v>0</v>
      </c>
      <c r="J11" s="120">
        <f>SUM(J10:J10)</f>
        <v>0</v>
      </c>
      <c r="L11" s="120">
        <f>SUM(L10:L10)</f>
        <v>0</v>
      </c>
      <c r="N11" s="120">
        <f>SUM(N10:N10)</f>
        <v>0</v>
      </c>
      <c r="P11" s="120">
        <f>SUM(P10:P10)</f>
        <v>0</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0500 Journal Entries'!$F$7="Proprietary - Internal Service Fund",'Fund 0500 Journal Entries'!$K$19,0)</f>
        <v>401353</v>
      </c>
      <c r="H14" s="3">
        <f>IF('Fund 0500 Journal Entries'!$F$7="Proprietary - Internal Service Fund",'Fund 0500 Journal Entries'!$K$37,0)</f>
        <v>0</v>
      </c>
      <c r="J14" s="3">
        <f>IF('Fund 0500 Journal Entries'!$F$7="Proprietary - Internal Service Fund",'Fund 0500 Journal Entries'!$J$56,0)</f>
        <v>99334</v>
      </c>
      <c r="L14" s="119">
        <f>SUM(F14+H14-J14)</f>
        <v>302019</v>
      </c>
      <c r="N14" s="3">
        <f>IF('Fund 0500 Journal Entries'!$F$7="Proprietary - Internal Service Fund",'Fund 0500 Journal Entries'!$J$61,0)</f>
        <v>201279</v>
      </c>
      <c r="P14" s="119">
        <f>L14-N14</f>
        <v>100740</v>
      </c>
      <c r="Q14" s="109"/>
    </row>
    <row r="15" spans="2:17" ht="19.5" thickTop="1" thickBot="1" x14ac:dyDescent="0.3">
      <c r="B15" s="107"/>
      <c r="C15" s="197" t="s">
        <v>1584</v>
      </c>
      <c r="D15" s="197"/>
      <c r="F15" s="120">
        <f>SUM(F14:F14)</f>
        <v>401353</v>
      </c>
      <c r="H15" s="120">
        <f>SUM(H14:H14)</f>
        <v>0</v>
      </c>
      <c r="J15" s="120">
        <f>SUM(J14:J14)</f>
        <v>99334</v>
      </c>
      <c r="L15" s="120">
        <f>SUM(L14:L14)</f>
        <v>302019</v>
      </c>
      <c r="N15" s="120">
        <f>SUM(N14:N14)</f>
        <v>201279</v>
      </c>
      <c r="P15" s="120">
        <f>SUM(P14:P14)</f>
        <v>100740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0500 Journal Entries'!$F$7="Proprietary - Enterprise Fund",'Fund 0500 Journal Entries'!$K$19,0)</f>
        <v>0</v>
      </c>
      <c r="H18" s="3">
        <f>IF('Fund 0500 Journal Entries'!$F$7="Proprietary - Enterprise Fund",'Fund 0500 Journal Entries'!$K$37,0)</f>
        <v>0</v>
      </c>
      <c r="J18" s="3">
        <f>IF('Fund 0500 Journal Entries'!$F$7="Proprietary - Enterprise Fund",'Fund 0500 Journal Entries'!$J$56,0)</f>
        <v>0</v>
      </c>
      <c r="L18" s="119">
        <f>SUM(F18+H18-J18)</f>
        <v>0</v>
      </c>
      <c r="N18" s="3">
        <f>IF('Fund 0500 Journal Entries'!$F$7="Proprietary - Enterprise Fund",'Fund 0500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63" zoomScale="112" zoomScaleNormal="112" workbookViewId="0">
      <selection activeCell="D82" sqref="D82"/>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0500 Journal Entries'!$F$7="Governmental Fund",ROUND('Fund 0500 Journal Entries'!$K$19,0),0)</f>
        <v>0</v>
      </c>
      <c r="C16" s="15" t="s">
        <v>1552</v>
      </c>
      <c r="D16" s="14">
        <f>IF('Fund 0500 Journal Entries'!$F$7="Governmental Fund",ROUND('Fund 0500 Journal Entries'!$K$37,0),0)</f>
        <v>0</v>
      </c>
      <c r="E16" s="16" t="s">
        <v>1554</v>
      </c>
      <c r="F16" s="14">
        <f>IF('Fund 0500 Journal Entries'!$F$7="Governmental Fund",ROUND('Fund 0500 Journal Entries'!$J$56,0),0)</f>
        <v>0</v>
      </c>
      <c r="G16" s="16" t="s">
        <v>1556</v>
      </c>
      <c r="H16" s="17">
        <f>+B16+D16-F16</f>
        <v>0</v>
      </c>
      <c r="I16" s="16"/>
      <c r="J16" s="18">
        <f>ROUND(SUM('Department Note Disclosure'!$B$16:$B$39),0)</f>
        <v>0</v>
      </c>
      <c r="K16" s="15"/>
      <c r="L16" s="19">
        <f>H16-J16</f>
        <v>0</v>
      </c>
      <c r="M16" s="137"/>
    </row>
    <row r="17" spans="1:13" ht="15" customHeight="1" x14ac:dyDescent="0.25">
      <c r="A17" s="147"/>
      <c r="B17" s="147"/>
      <c r="C17" s="148"/>
      <c r="D17" s="149" t="str">
        <f>IF(OR(L16&gt;0.99, (L16&lt;(-0.99))),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0500 Journal Entries'!$F$7="Proprietary - Internal Service Fund",ROUND('Fund 0500 Journal Entries'!$K$19,0),0)</f>
        <v>401353</v>
      </c>
      <c r="C23" s="15" t="s">
        <v>1552</v>
      </c>
      <c r="D23" s="14">
        <f>IF('Fund 0500 Journal Entries'!$F$7="Proprietary - Internal Service Fund",ROUND('Fund 0500 Journal Entries'!$K$37,0),0)</f>
        <v>0</v>
      </c>
      <c r="E23" s="16" t="s">
        <v>1554</v>
      </c>
      <c r="F23" s="14">
        <f>IF('Fund 0500 Journal Entries'!$F$7="Proprietary - Internal Service Fund",ROUND('Fund 0500 Journal Entries'!$J$56,0),0)</f>
        <v>99334</v>
      </c>
      <c r="G23" s="16" t="s">
        <v>1556</v>
      </c>
      <c r="H23" s="17">
        <f>+B23+D23-F23</f>
        <v>302019</v>
      </c>
      <c r="I23" s="16"/>
      <c r="J23" s="18">
        <f>ROUND(SUM('Department Note Disclosure'!$B$47:$B$70),0)</f>
        <v>302019</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IF(OR(L23&gt;0.99, (L23&lt;(-0.99))),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0500 Journal Entries'!$F$7="Proprietary - Enterprise Fund",ROUND('Fund 0500 Journal Entries'!$K$19,0),0)</f>
        <v>0</v>
      </c>
      <c r="C31" s="15" t="s">
        <v>1552</v>
      </c>
      <c r="D31" s="14">
        <f>IF('Fund 0500 Journal Entries'!$F$7="Proprietary - Enterprise Fund",ROUND('Fund 0500 Journal Entries'!$K$37,0),0)</f>
        <v>0</v>
      </c>
      <c r="E31" s="16" t="s">
        <v>1554</v>
      </c>
      <c r="F31" s="14">
        <f>IF('Fund 0500 Journal Entries'!$F$7="Proprietary - Enterprise Fund",ROUND('Fund 0500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IF(OR(L31&gt;0.99, (L31&lt;(-0.99))),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0500 Journal Entries'!$F$7="Governmental Fund",ROUND('Fund 0500 Journal Entries'!$K$62,0),0)</f>
        <v>0</v>
      </c>
      <c r="G39" s="150"/>
      <c r="H39" s="150"/>
      <c r="I39" s="20"/>
      <c r="J39" s="18">
        <f>ROUND('Department Note Disclosure'!$B$16,0)</f>
        <v>0</v>
      </c>
      <c r="K39" s="21"/>
      <c r="L39" s="19">
        <f>F39-J39</f>
        <v>0</v>
      </c>
      <c r="M39" s="137"/>
    </row>
    <row r="40" spans="1:13" ht="17.25" x14ac:dyDescent="0.25">
      <c r="A40" s="137"/>
      <c r="B40" s="147"/>
      <c r="C40" s="148"/>
      <c r="D40" s="149" t="str">
        <f>IF(OR(L39&gt;0.99, (L39&lt;(-0.99))),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0500 Journal Entries'!$F$7="Proprietary - Internal Service Fund",ROUND('Fund 0500 Journal Entries'!$K$62,0),0)</f>
        <v>201279</v>
      </c>
      <c r="G46" s="150"/>
      <c r="H46" s="150"/>
      <c r="I46" s="20"/>
      <c r="J46" s="18">
        <f>ROUND('Department Note Disclosure'!$B$47,0)</f>
        <v>201279</v>
      </c>
      <c r="K46" s="21"/>
      <c r="L46" s="19">
        <f>F46-J46</f>
        <v>0</v>
      </c>
      <c r="M46" s="137"/>
    </row>
    <row r="47" spans="1:13" ht="17.25" x14ac:dyDescent="0.25">
      <c r="A47" s="137"/>
      <c r="B47" s="137"/>
      <c r="C47" s="137"/>
      <c r="D47" s="149" t="str">
        <f>IF(OR(L46&gt;0.99, (L46&lt;(-0.99))),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0500 Journal Entries'!$F$7="Proprietary - Enterprise Fund",ROUND('Fund 0500 Journal Entries'!$K$62,0),0)</f>
        <v>0</v>
      </c>
      <c r="G53" s="150"/>
      <c r="H53" s="150"/>
      <c r="I53" s="20"/>
      <c r="J53" s="18">
        <f>ROUND('Department Note Disclosure'!$B$78,0)</f>
        <v>0</v>
      </c>
      <c r="K53" s="21"/>
      <c r="L53" s="19">
        <f>F53-J53</f>
        <v>0</v>
      </c>
      <c r="M53" s="137"/>
    </row>
    <row r="54" spans="1:13" ht="17.25" x14ac:dyDescent="0.25">
      <c r="A54" s="137"/>
      <c r="B54" s="147"/>
      <c r="C54" s="148"/>
      <c r="D54" s="149" t="str">
        <f>IF(OR(L53&gt;0.99, (L53&lt;(-0.99))),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0500 Journal Entries'!$F$3,4)</f>
        <v>Balance July 1, 2022</v>
      </c>
      <c r="J61" s="22">
        <f>ROUND('SBITA Liabilities'!$F$10,0)</f>
        <v>0</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0</v>
      </c>
      <c r="H63" s="154" t="s">
        <v>11</v>
      </c>
      <c r="J63" s="22">
        <f>ROUND('SBITA Liabilities'!$J$10,0)</f>
        <v>0</v>
      </c>
      <c r="L63" s="19">
        <f>D63-J63</f>
        <v>0</v>
      </c>
    </row>
    <row r="64" spans="1:13" x14ac:dyDescent="0.25">
      <c r="B64" s="152" t="s">
        <v>1559</v>
      </c>
      <c r="D64" s="22">
        <f>$F$39</f>
        <v>0</v>
      </c>
      <c r="H64" s="154" t="s">
        <v>12</v>
      </c>
      <c r="J64" s="22">
        <f>ROUND('SBITA Liabilities'!$N$10,0)</f>
        <v>0</v>
      </c>
      <c r="L64" s="19">
        <f>D64-J64</f>
        <v>0</v>
      </c>
    </row>
    <row r="65" spans="1:13" ht="15.95" customHeight="1" x14ac:dyDescent="0.25">
      <c r="D65" s="149" t="str">
        <f>IF(OR(L61&gt;0.99, L61&lt;(-0.99),L62&gt;0.99,L62&lt;(-0.99),L63&gt;0.99,L63&lt;(-0.99),L64&gt;0.99,L64&lt;(-0.99)),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401353</v>
      </c>
      <c r="H71" s="154" t="str">
        <f>"Balance July 1, "&amp;LEFT('Fund 0500 Journal Entries'!$F$3,4)</f>
        <v>Balance July 1, 2022</v>
      </c>
      <c r="J71" s="22">
        <f>ROUND('SBITA Liabilities'!$F$14,0)</f>
        <v>401353</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99334</v>
      </c>
      <c r="H73" s="154" t="s">
        <v>11</v>
      </c>
      <c r="J73" s="22">
        <f>ROUND('SBITA Liabilities'!$J$14,0)</f>
        <v>99334</v>
      </c>
      <c r="L73" s="19">
        <f>D73-J73</f>
        <v>0</v>
      </c>
    </row>
    <row r="74" spans="1:13" x14ac:dyDescent="0.25">
      <c r="B74" s="152" t="s">
        <v>1559</v>
      </c>
      <c r="D74" s="22">
        <f>F46</f>
        <v>201279</v>
      </c>
      <c r="H74" s="154" t="s">
        <v>12</v>
      </c>
      <c r="J74" s="22">
        <f>ROUND('SBITA Liabilities'!$N$14,0)</f>
        <v>201279</v>
      </c>
      <c r="L74" s="19">
        <f>D74-J74</f>
        <v>0</v>
      </c>
    </row>
    <row r="75" spans="1:13" ht="17.25" x14ac:dyDescent="0.25">
      <c r="D75" s="149" t="str">
        <f>IF(OR(L71&gt;0.99, L71&lt;(-0.99),L72&gt;0.99,L72&lt;(-0.99),L73&gt;0.99,L73&lt;(-0.99),L74&gt;0.99,L74&lt;(-0.99)),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0500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IF(OR(L81&gt;0.99, L81&lt;(-0.99),L82&gt;0.99,L82&lt;(-0.99),L83&gt;0.99,L83&lt;(-0.99),L84&gt;0.99,L84&lt;(-0.99)),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95E12E44-38DE-47D9-974A-61882E0F80EC}"/>
</file>

<file path=customXml/itemProps2.xml><?xml version="1.0" encoding="utf-8"?>
<ds:datastoreItem xmlns:ds="http://schemas.openxmlformats.org/officeDocument/2006/customXml" ds:itemID="{91E8EA16-BCD3-4C8F-B51A-95D9966E6B09}"/>
</file>

<file path=customXml/itemProps3.xml><?xml version="1.0" encoding="utf-8"?>
<ds:datastoreItem xmlns:ds="http://schemas.openxmlformats.org/officeDocument/2006/customXml" ds:itemID="{62E4F5F6-BDD1-4EB8-94BB-F42858BFCA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0500 Journal Entries</vt:lpstr>
      <vt:lpstr>Department Note Disclosure</vt:lpstr>
      <vt:lpstr>SBITA Liabilities</vt:lpstr>
      <vt:lpstr>Check Figures </vt:lpstr>
      <vt:lpstr>Drop Down Menus</vt:lpstr>
      <vt:lpstr>GAAP02Aindex</vt:lpstr>
      <vt:lpstr>'Department Note Disclosure'!Print_Area</vt:lpstr>
      <vt:lpstr>'Fund 0500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2024-06-13T15:48:30Z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3304200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