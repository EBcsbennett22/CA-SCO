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BB2B308F-CF7F-466D-B9F2-68C33D5C8785}" xr6:coauthVersionLast="47" xr6:coauthVersionMax="47" xr10:uidLastSave="{00000000-0000-0000-0000-000000000000}"/>
  <bookViews>
    <workbookView xWindow="20370" yWindow="-120" windowWidth="38640" windowHeight="15840" xr2:uid="{00000000-000D-0000-FFFF-FFFF00000000}"/>
  </bookViews>
  <sheets>
    <sheet name="Fund 004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0044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9" i="3" l="1"/>
  <c r="D58" i="3"/>
  <c r="D92" i="3"/>
  <c r="D61" i="3"/>
  <c r="D52"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D86" i="3"/>
  <c r="D55" i="3"/>
  <c r="D24" i="3"/>
  <c r="K97" i="2" l="1"/>
  <c r="F39" i="9"/>
  <c r="K96" i="2"/>
  <c r="J10" i="4"/>
  <c r="F16" i="9"/>
  <c r="J22" i="2"/>
  <c r="K22" i="2"/>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<sst xmlns="http://schemas.openxmlformats.org/spreadsheetml/2006/main" count="7555" uniqueCount="1645">
  <si>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</si>
  <si>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</si>
  <si>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</si>
  <si>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</si>
  <si>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</si>
  <si>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</si>
  <si>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</si>
  <si>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</si>
  <si>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</si>
  <si>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</si>
  <si>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</si>
  <si>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</si>
  <si>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</si>
  <si>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</si>
  <si>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</si>
  <si>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</si>
  <si>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</si>
  <si>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</si>
  <si>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</si>
  <si>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</si>
  <si>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</si>
  <si>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</si>
  <si>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</si>
  <si>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</si>
  <si>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</si>
  <si>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</si>
  <si>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</si>
  <si>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</si>
  <si>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</si>
  <si>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</si>
  <si>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</si>
  <si>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</si>
  <si>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</si>
  <si>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</si>
  <si>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</si>
  <si>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</si>
  <si>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</si>
  <si>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</si>
  <si>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</si>
  <si>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</si>
  <si>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</si>
  <si>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</si>
  <si>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</si>
  <si>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</si>
  <si>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</si>
  <si>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</si>
  <si>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</si>
  <si>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</si>
  <si>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</si>
  <si>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</si>
  <si>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</si>
  <si>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</si>
  <si>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</si>
  <si>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</si>
  <si>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</si>
  <si>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</si>
  <si>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</si>
  <si>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</si>
  <si>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</si>
  <si>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</si>
  <si>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</si>
  <si>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</si>
  <si>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</si>
  <si>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</si>
  <si>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</si>
  <si>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</si>
  <si>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</si>
  <si>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</si>
  <si>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</si>
  <si>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</si>
  <si>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</si>
  <si>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</si>
  <si>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</si>
  <si>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</si>
  <si>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</si>
  <si>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</si>
  <si>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</si>
  <si>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</si>
  <si>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</si>
  <si>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</si>
  <si>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</si>
  <si>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</si>
  <si>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</si>
  <si>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</si>
  <si>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</si>
  <si>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</si>
  <si>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</si>
  <si>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</si>
  <si>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</si>
  <si>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</si>
  <si>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</si>
  <si>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</si>
  <si>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</si>
  <si>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</si>
  <si>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</si>
  <si>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</si>
  <si>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</si>
  <si>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</si>
  <si>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</si>
  <si>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</si>
  <si>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</si>
  <si>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</si>
  <si>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</si>
  <si>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</si>
  <si>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</si>
  <si>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</si>
  <si>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</si>
  <si>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</si>
  <si>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</si>
  <si>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</si>
  <si>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</si>
  <si>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</si>
  <si>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</si>
  <si>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</si>
  <si>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</si>
  <si>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</si>
  <si>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</si>
  <si>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</si>
  <si>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</si>
  <si>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</si>
  <si>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</si>
  <si>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</si>
  <si>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</si>
  <si>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</si>
  <si>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</si>
  <si>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</si>
  <si>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</si>
  <si>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</si>
  <si>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</si>
  <si>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</si>
  <si>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</si>
  <si>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</si>
  <si>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</si>
  <si>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</si>
  <si>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</si>
  <si>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</si>
  <si>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</si>
  <si>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</si>
  <si>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</si>
  <si>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</si>
  <si>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</si>
  <si>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</si>
  <si>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</si>
  <si>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</si>
  <si>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</si>
  <si>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</si>
  <si>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</si>
  <si>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</si>
  <si>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</si>
  <si>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</si>
  <si>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</si>
  <si>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</si>
  <si>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</si>
  <si>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</si>
  <si>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</si>
  <si>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</si>
  <si>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</si>
  <si>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</si>
  <si>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</si>
  <si>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</si>
  <si>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</si>
  <si>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</si>
  <si>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</si>
  <si>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</si>
  <si>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</si>
  <si>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</si>
  <si>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</si>
  <si>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</si>
  <si>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</si>
  <si>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</si>
  <si>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</si>
  <si>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</si>
  <si>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</si>
  <si>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</si>
  <si>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</si>
  <si>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</si>
  <si>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</si>
  <si>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</si>
  <si>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</si>
  <si>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</si>
  <si>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</si>
  <si>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</si>
  <si>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</si>
  <si>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</si>
  <si>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</si>
  <si>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</si>
  <si>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</si>
  <si>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</si>
  <si>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</si>
  <si>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</si>
  <si>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</si>
  <si>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</si>
  <si>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</si>
  <si>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</si>
  <si>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</si>
  <si>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</si>
  <si>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</si>
  <si>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</si>
  <si>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</si>
  <si>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</si>
  <si>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</si>
  <si>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</si>
  <si>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</si>
  <si>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</si>
  <si>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</si>
  <si>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</si>
  <si>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</si>
  <si>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</si>
  <si>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</si>
  <si>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</si>
  <si>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</si>
  <si>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</si>
  <si>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</si>
  <si>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</si>
  <si>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</si>
  <si>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</si>
  <si>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</si>
  <si>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</si>
  <si>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</si>
  <si>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</si>
  <si>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</si>
  <si>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</si>
  <si>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</si>
  <si>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</si>
  <si>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</si>
  <si>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</si>
  <si>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</si>
  <si>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</si>
  <si>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</si>
  <si>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</si>
  <si>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</si>
  <si>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</si>
  <si>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</si>
  <si>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</si>
  <si>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</si>
  <si>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</si>
  <si>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</si>
  <si>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</si>
  <si>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</si>
  <si>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</si>
  <si>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</si>
  <si>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</si>
  <si>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</si>
  <si>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</si>
  <si>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</si>
  <si>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</si>
  <si>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</si>
  <si>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</si>
  <si>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</si>
  <si>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</si>
  <si>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</si>
  <si>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</si>
  <si>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</si>
  <si>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</si>
  <si>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</si>
  <si>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</si>
  <si>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</si>
  <si>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</si>
  <si>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</si>
  <si>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</si>
  <si>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</si>
  <si>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</si>
  <si>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</si>
  <si>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</si>
  <si>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</si>
  <si>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</si>
  <si>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</si>
  <si>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</si>
  <si>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</si>
  <si>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</si>
  <si>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</si>
  <si>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</si>
  <si>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</si>
  <si>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</si>
  <si>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</si>
  <si>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</si>
  <si>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</si>
  <si>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</si>
  <si>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</si>
  <si>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</si>
  <si>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</si>
  <si>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</si>
  <si>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</si>
  <si>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</si>
  <si>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</si>
  <si>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</si>
  <si>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</si>
  <si>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</si>
  <si>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</si>
  <si>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</si>
  <si>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</si>
  <si>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</si>
  <si>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</si>
  <si>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</si>
  <si>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</si>
  <si>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</si>
  <si>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</si>
  <si>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</si>
  <si>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</si>
  <si>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</si>
  <si>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</si>
  <si>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</si>
  <si>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</si>
  <si>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</si>
  <si>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</si>
  <si>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</si>
  <si>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</si>
  <si>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</si>
  <si>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</si>
  <si>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</si>
  <si>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</si>
  <si>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</si>
  <si>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</si>
  <si>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</si>
  <si>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</si>
  <si>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</si>
  <si>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</si>
  <si>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</si>
  <si>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</si>
  <si>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</si>
  <si>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</si>
  <si>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</si>
  <si>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</si>
  <si>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</si>
  <si>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</si>
  <si>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</si>
  <si>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</si>
  <si>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</si>
  <si>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</si>
  <si>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</si>
  <si>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</si>
  <si>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</si>
  <si>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</si>
  <si>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</si>
  <si>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</si>
  <si>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</si>
  <si>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</si>
  <si>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</si>
  <si>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</si>
  <si>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</si>
  <si>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</si>
  <si>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</si>
  <si>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</si>
  <si>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</si>
  <si>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</si>
  <si>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</si>
  <si>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</si>
  <si>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</si>
  <si>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</si>
  <si>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</si>
  <si>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</si>
  <si>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</si>
  <si>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</si>
  <si>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</si>
  <si>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</si>
  <si>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</si>
  <si>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</si>
  <si>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</si>
  <si>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</si>
  <si>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</si>
  <si>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</si>
  <si>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</si>
  <si>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</si>
  <si>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</si>
  <si>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</si>
  <si>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</si>
  <si>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</si>
  <si>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</si>
  <si>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</si>
  <si>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</si>
  <si>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</si>
  <si>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</si>
  <si>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</si>
  <si>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</si>
  <si>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</si>
  <si>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</si>
  <si>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</si>
  <si>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</si>
  <si>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</si>
  <si>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</si>
  <si>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</si>
  <si>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</si>
  <si>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</si>
  <si>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</si>
  <si>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</si>
  <si>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</si>
  <si>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</si>
  <si>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</si>
  <si>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</si>
  <si>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</si>
  <si>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</si>
  <si>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</si>
  <si>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</si>
  <si>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</si>
  <si>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</si>
  <si>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</si>
  <si>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</si>
  <si>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</si>
  <si>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</si>
  <si>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</si>
  <si>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</si>
  <si>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</si>
  <si>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</si>
  <si>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</si>
  <si>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</si>
  <si>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</si>
  <si>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</si>
  <si>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</si>
  <si>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</si>
  <si>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</si>
  <si>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</si>
  <si>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</si>
  <si>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</si>
  <si>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</si>
  <si>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</si>
  <si>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</si>
  <si>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</si>
  <si>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</si>
  <si>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</si>
  <si>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</si>
  <si>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</si>
  <si>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</si>
  <si>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</si>
  <si>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</si>
  <si>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</si>
  <si>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</si>
  <si>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</si>
  <si>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</si>
  <si>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</si>
  <si>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</si>
  <si>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</si>
  <si>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</si>
  <si>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</si>
  <si>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</si>
  <si>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</si>
  <si>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</si>
  <si>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</si>
  <si>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</si>
  <si>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</si>
  <si>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</si>
  <si>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</si>
  <si>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</si>
  <si>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</si>
  <si>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</si>
  <si>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</si>
  <si>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</si>
  <si>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</si>
  <si>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</si>
  <si>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</si>
  <si>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</si>
  <si>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</si>
  <si>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</si>
  <si>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</si>
  <si>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</si>
  <si>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</si>
  <si>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</si>
  <si>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</si>
  <si>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</si>
  <si>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</si>
  <si>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</si>
  <si>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</si>
  <si>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</si>
  <si>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</si>
  <si>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</si>
  <si>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</si>
  <si>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</si>
  <si>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</si>
  <si>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</si>
  <si>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</si>
  <si>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</si>
  <si>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</si>
  <si>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</si>
  <si>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</si>
  <si>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</si>
  <si>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</si>
  <si>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</si>
  <si>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</si>
  <si>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</si>
  <si>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</si>
  <si>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</si>
  <si>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</si>
  <si>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</si>
  <si>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</si>
  <si>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</si>
  <si>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</si>
  <si>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</si>
  <si>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</si>
  <si>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</si>
  <si>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</si>
  <si>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</si>
  <si>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</si>
  <si>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</si>
  <si>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</si>
  <si>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</si>
  <si>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</si>
  <si>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</si>
  <si>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</si>
  <si>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</si>
  <si>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</si>
  <si>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</si>
  <si>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</si>
  <si>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</si>
  <si>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</si>
  <si>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</si>
  <si>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</si>
  <si>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</si>
  <si>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</si>
  <si>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</si>
  <si>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</si>
  <si>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</si>
  <si>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</si>
  <si>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</si>
  <si>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</si>
  <si>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</si>
  <si>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</si>
  <si>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</si>
  <si>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</si>
  <si>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</si>
  <si>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</si>
  <si>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</si>
  <si>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</si>
  <si>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</si>
  <si>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</si>
  <si>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</si>
  <si>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</si>
  <si>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</si>
  <si>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</si>
  <si>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</si>
  <si>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</si>
  <si>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</si>
  <si>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</si>
  <si>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</si>
  <si>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</si>
  <si>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</si>
  <si>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</si>
  <si>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</si>
  <si>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</si>
  <si>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</si>
  <si>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</si>
  <si>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</si>
  <si>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</si>
  <si>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</si>
  <si>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</si>
  <si>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</si>
  <si>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</si>
  <si>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</si>
  <si>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</si>
  <si>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</si>
  <si>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</si>
  <si>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</si>
  <si>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</si>
  <si>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</si>
  <si>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</si>
  <si>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</si>
  <si>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</si>
  <si>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</si>
  <si>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</si>
  <si>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</si>
  <si>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</si>
  <si>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</si>
  <si>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</si>
  <si>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</si>
  <si>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</si>
  <si>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</si>
  <si>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</si>
  <si>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</si>
  <si>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</si>
  <si>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</si>
  <si>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</si>
  <si>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</si>
  <si>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</si>
  <si>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</si>
  <si>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</si>
  <si>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</si>
  <si>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</si>
  <si>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</si>
  <si>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</si>
  <si>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</si>
  <si>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</si>
  <si>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</si>
  <si>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</si>
  <si>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</si>
  <si>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</si>
  <si>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</si>
  <si>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</si>
  <si>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</si>
  <si>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</si>
  <si>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</si>
  <si>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</si>
  <si>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</si>
  <si>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</si>
  <si>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</si>
  <si>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</si>
  <si>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</si>
  <si>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</si>
  <si>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</si>
  <si>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</si>
  <si>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</si>
  <si>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</si>
  <si>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</si>
  <si>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</si>
  <si>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</si>
  <si>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</si>
  <si>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</si>
  <si>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</si>
  <si>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</si>
  <si>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</si>
  <si>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</si>
  <si>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</si>
  <si>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</si>
  <si>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</si>
  <si>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</si>
  <si>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</si>
  <si>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</si>
  <si>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</si>
  <si>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</si>
  <si>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</si>
  <si>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</si>
  <si>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</si>
  <si>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</si>
  <si>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</si>
  <si>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</si>
  <si>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</si>
  <si>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</si>
  <si>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</si>
  <si>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</si>
  <si>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</si>
  <si>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</si>
  <si>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</si>
  <si>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</si>
  <si>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</si>
  <si>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</si>
  <si>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</si>
  <si>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</si>
  <si>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</si>
  <si>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</si>
  <si>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</si>
  <si>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</si>
  <si>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</si>
  <si>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</si>
  <si>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</si>
  <si>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</si>
  <si>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</si>
  <si>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</si>
  <si>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</si>
  <si>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</si>
  <si>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</si>
  <si>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</si>
  <si>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</si>
  <si>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</si>
  <si>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</si>
  <si>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</si>
  <si>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</si>
  <si>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</si>
  <si>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</si>
  <si>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</si>
  <si>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</si>
  <si>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</si>
  <si>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</si>
  <si>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</si>
  <si>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</si>
  <si>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</si>
  <si>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</si>
  <si>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</si>
  <si>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</si>
  <si>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</si>
  <si>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</si>
  <si>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</si>
  <si>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</si>
  <si>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</si>
  <si>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</si>
  <si>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</si>
  <si>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</si>
  <si>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</si>
  <si>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</si>
  <si>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</si>
  <si>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</si>
  <si>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</si>
  <si>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</si>
  <si>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</si>
  <si>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</si>
  <si>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</si>
  <si>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</si>
  <si>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</si>
  <si>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</si>
  <si>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</si>
  <si>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</si>
  <si>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</si>
  <si>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</si>
  <si>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</si>
  <si>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</si>
  <si>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</si>
  <si>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</si>
  <si>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</si>
  <si>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</si>
  <si>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</si>
  <si>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</si>
  <si>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</si>
  <si>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</si>
  <si>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</si>
  <si>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</si>
  <si>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</si>
  <si>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</si>
  <si>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</si>
  <si>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</si>
  <si>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</si>
  <si>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</si>
  <si>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</si>
  <si>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</si>
  <si>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</si>
  <si>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</si>
  <si>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</si>
  <si>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</si>
  <si>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</si>
  <si>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</si>
  <si>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</si>
  <si>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</si>
  <si>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</si>
  <si>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</si>
  <si>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</si>
  <si>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</si>
  <si>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</si>
  <si>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</si>
  <si>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</si>
  <si>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</si>
  <si>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</si>
  <si>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</si>
  <si>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</si>
  <si>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</si>
  <si>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</si>
  <si>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</si>
  <si>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</si>
  <si>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</si>
  <si>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</si>
  <si>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</si>
  <si>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</si>
  <si>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</si>
  <si>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</si>
  <si>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</si>
  <si>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</si>
  <si>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</si>
  <si>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</si>
  <si>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</si>
  <si>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</si>
  <si>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</si>
  <si>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</si>
  <si>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</si>
  <si>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</si>
  <si>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</si>
  <si>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</si>
  <si>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</si>
  <si>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</si>
  <si>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</si>
  <si>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</si>
  <si>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</si>
  <si>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</si>
  <si>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</si>
  <si>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</si>
  <si>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</si>
  <si>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</si>
  <si>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</si>
  <si>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</si>
  <si>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</si>
  <si>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</si>
  <si>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</si>
  <si>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</si>
  <si>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</si>
  <si>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</si>
  <si>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</si>
  <si>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</si>
  <si>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</si>
  <si>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</si>
  <si>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</si>
  <si>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</si>
  <si>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</si>
  <si>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</si>
  <si>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</si>
  <si>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</si>
  <si>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</si>
  <si>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</si>
  <si>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</si>
  <si>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</si>
  <si>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</si>
  <si>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</si>
  <si>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</si>
  <si>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</si>
  <si>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</si>
  <si>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</si>
  <si>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</si>
  <si>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</si>
  <si>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</si>
  <si>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</si>
  <si>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</si>
  <si>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</si>
  <si>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</si>
  <si>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</si>
  <si>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</si>
  <si>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</si>
  <si>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</si>
  <si>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</si>
  <si>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</si>
  <si>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</si>
  <si>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</si>
  <si>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</si>
  <si>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</si>
  <si>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</si>
  <si>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</si>
  <si>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</si>
  <si>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</si>
  <si>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</si>
  <si>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</si>
  <si>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</si>
  <si>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</si>
  <si>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</si>
  <si>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</si>
  <si>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</si>
  <si>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</si>
  <si>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</si>
  <si>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</si>
  <si>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</si>
  <si>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</si>
  <si>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</si>
  <si>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</si>
  <si>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</si>
  <si>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</si>
  <si>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</si>
  <si>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</si>
  <si>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</si>
  <si>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</si>
  <si>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</si>
  <si>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</si>
  <si>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</si>
  <si>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</si>
  <si>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</si>
  <si>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</si>
  <si>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</si>
  <si>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</si>
  <si>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</si>
  <si>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</si>
  <si>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</si>
  <si>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</si>
  <si>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</si>
  <si>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</si>
  <si>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</si>
  <si>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</si>
  <si>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</si>
  <si>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</si>
  <si>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</si>
  <si>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</si>
  <si>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</si>
  <si>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</si>
  <si>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</si>
  <si>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</si>
  <si>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</si>
  <si>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</si>
  <si>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</si>
  <si>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</si>
  <si>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</si>
  <si>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</si>
  <si>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</si>
  <si>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</si>
  <si>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</si>
  <si>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</si>
  <si>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</si>
  <si>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</si>
  <si>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</si>
  <si>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</si>
  <si>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</si>
  <si>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</si>
  <si>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</si>
  <si>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</si>
  <si>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</si>
  <si>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</si>
  <si>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</si>
  <si>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</si>
  <si>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</si>
  <si>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</si>
  <si>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</si>
  <si>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</si>
  <si>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</si>
  <si>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</si>
  <si>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</si>
  <si>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</si>
  <si>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</si>
  <si>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</si>
  <si>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</si>
  <si>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</si>
  <si>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</si>
  <si>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</si>
  <si>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</si>
  <si>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</si>
  <si>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</si>
  <si>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</si>
  <si>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</si>
  <si>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</si>
  <si>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</si>
  <si>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</si>
  <si>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</si>
  <si>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</si>
  <si>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</si>
  <si>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</si>
  <si>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</si>
  <si>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</si>
  <si>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</si>
  <si>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</si>
  <si>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</si>
  <si>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</si>
  <si>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</si>
  <si>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</si>
  <si>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</si>
  <si>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</si>
  <si>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</si>
  <si>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</si>
  <si>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</si>
  <si>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</si>
  <si>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</si>
  <si>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</si>
  <si>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</si>
  <si>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</si>
  <si>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</si>
  <si>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</si>
  <si>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</si>
  <si>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</si>
  <si>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</si>
  <si>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</si>
  <si>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</si>
  <si>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</si>
  <si>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</si>
  <si>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</si>
  <si>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</si>
  <si>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</si>
  <si>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</si>
  <si>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</si>
  <si>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</si>
  <si>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</si>
  <si>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</si>
  <si>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</si>
  <si>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</si>
  <si>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</si>
  <si>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</si>
  <si>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</si>
  <si>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</si>
  <si>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</si>
  <si>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</si>
  <si>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</si>
  <si>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</si>
  <si>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</si>
  <si>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</si>
  <si>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</si>
  <si>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</si>
  <si>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</si>
  <si>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</si>
  <si>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</si>
  <si>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</si>
  <si>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</si>
  <si>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</si>
  <si>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</si>
  <si>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</si>
  <si>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</si>
  <si>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</si>
  <si>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</si>
  <si>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</si>
  <si>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</si>
  <si>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</si>
  <si>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</si>
  <si>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</si>
  <si>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</si>
  <si>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</si>
  <si>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</si>
  <si>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</si>
  <si>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</si>
  <si>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</si>
  <si>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</si>
  <si>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</si>
  <si>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</si>
  <si>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</si>
  <si>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</si>
  <si>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</si>
  <si>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</si>
  <si>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</si>
  <si>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</si>
  <si>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</si>
  <si>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</si>
  <si>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</si>
  <si>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</si>
  <si>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</si>
  <si>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</si>
  <si>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</si>
  <si>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</si>
  <si>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</si>
  <si>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</si>
  <si>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</si>
  <si>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</si>
  <si>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</si>
  <si>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</si>
  <si>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</si>
  <si>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</si>
  <si>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</si>
  <si>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</si>
  <si>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</si>
  <si>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</si>
  <si>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</si>
  <si>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</si>
  <si>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</si>
  <si>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</si>
  <si>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</si>
  <si>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</si>
  <si>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</si>
  <si>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</si>
  <si>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</si>
  <si>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</si>
  <si>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</si>
  <si>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</si>
  <si>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</si>
  <si>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</si>
  <si>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</si>
  <si>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</si>
  <si>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</si>
  <si>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</si>
  <si>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</si>
  <si>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</si>
  <si>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</si>
  <si>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</si>
  <si>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</si>
  <si>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</si>
  <si>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</si>
  <si>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</si>
  <si>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</si>
  <si>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</si>
  <si>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</si>
  <si>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</si>
  <si>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</si>
  <si>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</si>
  <si>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</si>
  <si>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</si>
  <si>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</si>
  <si>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</si>
  <si>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</si>
  <si>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</si>
  <si>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</si>
  <si>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</si>
  <si>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</si>
  <si>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</si>
  <si>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</si>
  <si>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</si>
  <si>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</si>
  <si>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</si>
  <si>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</si>
  <si>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</si>
  <si>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</si>
  <si>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</si>
  <si>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</si>
  <si>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</si>
  <si>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</si>
  <si>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</si>
  <si>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</si>
  <si>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</si>
  <si>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</si>
  <si>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</si>
  <si>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</si>
  <si>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</si>
  <si>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</si>
  <si>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</si>
  <si>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</si>
  <si>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</si>
  <si>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</si>
  <si>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</si>
  <si>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</si>
  <si>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</si>
  <si>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</si>
  <si>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</si>
  <si>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</si>
  <si>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</si>
  <si>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</si>
  <si>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</si>
  <si>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</si>
  <si>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</si>
  <si>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</si>
  <si>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</si>
  <si>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</si>
  <si>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</si>
  <si>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</si>
  <si>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</si>
  <si>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</si>
  <si>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</si>
  <si>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</si>
  <si>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</si>
  <si>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</si>
  <si>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</si>
  <si>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</si>
  <si>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</si>
  <si>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</si>
  <si>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</si>
  <si>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</si>
  <si>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</si>
  <si>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</si>
  <si>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</si>
  <si>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</si>
  <si>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</si>
  <si>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</si>
  <si>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</si>
  <si>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</si>
  <si>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</si>
  <si>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</si>
  <si>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</si>
  <si>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</si>
  <si>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</si>
  <si>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</si>
  <si>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</si>
  <si>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</si>
  <si>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</si>
  <si>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</si>
  <si>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</si>
  <si>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</si>
  <si>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</si>
  <si>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</si>
  <si>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</si>
  <si>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</si>
  <si>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</si>
  <si>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</si>
  <si>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</si>
  <si>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</si>
  <si>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</si>
  <si>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</si>
  <si>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</si>
  <si>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</si>
  <si>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</si>
  <si>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</si>
  <si>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</si>
  <si>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</si>
  <si>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</si>
  <si>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</si>
  <si>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</si>
  <si>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</si>
  <si>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</si>
  <si>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</si>
  <si>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</si>
  <si>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</si>
  <si>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</si>
  <si>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</si>
  <si>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</si>
  <si>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</si>
  <si>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</si>
  <si>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</si>
  <si>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</si>
  <si>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</si>
  <si>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</si>
  <si>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</si>
  <si>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</si>
  <si>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</si>
  <si>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</si>
  <si>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</si>
  <si>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</si>
  <si>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</si>
  <si>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</si>
  <si>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</si>
  <si>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</si>
  <si>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</si>
  <si>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</si>
  <si>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</si>
  <si>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</si>
  <si>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</si>
  <si>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</si>
  <si>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</si>
  <si>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</si>
  <si>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</si>
  <si>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</si>
  <si>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</si>
  <si>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</si>
  <si>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</si>
  <si>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</si>
  <si>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</si>
  <si>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</si>
  <si>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</si>
  <si>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</si>
  <si>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</si>
  <si>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</si>
  <si>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</si>
  <si>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</si>
  <si>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</si>
  <si>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</si>
  <si>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</si>
  <si>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</si>
  <si>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</si>
  <si>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</si>
  <si>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</si>
  <si>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</si>
  <si>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</si>
  <si>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</si>
  <si>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</si>
  <si>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</si>
  <si>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</si>
  <si>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</si>
  <si>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</si>
  <si>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</si>
  <si>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</si>
  <si>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</si>
  <si>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</si>
  <si>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</si>
  <si>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</si>
  <si>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</si>
  <si>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</si>
  <si>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</si>
  <si>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</si>
  <si>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</si>
  <si>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</si>
  <si>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</si>
  <si>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</si>
  <si>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</si>
  <si>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</si>
  <si>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</si>
  <si>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</si>
  <si>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</si>
  <si>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</si>
  <si>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</si>
  <si>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</si>
  <si>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</si>
  <si>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</si>
  <si>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</si>
  <si>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</si>
  <si>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</si>
  <si>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</si>
  <si>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</si>
  <si>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</si>
  <si>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</si>
  <si>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</si>
  <si>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</si>
  <si>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</si>
  <si>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</si>
  <si>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</si>
  <si>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</si>
  <si>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</si>
  <si>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</si>
  <si>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</si>
  <si>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</si>
  <si>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</si>
  <si>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</si>
  <si>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</si>
  <si>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</si>
  <si>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</si>
  <si>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</si>
  <si>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</si>
  <si>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</si>
  <si>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</si>
  <si>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</si>
  <si>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</si>
  <si>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</si>
  <si>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</si>
  <si>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</si>
  <si>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</si>
  <si>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</si>
  <si>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</si>
  <si>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</si>
  <si>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</si>
  <si>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</si>
  <si>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</si>
  <si>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</si>
  <si>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</si>
  <si>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</si>
  <si>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</si>
  <si>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</si>
  <si>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</si>
  <si>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</si>
  <si>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</si>
  <si>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</si>
  <si>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</si>
  <si>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</si>
  <si>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</si>
  <si>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</si>
  <si>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</si>
  <si>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</si>
  <si>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</si>
  <si>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</si>
  <si>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</si>
  <si>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</si>
  <si>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</si>
  <si>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</si>
  <si>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</si>
  <si>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</si>
  <si>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</si>
  <si>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</si>
  <si>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</si>
  <si>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</si>
  <si>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</si>
  <si>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</si>
  <si>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</si>
  <si>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</si>
  <si>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</si>
  <si>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</si>
  <si>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</si>
  <si>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</si>
  <si>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</si>
  <si>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</si>
  <si>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</si>
  <si>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</si>
  <si>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</si>
  <si>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</si>
  <si>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</si>
  <si>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</si>
  <si>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</si>
  <si>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</si>
  <si>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</si>
  <si>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</si>
  <si>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</si>
  <si>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</si>
  <si>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</si>
  <si>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</si>
  <si>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</si>
  <si>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</si>
  <si>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</si>
  <si>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</si>
  <si>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</si>
  <si>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</si>
  <si>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</si>
  <si>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</si>
  <si>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</si>
  <si>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</si>
  <si>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</si>
  <si>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</si>
  <si>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</si>
  <si>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</si>
  <si>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</si>
  <si>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</si>
  <si>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</si>
  <si>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</si>
  <si>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</si>
  <si>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</si>
  <si>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</si>
  <si>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</si>
  <si>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</si>
  <si>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</si>
  <si>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</si>
  <si>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</si>
  <si>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</si>
  <si>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</si>
  <si>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</si>
  <si>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</si>
  <si>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</si>
  <si>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</si>
  <si>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</si>
  <si>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</si>
  <si>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</si>
  <si>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</si>
  <si>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</si>
  <si>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</si>
  <si>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</si>
  <si>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</si>
  <si>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</si>
  <si>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</si>
  <si>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</si>
  <si>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</si>
  <si>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</si>
  <si>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</si>
  <si>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</si>
  <si>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</si>
  <si>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</si>
  <si>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</si>
  <si>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</si>
  <si>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</si>
  <si>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</si>
  <si>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</si>
  <si>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</si>
  <si>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</si>
  <si>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</si>
  <si>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</si>
  <si>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</si>
  <si>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</si>
  <si>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</si>
  <si>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</si>
  <si>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</si>
  <si>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</si>
  <si>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</si>
  <si>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</si>
  <si>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</si>
  <si>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</si>
  <si>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</si>
  <si>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</si>
  <si>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</si>
  <si>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</si>
  <si>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</si>
  <si>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</si>
  <si>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</si>
  <si>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</si>
  <si>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</si>
  <si>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</si>
  <si>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</si>
  <si>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</si>
  <si>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</si>
  <si>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</si>
  <si>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</si>
  <si>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</si>
  <si>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</si>
  <si>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</si>
  <si>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</si>
  <si>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</si>
  <si>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</si>
  <si>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</si>
  <si>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</si>
  <si>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</si>
  <si>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</si>
  <si>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</si>
  <si>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</si>
  <si>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</si>
  <si>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</si>
  <si>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</si>
  <si>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</si>
  <si>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</si>
  <si>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</si>
  <si>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</si>
  <si>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</si>
  <si>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</si>
  <si>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</si>
  <si>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</si>
  <si>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</si>
  <si>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</si>
  <si>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</si>
  <si>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</si>
  <si>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</si>
  <si>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</si>
  <si>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</si>
  <si>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</si>
  <si>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</si>
  <si>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</si>
  <si>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</si>
  <si>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</si>
  <si>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</si>
  <si>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</si>
  <si>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</si>
  <si>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</si>
  <si>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</si>
  <si>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</si>
  <si>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</si>
  <si>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</si>
  <si>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</si>
  <si>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</si>
  <si>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</si>
  <si>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</si>
  <si>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</si>
  <si>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</si>
  <si>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</si>
  <si>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</si>
  <si>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</si>
  <si>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</si>
  <si>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</si>
  <si>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</si>
  <si>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</si>
  <si>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</si>
  <si>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</si>
  <si>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</si>
  <si>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</si>
  <si>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</si>
  <si>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</si>
  <si>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</si>
  <si>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</si>
  <si>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</si>
  <si>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</si>
  <si>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</si>
  <si>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</si>
  <si>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</si>
  <si>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</si>
  <si>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</si>
  <si>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</si>
  <si>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</si>
  <si>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</si>
  <si>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</si>
  <si>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</si>
  <si>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</si>
  <si>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</si>
  <si>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</si>
  <si>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</si>
  <si>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</si>
  <si>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</si>
  <si>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</si>
  <si>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</si>
  <si>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</si>
  <si>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</si>
  <si>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</si>
  <si>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</si>
  <si>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</si>
  <si>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</si>
  <si>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</si>
  <si>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</si>
  <si>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</si>
  <si>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</si>
  <si>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</si>
  <si>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</si>
  <si>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</si>
  <si>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</si>
  <si>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</si>
  <si>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</si>
  <si>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</si>
  <si>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</si>
  <si>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</si>
  <si>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</si>
  <si>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</si>
  <si>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</si>
  <si>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</si>
  <si>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</si>
  <si>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</si>
  <si>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</si>
  <si>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</si>
  <si>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</si>
  <si>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</si>
  <si>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</si>
  <si>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</si>
  <si>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</si>
  <si>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</si>
  <si>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</si>
  <si>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</si>
  <si>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</si>
  <si>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</si>
  <si>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</si>
  <si>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</si>
  <si>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</si>
  <si>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</si>
  <si>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</si>
  <si>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</si>
  <si>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</si>
  <si>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</si>
  <si>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</si>
  <si>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</si>
  <si>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</si>
  <si>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</si>
  <si>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</si>
  <si>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</si>
  <si>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</si>
  <si>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</si>
  <si>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</si>
  <si>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</si>
  <si>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</si>
  <si>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</si>
  <si>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</si>
  <si>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</si>
  <si>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</si>
  <si>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</si>
  <si>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</si>
  <si>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</si>
  <si>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</si>
  <si>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</si>
  <si>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</si>
  <si>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</si>
  <si>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</si>
  <si>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</si>
  <si>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</si>
  <si>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</si>
  <si>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</si>
  <si>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</si>
  <si>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</si>
  <si>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</si>
  <si>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</si>
  <si>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</si>
  <si>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</si>
  <si>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</si>
  <si>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</si>
  <si>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</si>
  <si>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</si>
  <si>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</si>
  <si>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</si>
  <si>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</si>
  <si>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</si>
  <si>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</si>
  <si>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</si>
  <si>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</si>
  <si>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</si>
  <si>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</si>
  <si>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</si>
  <si>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</si>
  <si>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</si>
  <si>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</si>
  <si>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</si>
  <si>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</si>
  <si>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</si>
  <si>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</si>
  <si>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</si>
  <si>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</si>
  <si>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</si>
  <si>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</si>
  <si>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</si>
  <si>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</si>
  <si>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</si>
  <si>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</si>
  <si>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</si>
  <si>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</si>
  <si>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</si>
  <si>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</si>
  <si>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</si>
  <si>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</si>
  <si>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</si>
  <si>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</si>
  <si>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</si>
  <si>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</si>
  <si>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</si>
  <si>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</si>
  <si>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</si>
  <si>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</si>
  <si>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</si>
  <si>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</si>
  <si>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</si>
  <si>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</si>
  <si>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</si>
  <si>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</si>
  <si>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</si>
  <si>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</si>
  <si>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</si>
  <si>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</si>
  <si>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</si>
  <si>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</si>
  <si>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</si>
  <si>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</si>
  <si>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</si>
  <si>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</si>
  <si>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</si>
  <si>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</si>
  <si>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</si>
  <si>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</si>
  <si>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</si>
  <si>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</si>
  <si>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</si>
  <si>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</si>
  <si>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</si>
  <si>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</si>
  <si>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</si>
  <si>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</si>
  <si>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</si>
  <si>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</si>
  <si>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</si>
  <si>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</si>
  <si>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</si>
  <si>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</si>
  <si>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</si>
  <si>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</si>
  <si>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</si>
  <si>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</si>
  <si>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</si>
  <si>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</si>
  <si>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</si>
  <si>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</si>
  <si>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</si>
  <si>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</si>
  <si>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</si>
  <si>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</si>
  <si>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</si>
  <si>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State Air Resorce Board</t>
  </si>
  <si>
    <t>State Air Resource Board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</si>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</sst>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28" sqref="J28"/>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78" t="s">
        <v>0</v>
      </c>
      <c r="B1" s="178"/>
      <c r="C1" s="178"/>
      <c r="D1" s="178"/>
      <c r="E1" s="178"/>
      <c r="F1" s="178"/>
      <c r="G1" s="178"/>
      <c r="H1" s="178"/>
      <c r="I1" s="178"/>
      <c r="J1" s="178"/>
      <c r="K1" s="178"/>
      <c r="L1" s="41"/>
    </row>
    <row r="2" spans="1:17" ht="18" x14ac:dyDescent="0.25">
      <c r="A2" s="179" t="s">
        <v>1</v>
      </c>
      <c r="B2" s="179"/>
      <c r="C2" s="179"/>
      <c r="D2" s="179"/>
      <c r="E2" s="179"/>
      <c r="F2" s="179"/>
      <c r="G2" s="179"/>
      <c r="H2" s="179"/>
      <c r="I2" s="179"/>
      <c r="J2" s="179"/>
      <c r="K2" s="179"/>
      <c r="L2" s="43"/>
    </row>
    <row r="3" spans="1:17" ht="15.75" x14ac:dyDescent="0.25">
      <c r="A3" s="173" t="s">
        <v>2</v>
      </c>
      <c r="B3" s="173"/>
      <c r="C3" s="173"/>
      <c r="D3" s="173"/>
      <c r="E3" s="173"/>
      <c r="F3" s="172" t="s">
        <v>3</v>
      </c>
      <c r="G3" s="172"/>
      <c r="H3" s="172"/>
      <c r="I3" s="172"/>
    </row>
    <row r="4" spans="1:17" ht="15.75" x14ac:dyDescent="0.25">
      <c r="A4" s="173" t="s">
        <v>4</v>
      </c>
      <c r="B4" s="173"/>
      <c r="C4" s="173"/>
      <c r="D4" s="173"/>
      <c r="E4" s="173"/>
      <c r="F4" s="172" t="s">
        <v>1642</v>
      </c>
      <c r="G4" s="172"/>
      <c r="H4" s="172"/>
      <c r="I4" s="172"/>
    </row>
    <row r="5" spans="1:17" ht="15.75" x14ac:dyDescent="0.2">
      <c r="A5" s="173" t="s">
        <v>5</v>
      </c>
      <c r="B5" s="173"/>
      <c r="C5" s="173"/>
      <c r="D5" s="173"/>
      <c r="E5" s="173"/>
      <c r="F5" s="180" t="s">
        <v>833</v>
      </c>
      <c r="G5" s="180"/>
      <c r="H5" s="180"/>
      <c r="I5" s="180"/>
      <c r="J5" s="44"/>
      <c r="K5" s="44"/>
      <c r="L5" s="45"/>
      <c r="M5" s="45"/>
      <c r="N5" s="45"/>
    </row>
    <row r="6" spans="1:17" ht="15.75" x14ac:dyDescent="0.2">
      <c r="A6" s="173" t="s">
        <v>6</v>
      </c>
      <c r="B6" s="173"/>
      <c r="C6" s="173"/>
      <c r="D6" s="173"/>
      <c r="E6" s="173"/>
      <c r="F6" s="181">
        <v>44</v>
      </c>
      <c r="G6" s="181"/>
      <c r="H6" s="181"/>
      <c r="I6" s="181"/>
      <c r="L6" s="46"/>
      <c r="M6" s="45"/>
      <c r="N6" s="45"/>
      <c r="P6" s="26"/>
    </row>
    <row r="7" spans="1:17" ht="15.75" x14ac:dyDescent="0.2">
      <c r="A7" s="173" t="s">
        <v>7</v>
      </c>
      <c r="B7" s="173"/>
      <c r="C7" s="173"/>
      <c r="D7" s="173"/>
      <c r="E7" s="173"/>
      <c r="F7" s="172" t="s">
        <v>106</v>
      </c>
      <c r="G7" s="172"/>
      <c r="H7" s="172"/>
      <c r="I7" s="172"/>
      <c r="L7" s="46"/>
      <c r="M7" s="45"/>
      <c r="N7" s="45"/>
      <c r="P7" s="26"/>
    </row>
    <row r="8" spans="1:17" ht="15.75" x14ac:dyDescent="0.2">
      <c r="A8" s="173" t="s">
        <v>8</v>
      </c>
      <c r="B8" s="173"/>
      <c r="C8" s="173"/>
      <c r="D8" s="173"/>
      <c r="E8" s="173"/>
      <c r="F8" s="174" t="str">
        <f>IF(OR($F$7='Drop Down Menus'!B2,$F$7='Drop Down Menus'!$B$3),'Drop Down Menus'!$D$9,IFERROR(VLOOKUP($F$5,GAAP02Aindex!$A$2:$D$900,4,FALSE),"Unidentified"))</f>
        <v>RESOURCES</v>
      </c>
      <c r="G8" s="174"/>
      <c r="H8" s="174"/>
      <c r="I8" s="174"/>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5"/>
      <c r="M12" s="45"/>
    </row>
    <row r="13" spans="1:17" ht="16.5" customHeight="1" x14ac:dyDescent="0.2">
      <c r="A13" s="48" t="s">
        <v>9</v>
      </c>
      <c r="H13" s="42"/>
      <c r="L13" s="49"/>
    </row>
    <row r="14" spans="1:17" ht="16.5" customHeight="1" x14ac:dyDescent="0.3">
      <c r="A14" s="50">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49"/>
    </row>
    <row r="15" spans="1:17" ht="16.5" customHeight="1" x14ac:dyDescent="0.2">
      <c r="B15" s="165" t="s">
        <v>10</v>
      </c>
      <c r="C15" s="165"/>
      <c r="D15" s="165"/>
      <c r="E15" s="165"/>
      <c r="F15" s="165"/>
      <c r="G15" s="165"/>
      <c r="H15" s="165"/>
      <c r="I15" s="165"/>
      <c r="J15" s="31">
        <v>649375</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491150</v>
      </c>
      <c r="P19" s="26"/>
    </row>
    <row r="20" spans="1:17" ht="16.5" hidden="1" customHeight="1" x14ac:dyDescent="0.25">
      <c r="A20" s="51"/>
      <c r="B20" s="156"/>
      <c r="C20" s="165" t="s">
        <v>15</v>
      </c>
      <c r="D20" s="165"/>
      <c r="E20" s="165"/>
      <c r="F20" s="165"/>
      <c r="G20" s="165"/>
      <c r="H20" s="165"/>
      <c r="I20" s="165"/>
      <c r="K20" s="31"/>
      <c r="Q20" s="27"/>
    </row>
    <row r="21" spans="1:17" ht="16.5" customHeight="1" x14ac:dyDescent="0.25">
      <c r="A21" s="51"/>
      <c r="B21" s="156"/>
      <c r="C21" s="165" t="s">
        <v>16</v>
      </c>
      <c r="D21" s="165"/>
      <c r="E21" s="165"/>
      <c r="F21" s="165"/>
      <c r="G21" s="165"/>
      <c r="H21" s="165"/>
      <c r="I21" s="165"/>
      <c r="J21" s="32"/>
      <c r="K21" s="31">
        <v>158225</v>
      </c>
      <c r="Q21" s="27"/>
    </row>
    <row r="22" spans="1:17" ht="16.5" customHeight="1" x14ac:dyDescent="0.2">
      <c r="A22" s="51"/>
      <c r="B22" s="52"/>
      <c r="C22" s="52"/>
      <c r="D22" s="52"/>
      <c r="E22" s="52"/>
      <c r="F22" s="52"/>
      <c r="G22" s="52"/>
      <c r="H22" s="52"/>
      <c r="I22" s="52"/>
      <c r="J22" s="28">
        <f>ROUND(SUM(J15:J17),2)</f>
        <v>649375</v>
      </c>
      <c r="K22" s="28">
        <f>ROUND(SUM(K18:K21),2)</f>
        <v>649375</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4" t="s">
        <v>17</v>
      </c>
      <c r="C24" s="164"/>
      <c r="D24" s="164"/>
      <c r="E24" s="164"/>
      <c r="F24" s="164"/>
      <c r="G24" s="164"/>
      <c r="H24" s="164"/>
      <c r="I24" s="164"/>
      <c r="J24" s="164"/>
      <c r="K24" s="164"/>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7" t="s">
        <v>18</v>
      </c>
      <c r="C27" s="168"/>
      <c r="D27" s="168"/>
      <c r="E27" s="168"/>
      <c r="F27" s="168"/>
      <c r="G27" s="168"/>
      <c r="H27" s="168"/>
      <c r="I27" s="168"/>
      <c r="J27" s="168"/>
      <c r="K27" s="168"/>
      <c r="L27" s="49"/>
    </row>
    <row r="28" spans="1:17" ht="16.5" customHeight="1" x14ac:dyDescent="0.2">
      <c r="A28" s="51"/>
      <c r="B28" s="165" t="s">
        <v>19</v>
      </c>
      <c r="C28" s="165"/>
      <c r="D28" s="165"/>
      <c r="E28" s="165"/>
      <c r="F28" s="165"/>
      <c r="G28" s="165"/>
      <c r="H28" s="165"/>
      <c r="I28" s="165"/>
      <c r="J28" s="31">
        <v>0</v>
      </c>
      <c r="K28" s="32"/>
      <c r="L28" s="49"/>
    </row>
    <row r="29" spans="1:17" ht="16.5" customHeight="1" x14ac:dyDescent="0.25">
      <c r="A29" s="51"/>
      <c r="B29" s="156"/>
      <c r="C29" s="165" t="s">
        <v>20</v>
      </c>
      <c r="D29" s="165"/>
      <c r="E29" s="165"/>
      <c r="F29" s="165"/>
      <c r="G29" s="165"/>
      <c r="H29" s="165"/>
      <c r="I29" s="165"/>
      <c r="J29" s="32"/>
      <c r="K29" s="31"/>
      <c r="L29" s="49"/>
    </row>
    <row r="30" spans="1:17" ht="16.5" customHeight="1" x14ac:dyDescent="0.25">
      <c r="A30" s="51"/>
      <c r="B30" s="156"/>
      <c r="C30" s="165" t="str">
        <f>VLOOKUP($F$8,'Drop Down Menus'!$D$2:$G$10,4,FALSE)</f>
        <v>Cr: Acct 0820 - NAT RES &amp; ENVIRON (GAAP ADJ)</v>
      </c>
      <c r="D30" s="165"/>
      <c r="E30" s="165"/>
      <c r="F30" s="165"/>
      <c r="G30" s="165"/>
      <c r="H30" s="165"/>
      <c r="I30" s="165"/>
      <c r="J30" s="32"/>
      <c r="K30" s="31">
        <v>0</v>
      </c>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5" t="s">
        <v>21</v>
      </c>
      <c r="C33" s="176"/>
      <c r="D33" s="176"/>
      <c r="E33" s="176"/>
      <c r="F33" s="176"/>
      <c r="G33" s="176"/>
      <c r="H33" s="176"/>
      <c r="I33" s="176"/>
      <c r="J33" s="176"/>
      <c r="K33" s="176"/>
      <c r="L33" s="49"/>
    </row>
    <row r="34" spans="1:12" ht="16.5" customHeight="1" x14ac:dyDescent="0.3">
      <c r="A34" s="60"/>
      <c r="B34" s="165" t="s">
        <v>10</v>
      </c>
      <c r="C34" s="165"/>
      <c r="D34" s="165"/>
      <c r="E34" s="165"/>
      <c r="F34" s="165"/>
      <c r="G34" s="165"/>
      <c r="H34" s="165"/>
      <c r="I34" s="165"/>
      <c r="J34" s="31">
        <v>0</v>
      </c>
      <c r="K34" s="146"/>
      <c r="L34" s="49"/>
    </row>
    <row r="35" spans="1:12" ht="16.5" customHeight="1" x14ac:dyDescent="0.2">
      <c r="B35" s="165" t="s">
        <v>22</v>
      </c>
      <c r="C35" s="165"/>
      <c r="D35" s="165"/>
      <c r="E35" s="165"/>
      <c r="F35" s="165"/>
      <c r="G35" s="165"/>
      <c r="H35" s="165"/>
      <c r="I35" s="165"/>
      <c r="J35" s="31"/>
      <c r="K35" s="35"/>
    </row>
    <row r="36" spans="1:12" ht="16.5" customHeight="1" x14ac:dyDescent="0.2">
      <c r="A36" s="51"/>
      <c r="B36" s="62"/>
      <c r="C36" s="165" t="s">
        <v>23</v>
      </c>
      <c r="D36" s="165"/>
      <c r="E36" s="165"/>
      <c r="F36" s="165"/>
      <c r="G36" s="165"/>
      <c r="H36" s="165"/>
      <c r="I36" s="165"/>
      <c r="J36" s="35"/>
      <c r="K36" s="31"/>
    </row>
    <row r="37" spans="1:12" ht="16.5" customHeight="1" x14ac:dyDescent="0.2">
      <c r="A37" s="51"/>
      <c r="C37" s="165" t="s">
        <v>14</v>
      </c>
      <c r="D37" s="165"/>
      <c r="E37" s="165"/>
      <c r="F37" s="165"/>
      <c r="G37" s="165"/>
      <c r="H37" s="165"/>
      <c r="I37" s="165"/>
      <c r="J37" s="35"/>
      <c r="K37" s="31">
        <v>0</v>
      </c>
    </row>
    <row r="38" spans="1:12" ht="16.5" customHeight="1" x14ac:dyDescent="0.25">
      <c r="A38" s="51"/>
      <c r="B38" s="156"/>
      <c r="C38" s="165" t="str">
        <f>VLOOKUP($F$8,'Drop Down Menus'!$D$2:$G$10,4,FALSE)</f>
        <v>Cr: Acct 0820 - NAT RES &amp; ENVIRON (GAAP ADJ)</v>
      </c>
      <c r="D38" s="165"/>
      <c r="E38" s="165"/>
      <c r="F38" s="165"/>
      <c r="G38" s="165"/>
      <c r="H38" s="165"/>
      <c r="I38" s="165"/>
      <c r="J38" s="35"/>
      <c r="K38" s="31">
        <v>0</v>
      </c>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4" t="s">
        <v>24</v>
      </c>
      <c r="C41" s="164"/>
      <c r="D41" s="164"/>
      <c r="E41" s="164"/>
      <c r="F41" s="164"/>
      <c r="G41" s="164"/>
      <c r="H41" s="164"/>
      <c r="I41" s="164"/>
      <c r="J41" s="164"/>
      <c r="K41" s="164"/>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353027</v>
      </c>
      <c r="K45" s="32"/>
    </row>
    <row r="46" spans="1:12" ht="16.5" customHeight="1" x14ac:dyDescent="0.2">
      <c r="A46" s="51"/>
      <c r="B46" s="62"/>
      <c r="C46" s="165" t="s">
        <v>13</v>
      </c>
      <c r="D46" s="165"/>
      <c r="E46" s="165"/>
      <c r="F46" s="165"/>
      <c r="G46" s="165"/>
      <c r="H46" s="165"/>
      <c r="I46" s="165"/>
      <c r="J46" s="35"/>
      <c r="K46" s="31">
        <f>J45</f>
        <v>353027</v>
      </c>
    </row>
    <row r="47" spans="1:12" ht="16.5" customHeight="1" x14ac:dyDescent="0.2">
      <c r="A47" s="60"/>
      <c r="B47" s="52"/>
      <c r="C47" s="52"/>
      <c r="D47" s="52"/>
      <c r="E47" s="52"/>
      <c r="F47" s="52"/>
      <c r="G47" s="52"/>
      <c r="H47" s="52"/>
      <c r="I47" s="52"/>
      <c r="J47" s="38">
        <f>ROUND(SUM(J45:J45),2)</f>
        <v>353027</v>
      </c>
      <c r="K47" s="38">
        <f>ROUND(SUM(K46),2)</f>
        <v>353027</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77662</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167676</v>
      </c>
      <c r="K51" s="71"/>
    </row>
    <row r="52" spans="1:12" ht="16.5" customHeight="1" x14ac:dyDescent="0.25">
      <c r="A52" s="51"/>
      <c r="B52" s="156"/>
      <c r="C52" s="165" t="str">
        <f>VLOOKUP($F$8,'Drop Down Menus'!$D$2:$G$10,4,FALSE)</f>
        <v>Cr: Acct 0820 - NAT RES &amp; ENVIRON (GAAP ADJ)</v>
      </c>
      <c r="D52" s="165"/>
      <c r="E52" s="165"/>
      <c r="F52" s="165"/>
      <c r="G52" s="165"/>
      <c r="H52" s="165"/>
      <c r="I52" s="165"/>
      <c r="J52" s="71"/>
      <c r="K52" s="37">
        <f>+J50+J51</f>
        <v>245338</v>
      </c>
    </row>
    <row r="53" spans="1:12" ht="16.5" customHeight="1" x14ac:dyDescent="0.2">
      <c r="A53" s="60"/>
      <c r="B53" s="52"/>
      <c r="C53" s="52"/>
      <c r="D53" s="52"/>
      <c r="E53" s="52"/>
      <c r="F53" s="52"/>
      <c r="G53" s="52"/>
      <c r="H53" s="52"/>
      <c r="I53" s="52"/>
      <c r="J53" s="38">
        <f>ROUND(SUM(J50:J51),2)</f>
        <v>245338</v>
      </c>
      <c r="K53" s="38">
        <f>ROUND(SUM(K52,),2)</f>
        <v>245338</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v>77662</v>
      </c>
      <c r="K56" s="35"/>
    </row>
    <row r="57" spans="1:12" ht="16.5" customHeight="1" x14ac:dyDescent="0.25">
      <c r="A57" s="51"/>
      <c r="B57" s="156"/>
      <c r="C57" s="165" t="s">
        <v>32</v>
      </c>
      <c r="D57" s="165"/>
      <c r="E57" s="165"/>
      <c r="F57" s="165"/>
      <c r="G57" s="165"/>
      <c r="H57" s="165"/>
      <c r="I57" s="165"/>
      <c r="J57" s="35"/>
      <c r="K57" s="31">
        <f>J50</f>
        <v>77662</v>
      </c>
    </row>
    <row r="58" spans="1:12" ht="16.5" customHeight="1" x14ac:dyDescent="0.2">
      <c r="A58" s="60"/>
      <c r="B58" s="52"/>
      <c r="C58" s="52"/>
      <c r="D58" s="52"/>
      <c r="E58" s="52"/>
      <c r="F58" s="52"/>
      <c r="G58" s="52"/>
      <c r="H58" s="52"/>
      <c r="I58" s="52"/>
      <c r="J58" s="38">
        <f>ROUND(SUM(J56:J56),2)</f>
        <v>77662</v>
      </c>
      <c r="K58" s="38">
        <f>ROUND(SUM(K57),2)</f>
        <v>77662</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241303</v>
      </c>
      <c r="K61" s="32"/>
    </row>
    <row r="62" spans="1:12" ht="16.5" customHeight="1" x14ac:dyDescent="0.25">
      <c r="A62" s="51"/>
      <c r="B62" s="156"/>
      <c r="C62" s="165" t="s">
        <v>34</v>
      </c>
      <c r="D62" s="165"/>
      <c r="E62" s="165"/>
      <c r="F62" s="165"/>
      <c r="G62" s="165"/>
      <c r="H62" s="165"/>
      <c r="I62" s="165"/>
      <c r="J62" s="32"/>
      <c r="K62" s="31">
        <f>J61</f>
        <v>241303</v>
      </c>
    </row>
    <row r="63" spans="1:12" ht="16.5" customHeight="1" x14ac:dyDescent="0.2">
      <c r="A63" s="51"/>
      <c r="B63" s="166" t="s">
        <v>35</v>
      </c>
      <c r="C63" s="166"/>
      <c r="D63" s="166"/>
      <c r="E63" s="166"/>
      <c r="F63" s="166"/>
      <c r="G63" s="166"/>
      <c r="H63" s="166"/>
      <c r="I63" s="166"/>
      <c r="J63" s="38">
        <f>ROUND(SUM(J61:J61),2)</f>
        <v>241303</v>
      </c>
      <c r="K63" s="38">
        <f>ROUND(SUM(K62),2)</f>
        <v>241303</v>
      </c>
      <c r="L63" s="49" t="str">
        <f>IF(J63=K63,"&lt;- Debits and Credits equal each other.","&lt;- Debits and Credits do not equal each other.")</f>
        <v>&lt;- Debits and Credits equal each other.</v>
      </c>
    </row>
    <row r="64" spans="1:12" ht="16.5" customHeight="1" x14ac:dyDescent="0.2">
      <c r="A64" s="51"/>
      <c r="B64" s="166"/>
      <c r="C64" s="166"/>
      <c r="D64" s="166"/>
      <c r="E64" s="166"/>
      <c r="F64" s="166"/>
      <c r="G64" s="166"/>
      <c r="H64" s="166"/>
      <c r="I64" s="166"/>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1" t="s">
        <v>38</v>
      </c>
      <c r="C68" s="171"/>
      <c r="D68" s="171"/>
      <c r="E68" s="171"/>
      <c r="F68" s="171"/>
      <c r="G68" s="171"/>
      <c r="H68" s="171"/>
      <c r="I68" s="171"/>
      <c r="J68" s="40"/>
      <c r="K68" s="33"/>
      <c r="L68" s="49"/>
    </row>
    <row r="69" spans="1:12" ht="16.5" hidden="1" customHeight="1" x14ac:dyDescent="0.2">
      <c r="A69" s="51"/>
      <c r="B69" s="74"/>
      <c r="C69" s="171" t="s">
        <v>39</v>
      </c>
      <c r="D69" s="171"/>
      <c r="E69" s="171"/>
      <c r="F69" s="171"/>
      <c r="G69" s="171"/>
      <c r="H69" s="171"/>
      <c r="I69" s="171"/>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4" t="s">
        <v>40</v>
      </c>
      <c r="C72" s="164"/>
      <c r="D72" s="164"/>
      <c r="E72" s="164"/>
      <c r="F72" s="164"/>
      <c r="G72" s="164"/>
      <c r="H72" s="164"/>
      <c r="I72" s="164"/>
      <c r="J72" s="164"/>
      <c r="K72" s="164"/>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9" t="s">
        <v>42</v>
      </c>
      <c r="C75" s="170"/>
      <c r="D75" s="170"/>
      <c r="E75" s="170"/>
      <c r="F75" s="170"/>
      <c r="G75" s="170"/>
      <c r="H75" s="170"/>
      <c r="I75" s="170"/>
      <c r="J75" s="170"/>
      <c r="K75" s="170"/>
      <c r="L75" s="49"/>
    </row>
    <row r="76" spans="1:12" ht="16.5" hidden="1" customHeight="1" x14ac:dyDescent="0.2">
      <c r="B76" s="165" t="s">
        <v>14</v>
      </c>
      <c r="C76" s="165"/>
      <c r="D76" s="165"/>
      <c r="E76" s="165"/>
      <c r="F76" s="165"/>
      <c r="G76" s="165"/>
      <c r="H76" s="165"/>
      <c r="I76" s="165"/>
      <c r="J76" s="40"/>
    </row>
    <row r="77" spans="1:12" ht="16.5" hidden="1" customHeight="1" x14ac:dyDescent="0.2">
      <c r="B77" s="171" t="s">
        <v>38</v>
      </c>
      <c r="C77" s="171"/>
      <c r="D77" s="171"/>
      <c r="E77" s="171"/>
      <c r="F77" s="171"/>
      <c r="G77" s="171"/>
      <c r="H77" s="171"/>
      <c r="I77" s="171"/>
      <c r="J77" s="40"/>
    </row>
    <row r="78" spans="1:12" ht="16.5" hidden="1" customHeight="1" x14ac:dyDescent="0.2">
      <c r="B78" s="165" t="str">
        <f>VLOOKUP($F$8,'Drop Down Menus'!$D$2:$G$10,4,FALSE)</f>
        <v>Cr: Acct 0820 - NAT RES &amp; ENVIRON (GAAP ADJ)</v>
      </c>
      <c r="C78" s="165"/>
      <c r="D78" s="165"/>
      <c r="E78" s="165"/>
      <c r="F78" s="165"/>
      <c r="G78" s="165"/>
      <c r="H78" s="165"/>
      <c r="I78" s="165"/>
      <c r="J78" s="40"/>
    </row>
    <row r="79" spans="1:12" ht="16.5" hidden="1" customHeight="1" x14ac:dyDescent="0.2">
      <c r="C79" s="171" t="s">
        <v>39</v>
      </c>
      <c r="D79" s="171"/>
      <c r="E79" s="171"/>
      <c r="F79" s="171"/>
      <c r="G79" s="171"/>
      <c r="H79" s="171"/>
      <c r="I79" s="171"/>
      <c r="K79" s="40"/>
    </row>
    <row r="80" spans="1:12" ht="16.5" hidden="1" customHeight="1" x14ac:dyDescent="0.2">
      <c r="C80" s="165" t="str">
        <f>VLOOKUP($F$8,'Drop Down Menus'!$D$2:$G$10,4,FALSE)</f>
        <v>Cr: Acct 0820 - NAT RES &amp; ENVIRON (GAAP ADJ)</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7" t="s">
        <v>43</v>
      </c>
      <c r="C83" s="168"/>
      <c r="D83" s="168"/>
      <c r="E83" s="168"/>
      <c r="F83" s="168"/>
      <c r="G83" s="168"/>
      <c r="H83" s="168"/>
      <c r="I83" s="168"/>
      <c r="J83" s="168"/>
      <c r="K83" s="168"/>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4" t="s">
        <v>44</v>
      </c>
      <c r="C88" s="164"/>
      <c r="D88" s="164"/>
      <c r="E88" s="164"/>
      <c r="F88" s="164"/>
      <c r="G88" s="164"/>
      <c r="H88" s="164"/>
      <c r="I88" s="164"/>
      <c r="J88" s="164"/>
      <c r="K88" s="164"/>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649375</v>
      </c>
    </row>
    <row r="95" spans="1:12" ht="16.5" customHeight="1" x14ac:dyDescent="0.25">
      <c r="D95" s="156" t="s">
        <v>48</v>
      </c>
      <c r="E95"/>
      <c r="F95"/>
      <c r="G95"/>
      <c r="H95" s="42"/>
      <c r="I95"/>
      <c r="J95"/>
      <c r="K95" s="162">
        <f>-K18-K46+J68+J77</f>
        <v>-353027</v>
      </c>
    </row>
    <row r="96" spans="1:12" ht="16.5" customHeight="1" x14ac:dyDescent="0.25">
      <c r="D96" s="156" t="s">
        <v>49</v>
      </c>
      <c r="E96"/>
      <c r="F96"/>
      <c r="G96"/>
      <c r="H96" s="42"/>
      <c r="I96"/>
      <c r="J96"/>
      <c r="K96" s="162">
        <f>-K19-K37+J56+J61+J76-K85</f>
        <v>-172185</v>
      </c>
    </row>
    <row r="97" spans="1:11" ht="16.5" customHeight="1" x14ac:dyDescent="0.25">
      <c r="D97" s="156" t="s">
        <v>50</v>
      </c>
      <c r="E97"/>
      <c r="F97"/>
      <c r="G97"/>
      <c r="H97" s="42"/>
      <c r="I97"/>
      <c r="J97"/>
      <c r="K97" s="162">
        <f>-K62</f>
        <v>-241303</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7" sqref="C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51</v>
      </c>
      <c r="B1" s="187"/>
      <c r="C1" s="187"/>
      <c r="D1" s="187"/>
    </row>
    <row r="2" spans="1:11" ht="21.75" customHeight="1" x14ac:dyDescent="0.2">
      <c r="A2" s="187"/>
      <c r="B2" s="187"/>
      <c r="C2" s="187"/>
      <c r="D2" s="187"/>
      <c r="E2" s="41"/>
      <c r="F2" s="41"/>
      <c r="G2" s="41"/>
      <c r="H2" s="41"/>
      <c r="I2" s="41"/>
      <c r="J2" s="41"/>
    </row>
    <row r="3" spans="1:11" ht="32.25" customHeight="1" x14ac:dyDescent="0.25">
      <c r="A3" s="190" t="s">
        <v>52</v>
      </c>
      <c r="B3" s="190"/>
      <c r="C3" s="190"/>
      <c r="D3" s="190"/>
      <c r="E3" s="79"/>
      <c r="F3" s="79"/>
      <c r="G3" s="79"/>
      <c r="H3" s="79"/>
      <c r="I3" s="79"/>
      <c r="J3" s="79"/>
      <c r="K3" s="79"/>
    </row>
    <row r="4" spans="1:11" ht="15.75" customHeight="1" x14ac:dyDescent="0.25">
      <c r="A4" s="191" t="s">
        <v>53</v>
      </c>
      <c r="B4" s="191"/>
      <c r="C4" s="191"/>
      <c r="D4" s="191"/>
      <c r="E4" s="79"/>
      <c r="F4" s="79"/>
      <c r="G4" s="79"/>
      <c r="H4" s="79"/>
      <c r="I4" s="79"/>
      <c r="J4" s="79"/>
      <c r="K4" s="79"/>
    </row>
    <row r="5" spans="1:11" ht="15.75" customHeight="1" x14ac:dyDescent="0.25">
      <c r="A5" s="189" t="s">
        <v>54</v>
      </c>
      <c r="B5" s="189"/>
      <c r="C5" s="189"/>
      <c r="D5" s="150"/>
      <c r="E5" s="79"/>
      <c r="F5" s="79"/>
      <c r="G5" s="79"/>
      <c r="H5" s="79"/>
      <c r="I5" s="79"/>
      <c r="J5" s="79"/>
      <c r="K5" s="79"/>
    </row>
    <row r="6" spans="1:11" ht="15.75" customHeight="1" x14ac:dyDescent="0.25">
      <c r="A6" s="189"/>
      <c r="B6" s="189"/>
      <c r="C6" s="189"/>
      <c r="D6" s="150"/>
      <c r="E6" s="79"/>
      <c r="F6" s="79"/>
      <c r="G6" s="79"/>
      <c r="H6" s="79"/>
      <c r="I6" s="79"/>
      <c r="J6" s="79"/>
      <c r="K6" s="79"/>
    </row>
    <row r="7" spans="1:11" ht="15.75" customHeight="1" x14ac:dyDescent="0.25">
      <c r="A7" s="189" t="s">
        <v>55</v>
      </c>
      <c r="B7" s="189"/>
      <c r="C7" s="189"/>
      <c r="D7" s="150"/>
      <c r="E7" s="79"/>
      <c r="F7" s="79"/>
      <c r="G7" s="79"/>
      <c r="H7" s="79"/>
      <c r="I7" s="79"/>
      <c r="J7" s="79"/>
      <c r="K7" s="79"/>
    </row>
    <row r="8" spans="1:11" ht="15.75" customHeight="1" x14ac:dyDescent="0.25">
      <c r="A8" s="189"/>
      <c r="B8" s="189"/>
      <c r="C8" s="189"/>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92" t="s">
        <v>3</v>
      </c>
      <c r="C11" s="192"/>
    </row>
    <row r="12" spans="1:11" ht="15" customHeight="1" x14ac:dyDescent="0.25">
      <c r="A12" s="81" t="s">
        <v>58</v>
      </c>
      <c r="B12" s="193">
        <v>3900</v>
      </c>
      <c r="C12" s="193"/>
    </row>
    <row r="13" spans="1:11" ht="15.75" x14ac:dyDescent="0.25">
      <c r="A13" s="81" t="s">
        <v>59</v>
      </c>
      <c r="B13" s="188" t="s">
        <v>1643</v>
      </c>
      <c r="C13" s="188"/>
      <c r="E13" s="149"/>
      <c r="F13" s="149"/>
      <c r="G13" s="149"/>
      <c r="H13" s="149"/>
      <c r="I13" s="149"/>
      <c r="J13" s="149"/>
      <c r="K13" s="149"/>
    </row>
    <row r="14" spans="1:11" ht="23.25" customHeight="1" x14ac:dyDescent="0.2">
      <c r="A14" s="182" t="s">
        <v>60</v>
      </c>
      <c r="B14" s="182"/>
      <c r="C14" s="182"/>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241303</v>
      </c>
      <c r="C16" s="2">
        <v>4036</v>
      </c>
      <c r="D16" s="185" t="s">
        <v>63</v>
      </c>
      <c r="E16" s="84"/>
      <c r="F16" s="84"/>
      <c r="G16" s="84"/>
      <c r="H16" s="84"/>
      <c r="I16" s="84"/>
      <c r="J16" s="84"/>
      <c r="K16" s="84"/>
    </row>
    <row r="17" spans="1:11" ht="15" customHeight="1" x14ac:dyDescent="0.2">
      <c r="A17" s="82" t="str">
        <f>LEFT(A16,4)+1&amp;"–"&amp;RIGHT(A16,4)+1</f>
        <v>2024–2025</v>
      </c>
      <c r="B17" s="2">
        <v>172185</v>
      </c>
      <c r="C17" s="2">
        <v>2042</v>
      </c>
      <c r="D17" s="185"/>
      <c r="E17" s="84"/>
      <c r="F17" s="84"/>
      <c r="G17" s="84"/>
      <c r="H17" s="84"/>
      <c r="I17" s="84"/>
      <c r="J17" s="84"/>
      <c r="K17" s="84"/>
    </row>
    <row r="18" spans="1:11" ht="15" customHeight="1" x14ac:dyDescent="0.2">
      <c r="A18" s="82" t="str">
        <f>LEFT(A17,4)+1&amp;"–"&amp;RIGHT(A17,4)+1</f>
        <v>2025–2026</v>
      </c>
      <c r="B18" s="2"/>
      <c r="C18" s="2"/>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t="s">
        <v>1644</v>
      </c>
      <c r="E20" s="84"/>
      <c r="F20" s="84"/>
      <c r="G20" s="84"/>
      <c r="H20" s="84"/>
      <c r="I20" s="84"/>
      <c r="J20" s="84"/>
      <c r="K20" s="84"/>
    </row>
    <row r="21" spans="1:11" ht="15" customHeight="1" x14ac:dyDescent="0.25">
      <c r="A21" s="82"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6"/>
      <c r="E22" s="83"/>
      <c r="F22" s="83"/>
      <c r="G22" s="83"/>
      <c r="H22" s="83"/>
      <c r="I22" s="83"/>
      <c r="J22" s="83"/>
      <c r="K22" s="83"/>
    </row>
    <row r="23" spans="1:11" ht="15" customHeight="1" x14ac:dyDescent="0.25">
      <c r="A23" s="82" t="str">
        <f t="shared" si="0"/>
        <v>2038–2043</v>
      </c>
      <c r="B23" s="2"/>
      <c r="C23" s="2"/>
      <c r="D23" s="23" t="s">
        <v>1644</v>
      </c>
      <c r="E23" s="83"/>
      <c r="F23" s="83"/>
      <c r="G23" s="83"/>
      <c r="H23" s="83"/>
      <c r="I23" s="83"/>
      <c r="J23" s="83"/>
      <c r="K23" s="83"/>
    </row>
    <row r="24" spans="1:11" ht="15" customHeight="1" x14ac:dyDescent="0.2">
      <c r="A24" s="82"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6"/>
      <c r="E25" s="85"/>
      <c r="F25" s="85"/>
      <c r="G25" s="85"/>
      <c r="H25" s="85"/>
      <c r="I25" s="85"/>
      <c r="J25" s="85"/>
      <c r="K25" s="85"/>
    </row>
    <row r="26" spans="1:11" ht="15" customHeight="1" x14ac:dyDescent="0.2">
      <c r="A26" s="82" t="str">
        <f t="shared" si="0"/>
        <v>2053–2058</v>
      </c>
      <c r="B26" s="2"/>
      <c r="C26" s="2"/>
      <c r="D26" s="23" t="s">
        <v>113</v>
      </c>
      <c r="E26" s="86"/>
      <c r="F26" s="86"/>
      <c r="G26" s="86"/>
      <c r="H26" s="86"/>
      <c r="I26" s="86"/>
    </row>
    <row r="27" spans="1:11" ht="15" customHeight="1" x14ac:dyDescent="0.2">
      <c r="A27" s="82" t="str">
        <f t="shared" si="0"/>
        <v>2058–2063</v>
      </c>
      <c r="B27" s="2"/>
      <c r="C27" s="2"/>
      <c r="D27" s="186"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6"/>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6"/>
    </row>
    <row r="32" spans="1:11" ht="15" customHeight="1" x14ac:dyDescent="0.2">
      <c r="A32" s="82" t="str">
        <f t="shared" si="0"/>
        <v>2083–2088</v>
      </c>
      <c r="B32" s="2"/>
      <c r="C32" s="2"/>
      <c r="D32" s="23" t="s">
        <v>1644</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83" t="str">
        <f>B11</f>
        <v>2022–2023</v>
      </c>
      <c r="C42" s="183"/>
    </row>
    <row r="43" spans="1:11" ht="15.75" customHeight="1" x14ac:dyDescent="0.25">
      <c r="A43" s="81" t="s">
        <v>58</v>
      </c>
      <c r="B43" s="184">
        <f>B12</f>
        <v>3900</v>
      </c>
      <c r="C43" s="184"/>
    </row>
    <row r="44" spans="1:11" ht="15.75" x14ac:dyDescent="0.25">
      <c r="A44" s="81" t="s">
        <v>59</v>
      </c>
      <c r="B44" s="183" t="str">
        <f>B13</f>
        <v>State Air Resource Board</v>
      </c>
      <c r="C44" s="183"/>
    </row>
    <row r="45" spans="1:11" x14ac:dyDescent="0.2">
      <c r="A45" s="182" t="s">
        <v>60</v>
      </c>
      <c r="B45" s="182"/>
      <c r="C45" s="182"/>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6" t="s">
        <v>63</v>
      </c>
    </row>
    <row r="48" spans="1:11" ht="15" customHeight="1" x14ac:dyDescent="0.2">
      <c r="A48" s="82" t="str">
        <f>LEFT(A47,4)+1&amp;"–"&amp;RIGHT(A47,4)+1</f>
        <v>2024–2025</v>
      </c>
      <c r="B48" s="2"/>
      <c r="C48" s="2"/>
      <c r="D48" s="186"/>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ht="15" customHeight="1" x14ac:dyDescent="0.2">
      <c r="A52" s="82" t="str">
        <f>LEFT(A51,4)+1&amp;"–"&amp;RIGHT(A51,4)+5</f>
        <v>2028–2033</v>
      </c>
      <c r="B52" s="2"/>
      <c r="C52" s="2"/>
      <c r="D52" s="186" t="str">
        <f>"4. Are there any SBITA commitments known that have yet to commence as of June 30, "&amp;RIGHT($B$11,4)&amp;"?"</f>
        <v>4. Are there any SBITA commitments known that have yet to commence as of June 30, 2023?</v>
      </c>
    </row>
    <row r="53" spans="1:4" ht="15" customHeight="1" x14ac:dyDescent="0.2">
      <c r="A53" s="82" t="str">
        <f t="shared" ref="A53:A66" si="1">LEFT(A52,4)+5&amp;"–"&amp;RIGHT(A52,4)+5</f>
        <v>2033–2038</v>
      </c>
      <c r="B53" s="2"/>
      <c r="C53" s="2"/>
      <c r="D53" s="186"/>
    </row>
    <row r="54" spans="1:4" ht="15" customHeight="1" x14ac:dyDescent="0.2">
      <c r="A54" s="82" t="str">
        <f t="shared" si="1"/>
        <v>2038–2043</v>
      </c>
      <c r="B54" s="2"/>
      <c r="C54" s="2"/>
      <c r="D54" s="23"/>
    </row>
    <row r="55" spans="1:4" ht="15" customHeight="1" x14ac:dyDescent="0.2">
      <c r="A55" s="82"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6"/>
    </row>
    <row r="57" spans="1:4" ht="15.75" customHeight="1" x14ac:dyDescent="0.2">
      <c r="A57" s="82" t="str">
        <f t="shared" si="1"/>
        <v>2053–2058</v>
      </c>
      <c r="B57" s="2"/>
      <c r="C57" s="2"/>
      <c r="D57" s="23"/>
    </row>
    <row r="58" spans="1:4" ht="15.75" customHeight="1" x14ac:dyDescent="0.2">
      <c r="A58" s="82"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6"/>
    </row>
    <row r="60" spans="1:4" x14ac:dyDescent="0.2">
      <c r="A60" s="82" t="str">
        <f t="shared" si="1"/>
        <v>2068–2073</v>
      </c>
      <c r="B60" s="2"/>
      <c r="C60" s="2"/>
      <c r="D60" s="148"/>
    </row>
    <row r="61" spans="1:4" ht="15" customHeight="1" x14ac:dyDescent="0.2">
      <c r="A61" s="82"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6"/>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83" t="str">
        <f>B11</f>
        <v>2022–2023</v>
      </c>
      <c r="C73" s="183"/>
    </row>
    <row r="74" spans="1:4" ht="15.75" customHeight="1" x14ac:dyDescent="0.25">
      <c r="A74" s="81" t="s">
        <v>58</v>
      </c>
      <c r="B74" s="184">
        <f>B12</f>
        <v>3900</v>
      </c>
      <c r="C74" s="184"/>
    </row>
    <row r="75" spans="1:4" ht="15.75" x14ac:dyDescent="0.25">
      <c r="A75" s="81" t="s">
        <v>59</v>
      </c>
      <c r="B75" s="183" t="str">
        <f>B13</f>
        <v>State Air Resource Board</v>
      </c>
      <c r="C75" s="183"/>
    </row>
    <row r="76" spans="1:4" x14ac:dyDescent="0.2">
      <c r="A76" s="182" t="s">
        <v>60</v>
      </c>
      <c r="B76" s="182"/>
      <c r="C76" s="182"/>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85" t="s">
        <v>63</v>
      </c>
    </row>
    <row r="79" spans="1:4" ht="15" customHeight="1" x14ac:dyDescent="0.2">
      <c r="A79" s="82" t="str">
        <f>LEFT(A78,4)+1&amp;"–"&amp;RIGHT(A78,4)+1</f>
        <v>2024–2025</v>
      </c>
      <c r="B79" s="2"/>
      <c r="C79" s="2"/>
      <c r="D79" s="185"/>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6"/>
    </row>
    <row r="85" spans="1:4" x14ac:dyDescent="0.2">
      <c r="A85" s="82" t="str">
        <f t="shared" si="2"/>
        <v>2038–2043</v>
      </c>
      <c r="B85" s="2"/>
      <c r="C85" s="2"/>
      <c r="D85" s="23"/>
    </row>
    <row r="86" spans="1:4" ht="15" customHeight="1" x14ac:dyDescent="0.2">
      <c r="A86" s="82"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6"/>
    </row>
    <row r="88" spans="1:4" ht="15" customHeight="1" x14ac:dyDescent="0.2">
      <c r="A88" s="82" t="str">
        <f t="shared" si="2"/>
        <v>2053–2058</v>
      </c>
      <c r="B88" s="2"/>
      <c r="C88" s="2"/>
      <c r="D88" s="23"/>
    </row>
    <row r="89" spans="1:4" ht="15.75" customHeight="1" x14ac:dyDescent="0.2">
      <c r="A89" s="82"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6"/>
    </row>
    <row r="91" spans="1:4" x14ac:dyDescent="0.2">
      <c r="A91" s="82" t="str">
        <f t="shared" si="2"/>
        <v>2068–2073</v>
      </c>
      <c r="B91" s="2"/>
      <c r="C91" s="2"/>
      <c r="D91" s="148"/>
    </row>
    <row r="92" spans="1:4" ht="15" customHeight="1" x14ac:dyDescent="0.2">
      <c r="A92" s="82"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6"/>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NcrE0JD1ccvx3e55yTxE1MrGuDEGPOArDizvnNhOGpk38DeXZFEW/H1+6BX4NKCniAzD6qa8tzmwvRwM0dgvuw==" saltValue="YROl+907kPdFPGhwA2u5P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D1" zoomScaleNormal="100" workbookViewId="0">
      <selection activeCell="F10" sqref="F10"/>
    </sheetView>
  </sheetViews>
  <sheetFormatPr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4" t="s">
        <v>66</v>
      </c>
      <c r="H3" s="194"/>
      <c r="I3" s="194"/>
      <c r="J3" s="194"/>
      <c r="K3" s="194"/>
      <c r="L3" s="194"/>
      <c r="M3" s="194"/>
      <c r="N3" s="95"/>
      <c r="O3" s="95"/>
      <c r="P3" s="95"/>
      <c r="Q3" s="96"/>
    </row>
    <row r="4" spans="2:17" ht="20.25" x14ac:dyDescent="0.3">
      <c r="B4" s="94"/>
      <c r="D4" s="95"/>
      <c r="E4" s="95"/>
      <c r="F4" s="95"/>
      <c r="G4" s="194" t="str">
        <f>"FY "&amp;'Department Note Disclosure'!$B$11</f>
        <v>FY 2022–2023</v>
      </c>
      <c r="H4" s="194"/>
      <c r="I4" s="194"/>
      <c r="J4" s="194"/>
      <c r="K4" s="194"/>
      <c r="L4" s="194"/>
      <c r="M4" s="194"/>
      <c r="N4" s="95"/>
      <c r="O4" s="95"/>
      <c r="P4" s="95"/>
      <c r="Q4" s="96"/>
    </row>
    <row r="5" spans="2:17" ht="20.25" x14ac:dyDescent="0.3">
      <c r="B5" s="94"/>
      <c r="D5" s="95"/>
      <c r="E5" s="95"/>
      <c r="F5" s="95"/>
      <c r="G5" s="195" t="str">
        <f>"Business Unit " &amp;'Fund 0044 Journal Entries'!$F$5&amp;" "&amp;'Fund 0044 Journal Entries'!$F$4</f>
        <v>Business Unit 3900 State Air Resorce Board</v>
      </c>
      <c r="H5" s="195"/>
      <c r="I5" s="195"/>
      <c r="J5" s="195"/>
      <c r="K5" s="195"/>
      <c r="L5" s="195"/>
      <c r="M5" s="195"/>
      <c r="N5" s="95"/>
      <c r="O5" s="95"/>
      <c r="P5" s="95"/>
      <c r="Q5" s="96"/>
    </row>
    <row r="6" spans="2:17" x14ac:dyDescent="0.25">
      <c r="B6" s="94"/>
      <c r="Q6" s="96"/>
    </row>
    <row r="7" spans="2:17" x14ac:dyDescent="0.25">
      <c r="B7" s="94"/>
      <c r="C7" s="196" t="s">
        <v>67</v>
      </c>
      <c r="D7" s="196"/>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0044 Journal Entries'!$F$3,4)</f>
        <v>Balance
July 1, 2022</v>
      </c>
      <c r="G8" s="103"/>
      <c r="H8" s="104" t="s">
        <v>72</v>
      </c>
      <c r="I8" s="103"/>
      <c r="J8" s="104" t="s">
        <v>73</v>
      </c>
      <c r="K8" s="103"/>
      <c r="L8" s="102" t="str">
        <f>"Balance
June 30, "&amp;RIGHT('Fund 0044 Journal Entries'!$F$3,4)</f>
        <v>Balance
June 30, 2023</v>
      </c>
      <c r="M8" s="103"/>
      <c r="N8" s="102" t="s">
        <v>74</v>
      </c>
      <c r="O8" s="103"/>
      <c r="P8" s="102" t="s">
        <v>75</v>
      </c>
      <c r="Q8" s="96"/>
    </row>
    <row r="9" spans="2:17" x14ac:dyDescent="0.25">
      <c r="B9" s="94"/>
      <c r="C9" s="197" t="s">
        <v>76</v>
      </c>
      <c r="D9" s="197"/>
      <c r="Q9" s="96"/>
    </row>
    <row r="10" spans="2:17" ht="18.75" thickBot="1" x14ac:dyDescent="0.3">
      <c r="B10" s="94"/>
      <c r="D10" s="88" t="s">
        <v>77</v>
      </c>
      <c r="F10" s="3">
        <f>IF('Fund 0044 Journal Entries'!$F$7="Governmental Fund",'Fund 0044 Journal Entries'!$K$19,0)</f>
        <v>491150</v>
      </c>
      <c r="H10" s="3">
        <f>IF('Fund 0044 Journal Entries'!$F$7="Governmental Fund",'Fund 0044 Journal Entries'!$K$37,0)</f>
        <v>0</v>
      </c>
      <c r="J10" s="3">
        <f>IF('Fund 0044 Journal Entries'!$F$7="Governmental Fund",'Fund 0044 Journal Entries'!$J$56,0)</f>
        <v>77662</v>
      </c>
      <c r="L10" s="105">
        <f>SUM(F10+H10-J10)</f>
        <v>413488</v>
      </c>
      <c r="N10" s="3">
        <f>IF('Fund 0044 Journal Entries'!$F$7="Governmental Fund",'Fund 0044 Journal Entries'!$J$61,0)</f>
        <v>241303</v>
      </c>
      <c r="P10" s="105">
        <f>L10-N10</f>
        <v>172185</v>
      </c>
      <c r="Q10" s="96"/>
    </row>
    <row r="11" spans="2:17" ht="19.5" thickTop="1" thickBot="1" x14ac:dyDescent="0.3">
      <c r="B11" s="94"/>
      <c r="C11" s="197" t="s">
        <v>78</v>
      </c>
      <c r="D11" s="197"/>
      <c r="F11" s="106">
        <f>SUM(F10:F10)</f>
        <v>491150</v>
      </c>
      <c r="H11" s="106">
        <f>SUM(H10:H10)</f>
        <v>0</v>
      </c>
      <c r="J11" s="106">
        <f>SUM(J10:J10)</f>
        <v>77662</v>
      </c>
      <c r="L11" s="106">
        <f>SUM(L10:L10)</f>
        <v>413488</v>
      </c>
      <c r="N11" s="106">
        <f>SUM(N10:N10)</f>
        <v>241303</v>
      </c>
      <c r="P11" s="106">
        <f>SUM(P10:P10)</f>
        <v>172185</v>
      </c>
      <c r="Q11" s="96"/>
    </row>
    <row r="12" spans="2:17" ht="18.75" thickTop="1" x14ac:dyDescent="0.25">
      <c r="B12" s="94"/>
      <c r="G12" s="107"/>
      <c r="Q12" s="96"/>
    </row>
    <row r="13" spans="2:17" x14ac:dyDescent="0.25">
      <c r="B13" s="94"/>
      <c r="C13" s="197" t="s">
        <v>79</v>
      </c>
      <c r="D13" s="197"/>
      <c r="Q13" s="96"/>
    </row>
    <row r="14" spans="2:17" ht="18.75" thickBot="1" x14ac:dyDescent="0.3">
      <c r="B14" s="94"/>
      <c r="D14" s="88" t="s">
        <v>77</v>
      </c>
      <c r="F14" s="3">
        <f>IF('Fund 0044 Journal Entries'!$F$7="Proprietary - Internal Service Fund",'Fund 0044 Journal Entries'!$K$19,0)</f>
        <v>0</v>
      </c>
      <c r="H14" s="3">
        <f>IF('Fund 0044 Journal Entries'!$F$7="Proprietary - Internal Service Fund",'Fund 0044 Journal Entries'!$K$37,0)</f>
        <v>0</v>
      </c>
      <c r="J14" s="3">
        <f>IF('Fund 0044 Journal Entries'!$F$7="Proprietary - Internal Service Fund",'Fund 0044 Journal Entries'!$J$56,0)</f>
        <v>0</v>
      </c>
      <c r="L14" s="105">
        <f>SUM(F14+H14-J14)</f>
        <v>0</v>
      </c>
      <c r="N14" s="3">
        <f>IF('Fund 0044 Journal Entries'!$F$7="Proprietary - Internal Service Fund",'Fund 0044 Journal Entries'!$J$61,0)</f>
        <v>0</v>
      </c>
      <c r="P14" s="105">
        <f>L14-N14</f>
        <v>0</v>
      </c>
      <c r="Q14" s="96"/>
    </row>
    <row r="15" spans="2:17" ht="19.5" thickTop="1" thickBot="1" x14ac:dyDescent="0.3">
      <c r="B15" s="94"/>
      <c r="C15" s="197" t="s">
        <v>80</v>
      </c>
      <c r="D15" s="197"/>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7" t="s">
        <v>81</v>
      </c>
      <c r="D17" s="197"/>
      <c r="Q17" s="96"/>
    </row>
    <row r="18" spans="1:17" ht="18.75" thickBot="1" x14ac:dyDescent="0.3">
      <c r="B18" s="94"/>
      <c r="D18" s="88" t="s">
        <v>77</v>
      </c>
      <c r="F18" s="3">
        <f>IF('Fund 0044 Journal Entries'!$F$7="Proprietary - Enterprise Fund",'Fund 0044 Journal Entries'!$K$19,0)</f>
        <v>0</v>
      </c>
      <c r="H18" s="3">
        <f>IF('Fund 0044 Journal Entries'!$F$7="Proprietary - Enterprise Fund",'Fund 0044 Journal Entries'!$K$37,0)</f>
        <v>0</v>
      </c>
      <c r="J18" s="3">
        <f>IF('Fund 0044 Journal Entries'!$F$7="Proprietary - Enterprise Fund",'Fund 0044 Journal Entries'!$J$56,0)</f>
        <v>0</v>
      </c>
      <c r="L18" s="105">
        <f>SUM(F18+H18-J18)</f>
        <v>0</v>
      </c>
      <c r="N18" s="3">
        <f>IF('Fund 0044 Journal Entries'!$F$7="Proprietary - Enterprise Fund",'Fund 0044 Journal Entries'!$J$61,0)</f>
        <v>0</v>
      </c>
      <c r="P18" s="105">
        <f>L18-N18</f>
        <v>0</v>
      </c>
      <c r="Q18" s="96"/>
    </row>
    <row r="19" spans="1:17" ht="19.5" thickTop="1" thickBot="1" x14ac:dyDescent="0.3">
      <c r="B19" s="94"/>
      <c r="C19" s="197" t="s">
        <v>82</v>
      </c>
      <c r="D19" s="197"/>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8" t="s">
        <v>83</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D47" zoomScale="112" zoomScaleNormal="112" workbookViewId="0">
      <selection activeCell="B16" sqref="B16"/>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199" t="s">
        <v>87</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88</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19" t="s">
        <v>89</v>
      </c>
      <c r="B11" s="120"/>
      <c r="C11" s="121"/>
      <c r="D11" s="120"/>
      <c r="E11" s="121"/>
      <c r="F11" s="120"/>
      <c r="G11" s="121"/>
      <c r="H11" s="120"/>
      <c r="I11" s="121"/>
      <c r="J11" s="120"/>
      <c r="K11" s="120"/>
      <c r="L11" s="120"/>
      <c r="M11" s="120"/>
    </row>
    <row r="12" spans="1:13" x14ac:dyDescent="0.25">
      <c r="A12" s="155"/>
      <c r="B12" s="203" t="s">
        <v>90</v>
      </c>
      <c r="C12" s="203"/>
      <c r="D12" s="203"/>
      <c r="E12" s="203"/>
      <c r="F12" s="203"/>
      <c r="G12" s="203"/>
      <c r="H12" s="203"/>
      <c r="I12" s="203"/>
      <c r="J12" s="203"/>
      <c r="K12" s="203"/>
      <c r="L12" s="203"/>
      <c r="M12" s="203"/>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2" t="s">
        <v>91</v>
      </c>
      <c r="C14" s="202"/>
      <c r="D14" s="202"/>
      <c r="E14" s="202"/>
      <c r="F14" s="202"/>
      <c r="G14" s="202"/>
      <c r="H14" s="202"/>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0044 Journal Entries'!$F$7="Governmental Fund",ROUND('Fund 0044 Journal Entries'!$K$19,0),0)</f>
        <v>491150</v>
      </c>
      <c r="C16" s="15" t="s">
        <v>94</v>
      </c>
      <c r="D16" s="14">
        <f>IF('Fund 0044 Journal Entries'!$F$7="Governmental Fund",ROUND('Fund 0044 Journal Entries'!$K$37,0),0)</f>
        <v>0</v>
      </c>
      <c r="E16" s="16" t="s">
        <v>96</v>
      </c>
      <c r="F16" s="14">
        <f>IF('Fund 0044 Journal Entries'!$F$7="Governmental Fund",ROUND('Fund 0044 Journal Entries'!$J$56,0),0)</f>
        <v>77662</v>
      </c>
      <c r="G16" s="16" t="s">
        <v>100</v>
      </c>
      <c r="H16" s="17">
        <f>+B16+D16-F16</f>
        <v>413488</v>
      </c>
      <c r="I16" s="16"/>
      <c r="J16" s="18">
        <f>ROUND(SUM('Department Note Disclosure'!$B$16:$B$39),0)</f>
        <v>413488</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3" t="s">
        <v>101</v>
      </c>
      <c r="C19" s="203"/>
      <c r="D19" s="203"/>
      <c r="E19" s="203"/>
      <c r="F19" s="203"/>
      <c r="G19" s="203"/>
      <c r="H19" s="203"/>
      <c r="I19" s="203"/>
      <c r="J19" s="203"/>
      <c r="K19" s="203"/>
      <c r="L19" s="203"/>
      <c r="M19" s="203"/>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2" t="s">
        <v>91</v>
      </c>
      <c r="C21" s="202"/>
      <c r="D21" s="202"/>
      <c r="E21" s="202"/>
      <c r="F21" s="202"/>
      <c r="G21" s="202"/>
      <c r="H21" s="202"/>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0044 Journal Entries'!$F$7="Proprietary - Internal Service Fund",ROUND('Fund 0044 Journal Entries'!$K$19,0),0)</f>
        <v>0</v>
      </c>
      <c r="C23" s="15" t="s">
        <v>94</v>
      </c>
      <c r="D23" s="14">
        <f>IF('Fund 0044 Journal Entries'!$F$7="Proprietary - Internal Service Fund",ROUND('Fund 0044 Journal Entries'!$K$37,0),0)</f>
        <v>0</v>
      </c>
      <c r="E23" s="16" t="s">
        <v>96</v>
      </c>
      <c r="F23" s="14">
        <f>IF('Fund 0044 Journal Entries'!$F$7="Proprietary - Internal Service Fund",ROUND('Fund 0044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3" t="s">
        <v>102</v>
      </c>
      <c r="C27" s="203"/>
      <c r="D27" s="203"/>
      <c r="E27" s="203"/>
      <c r="F27" s="203"/>
      <c r="G27" s="203"/>
      <c r="H27" s="203"/>
      <c r="I27" s="203"/>
      <c r="J27" s="203"/>
      <c r="K27" s="203"/>
      <c r="L27" s="203"/>
      <c r="M27" s="203"/>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2" t="s">
        <v>91</v>
      </c>
      <c r="C29" s="202"/>
      <c r="D29" s="202"/>
      <c r="E29" s="202"/>
      <c r="F29" s="202"/>
      <c r="G29" s="202"/>
      <c r="H29" s="202"/>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0044 Journal Entries'!$F$7="Proprietary - Enterprise Fund",ROUND('Fund 0044 Journal Entries'!$K$19,0),0)</f>
        <v>0</v>
      </c>
      <c r="C31" s="15" t="s">
        <v>94</v>
      </c>
      <c r="D31" s="14">
        <f>IF('Fund 0044 Journal Entries'!$F$7="Proprietary - Enterprise Fund",ROUND('Fund 0044 Journal Entries'!$K$37,0),0)</f>
        <v>0</v>
      </c>
      <c r="E31" s="16" t="s">
        <v>96</v>
      </c>
      <c r="F31" s="14">
        <f>IF('Fund 0044 Journal Entries'!$F$7="Proprietary - Enterprise Fund",ROUND('Fund 0044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3" t="s">
        <v>90</v>
      </c>
      <c r="C35" s="203"/>
      <c r="D35" s="203"/>
      <c r="E35" s="203"/>
      <c r="F35" s="203"/>
      <c r="G35" s="203"/>
      <c r="H35" s="203"/>
      <c r="I35" s="203"/>
      <c r="J35" s="203"/>
      <c r="K35" s="203"/>
      <c r="L35" s="203"/>
      <c r="M35" s="203"/>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2" t="s">
        <v>91</v>
      </c>
      <c r="C37" s="202"/>
      <c r="D37" s="202"/>
      <c r="E37" s="202"/>
      <c r="F37" s="202"/>
      <c r="G37" s="202"/>
      <c r="H37" s="202"/>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0044 Journal Entries'!$F$7="Governmental Fund",ROUND('Fund 0044 Journal Entries'!$K$62,0),0)</f>
        <v>241303</v>
      </c>
      <c r="G39" s="134"/>
      <c r="H39" s="134"/>
      <c r="I39" s="20"/>
      <c r="J39" s="18">
        <f>ROUND('Department Note Disclosure'!$B$16,0)</f>
        <v>241303</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3" t="s">
        <v>101</v>
      </c>
      <c r="C42" s="203"/>
      <c r="D42" s="203"/>
      <c r="E42" s="203"/>
      <c r="F42" s="203"/>
      <c r="G42" s="203"/>
      <c r="H42" s="203"/>
      <c r="I42" s="203"/>
      <c r="J42" s="203"/>
      <c r="K42" s="203"/>
      <c r="L42" s="203"/>
      <c r="M42" s="203"/>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2" t="s">
        <v>91</v>
      </c>
      <c r="C44" s="202"/>
      <c r="D44" s="202"/>
      <c r="E44" s="202"/>
      <c r="F44" s="202"/>
      <c r="G44" s="202"/>
      <c r="H44" s="202"/>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0044 Journal Entries'!$F$7="Proprietary - Internal Service Fund",ROUND('Fund 0044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3" t="s">
        <v>102</v>
      </c>
      <c r="C49" s="203"/>
      <c r="D49" s="203"/>
      <c r="E49" s="203"/>
      <c r="F49" s="203"/>
      <c r="G49" s="203"/>
      <c r="H49" s="203"/>
      <c r="I49" s="203"/>
      <c r="J49" s="203"/>
      <c r="K49" s="203"/>
      <c r="L49" s="203"/>
      <c r="M49" s="203"/>
    </row>
    <row r="50" spans="1:13" x14ac:dyDescent="0.25">
      <c r="A50" s="155"/>
      <c r="B50" s="155"/>
      <c r="C50" s="123"/>
      <c r="D50" s="155"/>
      <c r="E50" s="123"/>
      <c r="F50" s="155"/>
      <c r="G50" s="123"/>
      <c r="H50" s="155"/>
      <c r="I50" s="123"/>
      <c r="J50" s="155"/>
      <c r="K50" s="155"/>
      <c r="L50" s="155"/>
      <c r="M50" s="155"/>
    </row>
    <row r="51" spans="1:13" x14ac:dyDescent="0.25">
      <c r="A51" s="155"/>
      <c r="B51" s="202" t="s">
        <v>91</v>
      </c>
      <c r="C51" s="202"/>
      <c r="D51" s="202"/>
      <c r="E51" s="202"/>
      <c r="F51" s="202"/>
      <c r="G51" s="202"/>
      <c r="H51" s="202"/>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0044 Journal Entries'!$F$7="Proprietary - Enterprise Fund",ROUND('Fund 0044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4" t="s">
        <v>90</v>
      </c>
      <c r="C57" s="204"/>
      <c r="D57" s="204"/>
      <c r="E57" s="204"/>
      <c r="F57" s="204"/>
      <c r="G57" s="204"/>
      <c r="H57" s="204"/>
      <c r="I57" s="204"/>
      <c r="J57" s="204"/>
      <c r="K57" s="204"/>
      <c r="L57" s="204"/>
      <c r="M57" s="204"/>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200" t="s">
        <v>91</v>
      </c>
      <c r="C59" s="200"/>
      <c r="D59" s="200"/>
      <c r="E59" s="200"/>
      <c r="F59" s="200"/>
      <c r="G59" s="154"/>
      <c r="H59" s="200" t="s">
        <v>66</v>
      </c>
      <c r="I59" s="200"/>
      <c r="J59" s="200"/>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491150</v>
      </c>
      <c r="H61" s="137" t="str">
        <f>"Balance July 1, "&amp;LEFT('Fund 0044 Journal Entries'!$F$3,4)</f>
        <v>Balance July 1, 2022</v>
      </c>
      <c r="J61" s="22">
        <f>ROUND('SBITA Liabilities'!$F$10,0)</f>
        <v>491150</v>
      </c>
      <c r="L61" s="19">
        <f>D61-J61</f>
        <v>0</v>
      </c>
    </row>
    <row r="62" spans="1:13" x14ac:dyDescent="0.25">
      <c r="B62" s="135" t="s">
        <v>95</v>
      </c>
      <c r="D62" s="22">
        <f>$D$16</f>
        <v>0</v>
      </c>
      <c r="H62" s="137" t="s">
        <v>72</v>
      </c>
      <c r="J62" s="22">
        <f>ROUND('SBITA Liabilities'!$H$10,0)</f>
        <v>0</v>
      </c>
      <c r="L62" s="19">
        <f>D62-J62</f>
        <v>0</v>
      </c>
    </row>
    <row r="63" spans="1:13" x14ac:dyDescent="0.25">
      <c r="B63" s="135" t="s">
        <v>97</v>
      </c>
      <c r="D63" s="22">
        <f>$F$16</f>
        <v>77662</v>
      </c>
      <c r="H63" s="137" t="s">
        <v>73</v>
      </c>
      <c r="J63" s="22">
        <f>ROUND('SBITA Liabilities'!$J$10,0)</f>
        <v>77662</v>
      </c>
      <c r="L63" s="19">
        <f>D63-J63</f>
        <v>0</v>
      </c>
    </row>
    <row r="64" spans="1:13" x14ac:dyDescent="0.25">
      <c r="B64" s="135" t="s">
        <v>104</v>
      </c>
      <c r="D64" s="22">
        <f>$F$39</f>
        <v>241303</v>
      </c>
      <c r="H64" s="137" t="s">
        <v>74</v>
      </c>
      <c r="J64" s="22">
        <f>ROUND('SBITA Liabilities'!$N$10,0)</f>
        <v>241303</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5" customFormat="1" x14ac:dyDescent="0.25">
      <c r="A67" s="122"/>
      <c r="B67" s="205" t="s">
        <v>101</v>
      </c>
    </row>
    <row r="68" spans="1:13" ht="6" customHeight="1" x14ac:dyDescent="0.25">
      <c r="B68" s="139"/>
    </row>
    <row r="69" spans="1:13" ht="15" customHeight="1" x14ac:dyDescent="0.25">
      <c r="B69" s="200" t="s">
        <v>91</v>
      </c>
      <c r="C69" s="200"/>
      <c r="D69" s="200"/>
      <c r="E69" s="200"/>
      <c r="F69" s="200"/>
      <c r="G69" s="154"/>
      <c r="H69" s="200" t="s">
        <v>66</v>
      </c>
      <c r="I69" s="200"/>
      <c r="J69" s="200"/>
    </row>
    <row r="70" spans="1:13" x14ac:dyDescent="0.25">
      <c r="H70" s="155"/>
      <c r="I70" s="155"/>
      <c r="J70" s="155"/>
      <c r="K70" s="155"/>
      <c r="L70" s="130" t="s">
        <v>99</v>
      </c>
    </row>
    <row r="71" spans="1:13" x14ac:dyDescent="0.25">
      <c r="B71" s="135" t="s">
        <v>93</v>
      </c>
      <c r="D71" s="22">
        <f>$B$23</f>
        <v>0</v>
      </c>
      <c r="H71" s="137" t="str">
        <f>"Balance July 1, "&amp;LEFT('Fund 0044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5" t="s">
        <v>102</v>
      </c>
      <c r="C77" s="205"/>
      <c r="D77" s="205"/>
      <c r="E77" s="205"/>
      <c r="F77" s="205"/>
      <c r="G77" s="205"/>
      <c r="H77" s="205"/>
      <c r="I77" s="205"/>
      <c r="J77" s="205"/>
      <c r="K77" s="205"/>
      <c r="L77" s="205"/>
      <c r="M77" s="205"/>
    </row>
    <row r="78" spans="1:13" ht="6" customHeight="1" x14ac:dyDescent="0.25">
      <c r="B78" s="139"/>
    </row>
    <row r="79" spans="1:13" ht="15" customHeight="1" x14ac:dyDescent="0.25">
      <c r="B79" s="200" t="s">
        <v>91</v>
      </c>
      <c r="C79" s="200"/>
      <c r="D79" s="200"/>
      <c r="E79" s="200"/>
      <c r="F79" s="200"/>
      <c r="G79" s="154"/>
      <c r="H79" s="200" t="s">
        <v>66</v>
      </c>
      <c r="I79" s="200"/>
      <c r="J79" s="200"/>
    </row>
    <row r="80" spans="1:13" x14ac:dyDescent="0.25">
      <c r="H80" s="155"/>
      <c r="I80" s="155"/>
      <c r="J80" s="155"/>
      <c r="K80" s="155"/>
      <c r="L80" s="130" t="s">
        <v>99</v>
      </c>
    </row>
    <row r="81" spans="1:13" x14ac:dyDescent="0.25">
      <c r="B81" s="135" t="s">
        <v>93</v>
      </c>
      <c r="D81" s="22">
        <f>$B$31</f>
        <v>0</v>
      </c>
      <c r="H81" s="137" t="str">
        <f>"Balance July 1, "&amp;LEFT('Fund 0044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DEC3D07-1CBD-450C-A00B-5391CA7FDDF3}"/>
</file>

<file path=customXml/itemProps2.xml><?xml version="1.0" encoding="utf-8"?>
<ds:datastoreItem xmlns:ds="http://schemas.openxmlformats.org/officeDocument/2006/customXml" ds:itemID="{DBF64CAE-2852-4B34-BF1E-1BBAA9816B6D}"/>
</file>

<file path=customXml/itemProps3.xml><?xml version="1.0" encoding="utf-8"?>
<ds:datastoreItem xmlns:ds="http://schemas.openxmlformats.org/officeDocument/2006/customXml" ds:itemID="{17219275-2460-4D3A-85CC-F2ACB3CB30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0044 Journal Entries</vt:lpstr>
      <vt:lpstr>Department Note Disclosure</vt:lpstr>
      <vt:lpstr>SBITA Liabilities</vt:lpstr>
      <vt:lpstr>Check Figures </vt:lpstr>
      <vt:lpstr>Drop Down Menus</vt:lpstr>
      <vt:lpstr>GAAP02Aindex</vt:lpstr>
      <vt:lpstr>'Department Note Disclosure'!Print_Area</vt:lpstr>
      <vt:lpstr>'Fund 0044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2024-06-13T01:47:25Z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