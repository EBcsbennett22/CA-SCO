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3DCFACDC-F60B-4014-9DEC-C304385B073E}"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2" l="1"/>
  <c r="K36" i="2"/>
  <c r="J35" i="2"/>
  <c r="J34" i="2"/>
  <c r="K29" i="2"/>
  <c r="K19" i="2"/>
  <c r="D92" i="3"/>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<sst xmlns="http://schemas.openxmlformats.org/spreadsheetml/2006/main" count="7553" uniqueCount="1644">
  <si>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</si>
  <si>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</si>
  <si>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</si>
  <si>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</si>
  <si>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</si>
  <si>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</si>
  <si>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</si>
  <si>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</si>
  <si>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</si>
  <si>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</si>
  <si>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</si>
  <si>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</si>
  <si>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</si>
  <si>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</si>
  <si>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</si>
  <si>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</si>
  <si>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</si>
  <si>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</si>
  <si>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</si>
  <si>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</si>
  <si>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</si>
  <si>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</si>
  <si>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</si>
  <si>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</si>
  <si>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</si>
  <si>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</si>
  <si>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</si>
  <si>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</si>
  <si>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</si>
  <si>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</si>
  <si>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</si>
  <si>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</si>
  <si>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</si>
  <si>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</si>
  <si>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</si>
  <si>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</si>
  <si>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</si>
  <si>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</si>
  <si>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</si>
  <si>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</si>
  <si>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</si>
  <si>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</si>
  <si>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</si>
  <si>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</si>
  <si>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</si>
  <si>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</si>
  <si>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</si>
  <si>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</si>
  <si>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</si>
  <si>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</si>
  <si>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</si>
  <si>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</si>
  <si>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</si>
  <si>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</si>
  <si>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</si>
  <si>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</si>
  <si>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</si>
  <si>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</si>
  <si>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</si>
  <si>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</si>
  <si>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</si>
  <si>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</si>
  <si>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</si>
  <si>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</si>
  <si>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</si>
  <si>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</si>
  <si>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</si>
  <si>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</si>
  <si>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</si>
  <si>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</si>
  <si>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</si>
  <si>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</si>
  <si>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</si>
  <si>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</si>
  <si>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</si>
  <si>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</si>
  <si>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</si>
  <si>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</si>
  <si>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</si>
  <si>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</si>
  <si>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</si>
  <si>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</si>
  <si>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</si>
  <si>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</si>
  <si>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</si>
  <si>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</si>
  <si>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</si>
  <si>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</si>
  <si>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</si>
  <si>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</si>
  <si>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</si>
  <si>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</si>
  <si>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</si>
  <si>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</si>
  <si>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</si>
  <si>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</si>
  <si>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</si>
  <si>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</si>
  <si>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</si>
  <si>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</si>
  <si>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</si>
  <si>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</si>
  <si>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</si>
  <si>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</si>
  <si>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</si>
  <si>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</si>
  <si>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</si>
  <si>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</si>
  <si>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</si>
  <si>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</si>
  <si>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</si>
  <si>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</si>
  <si>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</si>
  <si>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</si>
  <si>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</si>
  <si>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</si>
  <si>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</si>
  <si>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</si>
  <si>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</si>
  <si>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</si>
  <si>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</si>
  <si>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</si>
  <si>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</si>
  <si>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</si>
  <si>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</si>
  <si>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</si>
  <si>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</si>
  <si>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</si>
  <si>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</si>
  <si>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</si>
  <si>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</si>
  <si>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</si>
  <si>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</si>
  <si>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</si>
  <si>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</si>
  <si>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</si>
  <si>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</si>
  <si>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</si>
  <si>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</si>
  <si>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</si>
  <si>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</si>
  <si>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</si>
  <si>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</si>
  <si>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</si>
  <si>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</si>
  <si>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</si>
  <si>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</si>
  <si>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</si>
  <si>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</si>
  <si>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</si>
  <si>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</si>
  <si>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</si>
  <si>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</si>
  <si>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</si>
  <si>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</si>
  <si>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</si>
  <si>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</si>
  <si>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</si>
  <si>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</si>
  <si>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</si>
  <si>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</si>
  <si>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</si>
  <si>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</si>
  <si>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</si>
  <si>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</si>
  <si>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</si>
  <si>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</si>
  <si>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</si>
  <si>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</si>
  <si>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</si>
  <si>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</si>
  <si>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</si>
  <si>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</si>
  <si>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</si>
  <si>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</si>
  <si>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</si>
  <si>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</si>
  <si>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</si>
  <si>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</si>
  <si>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</si>
  <si>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</si>
  <si>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</si>
  <si>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</si>
  <si>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</si>
  <si>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</si>
  <si>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</si>
  <si>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</si>
  <si>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</si>
  <si>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</si>
  <si>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</si>
  <si>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</si>
  <si>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</si>
  <si>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</si>
  <si>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</si>
  <si>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</si>
  <si>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</si>
  <si>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</si>
  <si>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</si>
  <si>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</si>
  <si>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</si>
  <si>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</si>
  <si>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</si>
  <si>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</si>
  <si>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</si>
  <si>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</si>
  <si>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</si>
  <si>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</si>
  <si>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</si>
  <si>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</si>
  <si>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</si>
  <si>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</si>
  <si>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</si>
  <si>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</si>
  <si>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</si>
  <si>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</si>
  <si>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</si>
  <si>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</si>
  <si>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</si>
  <si>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</si>
  <si>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</si>
  <si>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</si>
  <si>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</si>
  <si>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</si>
  <si>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</si>
  <si>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</si>
  <si>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</si>
  <si>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</si>
  <si>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</si>
  <si>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</si>
  <si>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</si>
  <si>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</si>
  <si>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</si>
  <si>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</si>
  <si>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</si>
  <si>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</si>
  <si>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</si>
  <si>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</si>
  <si>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</si>
  <si>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</si>
  <si>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</si>
  <si>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</si>
  <si>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</si>
  <si>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</si>
  <si>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</si>
  <si>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</si>
  <si>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</si>
  <si>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</si>
  <si>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</si>
  <si>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</si>
  <si>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</si>
  <si>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</si>
  <si>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</si>
  <si>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</si>
  <si>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</si>
  <si>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</si>
  <si>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</si>
  <si>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</si>
  <si>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</si>
  <si>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</si>
  <si>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</si>
  <si>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</si>
  <si>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</si>
  <si>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</si>
  <si>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</si>
  <si>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</si>
  <si>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</si>
  <si>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</si>
  <si>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</si>
  <si>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</si>
  <si>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</si>
  <si>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</si>
  <si>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</si>
  <si>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</si>
  <si>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</si>
  <si>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</si>
  <si>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</si>
  <si>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</si>
  <si>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</si>
  <si>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</si>
  <si>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</si>
  <si>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</si>
  <si>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</si>
  <si>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</si>
  <si>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</si>
  <si>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</si>
  <si>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</si>
  <si>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</si>
  <si>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</si>
  <si>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</si>
  <si>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</si>
  <si>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</si>
  <si>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</si>
  <si>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</si>
  <si>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</si>
  <si>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</si>
  <si>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</si>
  <si>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</si>
  <si>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</si>
  <si>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</si>
  <si>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</si>
  <si>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</si>
  <si>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</si>
  <si>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</si>
  <si>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</si>
  <si>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</si>
  <si>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</si>
  <si>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</si>
  <si>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</si>
  <si>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</si>
  <si>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</si>
  <si>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</si>
  <si>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</si>
  <si>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</si>
  <si>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</si>
  <si>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</si>
  <si>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</si>
  <si>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</si>
  <si>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</si>
  <si>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</si>
  <si>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</si>
  <si>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</si>
  <si>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</si>
  <si>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</si>
  <si>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</si>
  <si>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</si>
  <si>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</si>
  <si>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</si>
  <si>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</si>
  <si>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</si>
  <si>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</si>
  <si>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</si>
  <si>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</si>
  <si>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</si>
  <si>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</si>
  <si>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</si>
  <si>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</si>
  <si>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</si>
  <si>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</si>
  <si>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</si>
  <si>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</si>
  <si>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</si>
  <si>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</si>
  <si>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</si>
  <si>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</si>
  <si>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</si>
  <si>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</si>
  <si>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</si>
  <si>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</si>
  <si>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</si>
  <si>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</si>
  <si>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</si>
  <si>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</si>
  <si>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</si>
  <si>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</si>
  <si>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</si>
  <si>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</si>
  <si>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</si>
  <si>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</si>
  <si>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</si>
  <si>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</si>
  <si>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</si>
  <si>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</si>
  <si>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</si>
  <si>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</si>
  <si>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</si>
  <si>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</si>
  <si>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</si>
  <si>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</si>
  <si>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</si>
  <si>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</si>
  <si>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</si>
  <si>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</si>
  <si>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</si>
  <si>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</si>
  <si>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</si>
  <si>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</si>
  <si>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</si>
  <si>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</si>
  <si>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</si>
  <si>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</si>
  <si>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</si>
  <si>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</si>
  <si>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</si>
  <si>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</si>
  <si>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</si>
  <si>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</si>
  <si>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</si>
  <si>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</si>
  <si>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</si>
  <si>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</si>
  <si>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</si>
  <si>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</si>
  <si>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</si>
  <si>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</si>
  <si>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</si>
  <si>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</si>
  <si>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</si>
  <si>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</si>
  <si>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</si>
  <si>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</si>
  <si>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</si>
  <si>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</si>
  <si>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</si>
  <si>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</si>
  <si>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</si>
  <si>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</si>
  <si>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</si>
  <si>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</si>
  <si>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</si>
  <si>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</si>
  <si>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</si>
  <si>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</si>
  <si>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</si>
  <si>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</si>
  <si>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</si>
  <si>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</si>
  <si>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</si>
  <si>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</si>
  <si>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</si>
  <si>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</si>
  <si>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</si>
  <si>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</si>
  <si>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</si>
  <si>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</si>
  <si>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</si>
  <si>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</si>
  <si>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</si>
  <si>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</si>
  <si>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</si>
  <si>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</si>
  <si>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</si>
  <si>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</si>
  <si>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</si>
  <si>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</si>
  <si>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</si>
  <si>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</si>
  <si>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</si>
  <si>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</si>
  <si>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</si>
  <si>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</si>
  <si>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</si>
  <si>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</si>
  <si>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</si>
  <si>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</si>
  <si>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</si>
  <si>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</si>
  <si>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</si>
  <si>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</si>
  <si>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</si>
  <si>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</si>
  <si>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</si>
  <si>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</si>
  <si>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</si>
  <si>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</si>
  <si>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</si>
  <si>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</si>
  <si>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</si>
  <si>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</si>
  <si>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</si>
  <si>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</si>
  <si>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</si>
  <si>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</si>
  <si>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</si>
  <si>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</si>
  <si>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</si>
  <si>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</si>
  <si>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</si>
  <si>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</si>
  <si>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</si>
  <si>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</si>
  <si>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</si>
  <si>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</si>
  <si>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</si>
  <si>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</si>
  <si>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</si>
  <si>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</si>
  <si>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</si>
  <si>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</si>
  <si>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</si>
  <si>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</si>
  <si>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</si>
  <si>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</si>
  <si>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</si>
  <si>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</si>
  <si>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</si>
  <si>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</si>
  <si>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</si>
  <si>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</si>
  <si>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</si>
  <si>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</si>
  <si>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</si>
  <si>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</si>
  <si>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</si>
  <si>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</si>
  <si>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</si>
  <si>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</si>
  <si>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</si>
  <si>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</si>
  <si>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</si>
  <si>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</si>
  <si>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</si>
  <si>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</si>
  <si>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</si>
  <si>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</si>
  <si>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</si>
  <si>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</si>
  <si>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</si>
  <si>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</si>
  <si>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</si>
  <si>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</si>
  <si>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</si>
  <si>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</si>
  <si>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</si>
  <si>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</si>
  <si>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</si>
  <si>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</si>
  <si>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</si>
  <si>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</si>
  <si>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</si>
  <si>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</si>
  <si>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</si>
  <si>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</si>
  <si>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</si>
  <si>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</si>
  <si>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</si>
  <si>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</si>
  <si>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</si>
  <si>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</si>
  <si>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</si>
  <si>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</si>
  <si>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</si>
  <si>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</si>
  <si>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</si>
  <si>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</si>
  <si>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</si>
  <si>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</si>
  <si>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</si>
  <si>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</si>
  <si>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</si>
  <si>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</si>
  <si>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</si>
  <si>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</si>
  <si>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</si>
  <si>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</si>
  <si>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</si>
  <si>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</si>
  <si>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</si>
  <si>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</si>
  <si>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</si>
  <si>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</si>
  <si>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</si>
  <si>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</si>
  <si>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</si>
  <si>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</si>
  <si>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</si>
  <si>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</si>
  <si>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</si>
  <si>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</si>
  <si>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</si>
  <si>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</si>
  <si>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</si>
  <si>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</si>
  <si>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</si>
  <si>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</si>
  <si>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</si>
  <si>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</si>
  <si>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</si>
  <si>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</si>
  <si>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</si>
  <si>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</si>
  <si>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</si>
  <si>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</si>
  <si>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</si>
  <si>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</si>
  <si>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</si>
  <si>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</si>
  <si>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</si>
  <si>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</si>
  <si>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</si>
  <si>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</si>
  <si>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</si>
  <si>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</si>
  <si>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</si>
  <si>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</si>
  <si>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</si>
  <si>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</si>
  <si>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</si>
  <si>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</si>
  <si>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</si>
  <si>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</si>
  <si>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</si>
  <si>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</si>
  <si>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</si>
  <si>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</si>
  <si>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</si>
  <si>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</si>
  <si>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</si>
  <si>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</si>
  <si>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</si>
  <si>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</si>
  <si>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</si>
  <si>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</si>
  <si>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</si>
  <si>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</si>
  <si>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</si>
  <si>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</si>
  <si>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</si>
  <si>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</si>
  <si>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</si>
  <si>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</si>
  <si>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</si>
  <si>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</si>
  <si>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</si>
  <si>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</si>
  <si>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</si>
  <si>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</si>
  <si>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</si>
  <si>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</si>
  <si>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</si>
  <si>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</si>
  <si>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</si>
  <si>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</si>
  <si>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</si>
  <si>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</si>
  <si>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</si>
  <si>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</si>
  <si>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</si>
  <si>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</si>
  <si>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</si>
  <si>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</si>
  <si>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</si>
  <si>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</si>
  <si>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</si>
  <si>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</si>
  <si>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</si>
  <si>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</si>
  <si>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</si>
  <si>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</si>
  <si>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</si>
  <si>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</si>
  <si>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</si>
  <si>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</si>
  <si>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</si>
  <si>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</si>
  <si>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</si>
  <si>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</si>
  <si>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</si>
  <si>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</si>
  <si>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</si>
  <si>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</si>
  <si>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</si>
  <si>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</si>
  <si>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</si>
  <si>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</si>
  <si>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</si>
  <si>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</si>
  <si>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</si>
  <si>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</si>
  <si>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</si>
  <si>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</si>
  <si>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</si>
  <si>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</si>
  <si>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</si>
  <si>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</si>
  <si>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</si>
  <si>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</si>
  <si>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</si>
  <si>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</si>
  <si>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</si>
  <si>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</si>
  <si>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</si>
  <si>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</si>
  <si>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</si>
  <si>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</si>
  <si>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</si>
  <si>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</si>
  <si>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</si>
  <si>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</si>
  <si>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</si>
  <si>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</si>
  <si>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</si>
  <si>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</si>
  <si>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</si>
  <si>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</si>
  <si>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</si>
  <si>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</si>
  <si>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</si>
  <si>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</si>
  <si>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</si>
  <si>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</si>
  <si>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</si>
  <si>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</si>
  <si>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</si>
  <si>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</si>
  <si>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</si>
  <si>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</si>
  <si>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</si>
  <si>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</si>
  <si>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</si>
  <si>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</si>
  <si>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</si>
  <si>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</si>
  <si>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</si>
  <si>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</si>
  <si>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</si>
  <si>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</si>
  <si>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</si>
  <si>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</si>
  <si>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</si>
  <si>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</si>
  <si>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</si>
  <si>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</si>
  <si>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</si>
  <si>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</si>
  <si>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</si>
  <si>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</si>
  <si>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</si>
  <si>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</si>
  <si>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</si>
  <si>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</si>
  <si>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</si>
  <si>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</si>
  <si>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</si>
  <si>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</si>
  <si>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</si>
  <si>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</si>
  <si>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</si>
  <si>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</si>
  <si>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</si>
  <si>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</si>
  <si>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</si>
  <si>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</si>
  <si>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</si>
  <si>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</si>
  <si>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</si>
  <si>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</si>
  <si>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</si>
  <si>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</si>
  <si>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</si>
  <si>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</si>
  <si>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</si>
  <si>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</si>
  <si>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</si>
  <si>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</si>
  <si>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</si>
  <si>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</si>
  <si>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</si>
  <si>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</si>
  <si>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</si>
  <si>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</si>
  <si>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</si>
  <si>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</si>
  <si>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</si>
  <si>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</si>
  <si>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</si>
  <si>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</si>
  <si>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</si>
  <si>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</si>
  <si>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</si>
  <si>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</si>
  <si>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</si>
  <si>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</si>
  <si>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</si>
  <si>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</si>
  <si>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</si>
  <si>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</si>
  <si>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</si>
  <si>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</si>
  <si>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</si>
  <si>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</si>
  <si>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</si>
  <si>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</si>
  <si>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</si>
  <si>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</si>
  <si>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</si>
  <si>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</si>
  <si>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</si>
  <si>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</si>
  <si>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</si>
  <si>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</si>
  <si>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</si>
  <si>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</si>
  <si>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</si>
  <si>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</si>
  <si>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</si>
  <si>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</si>
  <si>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</si>
  <si>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</si>
  <si>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</si>
  <si>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</si>
  <si>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</si>
  <si>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</si>
  <si>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</si>
  <si>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</si>
  <si>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</si>
  <si>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</si>
  <si>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</si>
  <si>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</si>
  <si>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</si>
  <si>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</si>
  <si>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</si>
  <si>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</si>
  <si>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</si>
  <si>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</si>
  <si>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</si>
  <si>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</si>
  <si>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</si>
  <si>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</si>
  <si>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</si>
  <si>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</si>
  <si>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</si>
  <si>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</si>
  <si>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</si>
  <si>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</si>
  <si>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</si>
  <si>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</si>
  <si>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</si>
  <si>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</si>
  <si>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</si>
  <si>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</si>
  <si>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</si>
  <si>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</si>
  <si>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</si>
  <si>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</si>
  <si>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</si>
  <si>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</si>
  <si>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</si>
  <si>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</si>
  <si>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</si>
  <si>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</si>
  <si>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</si>
  <si>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</si>
  <si>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</si>
  <si>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</si>
  <si>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</si>
  <si>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</si>
  <si>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</si>
  <si>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</si>
  <si>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</si>
  <si>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</si>
  <si>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</si>
  <si>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</si>
  <si>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</si>
  <si>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</si>
  <si>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</si>
  <si>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</si>
  <si>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</si>
  <si>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</si>
  <si>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</si>
  <si>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</si>
  <si>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</si>
  <si>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</si>
  <si>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</si>
  <si>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</si>
  <si>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</si>
  <si>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</si>
  <si>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</si>
  <si>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</si>
  <si>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</si>
  <si>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</si>
  <si>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</si>
  <si>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</si>
  <si>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</si>
  <si>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</si>
  <si>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</si>
  <si>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</si>
  <si>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</si>
  <si>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</si>
  <si>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</si>
  <si>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</si>
  <si>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</si>
  <si>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</si>
  <si>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</si>
  <si>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</si>
  <si>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</si>
  <si>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</si>
  <si>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</si>
  <si>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</si>
  <si>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</si>
  <si>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</si>
  <si>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</si>
  <si>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</si>
  <si>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</si>
  <si>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</si>
  <si>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</si>
  <si>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</si>
  <si>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</si>
  <si>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</si>
  <si>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</si>
  <si>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</si>
  <si>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</si>
  <si>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</si>
  <si>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</si>
  <si>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</si>
  <si>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</si>
  <si>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</si>
  <si>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</si>
  <si>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</si>
  <si>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</si>
  <si>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</si>
  <si>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</si>
  <si>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</si>
  <si>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</si>
  <si>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</si>
  <si>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</si>
  <si>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</si>
  <si>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</si>
  <si>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</si>
  <si>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</si>
  <si>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</si>
  <si>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</si>
  <si>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</si>
  <si>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</si>
  <si>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</si>
  <si>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</si>
  <si>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</si>
  <si>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</si>
  <si>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</si>
  <si>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</si>
  <si>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</si>
  <si>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</si>
  <si>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</si>
  <si>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</si>
  <si>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</si>
  <si>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</si>
  <si>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</si>
  <si>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</si>
  <si>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</si>
  <si>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</si>
  <si>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</si>
  <si>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</si>
  <si>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</si>
  <si>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</si>
  <si>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</si>
  <si>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</si>
  <si>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</si>
  <si>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</si>
  <si>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</si>
  <si>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</si>
  <si>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</si>
  <si>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</si>
  <si>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</si>
  <si>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</si>
  <si>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</si>
  <si>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</si>
  <si>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</si>
  <si>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</si>
  <si>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</si>
  <si>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</si>
  <si>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</si>
  <si>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</si>
  <si>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</si>
  <si>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</si>
  <si>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</si>
  <si>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</si>
  <si>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</si>
  <si>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</si>
  <si>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</si>
  <si>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</si>
  <si>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</si>
  <si>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</si>
  <si>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</si>
  <si>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</si>
  <si>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</si>
  <si>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</si>
  <si>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</si>
  <si>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</si>
  <si>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</si>
  <si>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</si>
  <si>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</si>
  <si>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</si>
  <si>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</si>
  <si>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</si>
  <si>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</si>
  <si>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</si>
  <si>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</si>
  <si>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</si>
  <si>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</si>
  <si>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</si>
  <si>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</si>
  <si>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</si>
  <si>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</si>
  <si>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</si>
  <si>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</si>
  <si>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</si>
  <si>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</si>
  <si>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</si>
  <si>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</si>
  <si>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</si>
  <si>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</si>
  <si>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</si>
  <si>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</si>
  <si>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</si>
  <si>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</si>
  <si>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</si>
  <si>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</si>
  <si>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</si>
  <si>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</si>
  <si>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</si>
  <si>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</si>
  <si>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</si>
  <si>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</si>
  <si>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</si>
  <si>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</si>
  <si>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</si>
  <si>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</si>
  <si>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</si>
  <si>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</si>
  <si>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</si>
  <si>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</si>
  <si>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</si>
  <si>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</si>
  <si>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</si>
  <si>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</si>
  <si>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</si>
  <si>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</si>
  <si>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</si>
  <si>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</si>
  <si>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</si>
  <si>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</si>
  <si>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</si>
  <si>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</si>
  <si>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</si>
  <si>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</si>
  <si>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</si>
  <si>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</si>
  <si>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</si>
  <si>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</si>
  <si>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</si>
  <si>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</si>
  <si>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</si>
  <si>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</si>
  <si>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</si>
  <si>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</si>
  <si>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</si>
  <si>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</si>
  <si>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</si>
  <si>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</si>
  <si>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</si>
  <si>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</si>
  <si>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</si>
  <si>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</si>
  <si>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</si>
  <si>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</si>
  <si>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</si>
  <si>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</si>
  <si>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</si>
  <si>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</si>
  <si>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</si>
  <si>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</si>
  <si>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</si>
  <si>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</si>
  <si>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</si>
  <si>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</si>
  <si>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</si>
  <si>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</si>
  <si>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</si>
  <si>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</si>
  <si>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</si>
  <si>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</si>
  <si>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</si>
  <si>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</si>
  <si>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</si>
  <si>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</si>
  <si>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</si>
  <si>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</si>
  <si>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</si>
  <si>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</si>
  <si>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</si>
  <si>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</si>
  <si>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</si>
  <si>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</si>
  <si>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</si>
  <si>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</si>
  <si>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</si>
  <si>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</si>
  <si>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</si>
  <si>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</si>
  <si>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</si>
  <si>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</si>
  <si>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</si>
  <si>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</si>
  <si>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</si>
  <si>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</si>
  <si>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</si>
  <si>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</si>
  <si>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</si>
  <si>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</si>
  <si>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</si>
  <si>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</si>
  <si>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</si>
  <si>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</si>
  <si>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</si>
  <si>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</si>
  <si>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</si>
  <si>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</si>
  <si>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</si>
  <si>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</si>
  <si>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</si>
  <si>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</si>
  <si>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</si>
  <si>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</si>
  <si>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</si>
  <si>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</si>
  <si>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</si>
  <si>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</si>
  <si>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</si>
  <si>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</si>
  <si>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</si>
  <si>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</si>
  <si>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</si>
  <si>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</si>
  <si>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</si>
  <si>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</si>
  <si>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</si>
  <si>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</si>
  <si>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</si>
  <si>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</si>
  <si>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</si>
  <si>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</si>
  <si>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</si>
  <si>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</si>
  <si>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</si>
  <si>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</si>
  <si>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</si>
  <si>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</si>
  <si>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</si>
  <si>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</si>
  <si>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</si>
  <si>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</si>
  <si>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</si>
  <si>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</si>
  <si>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</si>
  <si>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</si>
  <si>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</si>
  <si>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</si>
  <si>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</si>
  <si>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</si>
  <si>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</si>
  <si>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</si>
  <si>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</si>
  <si>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</si>
  <si>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</si>
  <si>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</si>
  <si>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</si>
  <si>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</si>
  <si>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</si>
  <si>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</si>
  <si>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</si>
  <si>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</si>
  <si>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</si>
  <si>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</si>
  <si>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</si>
  <si>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</si>
  <si>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</si>
  <si>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</si>
  <si>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</si>
  <si>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</si>
  <si>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</si>
  <si>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</si>
  <si>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</si>
  <si>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</si>
  <si>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</si>
  <si>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</si>
  <si>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</si>
  <si>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</si>
  <si>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</si>
  <si>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</si>
  <si>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</si>
  <si>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</si>
  <si>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</si>
  <si>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</si>
  <si>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</si>
  <si>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</si>
  <si>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</si>
  <si>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</si>
  <si>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</si>
  <si>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</si>
  <si>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</si>
  <si>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</si>
  <si>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</si>
  <si>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</si>
  <si>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</si>
  <si>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</si>
  <si>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</si>
  <si>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</si>
  <si>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</si>
  <si>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</si>
  <si>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</si>
  <si>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</si>
  <si>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</si>
  <si>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</si>
  <si>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</si>
  <si>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</si>
  <si>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</si>
  <si>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</si>
  <si>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</si>
  <si>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</si>
  <si>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</si>
  <si>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</si>
  <si>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</si>
  <si>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</si>
  <si>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</si>
  <si>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</si>
  <si>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</si>
  <si>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</si>
  <si>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</si>
  <si>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</si>
  <si>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</si>
  <si>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</si>
  <si>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</si>
  <si>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</si>
  <si>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</si>
  <si>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</si>
  <si>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</si>
  <si>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</si>
  <si>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</si>
  <si>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</si>
  <si>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</si>
  <si>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</si>
  <si>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</si>
  <si>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</si>
  <si>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</si>
  <si>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</si>
  <si>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</si>
  <si>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</si>
  <si>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</si>
  <si>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</si>
  <si>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</si>
  <si>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</si>
  <si>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</si>
  <si>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</si>
  <si>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</si>
  <si>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</si>
  <si>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</si>
  <si>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</si>
  <si>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</si>
  <si>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</si>
  <si>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</si>
  <si>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</si>
  <si>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</si>
  <si>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</si>
  <si>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</si>
  <si>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</si>
  <si>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</si>
  <si>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</si>
  <si>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</si>
  <si>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</si>
  <si>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</si>
  <si>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</si>
  <si>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</si>
  <si>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</si>
  <si>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</si>
  <si>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</si>
  <si>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</si>
  <si>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</si>
  <si>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</si>
  <si>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</si>
  <si>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</si>
  <si>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</si>
  <si>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</si>
  <si>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</si>
  <si>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</si>
  <si>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</si>
  <si>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</si>
  <si>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</si>
  <si>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</si>
  <si>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</si>
  <si>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</si>
  <si>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</si>
  <si>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</si>
  <si>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</si>
  <si>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</si>
  <si>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</si>
  <si>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</si>
  <si>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</si>
  <si>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</si>
  <si>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</si>
  <si>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</si>
  <si>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</si>
  <si>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</si>
  <si>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</si>
  <si>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</si>
  <si>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</si>
  <si>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</si>
  <si>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</si>
  <si>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</si>
  <si>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</si>
  <si>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</si>
  <si>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</si>
  <si>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</si>
  <si>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</si>
  <si>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</si>
  <si>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</si>
  <si>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</si>
  <si>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</si>
  <si>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</si>
  <si>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</si>
  <si>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</si>
  <si>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</si>
  <si>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</si>
  <si>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</si>
  <si>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</si>
  <si>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</si>
  <si>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</si>
  <si>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</si>
  <si>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</si>
  <si>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</si>
  <si>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</si>
  <si>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</si>
  <si>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</si>
  <si>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</si>
  <si>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</si>
  <si>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</si>
  <si>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</si>
  <si>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</si>
  <si>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</si>
  <si>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</si>
  <si>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</si>
  <si>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</si>
  <si>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</si>
  <si>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</si>
  <si>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</si>
  <si>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</si>
  <si>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</si>
  <si>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</si>
  <si>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</si>
  <si>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</si>
  <si>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</si>
  <si>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</si>
  <si>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</si>
  <si>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</si>
  <si>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</si>
  <si>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</si>
  <si>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</si>
  <si>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</si>
  <si>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</si>
  <si>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</si>
  <si>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</si>
  <si>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</si>
  <si>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</si>
  <si>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</si>
  <si>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</si>
  <si>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</si>
  <si>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</si>
  <si>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</si>
  <si>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</si>
  <si>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</si>
  <si>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</si>
  <si>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</si>
  <si>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</si>
  <si>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</si>
  <si>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</si>
  <si>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</si>
  <si>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</si>
  <si>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</si>
  <si>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</si>
  <si>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</si>
  <si>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</si>
  <si>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</si>
  <si>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</si>
  <si>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</si>
  <si>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</si>
  <si>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</si>
  <si>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</si>
  <si>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</si>
  <si>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</si>
  <si>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</si>
  <si>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</si>
  <si>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</si>
  <si>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</si>
  <si>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</si>
  <si>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</si>
  <si>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</si>
  <si>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</si>
  <si>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</si>
  <si>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</si>
  <si>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</si>
  <si>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</si>
  <si>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</si>
  <si>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</si>
  <si>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</si>
  <si>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</si>
  <si>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</si>
  <si>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</si>
  <si>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</si>
  <si>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</si>
  <si>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</si>
  <si>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</si>
  <si>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</si>
  <si>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</si>
  <si>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</si>
  <si>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</si>
  <si>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</si>
  <si>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</si>
  <si>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</si>
  <si>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</si>
  <si>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</si>
  <si>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</si>
  <si>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</si>
  <si>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</si>
  <si>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</si>
  <si>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</si>
  <si>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</si>
  <si>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</si>
  <si>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</si>
  <si>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</si>
  <si>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</si>
  <si>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</si>
  <si>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</si>
  <si>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</si>
  <si>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</si>
  <si>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</si>
  <si>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</si>
  <si>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</si>
  <si>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</si>
  <si>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</si>
  <si>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</si>
  <si>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</si>
  <si>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</si>
  <si>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</si>
  <si>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</si>
  <si>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</si>
  <si>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</si>
  <si>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</si>
  <si>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</si>
  <si>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</si>
  <si>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</si>
  <si>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</si>
  <si>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</si>
  <si>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</si>
  <si>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</si>
  <si>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</si>
  <si>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</si>
  <si>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</si>
  <si>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</si>
  <si>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</si>
  <si>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</si>
  <si>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</si>
  <si>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</si>
  <si>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</si>
  <si>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</si>
  <si>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</si>
  <si>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</si>
  <si>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</si>
  <si>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</si>
  <si>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</si>
  <si>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</si>
  <si>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</si>
  <si>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</si>
  <si>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</si>
  <si>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</si>
  <si>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</si>
  <si>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</si>
  <si>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</si>
  <si>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</si>
  <si>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</si>
  <si>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</si>
  <si>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</si>
  <si>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</si>
  <si>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</si>
  <si>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</si>
  <si>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</si>
  <si>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</si>
  <si>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</si>
  <si>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</si>
  <si>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</si>
  <si>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</si>
  <si>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</si>
  <si>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</si>
  <si>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</si>
  <si>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</si>
  <si>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</si>
  <si>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</si>
  <si>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</si>
  <si>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</si>
  <si>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</si>
  <si>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</si>
  <si>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</si>
  <si>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</si>
  <si>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</si>
  <si>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</si>
  <si>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</si>
  <si>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</si>
  <si>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</si>
  <si>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</si>
  <si>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</si>
  <si>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</si>
  <si>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</si>
  <si>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</si>
  <si>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</si>
  <si>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</si>
  <si>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</si>
  <si>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</si>
  <si>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</si>
  <si>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</si>
  <si>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</si>
  <si>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</si>
  <si>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</si>
  <si>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</si>
  <si>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</si>
  <si>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</si>
  <si>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</si>
  <si>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</si>
  <si>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</si>
  <si>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</si>
  <si>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</si>
  <si>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</si>
  <si>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</si>
  <si>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</si>
  <si>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</si>
  <si>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</si>
  <si>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</si>
  <si>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</si>
  <si>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</si>
  <si>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</si>
  <si>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</si>
  <si>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</si>
  <si>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</si>
  <si>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</si>
  <si>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</si>
  <si>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</si>
  <si>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</si>
  <si>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</si>
  <si>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</si>
  <si>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</si>
  <si>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</si>
  <si>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</si>
  <si>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</si>
  <si>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</si>
  <si>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</si>
  <si>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</si>
  <si>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</si>
  <si>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</si>
  <si>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</si>
  <si>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</si>
  <si>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</si>
  <si>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</si>
  <si>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</si>
  <si>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</si>
  <si>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</si>
  <si>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</si>
  <si>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</si>
  <si>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</si>
  <si>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</si>
  <si>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</si>
  <si>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</si>
  <si>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</si>
  <si>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</si>
  <si>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</si>
  <si>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</si>
  <si>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</si>
  <si>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</si>
  <si>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</si>
  <si>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</si>
  <si>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</si>
  <si>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</si>
  <si>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</si>
  <si>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</si>
  <si>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</si>
  <si>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</si>
  <si>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</si>
  <si>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</si>
  <si>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</si>
  <si>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</si>
  <si>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</si>
  <si>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</si>
  <si>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</si>
  <si>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</si>
  <si>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</si>
  <si>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</si>
  <si>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</si>
  <si>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</si>
  <si>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</si>
  <si>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</si>
  <si>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</si>
  <si>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</si>
  <si>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</si>
  <si>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</si>
  <si>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</si>
  <si>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</si>
  <si>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</si>
  <si>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</si>
  <si>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</si>
  <si>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</si>
  <si>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</si>
  <si>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</si>
  <si>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</si>
  <si>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</si>
  <si>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</si>
  <si>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</si>
  <si>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</si>
  <si>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</si>
  <si>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</si>
  <si>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</si>
  <si>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</si>
  <si>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</si>
  <si>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</si>
  <si>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</si>
  <si>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</si>
  <si>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</si>
  <si>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</si>
  <si>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</si>
  <si>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</si>
  <si>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</si>
  <si>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</si>
  <si>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</si>
  <si>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</si>
  <si>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</si>
  <si>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</si>
  <si>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</si>
  <si>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</si>
  <si>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</si>
  <si>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</si>
  <si>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</si>
  <si>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</si>
  <si>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</si>
  <si>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</si>
  <si>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</si>
  <si>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</si>
  <si>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</si>
  <si>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</si>
  <si>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</si>
  <si>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</si>
  <si>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</si>
  <si>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</si>
  <si>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</si>
  <si>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</si>
  <si>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</si>
  <si>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</si>
  <si>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</si>
  <si>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</si>
  <si>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</si>
  <si>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</si>
  <si>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</si>
  <si>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</si>
  <si>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</si>
  <si>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</si>
  <si>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</si>
  <si>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</si>
  <si>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</si>
  <si>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</si>
  <si>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0001</t>
  </si>
  <si>
    <t>Department of Rehabilitation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</si>
</sst>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8" x14ac:knownFonts="1">
    <font>
      <sz val="11"/>
      <color theme="1"/>
      <name val="Calibri"/>
      <family val="2"/>
      <scheme val="minor"/>
    </font>
    <font>
      <sz val="12"/>
      <color theme="1"/>
      <name val="Arial"/>
      <family val="2"/>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0" fontId="24" fillId="0" borderId="0" applyNumberFormat="0" applyFill="0" applyBorder="0" applyAlignment="0" applyProtection="0"/>
  </cellStyleXfs>
  <cellXfs count="206">
    <xf numFmtId="0" fontId="0" fillId="0" borderId="0" xfId="0"/>
    <xf numFmtId="0" fontId="5" fillId="0" borderId="0" xfId="0" applyFont="1"/>
    <xf numFmtId="165" fontId="7" fillId="2" borderId="2" xfId="2" applyNumberFormat="1" applyFont="1" applyFill="1" applyBorder="1" applyProtection="1">
      <protection locked="0"/>
    </xf>
    <xf numFmtId="42" fontId="13" fillId="2" borderId="0" xfId="0" applyNumberFormat="1" applyFont="1" applyFill="1" applyProtection="1">
      <protection locked="0"/>
    </xf>
    <xf numFmtId="165" fontId="10" fillId="0" borderId="0" xfId="2" applyNumberFormat="1" applyFont="1" applyProtection="1"/>
    <xf numFmtId="44" fontId="11" fillId="0" borderId="0" xfId="2" applyFont="1" applyProtection="1"/>
    <xf numFmtId="165" fontId="9" fillId="0" borderId="0" xfId="2" applyNumberFormat="1" applyFont="1" applyProtection="1"/>
    <xf numFmtId="165" fontId="7" fillId="0" borderId="0" xfId="2" applyNumberFormat="1" applyFont="1" applyAlignment="1" applyProtection="1">
      <alignment vertical="top"/>
    </xf>
    <xf numFmtId="0" fontId="16" fillId="4" borderId="2" xfId="0" applyFont="1" applyFill="1" applyBorder="1" applyAlignment="1">
      <alignment horizontal="center" vertical="center"/>
    </xf>
    <xf numFmtId="0" fontId="17" fillId="0" borderId="12" xfId="0" applyFont="1" applyBorder="1" applyAlignment="1">
      <alignment vertical="center"/>
    </xf>
    <xf numFmtId="49" fontId="0" fillId="0" borderId="0" xfId="0" applyNumberFormat="1"/>
    <xf numFmtId="0" fontId="5" fillId="0" borderId="0" xfId="0" quotePrefix="1" applyFont="1"/>
    <xf numFmtId="0" fontId="18" fillId="0" borderId="12" xfId="0" applyFont="1" applyBorder="1" applyAlignment="1">
      <alignment vertical="center"/>
    </xf>
    <xf numFmtId="49" fontId="5" fillId="0" borderId="0" xfId="0" quotePrefix="1" applyNumberFormat="1" applyFont="1"/>
    <xf numFmtId="166" fontId="22" fillId="2" borderId="2" xfId="1" applyNumberFormat="1" applyFont="1" applyFill="1" applyBorder="1" applyAlignment="1" applyProtection="1">
      <alignment vertical="top"/>
      <protection locked="0"/>
    </xf>
    <xf numFmtId="166" fontId="22" fillId="0" borderId="0" xfId="1" applyNumberFormat="1" applyFont="1" applyAlignment="1" applyProtection="1">
      <alignment vertical="top"/>
    </xf>
    <xf numFmtId="166" fontId="22" fillId="0" borderId="0" xfId="1" quotePrefix="1" applyNumberFormat="1" applyFont="1" applyAlignment="1" applyProtection="1">
      <alignment vertical="top"/>
    </xf>
    <xf numFmtId="166" fontId="22" fillId="0" borderId="2" xfId="1" applyNumberFormat="1" applyFont="1" applyBorder="1" applyAlignment="1" applyProtection="1">
      <alignment vertical="top"/>
    </xf>
    <xf numFmtId="166" fontId="22"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43" fontId="22" fillId="0" borderId="0" xfId="1" quotePrefix="1" applyFont="1" applyAlignment="1" applyProtection="1">
      <alignment vertical="top"/>
    </xf>
    <xf numFmtId="43" fontId="22" fillId="0" borderId="0" xfId="1" applyFont="1" applyAlignment="1" applyProtection="1">
      <alignment vertical="top"/>
    </xf>
    <xf numFmtId="166" fontId="2" fillId="0" borderId="2" xfId="1" applyNumberFormat="1" applyBorder="1" applyProtection="1"/>
    <xf numFmtId="44" fontId="7" fillId="2" borderId="1" xfId="2" applyFont="1" applyFill="1" applyBorder="1" applyAlignment="1" applyProtection="1">
      <alignment horizontal="left" vertical="top"/>
      <protection locked="0"/>
    </xf>
    <xf numFmtId="44" fontId="7" fillId="2" borderId="0" xfId="2" applyFont="1" applyFill="1" applyAlignment="1" applyProtection="1">
      <alignment horizontal="left" vertical="top"/>
      <protection locked="0"/>
    </xf>
    <xf numFmtId="0" fontId="7" fillId="2" borderId="0" xfId="0" applyFont="1" applyFill="1" applyProtection="1">
      <protection locked="0"/>
    </xf>
    <xf numFmtId="165" fontId="32" fillId="7" borderId="0" xfId="2" applyNumberFormat="1" applyFont="1" applyFill="1" applyProtection="1"/>
    <xf numFmtId="165" fontId="32" fillId="0" borderId="0" xfId="0" applyNumberFormat="1" applyFont="1" applyAlignment="1" applyProtection="1">
      <alignment horizontal="left"/>
      <protection hidden="1"/>
    </xf>
    <xf numFmtId="165" fontId="32" fillId="0" borderId="0" xfId="0" applyNumberFormat="1" applyFont="1" applyProtection="1">
      <protection hidden="1"/>
    </xf>
    <xf numFmtId="44" fontId="7" fillId="0" borderId="0" xfId="2" applyFont="1" applyFill="1" applyProtection="1"/>
    <xf numFmtId="165" fontId="37" fillId="7" borderId="0" xfId="2" applyNumberFormat="1" applyFont="1" applyFill="1" applyProtection="1"/>
    <xf numFmtId="165" fontId="32" fillId="0" borderId="0" xfId="2" applyNumberFormat="1" applyFont="1" applyFill="1" applyProtection="1"/>
    <xf numFmtId="44" fontId="5" fillId="2" borderId="0" xfId="2" applyFont="1" applyFill="1" applyProtection="1">
      <protection locked="0"/>
    </xf>
    <xf numFmtId="44" fontId="5" fillId="0" borderId="0" xfId="2" applyFont="1" applyProtection="1"/>
    <xf numFmtId="166" fontId="5" fillId="0" borderId="0" xfId="1" applyNumberFormat="1" applyFont="1" applyProtection="1"/>
    <xf numFmtId="166" fontId="5" fillId="0" borderId="0" xfId="1" applyNumberFormat="1" applyFont="1" applyAlignment="1" applyProtection="1">
      <alignment vertical="top"/>
    </xf>
    <xf numFmtId="44" fontId="5" fillId="0" borderId="0" xfId="2" applyFont="1" applyFill="1" applyProtection="1"/>
    <xf numFmtId="44" fontId="5" fillId="2" borderId="0" xfId="2" applyFont="1" applyFill="1" applyAlignment="1" applyProtection="1">
      <protection locked="0"/>
    </xf>
    <xf numFmtId="44" fontId="5" fillId="2" borderId="0" xfId="0" applyNumberFormat="1" applyFont="1" applyFill="1" applyProtection="1">
      <protection locked="0"/>
    </xf>
    <xf numFmtId="44" fontId="7" fillId="0" borderId="0" xfId="2" applyFont="1" applyProtection="1"/>
    <xf numFmtId="165" fontId="37" fillId="7" borderId="0" xfId="2" applyNumberFormat="1" applyFont="1" applyFill="1" applyAlignment="1" applyProtection="1">
      <alignment vertical="center"/>
    </xf>
    <xf numFmtId="44" fontId="4" fillId="2" borderId="0" xfId="2" applyFont="1" applyFill="1" applyProtection="1">
      <protection locked="0"/>
    </xf>
    <xf numFmtId="165" fontId="4" fillId="0" borderId="0" xfId="0" applyNumberFormat="1" applyFont="1" applyAlignment="1" applyProtection="1">
      <alignment horizontal="left"/>
      <protection hidden="1"/>
    </xf>
    <xf numFmtId="0" fontId="3" fillId="0" borderId="0" xfId="0" applyFont="1" applyAlignment="1">
      <alignment vertical="top" wrapText="1"/>
    </xf>
    <xf numFmtId="0" fontId="5" fillId="0" borderId="0" xfId="0" applyFont="1" applyAlignment="1">
      <alignment vertical="top"/>
    </xf>
    <xf numFmtId="0" fontId="6" fillId="0" borderId="0" xfId="0" applyFont="1" applyAlignment="1">
      <alignment vertical="center" wrapText="1"/>
    </xf>
    <xf numFmtId="0" fontId="3" fillId="0" borderId="0" xfId="0" applyFont="1" applyAlignment="1">
      <alignment horizontal="left" vertical="top"/>
    </xf>
    <xf numFmtId="49" fontId="5" fillId="0" borderId="0" xfId="0" applyNumberFormat="1" applyFont="1" applyAlignment="1">
      <alignment vertical="top"/>
    </xf>
    <xf numFmtId="0" fontId="7" fillId="0" borderId="0" xfId="0" applyFont="1" applyAlignment="1">
      <alignment horizontal="left" vertical="top"/>
    </xf>
    <xf numFmtId="0" fontId="7" fillId="0" borderId="0" xfId="0" quotePrefix="1" applyFont="1" applyAlignment="1">
      <alignment horizontal="left" vertical="top"/>
    </xf>
    <xf numFmtId="164" fontId="7" fillId="0" borderId="0" xfId="0" quotePrefix="1" applyNumberFormat="1" applyFont="1" applyAlignment="1">
      <alignment horizontal="left" vertical="top"/>
    </xf>
    <xf numFmtId="164" fontId="7" fillId="0" borderId="0" xfId="0" quotePrefix="1" applyNumberFormat="1" applyFont="1" applyAlignment="1">
      <alignment vertical="top"/>
    </xf>
    <xf numFmtId="0" fontId="36" fillId="7" borderId="0" xfId="0" applyFont="1" applyFill="1" applyAlignment="1">
      <alignment horizontal="left"/>
    </xf>
    <xf numFmtId="0" fontId="7" fillId="0" borderId="0" xfId="0" applyFont="1" applyAlignment="1">
      <alignment horizontal="center"/>
    </xf>
    <xf numFmtId="0" fontId="7" fillId="0" borderId="0" xfId="0" applyFont="1" applyAlignment="1">
      <alignment vertical="top"/>
    </xf>
    <xf numFmtId="0" fontId="7" fillId="0" borderId="15" xfId="0" applyFont="1" applyBorder="1" applyAlignment="1">
      <alignment horizontal="center" vertical="top" wrapText="1"/>
    </xf>
    <xf numFmtId="0" fontId="7" fillId="0" borderId="0" xfId="0" applyFont="1" applyAlignment="1">
      <alignment vertical="top" wrapText="1"/>
    </xf>
    <xf numFmtId="165" fontId="3" fillId="0" borderId="0" xfId="0" applyNumberFormat="1" applyFont="1"/>
    <xf numFmtId="165" fontId="33" fillId="0" borderId="0" xfId="0" applyNumberFormat="1" applyFont="1"/>
    <xf numFmtId="165" fontId="29" fillId="0" borderId="0" xfId="0" applyNumberFormat="1" applyFont="1"/>
    <xf numFmtId="165" fontId="39" fillId="0" borderId="0" xfId="0" applyNumberFormat="1" applyFont="1" applyAlignment="1">
      <alignment horizontal="left"/>
    </xf>
    <xf numFmtId="165" fontId="46" fillId="0" borderId="0" xfId="0" applyNumberFormat="1" applyFont="1" applyAlignment="1">
      <alignment horizontal="left"/>
    </xf>
    <xf numFmtId="165" fontId="4" fillId="0" borderId="0" xfId="0" applyNumberFormat="1" applyFont="1" applyAlignment="1">
      <alignment horizontal="left"/>
    </xf>
    <xf numFmtId="165" fontId="9" fillId="0" borderId="0" xfId="0" applyNumberFormat="1" applyFont="1"/>
    <xf numFmtId="165" fontId="9" fillId="0" borderId="0" xfId="0" applyNumberFormat="1" applyFont="1" applyAlignment="1">
      <alignment horizontal="left"/>
    </xf>
    <xf numFmtId="165" fontId="36" fillId="7" borderId="0" xfId="0" applyNumberFormat="1" applyFont="1" applyFill="1"/>
    <xf numFmtId="165" fontId="37" fillId="7" borderId="0" xfId="0" applyNumberFormat="1" applyFont="1" applyFill="1"/>
    <xf numFmtId="165" fontId="37" fillId="7" borderId="0" xfId="0" applyNumberFormat="1" applyFont="1" applyFill="1" applyAlignment="1">
      <alignment horizontal="left"/>
    </xf>
    <xf numFmtId="0" fontId="7" fillId="0" borderId="0" xfId="0" applyFont="1" applyAlignment="1">
      <alignment horizontal="center" vertical="top" wrapText="1"/>
    </xf>
    <xf numFmtId="165" fontId="29" fillId="0" borderId="0" xfId="0" applyNumberFormat="1" applyFont="1" applyAlignment="1">
      <alignment horizontal="left"/>
    </xf>
    <xf numFmtId="165" fontId="38" fillId="0" borderId="0" xfId="0" applyNumberFormat="1" applyFont="1"/>
    <xf numFmtId="0" fontId="4" fillId="0" borderId="0" xfId="0" applyFont="1" applyAlignment="1">
      <alignment vertical="top"/>
    </xf>
    <xf numFmtId="165" fontId="33" fillId="0" borderId="0" xfId="0" applyNumberFormat="1" applyFont="1" applyAlignment="1">
      <alignment vertical="top" wrapText="1"/>
    </xf>
    <xf numFmtId="165" fontId="29" fillId="0" borderId="0" xfId="0" applyNumberFormat="1" applyFont="1" applyAlignment="1">
      <alignment wrapText="1"/>
    </xf>
    <xf numFmtId="165" fontId="11" fillId="7" borderId="0" xfId="0" applyNumberFormat="1" applyFont="1" applyFill="1"/>
    <xf numFmtId="165" fontId="32" fillId="7" borderId="0" xfId="0" applyNumberFormat="1" applyFont="1" applyFill="1"/>
    <xf numFmtId="165" fontId="32" fillId="7" borderId="0" xfId="0" applyNumberFormat="1" applyFont="1" applyFill="1" applyAlignment="1">
      <alignment horizontal="left"/>
    </xf>
    <xf numFmtId="0" fontId="38" fillId="0" borderId="0" xfId="0" applyFont="1" applyAlignment="1">
      <alignment horizontal="left"/>
    </xf>
    <xf numFmtId="165" fontId="32" fillId="0" borderId="0" xfId="0" applyNumberFormat="1" applyFont="1"/>
    <xf numFmtId="165" fontId="32" fillId="0" borderId="0" xfId="0" applyNumberFormat="1" applyFont="1" applyAlignment="1">
      <alignment horizontal="left"/>
    </xf>
    <xf numFmtId="165" fontId="33" fillId="0" borderId="0" xfId="0" applyNumberFormat="1" applyFont="1" applyAlignment="1">
      <alignment horizontal="left"/>
    </xf>
    <xf numFmtId="44" fontId="5" fillId="0" borderId="0" xfId="0" applyNumberFormat="1" applyFont="1"/>
    <xf numFmtId="165" fontId="10" fillId="0" borderId="0" xfId="0" applyNumberFormat="1" applyFont="1"/>
    <xf numFmtId="165" fontId="10" fillId="0" borderId="0" xfId="0" applyNumberFormat="1" applyFont="1" applyAlignment="1">
      <alignment horizontal="left"/>
    </xf>
    <xf numFmtId="165" fontId="4" fillId="0" borderId="0" xfId="0" applyNumberFormat="1" applyFont="1"/>
    <xf numFmtId="0" fontId="36" fillId="7" borderId="0" xfId="0" applyFont="1" applyFill="1" applyAlignment="1">
      <alignment horizontal="left" vertical="center"/>
    </xf>
    <xf numFmtId="165" fontId="36" fillId="7" borderId="0" xfId="0" applyNumberFormat="1" applyFont="1" applyFill="1" applyAlignment="1">
      <alignment vertical="center"/>
    </xf>
    <xf numFmtId="165" fontId="37" fillId="7" borderId="0" xfId="0" applyNumberFormat="1" applyFont="1" applyFill="1" applyAlignment="1">
      <alignment vertical="center"/>
    </xf>
    <xf numFmtId="165" fontId="37" fillId="7" borderId="0" xfId="0" applyNumberFormat="1" applyFont="1" applyFill="1" applyAlignment="1">
      <alignment horizontal="left" vertical="center"/>
    </xf>
    <xf numFmtId="0" fontId="7" fillId="0" borderId="0" xfId="0" applyFont="1" applyAlignment="1">
      <alignment horizontal="left" vertical="top" wrapText="1"/>
    </xf>
    <xf numFmtId="0" fontId="3" fillId="0" borderId="0" xfId="0" applyFont="1" applyAlignment="1">
      <alignment horizontal="center"/>
    </xf>
    <xf numFmtId="0" fontId="9"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2" xfId="0" applyFont="1" applyBorder="1"/>
    <xf numFmtId="0" fontId="8" fillId="0" borderId="0" xfId="0" applyFont="1" applyAlignment="1">
      <alignment horizontal="left"/>
    </xf>
    <xf numFmtId="0" fontId="5" fillId="0" borderId="0" xfId="0" applyFont="1" applyAlignment="1">
      <alignment horizontal="left" vertical="top" wrapText="1"/>
    </xf>
    <xf numFmtId="0" fontId="7" fillId="0" borderId="0" xfId="0" applyFont="1" applyAlignment="1">
      <alignment horizontal="left"/>
    </xf>
    <xf numFmtId="0" fontId="8" fillId="0" borderId="0" xfId="0" applyFont="1" applyAlignment="1">
      <alignment horizontal="left" vertical="top"/>
    </xf>
    <xf numFmtId="0" fontId="5" fillId="0" borderId="0" xfId="0" applyFont="1" applyAlignment="1">
      <alignment horizontal="left" vertical="top"/>
    </xf>
    <xf numFmtId="0" fontId="8" fillId="0" borderId="0" xfId="0" applyFont="1" applyAlignment="1">
      <alignment horizontal="left" vertical="top" wrapText="1"/>
    </xf>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xf numFmtId="0" fontId="13" fillId="3" borderId="7" xfId="0" applyFont="1" applyFill="1" applyBorder="1"/>
    <xf numFmtId="0" fontId="34" fillId="3" borderId="0" xfId="0" applyFont="1" applyFill="1"/>
    <xf numFmtId="38" fontId="35" fillId="3" borderId="0" xfId="0" applyNumberFormat="1" applyFont="1" applyFill="1" applyAlignment="1">
      <alignment horizontal="center" wrapText="1"/>
    </xf>
    <xf numFmtId="0" fontId="35" fillId="3" borderId="0" xfId="0" applyFont="1" applyFill="1"/>
    <xf numFmtId="0" fontId="31" fillId="3" borderId="0" xfId="0" applyFont="1" applyFill="1"/>
    <xf numFmtId="38" fontId="31" fillId="3" borderId="0" xfId="0" applyNumberFormat="1" applyFont="1" applyFill="1" applyAlignment="1">
      <alignment horizontal="center" wrapText="1"/>
    </xf>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5" fillId="3" borderId="0" xfId="0" applyFont="1" applyFill="1" applyAlignment="1">
      <alignment horizontal="left"/>
    </xf>
    <xf numFmtId="42" fontId="13" fillId="3" borderId="0" xfId="0" applyNumberFormat="1" applyFont="1" applyFill="1"/>
    <xf numFmtId="42" fontId="13" fillId="3" borderId="9" xfId="0" applyNumberFormat="1" applyFont="1" applyFill="1" applyBorder="1"/>
    <xf numFmtId="0" fontId="13" fillId="3" borderId="0" xfId="0" quotePrefix="1" applyFont="1" applyFill="1"/>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0" fontId="20" fillId="5" borderId="0" xfId="3" applyFont="1" applyFill="1"/>
    <xf numFmtId="0" fontId="21" fillId="5" borderId="0" xfId="3" applyFont="1" applyFill="1"/>
    <xf numFmtId="0" fontId="21" fillId="5" borderId="0" xfId="3" applyFont="1" applyFill="1" applyAlignment="1">
      <alignment horizontal="center"/>
    </xf>
    <xf numFmtId="0" fontId="21" fillId="5" borderId="0" xfId="3" applyFont="1" applyFill="1" applyAlignment="1">
      <alignment wrapText="1"/>
    </xf>
    <xf numFmtId="0" fontId="21" fillId="5" borderId="0" xfId="3" applyFont="1" applyFill="1" applyAlignment="1">
      <alignment horizontal="center" wrapText="1"/>
    </xf>
    <xf numFmtId="0" fontId="21" fillId="0" borderId="0" xfId="3" applyFont="1"/>
    <xf numFmtId="0" fontId="21" fillId="0" borderId="0" xfId="3" applyFont="1" applyAlignment="1">
      <alignment horizontal="center"/>
    </xf>
    <xf numFmtId="0" fontId="19" fillId="6" borderId="0" xfId="3" applyFont="1" applyFill="1"/>
    <xf numFmtId="0" fontId="2" fillId="6" borderId="0" xfId="3" applyFill="1"/>
    <xf numFmtId="0" fontId="2" fillId="6" borderId="0" xfId="3" applyFill="1" applyAlignment="1">
      <alignment horizontal="center"/>
    </xf>
    <xf numFmtId="0" fontId="2" fillId="0" borderId="0" xfId="3"/>
    <xf numFmtId="0" fontId="22" fillId="0" borderId="0" xfId="3" applyFont="1" applyAlignment="1">
      <alignment horizontal="left" vertical="top" wrapText="1"/>
    </xf>
    <xf numFmtId="0" fontId="22" fillId="0" borderId="0" xfId="3" applyFont="1" applyAlignment="1">
      <alignment horizontal="center" vertical="top" wrapText="1"/>
    </xf>
    <xf numFmtId="0" fontId="23" fillId="0" borderId="13" xfId="3" applyFont="1" applyBorder="1" applyAlignment="1">
      <alignment horizontal="center" vertical="top" wrapText="1"/>
    </xf>
    <xf numFmtId="0" fontId="23" fillId="0" borderId="0" xfId="3" applyFont="1" applyAlignment="1">
      <alignment vertical="top" wrapText="1"/>
    </xf>
    <xf numFmtId="0" fontId="25" fillId="0" borderId="0" xfId="3" applyFont="1" applyAlignment="1">
      <alignment horizontal="center" vertical="top" wrapText="1"/>
    </xf>
    <xf numFmtId="0" fontId="25" fillId="0" borderId="0" xfId="3" quotePrefix="1" applyFont="1" applyAlignment="1">
      <alignment horizontal="center" vertical="top" wrapText="1"/>
    </xf>
    <xf numFmtId="0" fontId="26" fillId="0" borderId="0" xfId="3" quotePrefix="1" applyFont="1" applyAlignment="1">
      <alignment horizontal="center" vertical="top" wrapText="1"/>
    </xf>
    <xf numFmtId="0" fontId="26" fillId="0" borderId="0" xfId="3" applyFont="1" applyAlignment="1">
      <alignment horizontal="center" vertical="top" wrapText="1"/>
    </xf>
    <xf numFmtId="0" fontId="30" fillId="0" borderId="0" xfId="3" applyFont="1" applyAlignment="1">
      <alignment horizontal="center" vertical="top" wrapText="1"/>
    </xf>
    <xf numFmtId="0" fontId="23" fillId="0" borderId="0" xfId="3" applyFont="1" applyAlignment="1">
      <alignment horizontal="center" vertical="top" wrapText="1"/>
    </xf>
    <xf numFmtId="0" fontId="22" fillId="0" borderId="0" xfId="3" applyFont="1" applyAlignment="1">
      <alignment vertical="top"/>
    </xf>
    <xf numFmtId="0" fontId="22" fillId="0" borderId="0" xfId="3" applyFont="1" applyAlignment="1">
      <alignment horizontal="center" vertical="top"/>
    </xf>
    <xf numFmtId="0" fontId="28" fillId="0" borderId="0" xfId="3" applyFont="1" applyAlignment="1">
      <alignment vertical="top"/>
    </xf>
    <xf numFmtId="0" fontId="22" fillId="0" borderId="0" xfId="3" applyFont="1" applyAlignment="1">
      <alignment vertical="top" wrapText="1"/>
    </xf>
    <xf numFmtId="0" fontId="23" fillId="0" borderId="0" xfId="3" applyFont="1" applyAlignment="1">
      <alignment horizontal="left" vertical="top" wrapText="1"/>
    </xf>
    <xf numFmtId="0" fontId="25" fillId="0" borderId="0" xfId="3" applyFont="1" applyAlignment="1">
      <alignment horizontal="left" vertical="top" wrapText="1"/>
    </xf>
    <xf numFmtId="0" fontId="2" fillId="0" borderId="0" xfId="3" applyAlignment="1">
      <alignment horizontal="center"/>
    </xf>
    <xf numFmtId="0" fontId="30" fillId="0" borderId="0" xfId="3" applyFont="1"/>
    <xf numFmtId="0" fontId="25" fillId="0" borderId="0" xfId="3" applyFont="1" applyAlignment="1">
      <alignment vertical="top"/>
    </xf>
    <xf numFmtId="0" fontId="19" fillId="0" borderId="0" xfId="3" applyFont="1"/>
    <xf numFmtId="0" fontId="36" fillId="0" borderId="16" xfId="0" applyFont="1" applyBorder="1" applyAlignment="1">
      <alignment horizontal="left"/>
    </xf>
    <xf numFmtId="165" fontId="36" fillId="0" borderId="18" xfId="0" applyNumberFormat="1" applyFont="1" applyBorder="1"/>
    <xf numFmtId="165" fontId="37" fillId="0" borderId="18" xfId="0" applyNumberFormat="1" applyFont="1" applyBorder="1"/>
    <xf numFmtId="165" fontId="37" fillId="0" borderId="18" xfId="2" applyNumberFormat="1" applyFont="1" applyFill="1" applyBorder="1" applyProtection="1"/>
    <xf numFmtId="165" fontId="37" fillId="0" borderId="17" xfId="2" applyNumberFormat="1" applyFont="1" applyFill="1" applyBorder="1" applyProtection="1"/>
    <xf numFmtId="166" fontId="5" fillId="7" borderId="0" xfId="0" applyNumberFormat="1" applyFont="1" applyFill="1" applyAlignment="1">
      <alignment vertical="top"/>
    </xf>
    <xf numFmtId="0" fontId="8" fillId="0" borderId="0" xfId="0" applyFont="1" applyAlignment="1">
      <alignment horizontal="center" vertical="top"/>
    </xf>
    <xf numFmtId="165" fontId="4" fillId="0" borderId="0" xfId="0" applyNumberFormat="1" applyFont="1" applyAlignment="1">
      <alignment horizontal="left"/>
    </xf>
    <xf numFmtId="165" fontId="4" fillId="0" borderId="0" xfId="0" applyNumberFormat="1" applyFont="1" applyAlignment="1" applyProtection="1">
      <alignment horizontal="left"/>
      <protection hidden="1"/>
    </xf>
    <xf numFmtId="0" fontId="40" fillId="0" borderId="0" xfId="0" applyFont="1" applyAlignment="1">
      <alignment horizontal="center" vertical="top" wrapText="1"/>
    </xf>
    <xf numFmtId="0" fontId="42" fillId="0" borderId="0" xfId="0" applyFont="1" applyAlignment="1">
      <alignment horizontal="left" vertical="center" wrapText="1"/>
    </xf>
    <xf numFmtId="0" fontId="7" fillId="2" borderId="0" xfId="0" applyFont="1" applyFill="1" applyAlignment="1" applyProtection="1">
      <alignment horizontal="left" vertical="top"/>
      <protection locked="0"/>
    </xf>
    <xf numFmtId="0" fontId="3" fillId="0" borderId="0" xfId="0" applyFont="1" applyAlignment="1">
      <alignment horizontal="left" vertical="top"/>
    </xf>
    <xf numFmtId="49" fontId="7" fillId="2" borderId="0" xfId="1" applyNumberFormat="1" applyFont="1" applyFill="1" applyBorder="1" applyAlignment="1" applyProtection="1">
      <alignment horizontal="left"/>
      <protection locked="0"/>
    </xf>
    <xf numFmtId="164" fontId="7" fillId="2" borderId="0" xfId="0" quotePrefix="1" applyNumberFormat="1" applyFont="1" applyFill="1" applyAlignment="1" applyProtection="1">
      <alignment horizontal="left" vertical="top"/>
      <protection locked="0"/>
    </xf>
    <xf numFmtId="165" fontId="39" fillId="0" borderId="0" xfId="0" applyNumberFormat="1" applyFont="1" applyAlignment="1">
      <alignment horizontal="left"/>
    </xf>
    <xf numFmtId="0" fontId="36" fillId="7" borderId="0" xfId="0" applyFont="1" applyFill="1" applyAlignment="1">
      <alignment horizontal="left"/>
    </xf>
    <xf numFmtId="165" fontId="38" fillId="0" borderId="14" xfId="0" applyNumberFormat="1" applyFont="1" applyBorder="1" applyAlignment="1">
      <alignment horizontal="left"/>
    </xf>
    <xf numFmtId="165" fontId="38" fillId="0" borderId="0" xfId="0" applyNumberFormat="1" applyFont="1" applyAlignment="1">
      <alignment horizontal="left"/>
    </xf>
    <xf numFmtId="164" fontId="7" fillId="0" borderId="0" xfId="0" quotePrefix="1" applyNumberFormat="1" applyFont="1" applyAlignment="1">
      <alignment horizontal="left" vertical="top"/>
    </xf>
    <xf numFmtId="165" fontId="38" fillId="0" borderId="14" xfId="0" applyNumberFormat="1" applyFont="1" applyBorder="1"/>
    <xf numFmtId="165" fontId="38" fillId="0" borderId="0" xfId="0" applyNumberFormat="1" applyFont="1"/>
    <xf numFmtId="165" fontId="43" fillId="0" borderId="0" xfId="0" applyNumberFormat="1" applyFont="1" applyAlignment="1">
      <alignment horizontal="left" wrapText="1"/>
    </xf>
    <xf numFmtId="0" fontId="38" fillId="0" borderId="14" xfId="0" applyFont="1" applyBorder="1" applyAlignment="1">
      <alignment horizontal="left"/>
    </xf>
    <xf numFmtId="0" fontId="38" fillId="0" borderId="0" xfId="0" applyFont="1" applyAlignment="1">
      <alignment horizontal="left"/>
    </xf>
    <xf numFmtId="0" fontId="5" fillId="0" borderId="1" xfId="0" applyFont="1" applyBorder="1" applyAlignment="1">
      <alignment horizontal="left" vertical="top" wrapText="1"/>
    </xf>
    <xf numFmtId="0" fontId="4" fillId="0" borderId="0" xfId="0" applyFont="1" applyAlignment="1">
      <alignment horizontal="center" vertical="top" wrapText="1"/>
    </xf>
    <xf numFmtId="0" fontId="4" fillId="0" borderId="0" xfId="0" applyFont="1" applyAlignment="1">
      <alignment horizontal="left" vertical="top" wrapText="1"/>
    </xf>
    <xf numFmtId="0" fontId="12" fillId="0" borderId="0" xfId="0" applyFont="1" applyAlignment="1">
      <alignment horizontal="center"/>
    </xf>
    <xf numFmtId="0" fontId="7" fillId="2" borderId="0" xfId="0" applyFont="1" applyFill="1" applyProtection="1">
      <protection locked="0"/>
    </xf>
    <xf numFmtId="164" fontId="7" fillId="2" borderId="0" xfId="0" applyNumberFormat="1" applyFont="1" applyFill="1" applyAlignment="1" applyProtection="1">
      <alignment horizontal="left"/>
      <protection locked="0"/>
    </xf>
    <xf numFmtId="0" fontId="5" fillId="0" borderId="0" xfId="0" applyFont="1" applyAlignment="1">
      <alignment horizontal="center" vertical="center" wrapText="1"/>
    </xf>
    <xf numFmtId="164" fontId="4" fillId="0" borderId="0" xfId="0" applyNumberFormat="1" applyFont="1" applyAlignment="1">
      <alignment horizontal="left"/>
    </xf>
    <xf numFmtId="0" fontId="4" fillId="0" borderId="0" xfId="0" applyFont="1" applyAlignment="1">
      <alignment horizontal="left"/>
    </xf>
    <xf numFmtId="0" fontId="7" fillId="2" borderId="0" xfId="0" applyFont="1" applyFill="1" applyAlignment="1" applyProtection="1">
      <alignment horizontal="left"/>
      <protection locked="0"/>
    </xf>
    <xf numFmtId="0" fontId="7" fillId="0" borderId="0" xfId="0" applyFont="1" applyAlignment="1">
      <alignment horizontal="left" vertical="top" wrapText="1"/>
    </xf>
    <xf numFmtId="0" fontId="5" fillId="0" borderId="0" xfId="0" applyFont="1" applyAlignment="1">
      <alignment horizontal="left" vertical="top" wrapText="1"/>
    </xf>
    <xf numFmtId="0" fontId="47" fillId="2" borderId="0" xfId="3" applyFont="1" applyFill="1" applyAlignment="1">
      <alignment horizontal="left" vertical="top" wrapText="1"/>
    </xf>
    <xf numFmtId="0" fontId="15" fillId="3" borderId="0" xfId="0" applyFont="1" applyFill="1" applyAlignment="1">
      <alignment horizontal="left"/>
    </xf>
    <xf numFmtId="0" fontId="14" fillId="3" borderId="0" xfId="0" applyFont="1" applyFill="1" applyAlignment="1">
      <alignment horizontal="center"/>
    </xf>
    <xf numFmtId="0" fontId="14" fillId="0" borderId="0" xfId="0" applyFont="1" applyAlignment="1">
      <alignment horizontal="center"/>
    </xf>
    <xf numFmtId="0" fontId="35" fillId="3" borderId="0" xfId="0" applyFont="1" applyFill="1" applyAlignment="1">
      <alignment horizontal="left"/>
    </xf>
    <xf numFmtId="0" fontId="23" fillId="0" borderId="13" xfId="3" applyFont="1" applyBorder="1" applyAlignment="1">
      <alignment horizontal="center" vertical="top" wrapText="1"/>
    </xf>
    <xf numFmtId="0" fontId="23" fillId="0" borderId="0" xfId="3" applyFont="1" applyAlignment="1">
      <alignment horizontal="left" vertical="top" wrapText="1"/>
    </xf>
    <xf numFmtId="0" fontId="19" fillId="0" borderId="0" xfId="3" applyFont="1" applyAlignment="1">
      <alignment horizontal="left"/>
    </xf>
    <xf numFmtId="0" fontId="23" fillId="0" borderId="0" xfId="3" applyFont="1" applyAlignment="1">
      <alignment horizontal="left" vertical="top"/>
    </xf>
    <xf numFmtId="0" fontId="23" fillId="0" borderId="13" xfId="3" applyFont="1" applyBorder="1" applyAlignment="1">
      <alignment horizontal="center" vertical="top"/>
    </xf>
    <xf numFmtId="0" fontId="22" fillId="0" borderId="0" xfId="3" applyFont="1" applyAlignment="1">
      <alignment horizontal="left" vertical="top" wrapText="1"/>
    </xf>
    <xf numFmtId="0" fontId="27"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34" sqref="J34"/>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1643</v>
      </c>
      <c r="G4" s="168"/>
      <c r="H4" s="168" t="s">
        <v>1643</v>
      </c>
      <c r="I4" s="168"/>
    </row>
    <row r="5" spans="1:17" ht="15.75" x14ac:dyDescent="0.2">
      <c r="A5" s="169" t="s">
        <v>1602</v>
      </c>
      <c r="B5" s="169"/>
      <c r="C5" s="169"/>
      <c r="D5" s="169"/>
      <c r="E5" s="169"/>
      <c r="F5" s="170" t="s">
        <v>802</v>
      </c>
      <c r="G5" s="170"/>
      <c r="H5" s="170"/>
      <c r="I5" s="170"/>
      <c r="J5" s="47"/>
      <c r="K5" s="47"/>
      <c r="L5" s="48"/>
      <c r="M5" s="48"/>
      <c r="N5" s="48"/>
    </row>
    <row r="6" spans="1:17" ht="15.75" x14ac:dyDescent="0.2">
      <c r="A6" s="169" t="s">
        <v>1</v>
      </c>
      <c r="B6" s="169"/>
      <c r="C6" s="169"/>
      <c r="D6" s="169"/>
      <c r="E6" s="169"/>
      <c r="F6" s="171" t="s">
        <v>1642</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HEALTH AND HUMAN SERVICES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1009036</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1009036</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1009036</v>
      </c>
      <c r="K22" s="29">
        <f>ROUND(SUM(K18:K21),2)</f>
        <v>1009036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2128924</v>
      </c>
      <c r="K28" s="33"/>
      <c r="L28" s="54"/>
    </row>
    <row r="29" spans="1:17" ht="16.5" customHeight="1" x14ac:dyDescent="0.25">
      <c r="A29" s="56"/>
      <c r="B29" s="57"/>
      <c r="C29" s="165" t="s">
        <v>1578</v>
      </c>
      <c r="D29" s="165"/>
      <c r="E29" s="165"/>
      <c r="F29" s="165"/>
      <c r="G29" s="165"/>
      <c r="H29" s="165"/>
      <c r="I29" s="165"/>
      <c r="J29" s="33"/>
      <c r="K29" s="32">
        <f>J28</f>
        <v>2128924</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2128924</v>
      </c>
      <c r="K31" s="29">
        <f>ROUND(SUM(K28:K30),2)</f>
        <v>2128924</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f>K29</f>
        <v>2128924</v>
      </c>
      <c r="K34" s="70"/>
      <c r="L34" s="54"/>
    </row>
    <row r="35" spans="1:12" ht="16.5" customHeight="1" x14ac:dyDescent="0.2">
      <c r="B35" s="165" t="s">
        <v>1579</v>
      </c>
      <c r="C35" s="165"/>
      <c r="D35" s="165"/>
      <c r="E35" s="165"/>
      <c r="F35" s="165"/>
      <c r="G35" s="165"/>
      <c r="H35" s="165"/>
      <c r="I35" s="165"/>
      <c r="J35" s="32">
        <f>K29</f>
        <v>2128924</v>
      </c>
      <c r="K35" s="36"/>
    </row>
    <row r="36" spans="1:12" ht="16.5" customHeight="1" x14ac:dyDescent="0.2">
      <c r="A36" s="56"/>
      <c r="B36" s="71"/>
      <c r="C36" s="165" t="s">
        <v>1581</v>
      </c>
      <c r="D36" s="165"/>
      <c r="E36" s="165"/>
      <c r="F36" s="165"/>
      <c r="G36" s="165"/>
      <c r="H36" s="165"/>
      <c r="I36" s="165"/>
      <c r="J36" s="36"/>
      <c r="K36" s="32">
        <f>J28</f>
        <v>2128924</v>
      </c>
    </row>
    <row r="37" spans="1:12" ht="16.5" customHeight="1" x14ac:dyDescent="0.2">
      <c r="A37" s="56"/>
      <c r="C37" s="165" t="s">
        <v>1626</v>
      </c>
      <c r="D37" s="165"/>
      <c r="E37" s="165"/>
      <c r="F37" s="165"/>
      <c r="G37" s="165"/>
      <c r="H37" s="165"/>
      <c r="I37" s="165"/>
      <c r="J37" s="36"/>
      <c r="K37" s="32">
        <f>J28</f>
        <v>2128924</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4257848</v>
      </c>
      <c r="K39" s="29">
        <f>ROUND(SUM(K36:K38),2)</f>
        <v>4257848</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1975832</v>
      </c>
      <c r="K45" s="33"/>
    </row>
    <row r="46" spans="1:12" ht="16.5" customHeight="1" x14ac:dyDescent="0.2">
      <c r="A46" s="56"/>
      <c r="B46" s="71"/>
      <c r="C46" s="165" t="s">
        <v>1587</v>
      </c>
      <c r="D46" s="165"/>
      <c r="E46" s="165"/>
      <c r="F46" s="165"/>
      <c r="G46" s="165"/>
      <c r="H46" s="165"/>
      <c r="I46" s="165"/>
      <c r="J46" s="36"/>
      <c r="K46" s="32">
        <f>J45</f>
        <v>1975832</v>
      </c>
    </row>
    <row r="47" spans="1:12" ht="16.5" customHeight="1" x14ac:dyDescent="0.2">
      <c r="A47" s="68"/>
      <c r="B47" s="58"/>
      <c r="C47" s="58"/>
      <c r="D47" s="58"/>
      <c r="E47" s="58"/>
      <c r="F47" s="58"/>
      <c r="G47" s="58"/>
      <c r="H47" s="58"/>
      <c r="I47" s="58"/>
      <c r="J47" s="39">
        <f>ROUND(SUM(J45:J45),2)</f>
        <v>1975832</v>
      </c>
      <c r="K47" s="39">
        <f>ROUND(SUM(K46),2)</f>
        <v>1975832</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2231608</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42005</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2273613</v>
      </c>
    </row>
    <row r="53" spans="1:12" ht="16.5" customHeight="1" x14ac:dyDescent="0.2">
      <c r="A53" s="68"/>
      <c r="B53" s="58"/>
      <c r="C53" s="58"/>
      <c r="D53" s="58"/>
      <c r="E53" s="58"/>
      <c r="F53" s="58"/>
      <c r="G53" s="58"/>
      <c r="H53" s="58"/>
      <c r="I53" s="58"/>
      <c r="J53" s="39">
        <f>ROUND(SUM(J50:J51),2)</f>
        <v>2273613</v>
      </c>
      <c r="K53" s="39">
        <f>ROUND(SUM(K52,),2)</f>
        <v>2273613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2231608</v>
      </c>
      <c r="K56" s="36"/>
    </row>
    <row r="57" spans="1:12" ht="16.5" customHeight="1" x14ac:dyDescent="0.25">
      <c r="A57" s="56"/>
      <c r="B57" s="57"/>
      <c r="C57" s="165" t="s">
        <v>1613</v>
      </c>
      <c r="D57" s="165"/>
      <c r="E57" s="165"/>
      <c r="F57" s="165"/>
      <c r="G57" s="165"/>
      <c r="H57" s="165"/>
      <c r="I57" s="165"/>
      <c r="J57" s="36"/>
      <c r="K57" s="32">
        <f>J50</f>
        <v>2231608</v>
      </c>
    </row>
    <row r="58" spans="1:12" ht="16.5" customHeight="1" x14ac:dyDescent="0.2">
      <c r="A58" s="68"/>
      <c r="B58" s="58"/>
      <c r="C58" s="58"/>
      <c r="D58" s="58"/>
      <c r="E58" s="58"/>
      <c r="F58" s="58"/>
      <c r="G58" s="58"/>
      <c r="H58" s="58"/>
      <c r="I58" s="58"/>
      <c r="J58" s="39">
        <f>ROUND(SUM(J56:J56),2)</f>
        <v>2231608</v>
      </c>
      <c r="K58" s="39">
        <f>ROUND(SUM(K57),2)</f>
        <v>2231608</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906352</v>
      </c>
      <c r="K61" s="33"/>
    </row>
    <row r="62" spans="1:12" ht="16.5" customHeight="1" x14ac:dyDescent="0.25">
      <c r="A62" s="56"/>
      <c r="B62" s="57"/>
      <c r="C62" s="165" t="s">
        <v>1623</v>
      </c>
      <c r="D62" s="165"/>
      <c r="E62" s="165"/>
      <c r="F62" s="165"/>
      <c r="G62" s="165"/>
      <c r="H62" s="165"/>
      <c r="I62" s="165"/>
      <c r="J62" s="33"/>
      <c r="K62" s="32">
        <f>J61</f>
        <v>906352</v>
      </c>
    </row>
    <row r="63" spans="1:12" ht="16.5" customHeight="1" x14ac:dyDescent="0.2">
      <c r="A63" s="56"/>
      <c r="B63" s="179" t="s">
        <v>1622</v>
      </c>
      <c r="C63" s="179"/>
      <c r="D63" s="179"/>
      <c r="E63" s="179"/>
      <c r="F63" s="179"/>
      <c r="G63" s="179"/>
      <c r="H63" s="179"/>
      <c r="I63" s="179"/>
      <c r="J63" s="39">
        <f>ROUND(SUM(J61:J61),2)</f>
        <v>906352</v>
      </c>
      <c r="K63" s="39">
        <f>ROUND(SUM(K62),2)</f>
        <v>906352</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3137960</v>
      </c>
    </row>
    <row r="95" spans="1:12" ht="16.5" customHeight="1" x14ac:dyDescent="0.25">
      <c r="D95" s="57" t="s">
        <v>1641</v>
      </c>
      <c r="E95"/>
      <c r="F95"/>
      <c r="G95"/>
      <c r="H95" s="44"/>
      <c r="I95"/>
      <c r="J95"/>
      <c r="K95" s="162">
        <f>-K18-K46+J68+J77</f>
        <v>-1975832</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-906352</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6" sqref="B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5160</v>
      </c>
      <c r="C12" s="187"/>
    </row>
    <row r="13" spans="1:11" ht="15.75" x14ac:dyDescent="0.25">
      <c r="A13" s="92" t="s">
        <v>1600</v>
      </c>
      <c r="B13" s="191" t="s">
        <v>1643</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906352</v>
      </c>
      <c r="C16" s="2">
        <v>10931</v>
      </c>
      <c r="D16" s="193" t="s">
        <v>1537</v>
      </c>
      <c r="E16" s="97"/>
      <c r="F16" s="97"/>
      <c r="G16" s="97"/>
      <c r="H16" s="97"/>
      <c r="I16" s="97"/>
      <c r="J16" s="97"/>
      <c r="K16" s="97"/>
    </row>
    <row r="17" spans="1:11" ht="15" customHeight="1" x14ac:dyDescent="0.2">
      <c r="A17" s="94" t="str">
        <f>LEFT(A16,4)+1&amp;"–"&amp;RIGHT(A16,4)+1</f>
        <v>2024–2025</v>
      </c>
      <c r="B17" s="2">
        <v>0</v>
      </c>
      <c r="C17" s="2">
        <v>0</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5160</v>
      </c>
      <c r="C43" s="189"/>
    </row>
    <row r="44" spans="1:11" ht="15.75" x14ac:dyDescent="0.25">
      <c r="A44" s="92" t="s">
        <v>1600</v>
      </c>
      <c r="B44" s="190" t="str">
        <f>B13</f>
        <v>Department of Rehabilitation</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5160</v>
      </c>
      <c r="C74" s="189"/>
    </row>
    <row r="75" spans="1:4" ht="15.75" x14ac:dyDescent="0.25">
      <c r="A75" s="92" t="s">
        <v>1600</v>
      </c>
      <c r="B75" s="190" t="str">
        <f>B13</f>
        <v>Department of Rehabilitation</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3Ix4bHAFOSF4+tCamE7luYA2w9Ouw7vGlFGssKAPEc78Y2zlJlRiv4GkLzjp/3CYExhEVtkWUwPrEDa3XuA7lA==" saltValue="wkOVEsEczwJKoUzru++C9Q=="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L10" sqref="L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5160 Department of Rehabilitation</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f>
        <v>1009036</v>
      </c>
      <c r="H10" s="3">
        <f>IF('Fund 0001 Journal Entries'!$F$7="Governmental Fund",'Fund 0001 Journal Entries'!$K$37,0)</f>
        <v>2128924</v>
      </c>
      <c r="J10" s="3">
        <f>IF('Fund 0001 Journal Entries'!$F$7="Governmental Fund",'Fund 0001 Journal Entries'!$J$56,0)</f>
        <v>2231608</v>
      </c>
      <c r="L10" s="119">
        <f>SUM(F10+H10-J10)</f>
        <v>906352</v>
      </c>
      <c r="N10" s="3">
        <f>IF('Fund 0001 Journal Entries'!$F$7="Governmental Fund",'Fund 0001 Journal Entries'!$J$61,0)</f>
        <v>906352</v>
      </c>
      <c r="P10" s="119">
        <f>L10-N10</f>
        <v>0</v>
      </c>
      <c r="Q10" s="109"/>
    </row>
    <row r="11" spans="2:17" ht="19.5" thickTop="1" thickBot="1" x14ac:dyDescent="0.3">
      <c r="B11" s="107"/>
      <c r="C11" s="195" t="s">
        <v>15</v>
      </c>
      <c r="D11" s="195"/>
      <c r="F11" s="120">
        <f>SUM(F10:F10)</f>
        <v>1009036</v>
      </c>
      <c r="H11" s="120">
        <f>SUM(H10:H10)</f>
        <v>2128924</v>
      </c>
      <c r="J11" s="120">
        <f>SUM(J10:J10)</f>
        <v>2231608</v>
      </c>
      <c r="L11" s="120">
        <f>SUM(L10:L10)</f>
        <v>906352</v>
      </c>
      <c r="N11" s="120">
        <f>SUM(N10:N10)</f>
        <v>906352</v>
      </c>
      <c r="P11" s="120">
        <f>SUM(P10:P10)</f>
        <v>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12" zoomScale="112" zoomScaleNormal="112" workbookViewId="0">
      <selection activeCell="A5" sqref="A5:M7"/>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1009036</v>
      </c>
      <c r="C16" s="15" t="s">
        <v>1552</v>
      </c>
      <c r="D16" s="14">
        <f>IF('Fund 0001 Journal Entries'!$F$7="Governmental Fund",ROUND('Fund 0001 Journal Entries'!$K$37,0),0)</f>
        <v>2128924</v>
      </c>
      <c r="E16" s="16" t="s">
        <v>1554</v>
      </c>
      <c r="F16" s="14">
        <f>IF('Fund 0001 Journal Entries'!$F$7="Governmental Fund",ROUND('Fund 0001 Journal Entries'!$J$56,0),0)</f>
        <v>2231608</v>
      </c>
      <c r="G16" s="16" t="s">
        <v>1556</v>
      </c>
      <c r="H16" s="17">
        <f>+B16+D16-F16</f>
        <v>906352</v>
      </c>
      <c r="I16" s="16"/>
      <c r="J16" s="18">
        <f>ROUND(SUM('Department Note Disclosure'!$B$16:$B$39),0)</f>
        <v>906352</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906352</v>
      </c>
      <c r="G39" s="150"/>
      <c r="H39" s="150"/>
      <c r="I39" s="20"/>
      <c r="J39" s="18">
        <f>ROUND('Department Note Disclosure'!$B$16,0)</f>
        <v>906352</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1009036</v>
      </c>
      <c r="H61" s="154" t="str">
        <f>"Balance July 1, "&amp;LEFT('Fund 0001 Journal Entries'!$F$3,4)</f>
        <v>Balance July 1, 2022</v>
      </c>
      <c r="J61" s="22">
        <f>ROUND('SBITA Liabilities'!$F$10,0)</f>
        <v>1009036</v>
      </c>
      <c r="L61" s="19">
        <f>D61-J61</f>
        <v>0</v>
      </c>
    </row>
    <row r="62" spans="1:13" x14ac:dyDescent="0.25">
      <c r="B62" s="152" t="s">
        <v>1630</v>
      </c>
      <c r="D62" s="22">
        <f>$D$16</f>
        <v>2128924</v>
      </c>
      <c r="H62" s="154" t="s">
        <v>10</v>
      </c>
      <c r="J62" s="22">
        <f>ROUND('SBITA Liabilities'!$H$10,0)</f>
        <v>2128924</v>
      </c>
      <c r="L62" s="19">
        <f>D62-J62</f>
        <v>0</v>
      </c>
    </row>
    <row r="63" spans="1:13" x14ac:dyDescent="0.25">
      <c r="B63" s="152" t="s">
        <v>1555</v>
      </c>
      <c r="D63" s="22">
        <f>$F$16</f>
        <v>2231608</v>
      </c>
      <c r="H63" s="154" t="s">
        <v>11</v>
      </c>
      <c r="J63" s="22">
        <f>ROUND('SBITA Liabilities'!$J$10,0)</f>
        <v>2231608</v>
      </c>
      <c r="L63" s="19">
        <f>D63-J63</f>
        <v>0</v>
      </c>
    </row>
    <row r="64" spans="1:13" x14ac:dyDescent="0.25">
      <c r="B64" s="152" t="s">
        <v>1559</v>
      </c>
      <c r="D64" s="22">
        <f>$F$39</f>
        <v>906352</v>
      </c>
      <c r="H64" s="154" t="s">
        <v>12</v>
      </c>
      <c r="J64" s="22">
        <f>ROUND('SBITA Liabilities'!$N$10,0)</f>
        <v>906352</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66DD948-C1C8-4365-87BB-06DB9B4EC27C}"/>
</file>

<file path=customXml/itemProps2.xml><?xml version="1.0" encoding="utf-8"?>
<ds:datastoreItem xmlns:ds="http://schemas.openxmlformats.org/officeDocument/2006/customXml" ds:itemID="{4DD96BCD-4230-4458-9C16-1155F71F3F51}"/>
</file>

<file path=customXml/itemProps3.xml><?xml version="1.0" encoding="utf-8"?>
<ds:datastoreItem xmlns:ds="http://schemas.openxmlformats.org/officeDocument/2006/customXml" ds:itemID="{E341DFED-BF1B-44CD-84EC-FE9022D9C3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