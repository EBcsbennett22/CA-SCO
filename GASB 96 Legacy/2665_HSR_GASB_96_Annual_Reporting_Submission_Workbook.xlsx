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fileSharing readOnlyRecommended="1"/>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69020D41-EEDD-4CB9-8BE0-1614A0C936D0}" xr6:coauthVersionLast="47" xr6:coauthVersionMax="47" xr10:uidLastSave="{00000000-0000-0000-0000-000000000000}"/>
  <bookViews>
    <workbookView xWindow="39150" yWindow="-110" windowWidth="38620" windowHeight="21220" xr2:uid="{00000000-000D-0000-FFFF-FFFF00000000}"/>
  </bookViews>
  <sheets>
    <sheet name="Fund 3228 Journal Entries" sheetId="2" r:id="rId1"/>
    <sheet name="Fund 6043 Journal Entries" sheetId="10"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0">'Fund 3228 Journal Entries'!$A$3:$K$70</definedName>
    <definedName name="_xlnm.Print_Area" localSheetId="1">'Fund 6043 Journal Entries'!$A$3:$K$70</definedName>
    <definedName name="_xlnm.Print_Area" localSheetId="3">'SBITA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N10" i="4" l="1"/>
  <c r="J10" i="4"/>
  <c r="H10" i="4"/>
  <c r="F10" i="4"/>
  <c r="K94" i="10" l="1"/>
  <c r="K86" i="10"/>
  <c r="J86" i="10"/>
  <c r="L86" i="10" s="1"/>
  <c r="L81" i="10"/>
  <c r="K81" i="10"/>
  <c r="J81" i="10"/>
  <c r="J70" i="10"/>
  <c r="K69" i="10"/>
  <c r="K70" i="10" s="1"/>
  <c r="J63" i="10"/>
  <c r="K62" i="10"/>
  <c r="K97" i="10" s="1"/>
  <c r="K57" i="10"/>
  <c r="J53" i="10"/>
  <c r="K52" i="10"/>
  <c r="K53" i="10" s="1"/>
  <c r="B51" i="10"/>
  <c r="J47" i="10"/>
  <c r="K46" i="10"/>
  <c r="K47" i="10" s="1"/>
  <c r="L47" i="10" s="1"/>
  <c r="K39" i="10"/>
  <c r="J39" i="10"/>
  <c r="K31" i="10"/>
  <c r="J31" i="10"/>
  <c r="A26" i="10"/>
  <c r="K22" i="10"/>
  <c r="J22" i="10"/>
  <c r="B14" i="10"/>
  <c r="A12" i="10"/>
  <c r="F8" i="10"/>
  <c r="C80" i="10" s="1"/>
  <c r="B23" i="9"/>
  <c r="D23" i="9"/>
  <c r="F23" i="9"/>
  <c r="B31" i="9"/>
  <c r="D31" i="9"/>
  <c r="F31" i="9"/>
  <c r="F46" i="9"/>
  <c r="F53" i="9"/>
  <c r="N14" i="4"/>
  <c r="J14" i="4"/>
  <c r="H14" i="4"/>
  <c r="F14" i="4"/>
  <c r="F18" i="4"/>
  <c r="H18" i="4"/>
  <c r="J18" i="4"/>
  <c r="N18" i="4"/>
  <c r="K46" i="2"/>
  <c r="K52" i="2"/>
  <c r="L53" i="10" l="1"/>
  <c r="L39" i="10"/>
  <c r="L31" i="10"/>
  <c r="L22" i="10"/>
  <c r="L70" i="10"/>
  <c r="K96" i="10"/>
  <c r="J58" i="10"/>
  <c r="L58" i="10" s="1"/>
  <c r="B78" i="10"/>
  <c r="C52" i="10"/>
  <c r="K58" i="10"/>
  <c r="C30" i="10"/>
  <c r="C38" i="10"/>
  <c r="K95" i="10"/>
  <c r="K63" i="10"/>
  <c r="L63" i="10" s="1"/>
  <c r="G5" i="4"/>
  <c r="K62" i="2"/>
  <c r="K57" i="2"/>
  <c r="J56" i="2" s="1"/>
  <c r="D86" i="3"/>
  <c r="D55" i="3"/>
  <c r="D24" i="3"/>
  <c r="K97" i="2" l="1"/>
  <c r="K96" i="2"/>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<sst xmlns="http://schemas.openxmlformats.org/spreadsheetml/2006/main" count="7614" uniqueCount="1642">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</sst>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
      <sz val="11"/>
      <color theme="1"/>
      <name val="Calibri"/>
      <family val="2"/>
    </font>
    <font>
      <sz val="11"/>
      <color indexed="8"/>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xf numFmtId="9" fontId="1" fillId="0" borderId="0" applyFont="0" applyFill="0" applyBorder="0" applyAlignment="0" applyProtection="0"/>
    <xf numFmtId="0" fontId="47" fillId="0" borderId="0"/>
    <xf numFmtId="0" fontId="48" fillId="0" borderId="0"/>
    <xf numFmtId="43" fontId="48" fillId="0" borderId="0" applyFont="0" applyFill="0" applyBorder="0" applyAlignment="0" applyProtection="0"/>
    <xf numFmtId="0" fontId="1" fillId="0" borderId="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10">
    <cellStyle name="Comma" xfId="1" builtinId="3"/>
    <cellStyle name="Comma 2" xfId="8" xr:uid="{DEF2B32A-87E9-4260-9CD7-A9BB4B95F8F0}"/>
    <cellStyle name="Currency" xfId="2" builtinId="4"/>
    <cellStyle name="Hyperlink 2" xfId="4" xr:uid="{62D08480-7242-447A-A3A1-416117293E9B}"/>
    <cellStyle name="Normal" xfId="0" builtinId="0"/>
    <cellStyle name="Normal 2" xfId="3" xr:uid="{00000000-0005-0000-0000-000003000000}"/>
    <cellStyle name="Normal 2 2" xfId="9" xr:uid="{B20F3F23-06A5-46A8-82D4-0DAB2684AE06}"/>
    <cellStyle name="Normal 2 3" xfId="7" xr:uid="{122EDF44-9F18-497C-8969-8201AEEBE472}"/>
    <cellStyle name="Normal 6" xfId="6" xr:uid="{B45F8DFD-61E1-43BA-8958-BA25048DB2AC}"/>
    <cellStyle name="Percent 2" xfId="5" xr:uid="{84262418-8212-4FA2-BD90-238C7CF7C6ED}"/>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17" zoomScale="85" zoomScaleNormal="85" workbookViewId="0">
      <selection activeCell="J35" sqref="J35"/>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598</v>
      </c>
      <c r="G4" s="168"/>
      <c r="H4" s="168"/>
      <c r="I4" s="168"/>
    </row>
    <row r="5" spans="1:17" ht="15.75" x14ac:dyDescent="0.2">
      <c r="A5" s="169" t="s">
        <v>1602</v>
      </c>
      <c r="B5" s="169"/>
      <c r="C5" s="169"/>
      <c r="D5" s="169"/>
      <c r="E5" s="169"/>
      <c r="F5" s="170" t="s">
        <v>597</v>
      </c>
      <c r="G5" s="170"/>
      <c r="H5" s="170"/>
      <c r="I5" s="170"/>
      <c r="J5" s="47"/>
      <c r="K5" s="47"/>
      <c r="L5" s="48"/>
      <c r="M5" s="48"/>
      <c r="N5" s="48"/>
    </row>
    <row r="6" spans="1:17" ht="15.75" x14ac:dyDescent="0.2">
      <c r="A6" s="169" t="s">
        <v>1</v>
      </c>
      <c r="B6" s="169"/>
      <c r="C6" s="169"/>
      <c r="D6" s="169"/>
      <c r="E6" s="169"/>
      <c r="F6" s="171">
        <v>3228</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TRANSPORTATION</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858754</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486930</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371824</v>
      </c>
      <c r="Q21" s="28"/>
    </row>
    <row r="22" spans="1:17" ht="16.5" customHeight="1" x14ac:dyDescent="0.2">
      <c r="A22" s="56"/>
      <c r="B22" s="58"/>
      <c r="C22" s="58"/>
      <c r="D22" s="58"/>
      <c r="E22" s="58"/>
      <c r="F22" s="58"/>
      <c r="G22" s="58"/>
      <c r="H22" s="58"/>
      <c r="I22" s="58"/>
      <c r="J22" s="29">
        <f>ROUND(SUM(J15:J17),2)</f>
        <v>858754</v>
      </c>
      <c r="K22" s="29">
        <f>ROUND(SUM(K18:K21),2)</f>
        <v>858754</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679222</v>
      </c>
      <c r="K28" s="33"/>
      <c r="L28" s="54"/>
    </row>
    <row r="29" spans="1:17" ht="16.5" customHeight="1" x14ac:dyDescent="0.25">
      <c r="A29" s="56"/>
      <c r="B29" s="57"/>
      <c r="C29" s="165" t="s">
        <v>1578</v>
      </c>
      <c r="D29" s="165"/>
      <c r="E29" s="165"/>
      <c r="F29" s="165"/>
      <c r="G29" s="165"/>
      <c r="H29" s="165"/>
      <c r="I29" s="165"/>
      <c r="J29" s="33"/>
      <c r="K29" s="32">
        <v>679222</v>
      </c>
      <c r="L29" s="54"/>
    </row>
    <row r="30" spans="1:17" ht="16.5" customHeight="1" x14ac:dyDescent="0.25">
      <c r="A30" s="56"/>
      <c r="B30" s="57"/>
      <c r="C30" s="165" t="str">
        <f>VLOOKUP($F$8,'Drop Down Menus'!$D$2:$G$10,4,FALSE)</f>
        <v>Cr: Acct 0830 - TRANSPORTATION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679222</v>
      </c>
      <c r="K31" s="29">
        <f>ROUND(SUM(K28:K30),2)</f>
        <v>679222</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679222</v>
      </c>
      <c r="K34" s="70"/>
      <c r="L34" s="54"/>
    </row>
    <row r="35" spans="1:12" ht="16.5" customHeight="1" x14ac:dyDescent="0.2">
      <c r="B35" s="165" t="s">
        <v>1579</v>
      </c>
      <c r="C35" s="165"/>
      <c r="D35" s="165"/>
      <c r="E35" s="165"/>
      <c r="F35" s="165"/>
      <c r="G35" s="165"/>
      <c r="H35" s="165"/>
      <c r="I35" s="165"/>
      <c r="J35" s="32">
        <v>679222</v>
      </c>
      <c r="K35" s="36"/>
    </row>
    <row r="36" spans="1:12" ht="16.5" customHeight="1" x14ac:dyDescent="0.2">
      <c r="A36" s="56"/>
      <c r="B36" s="71"/>
      <c r="C36" s="165" t="s">
        <v>1581</v>
      </c>
      <c r="D36" s="165"/>
      <c r="E36" s="165"/>
      <c r="F36" s="165"/>
      <c r="G36" s="165"/>
      <c r="H36" s="165"/>
      <c r="I36" s="165"/>
      <c r="J36" s="36"/>
      <c r="K36" s="32">
        <v>679222</v>
      </c>
    </row>
    <row r="37" spans="1:12" ht="16.5" customHeight="1" x14ac:dyDescent="0.2">
      <c r="A37" s="56"/>
      <c r="C37" s="165" t="s">
        <v>1626</v>
      </c>
      <c r="D37" s="165"/>
      <c r="E37" s="165"/>
      <c r="F37" s="165"/>
      <c r="G37" s="165"/>
      <c r="H37" s="165"/>
      <c r="I37" s="165"/>
      <c r="J37" s="36"/>
      <c r="K37" s="32">
        <v>679222</v>
      </c>
    </row>
    <row r="38" spans="1:12" ht="16.5" customHeight="1" x14ac:dyDescent="0.25">
      <c r="A38" s="56"/>
      <c r="B38" s="57"/>
      <c r="C38" s="165" t="str">
        <f>VLOOKUP($F$8,'Drop Down Menus'!$D$2:$G$10,4,FALSE)</f>
        <v>Cr: Acct 0830 - TRANSPORTATION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1358444</v>
      </c>
      <c r="K39" s="29">
        <f>ROUND(SUM(K36:K38),2)</f>
        <v>1358444</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597209</v>
      </c>
      <c r="K45" s="33"/>
    </row>
    <row r="46" spans="1:12" ht="16.5" customHeight="1" x14ac:dyDescent="0.2">
      <c r="A46" s="56"/>
      <c r="B46" s="71"/>
      <c r="C46" s="165" t="s">
        <v>1587</v>
      </c>
      <c r="D46" s="165"/>
      <c r="E46" s="165"/>
      <c r="F46" s="165"/>
      <c r="G46" s="165"/>
      <c r="H46" s="165"/>
      <c r="I46" s="165"/>
      <c r="J46" s="36"/>
      <c r="K46" s="32">
        <f>J45</f>
        <v>597209</v>
      </c>
    </row>
    <row r="47" spans="1:12" ht="16.5" customHeight="1" x14ac:dyDescent="0.2">
      <c r="A47" s="68"/>
      <c r="B47" s="58"/>
      <c r="C47" s="58"/>
      <c r="D47" s="58"/>
      <c r="E47" s="58"/>
      <c r="F47" s="58"/>
      <c r="G47" s="58"/>
      <c r="H47" s="58"/>
      <c r="I47" s="58"/>
      <c r="J47" s="39">
        <f>ROUND(SUM(J45:J45),2)</f>
        <v>597209</v>
      </c>
      <c r="K47" s="39">
        <f>ROUND(SUM(K46),2)</f>
        <v>597209</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747784</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11186</v>
      </c>
      <c r="K51" s="81"/>
    </row>
    <row r="52" spans="1:12" ht="16.5" customHeight="1" x14ac:dyDescent="0.25">
      <c r="A52" s="56"/>
      <c r="B52" s="57"/>
      <c r="C52" s="165" t="str">
        <f>VLOOKUP($F$8,'Drop Down Menus'!$D$2:$G$10,4,FALSE)</f>
        <v>Cr: Acct 0830 - TRANSPORTATION (GAAP ADJ)</v>
      </c>
      <c r="D52" s="165"/>
      <c r="E52" s="165"/>
      <c r="F52" s="165"/>
      <c r="G52" s="165"/>
      <c r="H52" s="165"/>
      <c r="I52" s="165"/>
      <c r="J52" s="81"/>
      <c r="K52" s="38">
        <f>+J50+J51</f>
        <v>758970</v>
      </c>
    </row>
    <row r="53" spans="1:12" ht="16.5" customHeight="1" x14ac:dyDescent="0.2">
      <c r="A53" s="68"/>
      <c r="B53" s="58"/>
      <c r="C53" s="58"/>
      <c r="D53" s="58"/>
      <c r="E53" s="58"/>
      <c r="F53" s="58"/>
      <c r="G53" s="58"/>
      <c r="H53" s="58"/>
      <c r="I53" s="58"/>
      <c r="J53" s="39">
        <f>ROUND(SUM(J50:J51),2)</f>
        <v>758970</v>
      </c>
      <c r="K53" s="39">
        <f>ROUND(SUM(K52,),2)</f>
        <v>758970</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747784</v>
      </c>
      <c r="K56" s="36"/>
    </row>
    <row r="57" spans="1:12" ht="16.5" customHeight="1" x14ac:dyDescent="0.25">
      <c r="A57" s="56"/>
      <c r="B57" s="57"/>
      <c r="C57" s="165" t="s">
        <v>1613</v>
      </c>
      <c r="D57" s="165"/>
      <c r="E57" s="165"/>
      <c r="F57" s="165"/>
      <c r="G57" s="165"/>
      <c r="H57" s="165"/>
      <c r="I57" s="165"/>
      <c r="J57" s="36"/>
      <c r="K57" s="32">
        <f>J50</f>
        <v>747784</v>
      </c>
    </row>
    <row r="58" spans="1:12" ht="16.5" customHeight="1" x14ac:dyDescent="0.2">
      <c r="A58" s="68"/>
      <c r="B58" s="58"/>
      <c r="C58" s="58"/>
      <c r="D58" s="58"/>
      <c r="E58" s="58"/>
      <c r="F58" s="58"/>
      <c r="G58" s="58"/>
      <c r="H58" s="58"/>
      <c r="I58" s="58"/>
      <c r="J58" s="39">
        <f>ROUND(SUM(J56:J56),2)</f>
        <v>747784</v>
      </c>
      <c r="K58" s="39">
        <f>ROUND(SUM(K57),2)</f>
        <v>747784</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255135</v>
      </c>
      <c r="K61" s="33"/>
    </row>
    <row r="62" spans="1:12" ht="16.5" customHeight="1" x14ac:dyDescent="0.25">
      <c r="A62" s="56"/>
      <c r="B62" s="57"/>
      <c r="C62" s="165" t="s">
        <v>1623</v>
      </c>
      <c r="D62" s="165"/>
      <c r="E62" s="165"/>
      <c r="F62" s="165"/>
      <c r="G62" s="165"/>
      <c r="H62" s="165"/>
      <c r="I62" s="165"/>
      <c r="J62" s="33"/>
      <c r="K62" s="32">
        <f>J61</f>
        <v>255135</v>
      </c>
    </row>
    <row r="63" spans="1:12" ht="16.5" customHeight="1" x14ac:dyDescent="0.2">
      <c r="A63" s="56"/>
      <c r="B63" s="179" t="s">
        <v>1622</v>
      </c>
      <c r="C63" s="179"/>
      <c r="D63" s="179"/>
      <c r="E63" s="179"/>
      <c r="F63" s="179"/>
      <c r="G63" s="179"/>
      <c r="H63" s="179"/>
      <c r="I63" s="179"/>
      <c r="J63" s="39">
        <f>ROUND(SUM(J61:J61),2)</f>
        <v>255135</v>
      </c>
      <c r="K63" s="39">
        <f>ROUND(SUM(K62),2)</f>
        <v>255135</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0830 - TRANSPORTATION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0830 - TRANSPORTATION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1537976</v>
      </c>
    </row>
    <row r="95" spans="1:12" ht="16.5" customHeight="1" x14ac:dyDescent="0.25">
      <c r="D95" s="57" t="s">
        <v>1641</v>
      </c>
      <c r="E95"/>
      <c r="F95"/>
      <c r="G95"/>
      <c r="H95" s="44"/>
      <c r="I95"/>
      <c r="J95"/>
      <c r="K95" s="162">
        <f>-K18-K46+J68+J77</f>
        <v>-597209</v>
      </c>
    </row>
    <row r="96" spans="1:12" ht="16.5" customHeight="1" x14ac:dyDescent="0.25">
      <c r="D96" s="57" t="s">
        <v>1639</v>
      </c>
      <c r="E96"/>
      <c r="F96"/>
      <c r="G96"/>
      <c r="H96" s="44"/>
      <c r="I96"/>
      <c r="J96"/>
      <c r="K96" s="162">
        <f>-K19-K37+J56+J61+J76-K85</f>
        <v>-163233</v>
      </c>
    </row>
    <row r="97" spans="1:11" ht="16.5" customHeight="1" x14ac:dyDescent="0.25">
      <c r="D97" s="57" t="s">
        <v>1640</v>
      </c>
      <c r="E97"/>
      <c r="F97"/>
      <c r="G97"/>
      <c r="H97" s="44"/>
      <c r="I97"/>
      <c r="J97"/>
      <c r="K97" s="162">
        <f>-K62</f>
        <v>-255135</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2"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48990-33DF-470A-A933-8FD89CD1A967}">
  <sheetPr>
    <tabColor rgb="FF92D050"/>
    <pageSetUpPr fitToPage="1"/>
  </sheetPr>
  <dimension ref="A1:Q115"/>
  <sheetViews>
    <sheetView topLeftCell="A7" zoomScale="85" zoomScaleNormal="85" workbookViewId="0">
      <selection sqref="A1:K1"/>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598</v>
      </c>
      <c r="G4" s="168"/>
      <c r="H4" s="168"/>
      <c r="I4" s="168"/>
    </row>
    <row r="5" spans="1:17" ht="15.75" x14ac:dyDescent="0.2">
      <c r="A5" s="169" t="s">
        <v>1602</v>
      </c>
      <c r="B5" s="169"/>
      <c r="C5" s="169"/>
      <c r="D5" s="169"/>
      <c r="E5" s="169"/>
      <c r="F5" s="170" t="s">
        <v>597</v>
      </c>
      <c r="G5" s="170"/>
      <c r="H5" s="170"/>
      <c r="I5" s="170"/>
      <c r="J5" s="47"/>
      <c r="K5" s="47"/>
      <c r="L5" s="48"/>
      <c r="M5" s="48"/>
      <c r="N5" s="48"/>
    </row>
    <row r="6" spans="1:17" ht="15.75" x14ac:dyDescent="0.2">
      <c r="A6" s="169" t="s">
        <v>1</v>
      </c>
      <c r="B6" s="169"/>
      <c r="C6" s="169"/>
      <c r="D6" s="169"/>
      <c r="E6" s="169"/>
      <c r="F6" s="171">
        <v>6043</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TRANSPORTATION</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501541</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356204</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145337</v>
      </c>
      <c r="Q21" s="28"/>
    </row>
    <row r="22" spans="1:17" ht="16.5" customHeight="1" x14ac:dyDescent="0.2">
      <c r="A22" s="56"/>
      <c r="B22" s="58"/>
      <c r="C22" s="58"/>
      <c r="D22" s="58"/>
      <c r="E22" s="58"/>
      <c r="F22" s="58"/>
      <c r="G22" s="58"/>
      <c r="H22" s="58"/>
      <c r="I22" s="58"/>
      <c r="J22" s="29">
        <f>ROUND(SUM(J15:J17),2)</f>
        <v>501541</v>
      </c>
      <c r="K22" s="29">
        <f>ROUND(SUM(K18:K21),2)</f>
        <v>501541</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67317</v>
      </c>
      <c r="K28" s="33"/>
      <c r="L28" s="54"/>
    </row>
    <row r="29" spans="1:17" ht="16.5" customHeight="1" x14ac:dyDescent="0.25">
      <c r="A29" s="56"/>
      <c r="B29" s="57"/>
      <c r="C29" s="165" t="s">
        <v>1578</v>
      </c>
      <c r="D29" s="165"/>
      <c r="E29" s="165"/>
      <c r="F29" s="165"/>
      <c r="G29" s="165"/>
      <c r="H29" s="165"/>
      <c r="I29" s="165"/>
      <c r="J29" s="33"/>
      <c r="K29" s="32">
        <v>67317</v>
      </c>
      <c r="L29" s="54"/>
    </row>
    <row r="30" spans="1:17" ht="16.5" customHeight="1" x14ac:dyDescent="0.25">
      <c r="A30" s="56"/>
      <c r="B30" s="57"/>
      <c r="C30" s="165" t="str">
        <f>VLOOKUP($F$8,'Drop Down Menus'!$D$2:$G$10,4,FALSE)</f>
        <v>Cr: Acct 0830 - TRANSPORTATION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67317</v>
      </c>
      <c r="K31" s="29">
        <f>ROUND(SUM(K28:K30),2)</f>
        <v>67317</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67317</v>
      </c>
      <c r="K34" s="70"/>
      <c r="L34" s="54"/>
    </row>
    <row r="35" spans="1:12" ht="16.5" customHeight="1" x14ac:dyDescent="0.2">
      <c r="B35" s="165" t="s">
        <v>1579</v>
      </c>
      <c r="C35" s="165"/>
      <c r="D35" s="165"/>
      <c r="E35" s="165"/>
      <c r="F35" s="165"/>
      <c r="G35" s="165"/>
      <c r="H35" s="165"/>
      <c r="I35" s="165"/>
      <c r="J35" s="32">
        <v>67317</v>
      </c>
      <c r="K35" s="36"/>
    </row>
    <row r="36" spans="1:12" ht="16.5" customHeight="1" x14ac:dyDescent="0.2">
      <c r="A36" s="56"/>
      <c r="B36" s="71"/>
      <c r="C36" s="165" t="s">
        <v>1581</v>
      </c>
      <c r="D36" s="165"/>
      <c r="E36" s="165"/>
      <c r="F36" s="165"/>
      <c r="G36" s="165"/>
      <c r="H36" s="165"/>
      <c r="I36" s="165"/>
      <c r="J36" s="36"/>
      <c r="K36" s="32">
        <v>67317</v>
      </c>
    </row>
    <row r="37" spans="1:12" ht="16.5" customHeight="1" x14ac:dyDescent="0.2">
      <c r="A37" s="56"/>
      <c r="C37" s="165" t="s">
        <v>1626</v>
      </c>
      <c r="D37" s="165"/>
      <c r="E37" s="165"/>
      <c r="F37" s="165"/>
      <c r="G37" s="165"/>
      <c r="H37" s="165"/>
      <c r="I37" s="165"/>
      <c r="J37" s="36"/>
      <c r="K37" s="32">
        <v>67317</v>
      </c>
    </row>
    <row r="38" spans="1:12" ht="16.5" customHeight="1" x14ac:dyDescent="0.25">
      <c r="A38" s="56"/>
      <c r="B38" s="57"/>
      <c r="C38" s="165" t="str">
        <f>VLOOKUP($F$8,'Drop Down Menus'!$D$2:$G$10,4,FALSE)</f>
        <v>Cr: Acct 0830 - TRANSPORTATION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134634</v>
      </c>
      <c r="K39" s="29">
        <f>ROUND(SUM(K36:K38),2)</f>
        <v>134634</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187772</v>
      </c>
      <c r="K45" s="33"/>
    </row>
    <row r="46" spans="1:12" ht="16.5" customHeight="1" x14ac:dyDescent="0.2">
      <c r="A46" s="56"/>
      <c r="B46" s="71"/>
      <c r="C46" s="165" t="s">
        <v>1587</v>
      </c>
      <c r="D46" s="165"/>
      <c r="E46" s="165"/>
      <c r="F46" s="165"/>
      <c r="G46" s="165"/>
      <c r="H46" s="165"/>
      <c r="I46" s="165"/>
      <c r="J46" s="36"/>
      <c r="K46" s="32">
        <f>J45</f>
        <v>187772</v>
      </c>
    </row>
    <row r="47" spans="1:12" ht="16.5" customHeight="1" x14ac:dyDescent="0.2">
      <c r="A47" s="68"/>
      <c r="B47" s="58"/>
      <c r="C47" s="58"/>
      <c r="D47" s="58"/>
      <c r="E47" s="58"/>
      <c r="F47" s="58"/>
      <c r="G47" s="58"/>
      <c r="H47" s="58"/>
      <c r="I47" s="58"/>
      <c r="J47" s="39">
        <f>ROUND(SUM(J45:J45),2)</f>
        <v>187772</v>
      </c>
      <c r="K47" s="39">
        <f>ROUND(SUM(K46),2)</f>
        <v>187772</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197087</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8214</v>
      </c>
      <c r="K51" s="81"/>
    </row>
    <row r="52" spans="1:12" ht="16.5" customHeight="1" x14ac:dyDescent="0.25">
      <c r="A52" s="56"/>
      <c r="B52" s="57"/>
      <c r="C52" s="165" t="str">
        <f>VLOOKUP($F$8,'Drop Down Menus'!$D$2:$G$10,4,FALSE)</f>
        <v>Cr: Acct 0830 - TRANSPORTATION (GAAP ADJ)</v>
      </c>
      <c r="D52" s="165"/>
      <c r="E52" s="165"/>
      <c r="F52" s="165"/>
      <c r="G52" s="165"/>
      <c r="H52" s="165"/>
      <c r="I52" s="165"/>
      <c r="J52" s="81"/>
      <c r="K52" s="38">
        <f>+J50+J51</f>
        <v>205301</v>
      </c>
    </row>
    <row r="53" spans="1:12" ht="16.5" customHeight="1" x14ac:dyDescent="0.2">
      <c r="A53" s="68"/>
      <c r="B53" s="58"/>
      <c r="C53" s="58"/>
      <c r="D53" s="58"/>
      <c r="E53" s="58"/>
      <c r="F53" s="58"/>
      <c r="G53" s="58"/>
      <c r="H53" s="58"/>
      <c r="I53" s="58"/>
      <c r="J53" s="39">
        <f>ROUND(SUM(J50:J51),2)</f>
        <v>205301</v>
      </c>
      <c r="K53" s="39">
        <f>ROUND(SUM(K52,),2)</f>
        <v>205301</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v>197087</v>
      </c>
      <c r="K56" s="36"/>
    </row>
    <row r="57" spans="1:12" ht="16.5" customHeight="1" x14ac:dyDescent="0.25">
      <c r="A57" s="56"/>
      <c r="B57" s="57"/>
      <c r="C57" s="165" t="s">
        <v>1613</v>
      </c>
      <c r="D57" s="165"/>
      <c r="E57" s="165"/>
      <c r="F57" s="165"/>
      <c r="G57" s="165"/>
      <c r="H57" s="165"/>
      <c r="I57" s="165"/>
      <c r="J57" s="36"/>
      <c r="K57" s="32">
        <f>J50</f>
        <v>197087</v>
      </c>
    </row>
    <row r="58" spans="1:12" ht="16.5" customHeight="1" x14ac:dyDescent="0.2">
      <c r="A58" s="68"/>
      <c r="B58" s="58"/>
      <c r="C58" s="58"/>
      <c r="D58" s="58"/>
      <c r="E58" s="58"/>
      <c r="F58" s="58"/>
      <c r="G58" s="58"/>
      <c r="H58" s="58"/>
      <c r="I58" s="58"/>
      <c r="J58" s="39">
        <f>ROUND(SUM(J56:J56),2)</f>
        <v>197087</v>
      </c>
      <c r="K58" s="39">
        <f>ROUND(SUM(K57),2)</f>
        <v>197087</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204648</v>
      </c>
      <c r="K61" s="33"/>
    </row>
    <row r="62" spans="1:12" ht="16.5" customHeight="1" x14ac:dyDescent="0.25">
      <c r="A62" s="56"/>
      <c r="B62" s="57"/>
      <c r="C62" s="165" t="s">
        <v>1623</v>
      </c>
      <c r="D62" s="165"/>
      <c r="E62" s="165"/>
      <c r="F62" s="165"/>
      <c r="G62" s="165"/>
      <c r="H62" s="165"/>
      <c r="I62" s="165"/>
      <c r="J62" s="33"/>
      <c r="K62" s="32">
        <f>J61</f>
        <v>204648</v>
      </c>
    </row>
    <row r="63" spans="1:12" ht="16.5" customHeight="1" x14ac:dyDescent="0.2">
      <c r="A63" s="56"/>
      <c r="B63" s="179" t="s">
        <v>1622</v>
      </c>
      <c r="C63" s="179"/>
      <c r="D63" s="179"/>
      <c r="E63" s="179"/>
      <c r="F63" s="179"/>
      <c r="G63" s="179"/>
      <c r="H63" s="179"/>
      <c r="I63" s="179"/>
      <c r="J63" s="39">
        <f>ROUND(SUM(J61:J61),2)</f>
        <v>204648</v>
      </c>
      <c r="K63" s="39">
        <f>ROUND(SUM(K62),2)</f>
        <v>204648</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0830 - TRANSPORTATION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0830 - TRANSPORTATION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568858</v>
      </c>
    </row>
    <row r="95" spans="1:12" ht="16.5" customHeight="1" x14ac:dyDescent="0.25">
      <c r="D95" s="57" t="s">
        <v>1641</v>
      </c>
      <c r="E95"/>
      <c r="F95"/>
      <c r="G95"/>
      <c r="H95" s="44"/>
      <c r="I95"/>
      <c r="J95"/>
      <c r="K95" s="162">
        <f>-K18-K46+J68+J77</f>
        <v>-187772</v>
      </c>
    </row>
    <row r="96" spans="1:12" ht="16.5" customHeight="1" x14ac:dyDescent="0.25">
      <c r="D96" s="57" t="s">
        <v>1639</v>
      </c>
      <c r="E96"/>
      <c r="F96"/>
      <c r="G96"/>
      <c r="H96" s="44"/>
      <c r="I96"/>
      <c r="J96"/>
      <c r="K96" s="162">
        <f>-K19-K37+J56+J61+J76-K85</f>
        <v>-21786</v>
      </c>
    </row>
    <row r="97" spans="1:11" ht="16.5" customHeight="1" x14ac:dyDescent="0.25">
      <c r="D97" s="57" t="s">
        <v>1640</v>
      </c>
      <c r="E97"/>
      <c r="F97"/>
      <c r="G97"/>
      <c r="H97" s="44"/>
      <c r="I97"/>
      <c r="J97"/>
      <c r="K97" s="162">
        <f>-K62</f>
        <v>-204648</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1"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3921D868-C8D8-4B68-A14D-E3A3576354B4}">
      <formula1>4</formula1>
    </dataValidation>
    <dataValidation type="textLength" operator="lessThan" allowBlank="1" showInputMessage="1" showErrorMessage="1" sqref="E11 A6:A8" xr:uid="{B90DCD5E-F402-4BCC-8A70-66E6335AA82C}">
      <formula1>0</formula1>
    </dataValidation>
    <dataValidation operator="lessThan" allowBlank="1" showInputMessage="1" showErrorMessage="1" sqref="A3:A5 A7:A8 A11" xr:uid="{95BA14E5-F616-401E-BC4F-7923A0276E81}"/>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8C0740C0-8529-4208-8891-B8F788E4169B}">
          <x14:formula1>
            <xm:f>'Drop Down Menus'!$B$1:$B$3</xm:f>
          </x14:formula1>
          <xm:sqref>F7</xm:sqref>
        </x14:dataValidation>
        <x14:dataValidation type="list" allowBlank="1" showInputMessage="1" showErrorMessage="1" xr:uid="{0C5B2230-3AB2-4DDE-BDFE-0CD20EA410A9}">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8" sqref="C18"/>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2665</v>
      </c>
      <c r="C12" s="187"/>
    </row>
    <row r="13" spans="1:11" ht="15.75" x14ac:dyDescent="0.25">
      <c r="A13" s="92" t="s">
        <v>1600</v>
      </c>
      <c r="B13" s="191" t="s">
        <v>598</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459783</v>
      </c>
      <c r="C16" s="2">
        <v>12992</v>
      </c>
      <c r="D16" s="193" t="s">
        <v>1537</v>
      </c>
      <c r="E16" s="97"/>
      <c r="F16" s="97"/>
      <c r="G16" s="97"/>
      <c r="H16" s="97"/>
      <c r="I16" s="97"/>
      <c r="J16" s="97"/>
      <c r="K16" s="97"/>
    </row>
    <row r="17" spans="1:11" ht="15" customHeight="1" x14ac:dyDescent="0.2">
      <c r="A17" s="94" t="str">
        <f>LEFT(A16,4)+1&amp;"–"&amp;RIGHT(A16,4)+1</f>
        <v>2024–2025</v>
      </c>
      <c r="B17" s="2">
        <v>185019</v>
      </c>
      <c r="C17" s="2">
        <v>3934</v>
      </c>
      <c r="D17" s="193"/>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117</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658759</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2665</v>
      </c>
      <c r="C43" s="189"/>
    </row>
    <row r="44" spans="1:11" ht="15.75" x14ac:dyDescent="0.25">
      <c r="A44" s="92" t="s">
        <v>1600</v>
      </c>
      <c r="B44" s="190" t="str">
        <f>B13</f>
        <v>HIGH SPEED RAIL AUTHORITY</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2665</v>
      </c>
      <c r="C74" s="189"/>
    </row>
    <row r="75" spans="1:4" ht="15.75" x14ac:dyDescent="0.25">
      <c r="A75" s="92" t="s">
        <v>1600</v>
      </c>
      <c r="B75" s="190" t="str">
        <f>B13</f>
        <v>HIGH SPEED RAIL AUTHORITY</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f6ZyZSb2GhCGg0IUHVTzAYOPP4C8uPlxbzydq1YMgNLE7us4gxxk+Cuz+5aT74E2lhrtGu+0TO5RZ2pJMeiBPw==" saltValue="jRV7mTngl5GGNJJ8mb9nTg=="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N11" sqref="N11"/>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3228 Journal Entries'!$F$5&amp;" "&amp;'Fund 3228 Journal Entries'!$F$4</f>
        <v>Business Unit 2665 HIGH SPEED RAIL AUTHORITY</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3228 Journal Entries'!$F$3,4)</f>
        <v>Balance
July 1, 2022</v>
      </c>
      <c r="G8" s="116"/>
      <c r="H8" s="117" t="s">
        <v>10</v>
      </c>
      <c r="I8" s="116"/>
      <c r="J8" s="117" t="s">
        <v>11</v>
      </c>
      <c r="K8" s="116"/>
      <c r="L8" s="115" t="str">
        <f>"Balance
June 30, "&amp;RIGHT('Fund 3228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+'Fund 3228 Journal Entries'!K19+'Fund 6043 Journal Entries'!K19</f>
        <v>843134</v>
      </c>
      <c r="H10" s="3">
        <f>+'Fund 3228 Journal Entries'!K37+'Fund 6043 Journal Entries'!K37</f>
        <v>746539</v>
      </c>
      <c r="J10" s="3">
        <f>+'Fund 3228 Journal Entries'!J56+'Fund 6043 Journal Entries'!J56</f>
        <v>944871</v>
      </c>
      <c r="L10" s="119">
        <f>SUM(F10+H10-J10)</f>
        <v>644802</v>
      </c>
      <c r="N10" s="3">
        <f>+'Fund 3228 Journal Entries'!J61+'Fund 6043 Journal Entries'!J61</f>
        <v>459783</v>
      </c>
      <c r="P10" s="119">
        <f>L10-N10</f>
        <v>185019</v>
      </c>
      <c r="Q10" s="109"/>
    </row>
    <row r="11" spans="2:17" ht="19.5" thickTop="1" thickBot="1" x14ac:dyDescent="0.3">
      <c r="B11" s="107"/>
      <c r="C11" s="195" t="s">
        <v>15</v>
      </c>
      <c r="D11" s="195"/>
      <c r="F11" s="120">
        <f>SUM(F10:F10)</f>
        <v>843134</v>
      </c>
      <c r="H11" s="120">
        <f>SUM(H10:H10)</f>
        <v>746539</v>
      </c>
      <c r="J11" s="120">
        <f>SUM(J10:J10)</f>
        <v>944871</v>
      </c>
      <c r="L11" s="120">
        <f>SUM(L10:L10)</f>
        <v>644802</v>
      </c>
      <c r="N11" s="120">
        <f>SUM(N10:N10)</f>
        <v>459783</v>
      </c>
      <c r="P11" s="120">
        <f>SUM(P10:P10)</f>
        <v>185019</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3228 Journal Entries'!$F$7="Proprietary - Internal Service Fund",'Fund 3228 Journal Entries'!$K$19,0)</f>
        <v>0</v>
      </c>
      <c r="H14" s="3">
        <f>IF('Fund 3228 Journal Entries'!$F$7="Proprietary - Internal Service Fund",'Fund 3228 Journal Entries'!$K$37,0)</f>
        <v>0</v>
      </c>
      <c r="J14" s="3">
        <f>IF('Fund 3228 Journal Entries'!$F$7="Proprietary - Internal Service Fund",'Fund 3228 Journal Entries'!$J$56,0)</f>
        <v>0</v>
      </c>
      <c r="L14" s="119">
        <f>SUM(F14+H14-J14)</f>
        <v>0</v>
      </c>
      <c r="N14" s="3">
        <f>IF('Fund 3228 Journal Entries'!$F$7="Proprietary - Internal Service Fund",'Fund 3228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3228 Journal Entries'!$F$7="Proprietary - Enterprise Fund",'Fund 3228 Journal Entries'!$K$19,0)</f>
        <v>0</v>
      </c>
      <c r="H18" s="3">
        <f>IF('Fund 3228 Journal Entries'!$F$7="Proprietary - Enterprise Fund",'Fund 3228 Journal Entries'!$K$37,0)</f>
        <v>0</v>
      </c>
      <c r="J18" s="3">
        <f>IF('Fund 3228 Journal Entries'!$F$7="Proprietary - Enterprise Fund",'Fund 3228 Journal Entries'!$J$56,0)</f>
        <v>0</v>
      </c>
      <c r="L18" s="119">
        <f>SUM(F18+H18-J18)</f>
        <v>0</v>
      </c>
      <c r="N18" s="3">
        <f>IF('Fund 3228 Journal Entries'!$F$7="Proprietary - Enterprise Fund",'Fund 3228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5" zoomScale="112" zoomScaleNormal="112" workbookViewId="0">
      <selection activeCell="B16" sqref="B1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v>843134</v>
      </c>
      <c r="C16" s="15" t="s">
        <v>1552</v>
      </c>
      <c r="D16" s="14">
        <v>746539</v>
      </c>
      <c r="E16" s="16" t="s">
        <v>1554</v>
      </c>
      <c r="F16" s="14">
        <v>944871</v>
      </c>
      <c r="G16" s="16" t="s">
        <v>1556</v>
      </c>
      <c r="H16" s="17">
        <f>+B16+D16-F16</f>
        <v>644802</v>
      </c>
      <c r="I16" s="16"/>
      <c r="J16" s="18">
        <f>ROUND(SUM('Department Note Disclosure'!$B$16:$B$39),0)</f>
        <v>644802</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3228 Journal Entries'!$F$7="Proprietary - Internal Service Fund",ROUND('Fund 3228 Journal Entries'!$K$19,0),0)</f>
        <v>0</v>
      </c>
      <c r="C23" s="15" t="s">
        <v>1552</v>
      </c>
      <c r="D23" s="14">
        <f>IF('Fund 3228 Journal Entries'!$F$7="Proprietary - Internal Service Fund",ROUND('Fund 3228 Journal Entries'!$K$37,0),0)</f>
        <v>0</v>
      </c>
      <c r="E23" s="16" t="s">
        <v>1554</v>
      </c>
      <c r="F23" s="14">
        <f>IF('Fund 3228 Journal Entries'!$F$7="Proprietary - Internal Service Fund",ROUND('Fund 3228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3228 Journal Entries'!$F$7="Proprietary - Enterprise Fund",ROUND('Fund 3228 Journal Entries'!$K$19,0),0)</f>
        <v>0</v>
      </c>
      <c r="C31" s="15" t="s">
        <v>1552</v>
      </c>
      <c r="D31" s="14">
        <f>IF('Fund 3228 Journal Entries'!$F$7="Proprietary - Enterprise Fund",ROUND('Fund 3228 Journal Entries'!$K$37,0),0)</f>
        <v>0</v>
      </c>
      <c r="E31" s="16" t="s">
        <v>1554</v>
      </c>
      <c r="F31" s="14">
        <f>IF('Fund 3228 Journal Entries'!$F$7="Proprietary - Enterprise Fund",ROUND('Fund 3228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v>459783</v>
      </c>
      <c r="G39" s="150"/>
      <c r="H39" s="150"/>
      <c r="I39" s="20"/>
      <c r="J39" s="18">
        <f>ROUND('Department Note Disclosure'!$B$16,0)</f>
        <v>459783</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3228 Journal Entries'!$F$7="Proprietary - Internal Service Fund",ROUND('Fund 3228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3228 Journal Entries'!$F$7="Proprietary - Enterprise Fund",ROUND('Fund 3228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843134</v>
      </c>
      <c r="H61" s="154" t="str">
        <f>"Balance July 1, "&amp;LEFT('Fund 3228 Journal Entries'!$F$3,4)</f>
        <v>Balance July 1, 2022</v>
      </c>
      <c r="J61" s="22">
        <f>ROUND('SBITA Liabilities'!$F$10,0)</f>
        <v>843134</v>
      </c>
      <c r="L61" s="19">
        <f>D61-J61</f>
        <v>0</v>
      </c>
    </row>
    <row r="62" spans="1:13" x14ac:dyDescent="0.25">
      <c r="B62" s="152" t="s">
        <v>1630</v>
      </c>
      <c r="D62" s="22">
        <f>$D$16</f>
        <v>746539</v>
      </c>
      <c r="H62" s="154" t="s">
        <v>10</v>
      </c>
      <c r="J62" s="22">
        <f>ROUND('SBITA Liabilities'!$H$10,0)</f>
        <v>746539</v>
      </c>
      <c r="L62" s="19">
        <f>D62-J62</f>
        <v>0</v>
      </c>
    </row>
    <row r="63" spans="1:13" x14ac:dyDescent="0.25">
      <c r="B63" s="152" t="s">
        <v>1555</v>
      </c>
      <c r="D63" s="22">
        <f>$F$16</f>
        <v>944871</v>
      </c>
      <c r="H63" s="154" t="s">
        <v>11</v>
      </c>
      <c r="J63" s="22">
        <f>ROUND('SBITA Liabilities'!$J$10,0)</f>
        <v>944871</v>
      </c>
      <c r="L63" s="19">
        <f>D63-J63</f>
        <v>0</v>
      </c>
    </row>
    <row r="64" spans="1:13" x14ac:dyDescent="0.25">
      <c r="B64" s="152" t="s">
        <v>1559</v>
      </c>
      <c r="D64" s="22">
        <f>$F$39</f>
        <v>459783</v>
      </c>
      <c r="H64" s="154" t="s">
        <v>12</v>
      </c>
      <c r="J64" s="22">
        <f>ROUND('SBITA Liabilities'!$N$10,0)</f>
        <v>459783</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3228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3228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79C19D83-ABE0-4737-9218-E632DBA63BC2}"/>
</file>

<file path=customXml/itemProps2.xml><?xml version="1.0" encoding="utf-8"?>
<ds:datastoreItem xmlns:ds="http://schemas.openxmlformats.org/officeDocument/2006/customXml" ds:itemID="{83D24F72-DB3D-460A-A4F0-C15271184597}"/>
</file>

<file path=customXml/itemProps3.xml><?xml version="1.0" encoding="utf-8"?>
<ds:datastoreItem xmlns:ds="http://schemas.openxmlformats.org/officeDocument/2006/customXml" ds:itemID="{E846B908-4D58-430A-80F6-237BAA917EEE}"/>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3228 Journal Entries</vt:lpstr>
      <vt:lpstr>Fund 6043 Journal Entries</vt:lpstr>
      <vt:lpstr>Department Note Disclosure</vt:lpstr>
      <vt:lpstr>SBITA Liabilities</vt:lpstr>
      <vt:lpstr>Check Figures </vt:lpstr>
      <vt:lpstr>Drop Down Menus</vt:lpstr>
      <vt:lpstr>GAAP02Aindex</vt:lpstr>
      <vt:lpstr>'Department Note Disclosure'!Print_Area</vt:lpstr>
      <vt:lpstr>'Fund 3228 Journal Entries'!Print_Area</vt:lpstr>
      <vt:lpstr>'Fund 6043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2024-06-13T01:20:37Z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3302500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