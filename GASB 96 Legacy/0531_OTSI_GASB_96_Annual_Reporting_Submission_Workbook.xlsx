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A57B2AF8-2770-48E3-8D8B-8D3814E72E95}" xr6:coauthVersionLast="47" xr6:coauthVersionMax="47" xr10:uidLastSave="{00000000-0000-0000-0000-000000000000}"/>
  <bookViews>
    <workbookView xWindow="39150" yWindow="-110" windowWidth="38620" windowHeight="21220" xr2:uid="{00000000-000D-0000-FFFF-FFFF00000000}"/>
  </bookViews>
  <sheets>
    <sheet name="Fund 9745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9745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30" i="3"/>
  <c r="D89" i="3"/>
  <c r="D58" i="3"/>
  <c r="D27" i="3"/>
  <c r="K46" i="2" l="1"/>
  <c r="K52" i="2"/>
  <c r="B16" i="9"/>
  <c r="D16" i="9"/>
  <c r="B23" i="9"/>
  <c r="D23" i="9"/>
  <c r="B31" i="9"/>
  <c r="D31" i="9"/>
  <c r="F31" i="9"/>
  <c r="F53" i="9"/>
  <c r="F10" i="4"/>
  <c r="H10" i="4"/>
  <c r="N10" i="4"/>
  <c r="N14" i="4"/>
  <c r="H14" i="4"/>
  <c r="F14" i="4"/>
  <c r="F18" i="4"/>
  <c r="H18" i="4"/>
  <c r="J18" i="4"/>
  <c r="N18" i="4"/>
  <c r="G5" i="4" l="1"/>
  <c r="K62" i="2"/>
  <c r="F46" i="9" s="1"/>
  <c r="K57" i="2"/>
  <c r="J56" i="2" s="1"/>
  <c r="D86" i="3"/>
  <c r="D55" i="3"/>
  <c r="D24" i="3"/>
  <c r="F23" i="9" l="1"/>
  <c r="J14" i="4"/>
  <c r="K97" i="2"/>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<sst xmlns="http://schemas.openxmlformats.org/spreadsheetml/2006/main" count="7553" uniqueCount="1644">
  <si>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</si>
  <si>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</si>
  <si>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</si>
  <si>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</si>
  <si>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</si>
  <si>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</si>
  <si>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</si>
  <si>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</si>
  <si>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</si>
  <si>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</si>
  <si>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</si>
  <si>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</si>
  <si>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</si>
  <si>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</si>
  <si>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</si>
  <si>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</si>
  <si>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</si>
  <si>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</si>
  <si>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</si>
  <si>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</si>
  <si>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</si>
  <si>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</si>
  <si>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</si>
  <si>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</si>
  <si>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</si>
  <si>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</si>
  <si>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</si>
  <si>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</si>
  <si>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</si>
  <si>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</si>
  <si>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</si>
  <si>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</si>
  <si>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</si>
  <si>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</si>
  <si>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</si>
  <si>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</si>
  <si>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</si>
  <si>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</si>
  <si>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</si>
  <si>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</si>
  <si>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</si>
  <si>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</si>
  <si>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</si>
  <si>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</si>
  <si>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</si>
  <si>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</si>
  <si>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</si>
  <si>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</si>
  <si>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</si>
  <si>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</si>
  <si>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</si>
  <si>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</si>
  <si>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</si>
  <si>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</si>
  <si>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</si>
  <si>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</si>
  <si>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</si>
  <si>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</si>
  <si>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</si>
  <si>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</si>
  <si>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</si>
  <si>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</si>
  <si>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</si>
  <si>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</si>
  <si>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</si>
  <si>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</si>
  <si>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</si>
  <si>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</si>
  <si>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</si>
  <si>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</si>
  <si>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</si>
  <si>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</si>
  <si>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</si>
  <si>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</si>
  <si>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</si>
  <si>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</si>
  <si>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</si>
  <si>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</si>
  <si>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</si>
  <si>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</si>
  <si>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</si>
  <si>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</si>
  <si>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</si>
  <si>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</si>
  <si>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</si>
  <si>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</si>
  <si>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</si>
  <si>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</si>
  <si>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</si>
  <si>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</si>
  <si>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</si>
  <si>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</si>
  <si>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</si>
  <si>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</si>
  <si>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</si>
  <si>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</si>
  <si>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</si>
  <si>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</si>
  <si>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</si>
  <si>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</si>
  <si>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</si>
  <si>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</si>
  <si>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</si>
  <si>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</si>
  <si>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</si>
  <si>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</si>
  <si>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</si>
  <si>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</si>
  <si>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</si>
  <si>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</si>
  <si>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</si>
  <si>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</si>
  <si>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</si>
  <si>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</si>
  <si>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</si>
  <si>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</si>
  <si>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</si>
  <si>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</si>
  <si>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</si>
  <si>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</si>
  <si>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</si>
  <si>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</si>
  <si>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</si>
  <si>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</si>
  <si>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</si>
  <si>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</si>
  <si>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</si>
  <si>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</si>
  <si>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</si>
  <si>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</si>
  <si>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</si>
  <si>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</si>
  <si>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</si>
  <si>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</si>
  <si>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</si>
  <si>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</si>
  <si>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</si>
  <si>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</si>
  <si>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</si>
  <si>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</si>
  <si>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</si>
  <si>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</si>
  <si>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</si>
  <si>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</si>
  <si>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</si>
  <si>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</si>
  <si>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</si>
  <si>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</si>
  <si>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</si>
  <si>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</si>
  <si>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</si>
  <si>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</si>
  <si>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</si>
  <si>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</si>
  <si>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</si>
  <si>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</si>
  <si>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</si>
  <si>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</si>
  <si>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</si>
  <si>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</si>
  <si>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</si>
  <si>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</si>
  <si>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</si>
  <si>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</si>
  <si>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</si>
  <si>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</si>
  <si>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</si>
  <si>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</si>
  <si>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</si>
  <si>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</si>
  <si>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</si>
  <si>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</si>
  <si>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</si>
  <si>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</si>
  <si>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</si>
  <si>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</si>
  <si>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</si>
  <si>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</si>
  <si>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</si>
  <si>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</si>
  <si>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</si>
  <si>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</si>
  <si>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</si>
  <si>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</si>
  <si>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</si>
  <si>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</si>
  <si>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</si>
  <si>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</si>
  <si>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</si>
  <si>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</si>
  <si>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</si>
  <si>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</si>
  <si>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</si>
  <si>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</si>
  <si>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</si>
  <si>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</si>
  <si>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</si>
  <si>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</si>
  <si>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</si>
  <si>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</si>
  <si>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</si>
  <si>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</si>
  <si>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</si>
  <si>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</si>
  <si>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</si>
  <si>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</si>
  <si>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</si>
  <si>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</si>
  <si>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</si>
  <si>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</si>
  <si>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</si>
  <si>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</si>
  <si>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</si>
  <si>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</si>
  <si>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</si>
  <si>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</si>
  <si>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</si>
  <si>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</si>
  <si>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</si>
  <si>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</si>
  <si>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</si>
  <si>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</si>
  <si>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</si>
  <si>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</si>
  <si>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</si>
  <si>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</si>
  <si>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</si>
  <si>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</si>
  <si>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</si>
  <si>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</si>
  <si>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</si>
  <si>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</si>
  <si>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</si>
  <si>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</si>
  <si>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</si>
  <si>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</si>
  <si>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</si>
  <si>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</si>
  <si>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</si>
  <si>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</si>
  <si>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</si>
  <si>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</si>
  <si>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</si>
  <si>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</si>
  <si>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</si>
  <si>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</si>
  <si>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</si>
  <si>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</si>
  <si>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</si>
  <si>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</si>
  <si>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</si>
  <si>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</si>
  <si>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</si>
  <si>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</si>
  <si>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</si>
  <si>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</si>
  <si>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</si>
  <si>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</si>
  <si>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</si>
  <si>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</si>
  <si>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</si>
  <si>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</si>
  <si>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</si>
  <si>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</si>
  <si>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</si>
  <si>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</si>
  <si>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</si>
  <si>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</si>
  <si>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</si>
  <si>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</si>
  <si>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</si>
  <si>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</si>
  <si>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</si>
  <si>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</si>
  <si>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</si>
  <si>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</si>
  <si>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</si>
  <si>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</si>
  <si>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</si>
  <si>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</si>
  <si>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</si>
  <si>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</si>
  <si>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</si>
  <si>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</si>
  <si>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</si>
  <si>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</si>
  <si>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</si>
  <si>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</si>
  <si>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</si>
  <si>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</si>
  <si>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</si>
  <si>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</si>
  <si>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</si>
  <si>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</si>
  <si>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</si>
  <si>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</si>
  <si>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</si>
  <si>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</si>
  <si>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</si>
  <si>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</si>
  <si>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</si>
  <si>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</si>
  <si>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</si>
  <si>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</si>
  <si>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</si>
  <si>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</si>
  <si>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</si>
  <si>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</si>
  <si>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</si>
  <si>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</si>
  <si>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</si>
  <si>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</si>
  <si>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</si>
  <si>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</si>
  <si>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</si>
  <si>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</si>
  <si>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</si>
  <si>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</si>
  <si>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</si>
  <si>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</si>
  <si>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</si>
  <si>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</si>
  <si>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</si>
  <si>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</si>
  <si>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</si>
  <si>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</si>
  <si>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</si>
  <si>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</si>
  <si>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</si>
  <si>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</si>
  <si>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</si>
  <si>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</si>
  <si>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</si>
  <si>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</si>
  <si>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</si>
  <si>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</si>
  <si>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</si>
  <si>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</si>
  <si>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</si>
  <si>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</si>
  <si>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</si>
  <si>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</si>
  <si>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</si>
  <si>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</si>
  <si>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</si>
  <si>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</si>
  <si>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</si>
  <si>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</si>
  <si>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</si>
  <si>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</si>
  <si>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</si>
  <si>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</si>
  <si>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</si>
  <si>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</si>
  <si>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</si>
  <si>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</si>
  <si>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</si>
  <si>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</si>
  <si>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</si>
  <si>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</si>
  <si>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</si>
  <si>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</si>
  <si>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</si>
  <si>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</si>
  <si>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</si>
  <si>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</si>
  <si>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</si>
  <si>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</si>
  <si>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</si>
  <si>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</si>
  <si>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</si>
  <si>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</si>
  <si>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</si>
  <si>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</si>
  <si>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</si>
  <si>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</si>
  <si>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</si>
  <si>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</si>
  <si>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</si>
  <si>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</si>
  <si>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</si>
  <si>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</si>
  <si>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</si>
  <si>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</si>
  <si>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</si>
  <si>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</si>
  <si>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</si>
  <si>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</si>
  <si>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</si>
  <si>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</si>
  <si>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</si>
  <si>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</si>
  <si>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</si>
  <si>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</si>
  <si>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</si>
  <si>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</si>
  <si>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</si>
  <si>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</si>
  <si>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</si>
  <si>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</si>
  <si>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</si>
  <si>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</si>
  <si>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</si>
  <si>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</si>
  <si>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</si>
  <si>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</si>
  <si>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</si>
  <si>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</si>
  <si>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</si>
  <si>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</si>
  <si>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</si>
  <si>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</si>
  <si>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</si>
  <si>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</si>
  <si>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</si>
  <si>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</si>
  <si>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</si>
  <si>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</si>
  <si>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</si>
  <si>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</si>
  <si>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</si>
  <si>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</si>
  <si>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</si>
  <si>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</si>
  <si>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</si>
  <si>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</si>
  <si>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</si>
  <si>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</si>
  <si>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</si>
  <si>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</si>
  <si>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</si>
  <si>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</si>
  <si>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</si>
  <si>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</si>
  <si>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</si>
  <si>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</si>
  <si>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</si>
  <si>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</si>
  <si>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</si>
  <si>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</si>
  <si>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</si>
  <si>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</si>
  <si>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</si>
  <si>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</si>
  <si>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</si>
  <si>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</si>
  <si>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</si>
  <si>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</si>
  <si>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</si>
  <si>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</si>
  <si>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</si>
  <si>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</si>
  <si>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</si>
  <si>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</si>
  <si>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</si>
  <si>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</si>
  <si>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</si>
  <si>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</si>
  <si>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</si>
  <si>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</si>
  <si>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</si>
  <si>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</si>
  <si>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</si>
  <si>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</si>
  <si>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</si>
  <si>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</si>
  <si>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</si>
  <si>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</si>
  <si>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</si>
  <si>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</si>
  <si>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</si>
  <si>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</si>
  <si>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</si>
  <si>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</si>
  <si>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</si>
  <si>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</si>
  <si>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</si>
  <si>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</si>
  <si>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</si>
  <si>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</si>
  <si>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</si>
  <si>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</si>
  <si>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</si>
  <si>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</si>
  <si>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</si>
  <si>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</si>
  <si>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</si>
  <si>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</si>
  <si>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</si>
  <si>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</si>
  <si>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</si>
  <si>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</si>
  <si>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</si>
  <si>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</si>
  <si>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</si>
  <si>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</si>
  <si>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</si>
  <si>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</si>
  <si>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</si>
  <si>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</si>
  <si>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</si>
  <si>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</si>
  <si>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</si>
  <si>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</si>
  <si>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</si>
  <si>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</si>
  <si>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</si>
  <si>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</si>
  <si>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</si>
  <si>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</si>
  <si>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</si>
  <si>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</si>
  <si>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</si>
  <si>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</si>
  <si>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</si>
  <si>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</si>
  <si>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</si>
  <si>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</si>
  <si>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</si>
  <si>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</si>
  <si>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</si>
  <si>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</si>
  <si>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</si>
  <si>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</si>
  <si>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</si>
  <si>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</si>
  <si>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</si>
  <si>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</si>
  <si>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</si>
  <si>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</si>
  <si>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</si>
  <si>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</si>
  <si>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</si>
  <si>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</si>
  <si>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</si>
  <si>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</si>
  <si>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</si>
  <si>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</si>
  <si>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</si>
  <si>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</si>
  <si>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</si>
  <si>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</si>
  <si>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</si>
  <si>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</si>
  <si>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</si>
  <si>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</si>
  <si>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</si>
  <si>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</si>
  <si>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</si>
  <si>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</si>
  <si>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</si>
  <si>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</si>
  <si>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</si>
  <si>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</si>
  <si>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</si>
  <si>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</si>
  <si>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</si>
  <si>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</si>
  <si>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</si>
  <si>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</si>
  <si>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</si>
  <si>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</si>
  <si>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</si>
  <si>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</si>
  <si>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</si>
  <si>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</si>
  <si>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</si>
  <si>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</si>
  <si>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</si>
  <si>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</si>
  <si>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</si>
  <si>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</si>
  <si>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</si>
  <si>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</si>
  <si>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</si>
  <si>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</si>
  <si>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</si>
  <si>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</si>
  <si>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</si>
  <si>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</si>
  <si>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</si>
  <si>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</si>
  <si>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</si>
  <si>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</si>
  <si>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</si>
  <si>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</si>
  <si>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</si>
  <si>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</si>
  <si>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</si>
  <si>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</si>
  <si>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</si>
  <si>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</si>
  <si>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</si>
  <si>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</si>
  <si>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</si>
  <si>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</si>
  <si>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</si>
  <si>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</si>
  <si>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</si>
  <si>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</si>
  <si>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</si>
  <si>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</si>
  <si>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</si>
  <si>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</si>
  <si>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</si>
  <si>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</si>
  <si>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</si>
  <si>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</si>
  <si>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</si>
  <si>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</si>
  <si>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</si>
  <si>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</si>
  <si>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</si>
  <si>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</si>
  <si>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</si>
  <si>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</si>
  <si>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</si>
  <si>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</si>
  <si>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</si>
  <si>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</si>
  <si>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</si>
  <si>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</si>
  <si>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</si>
  <si>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</si>
  <si>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</si>
  <si>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</si>
  <si>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</si>
  <si>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</si>
  <si>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</si>
  <si>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</si>
  <si>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</si>
  <si>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</si>
  <si>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</si>
  <si>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</si>
  <si>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</si>
  <si>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</si>
  <si>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</si>
  <si>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</si>
  <si>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</si>
  <si>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</si>
  <si>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</si>
  <si>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</si>
  <si>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</si>
  <si>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</si>
  <si>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</si>
  <si>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</si>
  <si>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</si>
  <si>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</si>
  <si>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</si>
  <si>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</si>
  <si>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</si>
  <si>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</si>
  <si>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</si>
  <si>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</si>
  <si>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</si>
  <si>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</si>
  <si>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</si>
  <si>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</si>
  <si>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</si>
  <si>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</si>
  <si>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</si>
  <si>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</si>
  <si>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</si>
  <si>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</si>
  <si>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</si>
  <si>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</si>
  <si>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</si>
  <si>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</si>
  <si>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</si>
  <si>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</si>
  <si>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</si>
  <si>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</si>
  <si>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</si>
  <si>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</si>
  <si>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</si>
  <si>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</si>
  <si>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</si>
  <si>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</si>
  <si>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</si>
  <si>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</si>
  <si>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</si>
  <si>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</si>
  <si>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</si>
  <si>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</si>
  <si>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</si>
  <si>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</si>
  <si>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</si>
  <si>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</si>
  <si>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</si>
  <si>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</si>
  <si>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</si>
  <si>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</si>
  <si>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</si>
  <si>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</si>
  <si>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</si>
  <si>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</si>
  <si>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</si>
  <si>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</si>
  <si>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</si>
  <si>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</si>
  <si>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</si>
  <si>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</si>
  <si>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</si>
  <si>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</si>
  <si>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</si>
  <si>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</si>
  <si>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</si>
  <si>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</si>
  <si>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</si>
  <si>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</si>
  <si>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</si>
  <si>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</si>
  <si>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</si>
  <si>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</si>
  <si>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</si>
  <si>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</si>
  <si>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</si>
  <si>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</si>
  <si>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</si>
  <si>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</si>
  <si>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</si>
  <si>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</si>
  <si>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</si>
  <si>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</si>
  <si>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</si>
  <si>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</si>
  <si>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</si>
  <si>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</si>
  <si>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</si>
  <si>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</si>
  <si>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</si>
  <si>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</si>
  <si>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</si>
  <si>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</si>
  <si>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</si>
  <si>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</si>
  <si>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</si>
  <si>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</si>
  <si>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</si>
  <si>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</si>
  <si>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</si>
  <si>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</si>
  <si>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</si>
  <si>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</si>
  <si>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</si>
  <si>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</si>
  <si>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</si>
  <si>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</si>
  <si>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</si>
  <si>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</si>
  <si>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</si>
  <si>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</si>
  <si>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</si>
  <si>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</si>
  <si>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</si>
  <si>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</si>
  <si>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</si>
  <si>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</si>
  <si>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</si>
  <si>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</si>
  <si>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</si>
  <si>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</si>
  <si>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</si>
  <si>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</si>
  <si>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</si>
  <si>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</si>
  <si>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</si>
  <si>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</si>
  <si>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</si>
  <si>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</si>
  <si>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</si>
  <si>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</si>
  <si>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</si>
  <si>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</si>
  <si>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</si>
  <si>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</si>
  <si>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</si>
  <si>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</si>
  <si>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</si>
  <si>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</si>
  <si>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</si>
  <si>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</si>
  <si>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</si>
  <si>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</si>
  <si>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</si>
  <si>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</si>
  <si>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</si>
  <si>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</si>
  <si>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</si>
  <si>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</si>
  <si>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</si>
  <si>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</si>
  <si>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</si>
  <si>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</si>
  <si>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</si>
  <si>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</si>
  <si>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</si>
  <si>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</si>
  <si>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</si>
  <si>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</si>
  <si>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</si>
  <si>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</si>
  <si>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</si>
  <si>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</si>
  <si>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</si>
  <si>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</si>
  <si>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</si>
  <si>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</si>
  <si>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</si>
  <si>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</si>
  <si>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</si>
  <si>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</si>
  <si>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</si>
  <si>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</si>
  <si>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</si>
  <si>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</si>
  <si>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</si>
  <si>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</si>
  <si>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</si>
  <si>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</si>
  <si>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</si>
  <si>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</si>
  <si>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</si>
  <si>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</si>
  <si>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</si>
  <si>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</si>
  <si>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</si>
  <si>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</si>
  <si>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</si>
  <si>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</si>
  <si>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</si>
  <si>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</si>
  <si>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</si>
  <si>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</si>
  <si>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</si>
  <si>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</si>
  <si>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</si>
  <si>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</si>
  <si>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</si>
  <si>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</si>
  <si>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</si>
  <si>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</si>
  <si>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</si>
  <si>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</si>
  <si>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</si>
  <si>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</si>
  <si>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</si>
  <si>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</si>
  <si>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</si>
  <si>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</si>
  <si>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</si>
  <si>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</si>
  <si>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</si>
  <si>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</si>
  <si>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</si>
  <si>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</si>
  <si>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</si>
  <si>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</si>
  <si>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</si>
  <si>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</si>
  <si>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</si>
  <si>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</si>
  <si>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</si>
  <si>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</si>
  <si>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</si>
  <si>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</si>
  <si>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</si>
  <si>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</si>
  <si>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</si>
  <si>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</si>
  <si>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</si>
  <si>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</si>
  <si>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</si>
  <si>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</si>
  <si>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</si>
  <si>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</si>
  <si>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</si>
  <si>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</si>
  <si>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</si>
  <si>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</si>
  <si>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</si>
  <si>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</si>
  <si>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</si>
  <si>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</si>
  <si>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</si>
  <si>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</si>
  <si>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</si>
  <si>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</si>
  <si>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</si>
  <si>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</si>
  <si>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</si>
  <si>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</si>
  <si>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</si>
  <si>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</si>
  <si>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</si>
  <si>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</si>
  <si>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</si>
  <si>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</si>
  <si>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</si>
  <si>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</si>
  <si>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</si>
  <si>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</si>
  <si>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</si>
  <si>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</si>
  <si>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</si>
  <si>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</si>
  <si>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</si>
  <si>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</si>
  <si>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</si>
  <si>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</si>
  <si>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</si>
  <si>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</si>
  <si>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</si>
  <si>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</si>
  <si>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</si>
  <si>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</si>
  <si>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</si>
  <si>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</si>
  <si>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</si>
  <si>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</si>
  <si>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</si>
  <si>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</si>
  <si>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</si>
  <si>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</si>
  <si>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</si>
  <si>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</si>
  <si>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</si>
  <si>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</si>
  <si>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</si>
  <si>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</si>
  <si>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</si>
  <si>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</si>
  <si>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</si>
  <si>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</si>
  <si>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</si>
  <si>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</si>
  <si>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</si>
  <si>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</si>
  <si>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</si>
  <si>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</si>
  <si>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</si>
  <si>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</si>
  <si>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</si>
  <si>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</si>
  <si>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</si>
  <si>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</si>
  <si>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</si>
  <si>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</si>
  <si>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</si>
  <si>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</si>
  <si>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</si>
  <si>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</si>
  <si>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</si>
  <si>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</si>
  <si>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</si>
  <si>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</si>
  <si>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</si>
  <si>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</si>
  <si>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</si>
  <si>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</si>
  <si>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</si>
  <si>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</si>
  <si>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</si>
  <si>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</si>
  <si>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</si>
  <si>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</si>
  <si>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</si>
  <si>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</si>
  <si>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</si>
  <si>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</si>
  <si>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</si>
  <si>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</si>
  <si>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</si>
  <si>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</si>
  <si>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</si>
  <si>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</si>
  <si>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</si>
  <si>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</si>
  <si>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</si>
  <si>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</si>
  <si>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</si>
  <si>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</si>
  <si>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</si>
  <si>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</si>
  <si>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</si>
  <si>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</si>
  <si>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</si>
  <si>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</si>
  <si>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</si>
  <si>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</si>
  <si>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</si>
  <si>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</si>
  <si>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</si>
  <si>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</si>
  <si>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</si>
  <si>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</si>
  <si>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</si>
  <si>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</si>
  <si>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</si>
  <si>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</si>
  <si>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</si>
  <si>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</si>
  <si>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</si>
  <si>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</si>
  <si>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</si>
  <si>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</si>
  <si>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</si>
  <si>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</si>
  <si>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</si>
  <si>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</si>
  <si>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</si>
  <si>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</si>
  <si>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</si>
  <si>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</si>
  <si>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</si>
  <si>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</si>
  <si>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</si>
  <si>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</si>
  <si>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</si>
  <si>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</si>
  <si>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</si>
  <si>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</si>
  <si>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</si>
  <si>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</si>
  <si>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</si>
  <si>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</si>
  <si>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</si>
  <si>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</si>
  <si>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</si>
  <si>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</si>
  <si>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</si>
  <si>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</si>
  <si>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</si>
  <si>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</si>
  <si>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</si>
  <si>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</si>
  <si>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</si>
  <si>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</si>
  <si>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</si>
  <si>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</si>
  <si>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</si>
  <si>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</si>
  <si>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</si>
  <si>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</si>
  <si>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</si>
  <si>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</si>
  <si>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</si>
  <si>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</si>
  <si>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</si>
  <si>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</si>
  <si>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</si>
  <si>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</si>
  <si>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</si>
  <si>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</si>
  <si>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</si>
  <si>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</si>
  <si>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</si>
  <si>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</si>
  <si>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</si>
  <si>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</si>
  <si>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</si>
  <si>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</si>
  <si>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</si>
  <si>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</si>
  <si>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</si>
  <si>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</si>
  <si>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</si>
  <si>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</si>
  <si>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</si>
  <si>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</si>
  <si>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</si>
  <si>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</si>
  <si>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</si>
  <si>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</si>
  <si>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</si>
  <si>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</si>
  <si>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</si>
  <si>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</si>
  <si>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</si>
  <si>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</si>
  <si>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</si>
  <si>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</si>
  <si>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</si>
  <si>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</si>
  <si>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</si>
  <si>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</si>
  <si>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</si>
  <si>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</si>
  <si>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</si>
  <si>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</si>
  <si>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</si>
  <si>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</si>
  <si>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</si>
  <si>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</si>
  <si>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</si>
  <si>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</si>
  <si>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</si>
  <si>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</si>
  <si>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</si>
  <si>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</si>
  <si>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</si>
  <si>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</si>
  <si>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</si>
  <si>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</si>
  <si>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</si>
  <si>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</si>
  <si>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</si>
  <si>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</si>
  <si>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</si>
  <si>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</si>
  <si>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</si>
  <si>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</si>
  <si>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</si>
  <si>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</si>
  <si>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</si>
  <si>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</si>
  <si>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</si>
  <si>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</si>
  <si>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</si>
  <si>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</si>
  <si>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</si>
  <si>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</si>
  <si>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</si>
  <si>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</si>
  <si>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</si>
  <si>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</si>
  <si>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</si>
  <si>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</si>
  <si>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</si>
  <si>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</si>
  <si>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</si>
  <si>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</si>
  <si>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</si>
  <si>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</si>
  <si>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</si>
  <si>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</si>
  <si>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</si>
  <si>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</si>
  <si>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</si>
  <si>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</si>
  <si>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</si>
  <si>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</si>
  <si>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</si>
  <si>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</si>
  <si>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</si>
  <si>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</si>
  <si>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</si>
  <si>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</si>
  <si>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</si>
  <si>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</si>
  <si>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</si>
  <si>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</si>
  <si>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</si>
  <si>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</si>
  <si>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</si>
  <si>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</si>
  <si>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</si>
  <si>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</si>
  <si>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</si>
  <si>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</si>
  <si>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</si>
  <si>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</si>
  <si>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</si>
  <si>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</si>
  <si>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</si>
  <si>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</si>
  <si>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</si>
  <si>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</si>
  <si>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</si>
  <si>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</si>
  <si>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</si>
  <si>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</si>
  <si>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</si>
  <si>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</si>
  <si>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</si>
  <si>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</si>
  <si>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</si>
  <si>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</si>
  <si>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</si>
  <si>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</si>
  <si>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</si>
  <si>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</si>
  <si>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</si>
  <si>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</si>
  <si>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</si>
  <si>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</si>
  <si>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</si>
  <si>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</si>
  <si>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</si>
  <si>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</si>
  <si>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</si>
  <si>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</si>
  <si>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</si>
  <si>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</si>
  <si>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</si>
  <si>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</si>
  <si>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</si>
  <si>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</si>
  <si>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</si>
  <si>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</si>
  <si>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</si>
  <si>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</si>
  <si>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</si>
  <si>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</si>
  <si>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</si>
  <si>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</si>
  <si>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</si>
  <si>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</si>
  <si>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</si>
  <si>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</si>
  <si>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</si>
  <si>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</si>
  <si>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</si>
  <si>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</si>
  <si>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</si>
  <si>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</si>
  <si>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</si>
  <si>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</si>
  <si>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</si>
  <si>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</si>
  <si>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</si>
  <si>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</si>
  <si>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</si>
  <si>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</si>
  <si>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</si>
  <si>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</si>
  <si>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</si>
  <si>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</si>
  <si>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</si>
  <si>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</si>
  <si>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</si>
  <si>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</si>
  <si>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</si>
  <si>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</si>
  <si>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</si>
  <si>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</si>
  <si>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</si>
  <si>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</si>
  <si>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</si>
  <si>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</si>
  <si>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</si>
  <si>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</si>
  <si>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</si>
  <si>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</si>
  <si>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</si>
  <si>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</si>
  <si>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</si>
  <si>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</si>
  <si>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</si>
  <si>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</si>
  <si>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</si>
  <si>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</si>
  <si>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</si>
  <si>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</si>
  <si>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</si>
  <si>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</si>
  <si>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</si>
  <si>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</si>
  <si>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</si>
  <si>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</si>
  <si>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</si>
  <si>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</si>
  <si>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</si>
  <si>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</si>
  <si>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</si>
  <si>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</si>
  <si>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</si>
  <si>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</si>
  <si>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</si>
  <si>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</si>
  <si>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</si>
  <si>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</si>
  <si>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</si>
  <si>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</si>
  <si>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</si>
  <si>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</si>
  <si>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</si>
  <si>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</si>
  <si>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</si>
  <si>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</si>
  <si>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</si>
  <si>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</si>
  <si>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</si>
  <si>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</si>
  <si>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</si>
  <si>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</si>
  <si>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</si>
  <si>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</si>
  <si>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</si>
  <si>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</si>
  <si>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</si>
  <si>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</si>
  <si>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</si>
  <si>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</si>
  <si>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</si>
  <si>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</si>
  <si>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</si>
  <si>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</si>
  <si>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</si>
  <si>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</si>
  <si>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</si>
  <si>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</si>
  <si>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</si>
  <si>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</si>
  <si>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</si>
  <si>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</si>
  <si>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</si>
  <si>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</si>
  <si>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</si>
  <si>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</si>
  <si>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</si>
  <si>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</si>
  <si>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</si>
  <si>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</si>
  <si>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</si>
  <si>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</si>
  <si>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</si>
  <si>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</si>
  <si>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</si>
  <si>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</si>
  <si>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</si>
  <si>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</si>
  <si>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</si>
  <si>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</si>
  <si>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</si>
  <si>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</si>
  <si>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</si>
  <si>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</si>
  <si>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</si>
  <si>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</si>
  <si>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</si>
  <si>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</si>
  <si>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</si>
  <si>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</si>
  <si>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</si>
  <si>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</si>
  <si>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</si>
  <si>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</si>
  <si>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</si>
  <si>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</si>
  <si>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</si>
  <si>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</si>
  <si>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</si>
  <si>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</si>
  <si>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</si>
  <si>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</si>
  <si>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</si>
  <si>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</si>
  <si>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</si>
  <si>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</si>
  <si>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</si>
  <si>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</si>
  <si>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</si>
  <si>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</si>
  <si>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</si>
  <si>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</si>
  <si>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</si>
  <si>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</si>
  <si>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</si>
  <si>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</si>
  <si>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</si>
  <si>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</si>
  <si>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</si>
  <si>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</si>
  <si>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</si>
  <si>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</si>
  <si>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</si>
  <si>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</si>
  <si>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</si>
  <si>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</si>
  <si>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</si>
  <si>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</si>
  <si>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</si>
  <si>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</si>
  <si>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</si>
  <si>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</si>
  <si>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</si>
  <si>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</si>
  <si>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</si>
  <si>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</si>
  <si>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</si>
  <si>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</si>
  <si>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</si>
  <si>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</si>
  <si>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</si>
  <si>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</si>
  <si>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</si>
  <si>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</si>
  <si>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</si>
  <si>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</si>
  <si>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</si>
  <si>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</si>
  <si>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</si>
  <si>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</si>
  <si>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</si>
  <si>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</si>
  <si>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</si>
  <si>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</si>
  <si>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</si>
  <si>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</si>
  <si>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</si>
  <si>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</si>
  <si>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</si>
  <si>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</si>
  <si>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</si>
  <si>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</si>
  <si>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</si>
  <si>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</si>
  <si>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</si>
  <si>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</si>
  <si>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</si>
  <si>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</si>
  <si>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</si>
  <si>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</si>
  <si>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</si>
  <si>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</si>
  <si>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</si>
  <si>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</si>
  <si>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</si>
  <si>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</si>
  <si>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</si>
  <si>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</si>
  <si>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</si>
  <si>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</si>
  <si>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</si>
  <si>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</si>
  <si>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</si>
  <si>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</si>
  <si>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</si>
  <si>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</si>
  <si>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</si>
  <si>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</si>
  <si>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</si>
  <si>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</si>
  <si>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</si>
  <si>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</si>
  <si>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</si>
  <si>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</si>
  <si>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</si>
  <si>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</si>
  <si>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</si>
  <si>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</si>
  <si>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</si>
  <si>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</si>
  <si>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</si>
  <si>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</si>
  <si>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</si>
  <si>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</si>
  <si>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</si>
  <si>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</si>
  <si>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</si>
  <si>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</si>
  <si>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</si>
  <si>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</si>
  <si>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</si>
  <si>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</si>
  <si>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</si>
  <si>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</si>
  <si>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</si>
  <si>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</si>
  <si>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</si>
  <si>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</si>
  <si>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</si>
  <si>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</si>
  <si>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</si>
  <si>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</si>
  <si>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</si>
  <si>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</si>
  <si>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</si>
  <si>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</si>
  <si>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</si>
  <si>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</si>
  <si>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</si>
  <si>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</si>
  <si>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</si>
  <si>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</si>
  <si>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</si>
  <si>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</si>
  <si>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</si>
  <si>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</si>
  <si>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</si>
  <si>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</si>
  <si>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</si>
  <si>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</si>
  <si>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</si>
  <si>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</si>
  <si>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</si>
  <si>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</si>
  <si>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</si>
  <si>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</si>
  <si>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</si>
  <si>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</si>
  <si>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</si>
  <si>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</si>
  <si>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</si>
  <si>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</si>
  <si>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</si>
  <si>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</si>
  <si>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</si>
  <si>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</si>
  <si>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</si>
  <si>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</si>
  <si>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</si>
  <si>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</si>
  <si>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</si>
  <si>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</si>
  <si>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</si>
  <si>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</si>
  <si>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</si>
  <si>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</si>
  <si>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</si>
  <si>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</si>
  <si>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</si>
  <si>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</si>
  <si>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</si>
  <si>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</si>
  <si>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</si>
  <si>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</si>
  <si>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</si>
  <si>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</si>
  <si>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</si>
  <si>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</si>
  <si>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</si>
  <si>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</si>
  <si>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</si>
  <si>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</si>
  <si>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</si>
  <si>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</si>
  <si>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</si>
  <si>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</si>
  <si>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</si>
  <si>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</si>
  <si>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</si>
  <si>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</si>
  <si>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</si>
  <si>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</si>
  <si>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</si>
  <si>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</si>
  <si>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</si>
  <si>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</si>
  <si>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</si>
  <si>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</si>
  <si>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</si>
  <si>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</si>
  <si>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</si>
  <si>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</si>
  <si>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</si>
  <si>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</si>
  <si>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</si>
  <si>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</si>
  <si>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</si>
  <si>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</si>
  <si>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</si>
  <si>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</si>
  <si>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</si>
  <si>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</si>
  <si>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</si>
  <si>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</si>
  <si>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</si>
  <si>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</si>
  <si>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</si>
  <si>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</si>
  <si>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</si>
  <si>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</si>
  <si>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</si>
  <si>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</si>
  <si>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</si>
  <si>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</si>
  <si>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</si>
  <si>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</si>
  <si>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</si>
  <si>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</si>
  <si>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</si>
  <si>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</si>
  <si>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</si>
  <si>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</si>
  <si>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</si>
  <si>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</si>
  <si>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</si>
  <si>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</si>
  <si>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</si>
  <si>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</si>
  <si>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</si>
  <si>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</si>
  <si>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</si>
  <si>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</si>
  <si>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</si>
  <si>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</si>
  <si>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</si>
  <si>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</si>
  <si>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</si>
  <si>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</si>
  <si>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</si>
  <si>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</si>
  <si>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</si>
  <si>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</si>
  <si>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</si>
  <si>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</si>
  <si>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</si>
  <si>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</si>
  <si>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</si>
  <si>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</si>
  <si>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</si>
  <si>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</si>
  <si>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</si>
  <si>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</si>
  <si>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</si>
  <si>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</si>
  <si>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</si>
  <si>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</si>
  <si>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</si>
  <si>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</si>
  <si>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</si>
  <si>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</si>
  <si>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</si>
  <si>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</si>
  <si>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</si>
  <si>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</si>
  <si>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</si>
  <si>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</si>
  <si>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</si>
  <si>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</si>
  <si>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</si>
  <si>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</si>
  <si>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</si>
  <si>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</si>
  <si>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</si>
  <si>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</si>
  <si>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</si>
  <si>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</si>
  <si>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</si>
  <si>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</si>
  <si>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</si>
  <si>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</si>
  <si>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</si>
  <si>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</si>
  <si>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</si>
  <si>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</si>
  <si>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</si>
  <si>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</si>
  <si>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</si>
  <si>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</si>
  <si>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N/A</t>
  </si>
  <si>
    <t>Office of Technology and Solutions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</si>
</sst>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7">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8" fontId="4" fillId="2" borderId="0" xfId="2" applyNumberFormat="1" applyFont="1" applyFill="1" applyProtection="1">
      <protection locked="0"/>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K29" sqref="K29"/>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9" t="s">
        <v>1608</v>
      </c>
      <c r="B1" s="179"/>
      <c r="C1" s="179"/>
      <c r="D1" s="179"/>
      <c r="E1" s="179"/>
      <c r="F1" s="179"/>
      <c r="G1" s="179"/>
      <c r="H1" s="179"/>
      <c r="I1" s="179"/>
      <c r="J1" s="179"/>
      <c r="K1" s="179"/>
      <c r="L1" s="43"/>
    </row>
    <row r="2" spans="1:17" ht="18" x14ac:dyDescent="0.25">
      <c r="A2" s="180" t="s">
        <v>1565</v>
      </c>
      <c r="B2" s="180"/>
      <c r="C2" s="180"/>
      <c r="D2" s="180"/>
      <c r="E2" s="180"/>
      <c r="F2" s="180"/>
      <c r="G2" s="180"/>
      <c r="H2" s="180"/>
      <c r="I2" s="180"/>
      <c r="J2" s="180"/>
      <c r="K2" s="180"/>
      <c r="L2" s="45"/>
    </row>
    <row r="3" spans="1:17" ht="15.75" x14ac:dyDescent="0.25">
      <c r="A3" s="174" t="s">
        <v>0</v>
      </c>
      <c r="B3" s="174"/>
      <c r="C3" s="174"/>
      <c r="D3" s="174"/>
      <c r="E3" s="174"/>
      <c r="F3" s="173" t="s">
        <v>16</v>
      </c>
      <c r="G3" s="173"/>
      <c r="H3" s="173"/>
      <c r="I3" s="173"/>
    </row>
    <row r="4" spans="1:17" ht="15.75" x14ac:dyDescent="0.25">
      <c r="A4" s="174" t="s">
        <v>1586</v>
      </c>
      <c r="B4" s="174"/>
      <c r="C4" s="174"/>
      <c r="D4" s="174"/>
      <c r="E4" s="174"/>
      <c r="F4" s="173" t="s">
        <v>1643</v>
      </c>
      <c r="G4" s="173"/>
      <c r="H4" s="173"/>
      <c r="I4" s="173"/>
    </row>
    <row r="5" spans="1:17" ht="15.75" x14ac:dyDescent="0.2">
      <c r="A5" s="174" t="s">
        <v>1602</v>
      </c>
      <c r="B5" s="174"/>
      <c r="C5" s="174"/>
      <c r="D5" s="174"/>
      <c r="E5" s="174"/>
      <c r="F5" s="181" t="s">
        <v>238</v>
      </c>
      <c r="G5" s="181"/>
      <c r="H5" s="181"/>
      <c r="I5" s="181"/>
      <c r="J5" s="47"/>
      <c r="K5" s="47"/>
      <c r="L5" s="48"/>
      <c r="M5" s="48"/>
      <c r="N5" s="48"/>
    </row>
    <row r="6" spans="1:17" ht="15.75" x14ac:dyDescent="0.2">
      <c r="A6" s="174" t="s">
        <v>1</v>
      </c>
      <c r="B6" s="174"/>
      <c r="C6" s="174"/>
      <c r="D6" s="174"/>
      <c r="E6" s="174"/>
      <c r="F6" s="182">
        <v>9745</v>
      </c>
      <c r="G6" s="182"/>
      <c r="H6" s="182"/>
      <c r="I6" s="182"/>
      <c r="L6" s="49"/>
      <c r="M6" s="48"/>
      <c r="N6" s="48"/>
      <c r="P6" s="27"/>
    </row>
    <row r="7" spans="1:17" ht="15.75" x14ac:dyDescent="0.2">
      <c r="A7" s="174" t="s">
        <v>1571</v>
      </c>
      <c r="B7" s="174"/>
      <c r="C7" s="174"/>
      <c r="D7" s="174"/>
      <c r="E7" s="174"/>
      <c r="F7" s="173" t="s">
        <v>1569</v>
      </c>
      <c r="G7" s="173"/>
      <c r="H7" s="173"/>
      <c r="I7" s="173"/>
      <c r="L7" s="49"/>
      <c r="M7" s="48"/>
      <c r="N7" s="48"/>
      <c r="P7" s="27"/>
    </row>
    <row r="8" spans="1:17" ht="15.75" x14ac:dyDescent="0.2">
      <c r="A8" s="174" t="s">
        <v>2</v>
      </c>
      <c r="B8" s="174"/>
      <c r="C8" s="174"/>
      <c r="D8" s="174"/>
      <c r="E8" s="174"/>
      <c r="F8" s="175" t="str">
        <f>IF(OR($F$7='Drop Down Menus'!B2,$F$7='Drop Down Menus'!$B$3),'Drop Down Menus'!$D$9,IFERROR(VLOOKUP($F$5,GAAP02Aindex!$A$2:$D$900,4,FALSE),"Unidentified"))</f>
        <v>PROPRIETARY FUND</v>
      </c>
      <c r="G8" s="175"/>
      <c r="H8" s="175"/>
      <c r="I8" s="175"/>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8" t="str">
        <f>IF($F$3="2022–2023","Establish Beginning Balances (SBITAs commenced on or before 07/01/2022)","Establish Beginning Balances (existing SBITAs only)")</f>
        <v>Establish Beginning Balances (SBITAs commenced on or before 07/01/2022)</v>
      </c>
      <c r="B12" s="178"/>
      <c r="C12" s="178"/>
      <c r="D12" s="178"/>
      <c r="E12" s="178"/>
      <c r="F12" s="178"/>
      <c r="G12" s="178"/>
      <c r="H12" s="178"/>
      <c r="I12" s="178"/>
      <c r="J12" s="178"/>
      <c r="K12" s="178"/>
      <c r="L12" s="48"/>
      <c r="M12" s="48"/>
    </row>
    <row r="13" spans="1:17" ht="16.5" customHeight="1" x14ac:dyDescent="0.2">
      <c r="A13" s="53" t="s">
        <v>3</v>
      </c>
      <c r="H13" s="44"/>
      <c r="L13" s="54"/>
    </row>
    <row r="14" spans="1:17" ht="16.5" customHeight="1" x14ac:dyDescent="0.3">
      <c r="A14" s="55">
        <v>0</v>
      </c>
      <c r="B14" s="169" t="str">
        <f>IF($F$3="2022–2023","To establish the beginning balance of SBITAs as of 07/01/2022.","Roll forward prior year right-to-use SBITAs to record opening balances.")</f>
        <v>To establish the beginning balance of SBITAs as of 07/01/2022.</v>
      </c>
      <c r="C14" s="169"/>
      <c r="D14" s="169"/>
      <c r="E14" s="169"/>
      <c r="F14" s="169"/>
      <c r="G14" s="169"/>
      <c r="H14" s="169"/>
      <c r="I14" s="169"/>
      <c r="J14" s="169"/>
      <c r="K14" s="169"/>
      <c r="L14" s="54"/>
    </row>
    <row r="15" spans="1:17" ht="16.5" customHeight="1" x14ac:dyDescent="0.2">
      <c r="B15" s="166" t="s">
        <v>1580</v>
      </c>
      <c r="C15" s="166"/>
      <c r="D15" s="166"/>
      <c r="E15" s="166"/>
      <c r="F15" s="166"/>
      <c r="G15" s="166"/>
      <c r="H15" s="166"/>
      <c r="I15" s="166"/>
      <c r="J15" s="32">
        <v>6687803</v>
      </c>
      <c r="K15" s="33"/>
    </row>
    <row r="16" spans="1:17" ht="16.5" hidden="1" customHeight="1" x14ac:dyDescent="0.2">
      <c r="A16" s="56"/>
      <c r="B16" s="166" t="s">
        <v>1588</v>
      </c>
      <c r="C16" s="166"/>
      <c r="D16" s="166"/>
      <c r="E16" s="166"/>
      <c r="F16" s="166"/>
      <c r="G16" s="166"/>
      <c r="H16" s="166"/>
      <c r="I16" s="166"/>
      <c r="J16" s="32"/>
      <c r="K16" s="33"/>
    </row>
    <row r="17" spans="1:17" ht="16.5" customHeight="1" x14ac:dyDescent="0.2">
      <c r="A17" s="56"/>
      <c r="B17" s="166" t="s">
        <v>1589</v>
      </c>
      <c r="C17" s="166"/>
      <c r="D17" s="166"/>
      <c r="E17" s="166"/>
      <c r="F17" s="166"/>
      <c r="G17" s="166"/>
      <c r="H17" s="166"/>
      <c r="I17" s="166"/>
      <c r="J17" s="32"/>
      <c r="K17" s="33"/>
    </row>
    <row r="18" spans="1:17" ht="16.5" hidden="1" customHeight="1" x14ac:dyDescent="0.2">
      <c r="A18" s="56"/>
      <c r="B18" s="42"/>
      <c r="C18" s="166" t="s">
        <v>1587</v>
      </c>
      <c r="D18" s="166"/>
      <c r="E18" s="166"/>
      <c r="F18" s="166"/>
      <c r="G18" s="166"/>
      <c r="H18" s="166"/>
      <c r="I18" s="166"/>
      <c r="J18" s="33"/>
      <c r="K18" s="32"/>
    </row>
    <row r="19" spans="1:17" ht="16.5" customHeight="1" x14ac:dyDescent="0.25">
      <c r="A19" s="56"/>
      <c r="B19" s="57"/>
      <c r="C19" s="166" t="s">
        <v>1626</v>
      </c>
      <c r="D19" s="166"/>
      <c r="E19" s="166"/>
      <c r="F19" s="166"/>
      <c r="G19" s="166"/>
      <c r="H19" s="166"/>
      <c r="I19" s="166"/>
      <c r="J19" s="33"/>
      <c r="K19" s="32">
        <v>1697173</v>
      </c>
      <c r="P19" s="27"/>
    </row>
    <row r="20" spans="1:17" ht="16.5" hidden="1" customHeight="1" x14ac:dyDescent="0.25">
      <c r="A20" s="56"/>
      <c r="B20" s="57"/>
      <c r="C20" s="166" t="s">
        <v>1590</v>
      </c>
      <c r="D20" s="166"/>
      <c r="E20" s="166"/>
      <c r="F20" s="166"/>
      <c r="G20" s="166"/>
      <c r="H20" s="166"/>
      <c r="I20" s="166"/>
      <c r="K20" s="32"/>
      <c r="Q20" s="28"/>
    </row>
    <row r="21" spans="1:17" ht="16.5" customHeight="1" x14ac:dyDescent="0.25">
      <c r="A21" s="56"/>
      <c r="B21" s="57"/>
      <c r="C21" s="166" t="s">
        <v>1591</v>
      </c>
      <c r="D21" s="166"/>
      <c r="E21" s="166"/>
      <c r="F21" s="166"/>
      <c r="G21" s="166"/>
      <c r="H21" s="166"/>
      <c r="I21" s="166"/>
      <c r="J21" s="33"/>
      <c r="K21" s="32">
        <v>4990630</v>
      </c>
      <c r="Q21" s="28"/>
    </row>
    <row r="22" spans="1:17" ht="16.5" customHeight="1" x14ac:dyDescent="0.2">
      <c r="A22" s="56"/>
      <c r="B22" s="58"/>
      <c r="C22" s="58"/>
      <c r="D22" s="58"/>
      <c r="E22" s="58"/>
      <c r="F22" s="58"/>
      <c r="G22" s="58"/>
      <c r="H22" s="58"/>
      <c r="I22" s="58"/>
      <c r="J22" s="29">
        <f>ROUND(SUM(J15:J17),2)</f>
        <v>6687803</v>
      </c>
      <c r="K22" s="29">
        <f>ROUND(SUM(K18:K21),2)</f>
        <v>6687803</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5" t="s">
        <v>1605</v>
      </c>
      <c r="C24" s="165"/>
      <c r="D24" s="165"/>
      <c r="E24" s="165"/>
      <c r="F24" s="165"/>
      <c r="G24" s="165"/>
      <c r="H24" s="165"/>
      <c r="I24" s="165"/>
      <c r="J24" s="165"/>
      <c r="K24" s="165"/>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8" t="s">
        <v>1606</v>
      </c>
      <c r="C27" s="169"/>
      <c r="D27" s="169"/>
      <c r="E27" s="169"/>
      <c r="F27" s="169"/>
      <c r="G27" s="169"/>
      <c r="H27" s="169"/>
      <c r="I27" s="169"/>
      <c r="J27" s="169"/>
      <c r="K27" s="169"/>
      <c r="L27" s="54"/>
    </row>
    <row r="28" spans="1:17" ht="16.5" customHeight="1" x14ac:dyDescent="0.2">
      <c r="A28" s="56"/>
      <c r="B28" s="166" t="s">
        <v>1577</v>
      </c>
      <c r="C28" s="166"/>
      <c r="D28" s="166"/>
      <c r="E28" s="166"/>
      <c r="F28" s="166"/>
      <c r="G28" s="166"/>
      <c r="H28" s="166"/>
      <c r="I28" s="166"/>
      <c r="J28" s="164"/>
      <c r="K28" s="33"/>
      <c r="L28" s="54"/>
    </row>
    <row r="29" spans="1:17" ht="16.5" customHeight="1" x14ac:dyDescent="0.25">
      <c r="A29" s="56"/>
      <c r="B29" s="57"/>
      <c r="C29" s="166" t="s">
        <v>1578</v>
      </c>
      <c r="D29" s="166"/>
      <c r="E29" s="166"/>
      <c r="F29" s="166"/>
      <c r="G29" s="166"/>
      <c r="H29" s="166"/>
      <c r="I29" s="166"/>
      <c r="J29" s="33"/>
      <c r="K29" s="164"/>
      <c r="L29" s="54"/>
    </row>
    <row r="30" spans="1:17" ht="16.5" customHeight="1" x14ac:dyDescent="0.25">
      <c r="A30" s="56"/>
      <c r="B30" s="57"/>
      <c r="C30" s="166" t="str">
        <f>VLOOKUP($F$8,'Drop Down Menus'!$D$2:$G$10,4,FALSE)</f>
        <v>Cr: Acct 0870 - SERVICES &amp; CHARGES (MG ADJ)</v>
      </c>
      <c r="D30" s="166"/>
      <c r="E30" s="166"/>
      <c r="F30" s="166"/>
      <c r="G30" s="166"/>
      <c r="H30" s="166"/>
      <c r="I30" s="166"/>
      <c r="J30" s="33"/>
      <c r="K30" s="164"/>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6" t="s">
        <v>1607</v>
      </c>
      <c r="C33" s="177"/>
      <c r="D33" s="177"/>
      <c r="E33" s="177"/>
      <c r="F33" s="177"/>
      <c r="G33" s="177"/>
      <c r="H33" s="177"/>
      <c r="I33" s="177"/>
      <c r="J33" s="177"/>
      <c r="K33" s="177"/>
      <c r="L33" s="54"/>
    </row>
    <row r="34" spans="1:12" ht="16.5" customHeight="1" x14ac:dyDescent="0.3">
      <c r="A34" s="68"/>
      <c r="B34" s="166" t="s">
        <v>1580</v>
      </c>
      <c r="C34" s="166"/>
      <c r="D34" s="166"/>
      <c r="E34" s="166"/>
      <c r="F34" s="166"/>
      <c r="G34" s="166"/>
      <c r="H34" s="166"/>
      <c r="I34" s="166"/>
      <c r="J34" s="164">
        <v>5678857</v>
      </c>
      <c r="K34" s="70"/>
      <c r="L34" s="54"/>
    </row>
    <row r="35" spans="1:12" ht="16.5" customHeight="1" x14ac:dyDescent="0.2">
      <c r="B35" s="166" t="s">
        <v>1579</v>
      </c>
      <c r="C35" s="166"/>
      <c r="D35" s="166"/>
      <c r="E35" s="166"/>
      <c r="F35" s="166"/>
      <c r="G35" s="166"/>
      <c r="H35" s="166"/>
      <c r="I35" s="166"/>
      <c r="J35" s="32"/>
      <c r="K35" s="36"/>
    </row>
    <row r="36" spans="1:12" ht="16.5" customHeight="1" x14ac:dyDescent="0.2">
      <c r="A36" s="56"/>
      <c r="B36" s="71"/>
      <c r="C36" s="166" t="s">
        <v>1581</v>
      </c>
      <c r="D36" s="166"/>
      <c r="E36" s="166"/>
      <c r="F36" s="166"/>
      <c r="G36" s="166"/>
      <c r="H36" s="166"/>
      <c r="I36" s="166"/>
      <c r="J36" s="36"/>
      <c r="K36" s="32"/>
    </row>
    <row r="37" spans="1:12" ht="16.5" customHeight="1" x14ac:dyDescent="0.2">
      <c r="A37" s="56"/>
      <c r="C37" s="166" t="s">
        <v>1626</v>
      </c>
      <c r="D37" s="166"/>
      <c r="E37" s="166"/>
      <c r="F37" s="166"/>
      <c r="G37" s="166"/>
      <c r="H37" s="166"/>
      <c r="I37" s="166"/>
      <c r="J37" s="36"/>
      <c r="K37" s="164">
        <v>3534236</v>
      </c>
    </row>
    <row r="38" spans="1:12" ht="16.5" customHeight="1" x14ac:dyDescent="0.25">
      <c r="A38" s="56"/>
      <c r="B38" s="57"/>
      <c r="C38" s="166" t="str">
        <f>VLOOKUP($F$8,'Drop Down Menus'!$D$2:$G$10,4,FALSE)</f>
        <v>Cr: Acct 0870 - SERVICES &amp; CHARGES (MG ADJ)</v>
      </c>
      <c r="D38" s="166"/>
      <c r="E38" s="166"/>
      <c r="F38" s="166"/>
      <c r="G38" s="166"/>
      <c r="H38" s="166"/>
      <c r="I38" s="166"/>
      <c r="J38" s="36"/>
      <c r="K38" s="164">
        <v>2144621</v>
      </c>
    </row>
    <row r="39" spans="1:12" ht="16.5" customHeight="1" x14ac:dyDescent="0.2">
      <c r="A39" s="56"/>
      <c r="B39" s="72"/>
      <c r="C39" s="72"/>
      <c r="D39" s="72"/>
      <c r="E39" s="72"/>
      <c r="F39" s="72"/>
      <c r="G39" s="72"/>
      <c r="H39" s="72"/>
      <c r="I39" s="72"/>
      <c r="J39" s="29">
        <f>ROUND(SUM(J34:J35),2)</f>
        <v>5678857</v>
      </c>
      <c r="K39" s="29">
        <f>ROUND(SUM(K36:K38),2)</f>
        <v>5678857</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5" t="s">
        <v>1609</v>
      </c>
      <c r="C41" s="165"/>
      <c r="D41" s="165"/>
      <c r="E41" s="165"/>
      <c r="F41" s="165"/>
      <c r="G41" s="165"/>
      <c r="H41" s="165"/>
      <c r="I41" s="165"/>
      <c r="J41" s="165"/>
      <c r="K41" s="165"/>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6" t="s">
        <v>1582</v>
      </c>
      <c r="C45" s="166"/>
      <c r="D45" s="166"/>
      <c r="E45" s="166"/>
      <c r="F45" s="166"/>
      <c r="G45" s="166"/>
      <c r="H45" s="166"/>
      <c r="I45" s="166"/>
      <c r="J45" s="32">
        <v>7063604</v>
      </c>
      <c r="K45" s="33"/>
    </row>
    <row r="46" spans="1:12" ht="16.5" customHeight="1" x14ac:dyDescent="0.2">
      <c r="A46" s="56"/>
      <c r="B46" s="71"/>
      <c r="C46" s="166" t="s">
        <v>1587</v>
      </c>
      <c r="D46" s="166"/>
      <c r="E46" s="166"/>
      <c r="F46" s="166"/>
      <c r="G46" s="166"/>
      <c r="H46" s="166"/>
      <c r="I46" s="166"/>
      <c r="J46" s="36"/>
      <c r="K46" s="32">
        <f>J45</f>
        <v>7063604</v>
      </c>
    </row>
    <row r="47" spans="1:12" ht="16.5" customHeight="1" x14ac:dyDescent="0.2">
      <c r="A47" s="68"/>
      <c r="B47" s="58"/>
      <c r="C47" s="58"/>
      <c r="D47" s="58"/>
      <c r="E47" s="58"/>
      <c r="F47" s="58"/>
      <c r="G47" s="58"/>
      <c r="H47" s="58"/>
      <c r="I47" s="58"/>
      <c r="J47" s="39">
        <f>ROUND(SUM(J45:J45),2)</f>
        <v>7063604</v>
      </c>
      <c r="K47" s="39">
        <f>ROUND(SUM(K46),2)</f>
        <v>7063604</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6" t="s">
        <v>1611</v>
      </c>
      <c r="C50" s="166"/>
      <c r="D50" s="166"/>
      <c r="E50" s="166"/>
      <c r="F50" s="166"/>
      <c r="G50" s="166"/>
      <c r="H50" s="166"/>
      <c r="I50" s="166"/>
      <c r="J50" s="37">
        <v>598533</v>
      </c>
      <c r="K50" s="81"/>
    </row>
    <row r="51" spans="1:12" ht="16.5" customHeight="1" x14ac:dyDescent="0.2">
      <c r="A51" s="56"/>
      <c r="B51" s="166" t="str">
        <f>IF(OR($F$7="Proprietary - Internal Service Fund",$F$7="Proprietary - Enterprise Fund"),"Dr: Acct 0894 - INTEREST EXPENSE AND FISCAL CHARGES","Dr: Acct 0851 - DEBT SERVICE - INTEREST LEASES")</f>
        <v>Dr: Acct 0894 - INTEREST EXPENSE AND FISCAL CHARGES</v>
      </c>
      <c r="C51" s="166"/>
      <c r="D51" s="166"/>
      <c r="E51" s="166"/>
      <c r="F51" s="166"/>
      <c r="G51" s="166"/>
      <c r="H51" s="166"/>
      <c r="I51" s="166"/>
      <c r="J51" s="37">
        <v>6735840</v>
      </c>
      <c r="K51" s="81"/>
    </row>
    <row r="52" spans="1:12" ht="16.5" customHeight="1" x14ac:dyDescent="0.25">
      <c r="A52" s="56"/>
      <c r="B52" s="57"/>
      <c r="C52" s="166" t="str">
        <f>VLOOKUP($F$8,'Drop Down Menus'!$D$2:$G$10,4,FALSE)</f>
        <v>Cr: Acct 0870 - SERVICES &amp; CHARGES (MG ADJ)</v>
      </c>
      <c r="D52" s="166"/>
      <c r="E52" s="166"/>
      <c r="F52" s="166"/>
      <c r="G52" s="166"/>
      <c r="H52" s="166"/>
      <c r="I52" s="166"/>
      <c r="J52" s="81"/>
      <c r="K52" s="38">
        <f>J50+J51</f>
        <v>7334373</v>
      </c>
    </row>
    <row r="53" spans="1:12" ht="16.5" customHeight="1" x14ac:dyDescent="0.2">
      <c r="A53" s="68"/>
      <c r="B53" s="58"/>
      <c r="C53" s="58"/>
      <c r="D53" s="58"/>
      <c r="E53" s="58"/>
      <c r="F53" s="58"/>
      <c r="G53" s="58"/>
      <c r="H53" s="58"/>
      <c r="I53" s="58"/>
      <c r="J53" s="39">
        <f>ROUND(SUM(J50:J51),2)</f>
        <v>7334373</v>
      </c>
      <c r="K53" s="39">
        <f>ROUND(SUM(K52,),2)</f>
        <v>7334373</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6" t="s">
        <v>1627</v>
      </c>
      <c r="C56" s="166"/>
      <c r="D56" s="166"/>
      <c r="E56" s="166"/>
      <c r="F56" s="166"/>
      <c r="G56" s="166"/>
      <c r="H56" s="166"/>
      <c r="I56" s="166"/>
      <c r="J56" s="32">
        <f>K57</f>
        <v>598533</v>
      </c>
      <c r="K56" s="36"/>
    </row>
    <row r="57" spans="1:12" ht="16.5" customHeight="1" x14ac:dyDescent="0.25">
      <c r="A57" s="56"/>
      <c r="B57" s="57"/>
      <c r="C57" s="166" t="s">
        <v>1613</v>
      </c>
      <c r="D57" s="166"/>
      <c r="E57" s="166"/>
      <c r="F57" s="166"/>
      <c r="G57" s="166"/>
      <c r="H57" s="166"/>
      <c r="I57" s="166"/>
      <c r="J57" s="36"/>
      <c r="K57" s="32">
        <f>J50</f>
        <v>598533</v>
      </c>
    </row>
    <row r="58" spans="1:12" ht="16.5" customHeight="1" x14ac:dyDescent="0.2">
      <c r="A58" s="68"/>
      <c r="B58" s="58"/>
      <c r="C58" s="58"/>
      <c r="D58" s="58"/>
      <c r="E58" s="58"/>
      <c r="F58" s="58"/>
      <c r="G58" s="58"/>
      <c r="H58" s="58"/>
      <c r="I58" s="58"/>
      <c r="J58" s="39">
        <f>ROUND(SUM(J56:J56),2)</f>
        <v>598533</v>
      </c>
      <c r="K58" s="39">
        <f>ROUND(SUM(K57),2)</f>
        <v>598533</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6" t="s">
        <v>1627</v>
      </c>
      <c r="C61" s="166"/>
      <c r="D61" s="166"/>
      <c r="E61" s="166"/>
      <c r="F61" s="166"/>
      <c r="G61" s="166"/>
      <c r="H61" s="166"/>
      <c r="I61" s="166"/>
      <c r="J61" s="41">
        <v>3477533</v>
      </c>
      <c r="K61" s="33"/>
    </row>
    <row r="62" spans="1:12" ht="16.5" customHeight="1" x14ac:dyDescent="0.25">
      <c r="A62" s="56"/>
      <c r="B62" s="57"/>
      <c r="C62" s="166" t="s">
        <v>1623</v>
      </c>
      <c r="D62" s="166"/>
      <c r="E62" s="166"/>
      <c r="F62" s="166"/>
      <c r="G62" s="166"/>
      <c r="H62" s="166"/>
      <c r="I62" s="166"/>
      <c r="J62" s="33"/>
      <c r="K62" s="32">
        <f>J61</f>
        <v>3477533</v>
      </c>
    </row>
    <row r="63" spans="1:12" ht="16.5" customHeight="1" x14ac:dyDescent="0.2">
      <c r="A63" s="56"/>
      <c r="B63" s="167" t="s">
        <v>1622</v>
      </c>
      <c r="C63" s="167"/>
      <c r="D63" s="167"/>
      <c r="E63" s="167"/>
      <c r="F63" s="167"/>
      <c r="G63" s="167"/>
      <c r="H63" s="167"/>
      <c r="I63" s="167"/>
      <c r="J63" s="39">
        <f>ROUND(SUM(J61:J61),2)</f>
        <v>3477533</v>
      </c>
      <c r="K63" s="39">
        <f>ROUND(SUM(K62),2)</f>
        <v>3477533</v>
      </c>
      <c r="L63" s="54" t="str">
        <f>IF(J63=K63,"&lt;- Debits and Credits equal each other.","&lt;- Debits and Credits do not equal each other.")</f>
        <v>&lt;- Debits and Credits equal each other.</v>
      </c>
    </row>
    <row r="64" spans="1:12" ht="16.5" customHeight="1" x14ac:dyDescent="0.2">
      <c r="A64" s="56"/>
      <c r="B64" s="167"/>
      <c r="C64" s="167"/>
      <c r="D64" s="167"/>
      <c r="E64" s="167"/>
      <c r="F64" s="167"/>
      <c r="G64" s="167"/>
      <c r="H64" s="167"/>
      <c r="I64" s="167"/>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2" t="s">
        <v>1594</v>
      </c>
      <c r="C68" s="172"/>
      <c r="D68" s="172"/>
      <c r="E68" s="172"/>
      <c r="F68" s="172"/>
      <c r="G68" s="172"/>
      <c r="H68" s="172"/>
      <c r="I68" s="172"/>
      <c r="J68" s="41"/>
      <c r="K68" s="34"/>
      <c r="L68" s="54"/>
    </row>
    <row r="69" spans="1:12" ht="16.5" hidden="1" customHeight="1" x14ac:dyDescent="0.2">
      <c r="A69" s="56"/>
      <c r="B69" s="84"/>
      <c r="C69" s="172" t="s">
        <v>1595</v>
      </c>
      <c r="D69" s="172"/>
      <c r="E69" s="172"/>
      <c r="F69" s="172"/>
      <c r="G69" s="172"/>
      <c r="H69" s="172"/>
      <c r="I69" s="172"/>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5" t="s">
        <v>1610</v>
      </c>
      <c r="C72" s="165"/>
      <c r="D72" s="165"/>
      <c r="E72" s="165"/>
      <c r="F72" s="165"/>
      <c r="G72" s="165"/>
      <c r="H72" s="165"/>
      <c r="I72" s="165"/>
      <c r="J72" s="165"/>
      <c r="K72" s="165"/>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70" t="s">
        <v>1612</v>
      </c>
      <c r="C75" s="171"/>
      <c r="D75" s="171"/>
      <c r="E75" s="171"/>
      <c r="F75" s="171"/>
      <c r="G75" s="171"/>
      <c r="H75" s="171"/>
      <c r="I75" s="171"/>
      <c r="J75" s="171"/>
      <c r="K75" s="171"/>
      <c r="L75" s="54"/>
    </row>
    <row r="76" spans="1:12" ht="16.5" hidden="1" customHeight="1" x14ac:dyDescent="0.2">
      <c r="B76" s="166" t="s">
        <v>1626</v>
      </c>
      <c r="C76" s="166"/>
      <c r="D76" s="166"/>
      <c r="E76" s="166"/>
      <c r="F76" s="166"/>
      <c r="G76" s="166"/>
      <c r="H76" s="166"/>
      <c r="I76" s="166"/>
      <c r="J76" s="41"/>
    </row>
    <row r="77" spans="1:12" ht="16.5" hidden="1" customHeight="1" x14ac:dyDescent="0.2">
      <c r="B77" s="172" t="s">
        <v>1594</v>
      </c>
      <c r="C77" s="172"/>
      <c r="D77" s="172"/>
      <c r="E77" s="172"/>
      <c r="F77" s="172"/>
      <c r="G77" s="172"/>
      <c r="H77" s="172"/>
      <c r="I77" s="172"/>
      <c r="J77" s="41"/>
    </row>
    <row r="78" spans="1:12" ht="16.5" hidden="1" customHeight="1" x14ac:dyDescent="0.2">
      <c r="B78" s="166" t="str">
        <f>VLOOKUP($F$8,'Drop Down Menus'!$D$2:$G$10,4,FALSE)</f>
        <v>Cr: Acct 0870 - SERVICES &amp; CHARGES (MG ADJ)</v>
      </c>
      <c r="C78" s="166"/>
      <c r="D78" s="166"/>
      <c r="E78" s="166"/>
      <c r="F78" s="166"/>
      <c r="G78" s="166"/>
      <c r="H78" s="166"/>
      <c r="I78" s="166"/>
      <c r="J78" s="41"/>
    </row>
    <row r="79" spans="1:12" ht="16.5" hidden="1" customHeight="1" x14ac:dyDescent="0.2">
      <c r="C79" s="172" t="s">
        <v>1595</v>
      </c>
      <c r="D79" s="172"/>
      <c r="E79" s="172"/>
      <c r="F79" s="172"/>
      <c r="G79" s="172"/>
      <c r="H79" s="172"/>
      <c r="I79" s="172"/>
      <c r="K79" s="41"/>
    </row>
    <row r="80" spans="1:12" ht="16.5" hidden="1" customHeight="1" x14ac:dyDescent="0.2">
      <c r="C80" s="166" t="str">
        <f>VLOOKUP($F$8,'Drop Down Menus'!$D$2:$G$10,4,FALSE)</f>
        <v>Cr: Acct 0870 - SERVICES &amp; CHARGES (MG ADJ)</v>
      </c>
      <c r="D80" s="166"/>
      <c r="E80" s="166"/>
      <c r="F80" s="166"/>
      <c r="G80" s="166"/>
      <c r="H80" s="166"/>
      <c r="I80" s="166"/>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8" t="s">
        <v>1614</v>
      </c>
      <c r="C83" s="169"/>
      <c r="D83" s="169"/>
      <c r="E83" s="169"/>
      <c r="F83" s="169"/>
      <c r="G83" s="169"/>
      <c r="H83" s="169"/>
      <c r="I83" s="169"/>
      <c r="J83" s="169"/>
      <c r="K83" s="169"/>
    </row>
    <row r="84" spans="1:12" ht="16.5" hidden="1" customHeight="1" x14ac:dyDescent="0.2">
      <c r="B84" s="166" t="s">
        <v>1580</v>
      </c>
      <c r="C84" s="166"/>
      <c r="D84" s="166"/>
      <c r="E84" s="166"/>
      <c r="F84" s="166"/>
      <c r="G84" s="166"/>
      <c r="H84" s="166"/>
      <c r="I84" s="166"/>
      <c r="J84" s="41"/>
    </row>
    <row r="85" spans="1:12" ht="16.5" hidden="1" customHeight="1" x14ac:dyDescent="0.2">
      <c r="C85" s="166" t="s">
        <v>1626</v>
      </c>
      <c r="D85" s="166"/>
      <c r="E85" s="166"/>
      <c r="F85" s="166"/>
      <c r="G85" s="166"/>
      <c r="H85" s="166"/>
      <c r="I85" s="166"/>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5" t="s">
        <v>1619</v>
      </c>
      <c r="C88" s="165"/>
      <c r="D88" s="165"/>
      <c r="E88" s="165"/>
      <c r="F88" s="165"/>
      <c r="G88" s="165"/>
      <c r="H88" s="165"/>
      <c r="I88" s="165"/>
      <c r="J88" s="165"/>
      <c r="K88" s="165"/>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12366660</v>
      </c>
    </row>
    <row r="95" spans="1:12" ht="16.5" customHeight="1" x14ac:dyDescent="0.25">
      <c r="D95" s="57" t="s">
        <v>1641</v>
      </c>
      <c r="E95"/>
      <c r="F95"/>
      <c r="G95"/>
      <c r="H95" s="44"/>
      <c r="I95"/>
      <c r="J95"/>
      <c r="K95" s="162">
        <f>-K18-K46+J68+J77</f>
        <v>-7063604</v>
      </c>
    </row>
    <row r="96" spans="1:12" ht="16.5" customHeight="1" x14ac:dyDescent="0.25">
      <c r="D96" s="57" t="s">
        <v>1639</v>
      </c>
      <c r="E96"/>
      <c r="F96"/>
      <c r="G96"/>
      <c r="H96" s="44"/>
      <c r="I96"/>
      <c r="J96"/>
      <c r="K96" s="162">
        <f>-K19-K37+J56+J61+J76-K85</f>
        <v>-1155343</v>
      </c>
    </row>
    <row r="97" spans="1:11" ht="16.5" customHeight="1" x14ac:dyDescent="0.25">
      <c r="D97" s="57" t="s">
        <v>1640</v>
      </c>
      <c r="E97"/>
      <c r="F97"/>
      <c r="G97"/>
      <c r="H97" s="44"/>
      <c r="I97"/>
      <c r="J97"/>
      <c r="K97" s="162">
        <f>-K62</f>
        <v>-3477533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10" zoomScaleNormal="100" workbookViewId="0">
      <selection activeCell="C49" sqref="C4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1" t="s">
        <v>1615</v>
      </c>
      <c r="B3" s="191"/>
      <c r="C3" s="191"/>
      <c r="D3" s="191"/>
      <c r="E3" s="90"/>
      <c r="F3" s="90"/>
      <c r="G3" s="90"/>
      <c r="H3" s="90"/>
      <c r="I3" s="90"/>
      <c r="J3" s="90"/>
      <c r="K3" s="90"/>
    </row>
    <row r="4" spans="1:11" ht="15.75" customHeight="1" x14ac:dyDescent="0.25">
      <c r="A4" s="192" t="s">
        <v>1616</v>
      </c>
      <c r="B4" s="192"/>
      <c r="C4" s="192"/>
      <c r="D4" s="192"/>
      <c r="E4" s="90"/>
      <c r="F4" s="90"/>
      <c r="G4" s="90"/>
      <c r="H4" s="90"/>
      <c r="I4" s="90"/>
      <c r="J4" s="90"/>
      <c r="K4" s="90"/>
    </row>
    <row r="5" spans="1:11" ht="15.75" customHeight="1" x14ac:dyDescent="0.25">
      <c r="A5" s="190" t="s">
        <v>4</v>
      </c>
      <c r="B5" s="190"/>
      <c r="C5" s="190"/>
      <c r="D5" s="89"/>
      <c r="E5" s="90"/>
      <c r="F5" s="90"/>
      <c r="G5" s="90"/>
      <c r="H5" s="90"/>
      <c r="I5" s="90"/>
      <c r="J5" s="90"/>
      <c r="K5" s="90"/>
    </row>
    <row r="6" spans="1:11" ht="15.75" customHeight="1" x14ac:dyDescent="0.25">
      <c r="A6" s="190"/>
      <c r="B6" s="190"/>
      <c r="C6" s="190"/>
      <c r="D6" s="89"/>
      <c r="E6" s="90"/>
      <c r="F6" s="90"/>
      <c r="G6" s="90"/>
      <c r="H6" s="90"/>
      <c r="I6" s="90"/>
      <c r="J6" s="90"/>
      <c r="K6" s="90"/>
    </row>
    <row r="7" spans="1:11" ht="15.75" customHeight="1" x14ac:dyDescent="0.25">
      <c r="A7" s="190" t="s">
        <v>5</v>
      </c>
      <c r="B7" s="190"/>
      <c r="C7" s="190"/>
      <c r="D7" s="89"/>
      <c r="E7" s="90"/>
      <c r="F7" s="90"/>
      <c r="G7" s="90"/>
      <c r="H7" s="90"/>
      <c r="I7" s="90"/>
      <c r="J7" s="90"/>
      <c r="K7" s="90"/>
    </row>
    <row r="8" spans="1:11" ht="15.75" customHeight="1" x14ac:dyDescent="0.25">
      <c r="A8" s="190"/>
      <c r="B8" s="190"/>
      <c r="C8" s="190"/>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3" t="s">
        <v>16</v>
      </c>
      <c r="C11" s="193"/>
    </row>
    <row r="12" spans="1:11" ht="15" customHeight="1" x14ac:dyDescent="0.25">
      <c r="A12" s="92" t="s">
        <v>1601</v>
      </c>
      <c r="B12" s="194">
        <v>531</v>
      </c>
      <c r="C12" s="194"/>
    </row>
    <row r="13" spans="1:11" ht="15.75" x14ac:dyDescent="0.25">
      <c r="A13" s="92" t="s">
        <v>1600</v>
      </c>
      <c r="B13" s="189" t="s">
        <v>1643</v>
      </c>
      <c r="C13" s="189"/>
      <c r="E13" s="93"/>
      <c r="F13" s="93"/>
      <c r="G13" s="93"/>
      <c r="H13" s="93"/>
      <c r="I13" s="93"/>
      <c r="J13" s="93"/>
      <c r="K13" s="93"/>
    </row>
    <row r="14" spans="1:11" ht="23.25" customHeight="1" x14ac:dyDescent="0.2">
      <c r="A14" s="183" t="s">
        <v>6</v>
      </c>
      <c r="B14" s="183"/>
      <c r="C14" s="183"/>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c r="C16" s="2"/>
      <c r="D16" s="186" t="s">
        <v>1537</v>
      </c>
      <c r="E16" s="97"/>
      <c r="F16" s="97"/>
      <c r="G16" s="97"/>
      <c r="H16" s="97"/>
      <c r="I16" s="97"/>
      <c r="J16" s="97"/>
      <c r="K16" s="97"/>
    </row>
    <row r="17" spans="1:11" ht="15" customHeight="1" x14ac:dyDescent="0.2">
      <c r="A17" s="94" t="str">
        <f>LEFT(A16,4)+1&amp;"–"&amp;RIGHT(A16,4)+1</f>
        <v>2024–2025</v>
      </c>
      <c r="B17" s="2"/>
      <c r="C17" s="2"/>
      <c r="D17" s="186"/>
      <c r="E17" s="97"/>
      <c r="F17" s="97"/>
      <c r="G17" s="97"/>
      <c r="H17" s="97"/>
      <c r="I17" s="97"/>
      <c r="J17" s="97"/>
      <c r="K17" s="97"/>
    </row>
    <row r="18" spans="1:11" ht="15" customHeight="1" x14ac:dyDescent="0.2">
      <c r="A18" s="94" t="str">
        <f>LEFT(A17,4)+1&amp;"–"&amp;RIGHT(A17,4)+1</f>
        <v>2025–2026</v>
      </c>
      <c r="B18" s="2"/>
      <c r="C18" s="2"/>
      <c r="D18" s="25"/>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c r="E20" s="97"/>
      <c r="F20" s="97"/>
      <c r="G20" s="97"/>
      <c r="H20" s="97"/>
      <c r="I20" s="97"/>
      <c r="J20" s="97"/>
      <c r="K20" s="97"/>
    </row>
    <row r="21" spans="1:11" ht="15" customHeight="1" x14ac:dyDescent="0.25">
      <c r="A21" s="94" t="str">
        <f>LEFT(A20,4)+1&amp;"–"&amp;RIGHT(A20,4)+5</f>
        <v>2028–2033</v>
      </c>
      <c r="B21" s="2"/>
      <c r="C21" s="2"/>
      <c r="D21" s="187"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7"/>
      <c r="E22" s="95"/>
      <c r="F22" s="95"/>
      <c r="G22" s="95"/>
      <c r="H22" s="95"/>
      <c r="I22" s="95"/>
      <c r="J22" s="95"/>
      <c r="K22" s="95"/>
    </row>
    <row r="23" spans="1:11" ht="15" customHeight="1" x14ac:dyDescent="0.25">
      <c r="A23" s="94" t="str">
        <f t="shared" si="0"/>
        <v>2038–2043</v>
      </c>
      <c r="B23" s="2"/>
      <c r="C23" s="2"/>
      <c r="D23" s="23"/>
      <c r="E23" s="95"/>
      <c r="F23" s="95"/>
      <c r="G23" s="95"/>
      <c r="H23" s="95"/>
      <c r="I23" s="95"/>
      <c r="J23" s="95"/>
      <c r="K23" s="95"/>
    </row>
    <row r="24" spans="1:11" ht="15" customHeight="1" x14ac:dyDescent="0.2">
      <c r="A24" s="94" t="str">
        <f t="shared" si="0"/>
        <v>2043–2048</v>
      </c>
      <c r="B24" s="2"/>
      <c r="C24" s="2"/>
      <c r="D24" s="187"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7"/>
      <c r="E25" s="98"/>
      <c r="F25" s="98"/>
      <c r="G25" s="98"/>
      <c r="H25" s="98"/>
      <c r="I25" s="98"/>
      <c r="J25" s="98"/>
      <c r="K25" s="98"/>
    </row>
    <row r="26" spans="1:11" ht="15" customHeight="1" x14ac:dyDescent="0.2">
      <c r="A26" s="94" t="str">
        <f t="shared" si="0"/>
        <v>2053–2058</v>
      </c>
      <c r="B26" s="2"/>
      <c r="C26" s="2"/>
      <c r="D26" s="23"/>
      <c r="E26" s="99"/>
      <c r="F26" s="99"/>
      <c r="G26" s="99"/>
      <c r="H26" s="99"/>
      <c r="I26" s="99"/>
    </row>
    <row r="27" spans="1:11" ht="15" customHeight="1" x14ac:dyDescent="0.2">
      <c r="A27" s="94" t="str">
        <f t="shared" si="0"/>
        <v>2058–2063</v>
      </c>
      <c r="B27" s="2"/>
      <c r="C27" s="2"/>
      <c r="D27" s="187"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7"/>
      <c r="E28" s="95"/>
      <c r="F28" s="95"/>
      <c r="G28" s="95"/>
      <c r="H28" s="95"/>
      <c r="I28" s="95"/>
      <c r="J28" s="95"/>
      <c r="K28" s="95"/>
    </row>
    <row r="29" spans="1:11" ht="15.75" customHeight="1" x14ac:dyDescent="0.2">
      <c r="A29" s="94" t="str">
        <f t="shared" si="0"/>
        <v>2068–2073</v>
      </c>
      <c r="B29" s="2"/>
      <c r="C29" s="2"/>
      <c r="D29" s="25"/>
    </row>
    <row r="30" spans="1:11" ht="15.75" customHeight="1" x14ac:dyDescent="0.2">
      <c r="A30" s="94" t="str">
        <f t="shared" si="0"/>
        <v>2073–2078</v>
      </c>
      <c r="B30" s="2"/>
      <c r="C30" s="2"/>
      <c r="D30" s="187"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7"/>
    </row>
    <row r="32" spans="1:11" ht="15" customHeight="1" x14ac:dyDescent="0.2">
      <c r="A32" s="94" t="str">
        <f t="shared" si="0"/>
        <v>2083–2088</v>
      </c>
      <c r="B32" s="2"/>
      <c r="C32" s="2"/>
      <c r="D32" s="23"/>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4" t="str">
        <f>B11</f>
        <v>2022–2023</v>
      </c>
      <c r="C42" s="184"/>
    </row>
    <row r="43" spans="1:11" ht="15.75" customHeight="1" x14ac:dyDescent="0.25">
      <c r="A43" s="92" t="s">
        <v>1601</v>
      </c>
      <c r="B43" s="185">
        <f>B12</f>
        <v>531</v>
      </c>
      <c r="C43" s="185"/>
    </row>
    <row r="44" spans="1:11" ht="15.75" x14ac:dyDescent="0.25">
      <c r="A44" s="92" t="s">
        <v>1600</v>
      </c>
      <c r="B44" s="184" t="str">
        <f>B13</f>
        <v>Office of Technology and Solutions Integration</v>
      </c>
      <c r="C44" s="184"/>
    </row>
    <row r="45" spans="1:11" x14ac:dyDescent="0.2">
      <c r="A45" s="183" t="s">
        <v>6</v>
      </c>
      <c r="B45" s="183"/>
      <c r="C45" s="183"/>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v>3477533</v>
      </c>
      <c r="C47" s="2">
        <v>27078</v>
      </c>
      <c r="D47" s="187" t="s">
        <v>1537</v>
      </c>
    </row>
    <row r="48" spans="1:11" ht="15" customHeight="1" x14ac:dyDescent="0.2">
      <c r="A48" s="94" t="str">
        <f>LEFT(A47,4)+1&amp;"–"&amp;RIGHT(A47,4)+1</f>
        <v>2024–2025</v>
      </c>
      <c r="B48" s="2">
        <v>1155343</v>
      </c>
      <c r="C48" s="2"/>
      <c r="D48" s="187"/>
    </row>
    <row r="49" spans="1:4" x14ac:dyDescent="0.2">
      <c r="A49" s="94" t="str">
        <f>LEFT(A48,4)+1&amp;"–"&amp;RIGHT(A48,4)+1</f>
        <v>2025–2026</v>
      </c>
      <c r="B49" s="2"/>
      <c r="C49" s="2"/>
      <c r="D49" s="25" t="s">
        <v>116</v>
      </c>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v>0</v>
      </c>
    </row>
    <row r="52" spans="1:4" x14ac:dyDescent="0.2">
      <c r="A52" s="94" t="str">
        <f>LEFT(A51,4)+1&amp;"–"&amp;RIGHT(A51,4)+5</f>
        <v>2028–2033</v>
      </c>
      <c r="B52" s="2"/>
      <c r="C52" s="2"/>
      <c r="D52" s="187"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7"/>
    </row>
    <row r="54" spans="1:4" ht="15" customHeight="1" x14ac:dyDescent="0.2">
      <c r="A54" s="94" t="str">
        <f t="shared" si="1"/>
        <v>2038–2043</v>
      </c>
      <c r="B54" s="2"/>
      <c r="C54" s="2"/>
      <c r="D54" s="23" t="s">
        <v>1642</v>
      </c>
    </row>
    <row r="55" spans="1:4" ht="15" customHeight="1" x14ac:dyDescent="0.2">
      <c r="A55" s="94" t="str">
        <f t="shared" si="1"/>
        <v>2043–2048</v>
      </c>
      <c r="B55" s="2"/>
      <c r="C55" s="2"/>
      <c r="D55" s="187"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7"/>
    </row>
    <row r="57" spans="1:4" ht="15.75" customHeight="1" x14ac:dyDescent="0.2">
      <c r="A57" s="94" t="str">
        <f t="shared" si="1"/>
        <v>2053–2058</v>
      </c>
      <c r="B57" s="2"/>
      <c r="C57" s="2"/>
      <c r="D57" s="23" t="s">
        <v>116</v>
      </c>
    </row>
    <row r="58" spans="1:4" ht="15.75" customHeight="1" x14ac:dyDescent="0.2">
      <c r="A58" s="94" t="str">
        <f t="shared" si="1"/>
        <v>2058–2063</v>
      </c>
      <c r="B58" s="2"/>
      <c r="C58" s="2"/>
      <c r="D58" s="187"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7"/>
    </row>
    <row r="60" spans="1:4" x14ac:dyDescent="0.2">
      <c r="A60" s="94" t="str">
        <f t="shared" si="1"/>
        <v>2068–2073</v>
      </c>
      <c r="B60" s="2"/>
      <c r="C60" s="2"/>
      <c r="D60" s="25" t="s">
        <v>116</v>
      </c>
    </row>
    <row r="61" spans="1:4" ht="15" customHeight="1" x14ac:dyDescent="0.2">
      <c r="A61" s="94" t="str">
        <f t="shared" si="1"/>
        <v>2073–2078</v>
      </c>
      <c r="B61" s="2"/>
      <c r="C61" s="2"/>
      <c r="D61" s="187"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7"/>
    </row>
    <row r="63" spans="1:4" x14ac:dyDescent="0.2">
      <c r="A63" s="94" t="str">
        <f t="shared" si="1"/>
        <v>2083–2088</v>
      </c>
      <c r="B63" s="2"/>
      <c r="C63" s="2"/>
      <c r="D63" s="23">
        <v>0</v>
      </c>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4" t="str">
        <f>B11</f>
        <v>2022–2023</v>
      </c>
      <c r="C73" s="184"/>
    </row>
    <row r="74" spans="1:4" ht="15.75" customHeight="1" x14ac:dyDescent="0.25">
      <c r="A74" s="92" t="s">
        <v>1601</v>
      </c>
      <c r="B74" s="185">
        <f>B12</f>
        <v>531</v>
      </c>
      <c r="C74" s="185"/>
    </row>
    <row r="75" spans="1:4" ht="15.75" x14ac:dyDescent="0.25">
      <c r="A75" s="92" t="s">
        <v>1600</v>
      </c>
      <c r="B75" s="184" t="str">
        <f>B13</f>
        <v>Office of Technology and Solutions Integration</v>
      </c>
      <c r="C75" s="184"/>
    </row>
    <row r="76" spans="1:4" x14ac:dyDescent="0.2">
      <c r="A76" s="183" t="s">
        <v>6</v>
      </c>
      <c r="B76" s="183"/>
      <c r="C76" s="183"/>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6" t="s">
        <v>1537</v>
      </c>
    </row>
    <row r="79" spans="1:4" ht="15" customHeight="1" x14ac:dyDescent="0.2">
      <c r="A79" s="94" t="str">
        <f>LEFT(A78,4)+1&amp;"–"&amp;RIGHT(A78,4)+1</f>
        <v>2024–2025</v>
      </c>
      <c r="B79" s="2"/>
      <c r="C79" s="2"/>
      <c r="D79" s="186"/>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7"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7"/>
    </row>
    <row r="85" spans="1:4" x14ac:dyDescent="0.2">
      <c r="A85" s="94" t="str">
        <f t="shared" si="2"/>
        <v>2038–2043</v>
      </c>
      <c r="B85" s="2"/>
      <c r="C85" s="2"/>
      <c r="D85" s="23"/>
    </row>
    <row r="86" spans="1:4" ht="15" customHeight="1" x14ac:dyDescent="0.2">
      <c r="A86" s="94" t="str">
        <f t="shared" si="2"/>
        <v>2043–2048</v>
      </c>
      <c r="B86" s="2"/>
      <c r="C86" s="2"/>
      <c r="D86" s="187"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7"/>
    </row>
    <row r="88" spans="1:4" ht="15" customHeight="1" x14ac:dyDescent="0.2">
      <c r="A88" s="94" t="str">
        <f t="shared" si="2"/>
        <v>2053–2058</v>
      </c>
      <c r="B88" s="2"/>
      <c r="C88" s="2"/>
      <c r="D88" s="23"/>
    </row>
    <row r="89" spans="1:4" ht="15.75" customHeight="1" x14ac:dyDescent="0.2">
      <c r="A89" s="94" t="str">
        <f t="shared" si="2"/>
        <v>2058–2063</v>
      </c>
      <c r="B89" s="2"/>
      <c r="C89" s="2"/>
      <c r="D89" s="187"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7"/>
    </row>
    <row r="91" spans="1:4" x14ac:dyDescent="0.2">
      <c r="A91" s="94" t="str">
        <f t="shared" si="2"/>
        <v>2068–2073</v>
      </c>
      <c r="B91" s="2"/>
      <c r="C91" s="2"/>
      <c r="D91" s="25"/>
    </row>
    <row r="92" spans="1:4" ht="15" customHeight="1" x14ac:dyDescent="0.2">
      <c r="A92" s="94" t="str">
        <f t="shared" si="2"/>
        <v>2073–2078</v>
      </c>
      <c r="B92" s="2"/>
      <c r="C92" s="2"/>
      <c r="D92" s="187"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7"/>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FD8/lPNpnJXcqFj364xA4B8ooHW3e31Qs2qprInj2FL0ZmZi/xCOv9QLBZCDtKlK1r+OpDAvNJalNkU69qimsA==" saltValue="qaNZomGsB1bjyj4ADgJkD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5" t="s">
        <v>119</v>
      </c>
      <c r="H3" s="195"/>
      <c r="I3" s="195"/>
      <c r="J3" s="195"/>
      <c r="K3" s="195"/>
      <c r="L3" s="195"/>
      <c r="M3" s="195"/>
      <c r="N3" s="108"/>
      <c r="O3" s="108"/>
      <c r="P3" s="108"/>
      <c r="Q3" s="109"/>
    </row>
    <row r="4" spans="2:17" ht="20.25" x14ac:dyDescent="0.3">
      <c r="B4" s="107"/>
      <c r="D4" s="108"/>
      <c r="E4" s="108"/>
      <c r="F4" s="108"/>
      <c r="G4" s="195" t="str">
        <f>"FY "&amp;'Department Note Disclosure'!$B$11</f>
        <v>FY 2022–2023</v>
      </c>
      <c r="H4" s="195"/>
      <c r="I4" s="195"/>
      <c r="J4" s="195"/>
      <c r="K4" s="195"/>
      <c r="L4" s="195"/>
      <c r="M4" s="195"/>
      <c r="N4" s="108"/>
      <c r="O4" s="108"/>
      <c r="P4" s="108"/>
      <c r="Q4" s="109"/>
    </row>
    <row r="5" spans="2:17" ht="20.25" x14ac:dyDescent="0.3">
      <c r="B5" s="107"/>
      <c r="D5" s="108"/>
      <c r="E5" s="108"/>
      <c r="F5" s="108"/>
      <c r="G5" s="196" t="str">
        <f>"Business Unit " &amp;'Fund 9745 Journal Entries'!$F$5&amp;" "&amp;'Fund 9745 Journal Entries'!$F$4</f>
        <v>Business Unit 0531 Office of Technology and Solutions Integration</v>
      </c>
      <c r="H5" s="196"/>
      <c r="I5" s="196"/>
      <c r="J5" s="196"/>
      <c r="K5" s="196"/>
      <c r="L5" s="196"/>
      <c r="M5" s="196"/>
      <c r="N5" s="108"/>
      <c r="O5" s="108"/>
      <c r="P5" s="108"/>
      <c r="Q5" s="109"/>
    </row>
    <row r="6" spans="2:17" x14ac:dyDescent="0.25">
      <c r="B6" s="107"/>
      <c r="Q6" s="109"/>
    </row>
    <row r="7" spans="2:17" x14ac:dyDescent="0.25">
      <c r="B7" s="107"/>
      <c r="C7" s="197" t="s">
        <v>1620</v>
      </c>
      <c r="D7" s="197"/>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9745 Journal Entries'!$F$3,4)</f>
        <v>Balance
July 1, 2022</v>
      </c>
      <c r="G8" s="116"/>
      <c r="H8" s="117" t="s">
        <v>10</v>
      </c>
      <c r="I8" s="116"/>
      <c r="J8" s="117" t="s">
        <v>11</v>
      </c>
      <c r="K8" s="116"/>
      <c r="L8" s="115" t="str">
        <f>"Balance
June 30, "&amp;RIGHT('Fund 9745 Journal Entries'!$F$3,4)</f>
        <v>Balance
June 30, 2023</v>
      </c>
      <c r="M8" s="116"/>
      <c r="N8" s="115" t="s">
        <v>12</v>
      </c>
      <c r="O8" s="116"/>
      <c r="P8" s="115" t="s">
        <v>13</v>
      </c>
      <c r="Q8" s="109"/>
    </row>
    <row r="9" spans="2:17" x14ac:dyDescent="0.25">
      <c r="B9" s="107"/>
      <c r="C9" s="198" t="s">
        <v>14</v>
      </c>
      <c r="D9" s="198"/>
      <c r="Q9" s="109"/>
    </row>
    <row r="10" spans="2:17" ht="18.75" thickBot="1" x14ac:dyDescent="0.3">
      <c r="B10" s="107"/>
      <c r="D10" s="101" t="s">
        <v>118</v>
      </c>
      <c r="F10" s="3">
        <f>IF('Fund 9745 Journal Entries'!$F$7="Governmental Fund",'Fund 9745 Journal Entries'!$K$19,0)</f>
        <v>0</v>
      </c>
      <c r="H10" s="3">
        <f>IF('Fund 9745 Journal Entries'!$F$7="Governmental Fund",'Fund 9745 Journal Entries'!$K$37,0)</f>
        <v>0</v>
      </c>
      <c r="J10" s="3">
        <f>IF('Fund 9745 Journal Entries'!$F$7="Governmental Fund",'Fund 9745 Journal Entries'!$J$56,0)</f>
        <v>0</v>
      </c>
      <c r="L10" s="119">
        <f>SUM(F10+H10-J10)</f>
        <v>0</v>
      </c>
      <c r="N10" s="3">
        <f>IF('Fund 9745 Journal Entries'!$F$7="Governmental Fund",'Fund 9745 Journal Entries'!$J$61,0)</f>
        <v>0</v>
      </c>
      <c r="P10" s="119">
        <f>L10-N10</f>
        <v>0</v>
      </c>
      <c r="Q10" s="109"/>
    </row>
    <row r="11" spans="2:17" ht="19.5" thickTop="1" thickBot="1" x14ac:dyDescent="0.3">
      <c r="B11" s="107"/>
      <c r="C11" s="198" t="s">
        <v>15</v>
      </c>
      <c r="D11" s="198"/>
      <c r="F11" s="120">
        <f>SUM(F10:F10)</f>
        <v>0</v>
      </c>
      <c r="H11" s="120">
        <f>SUM(H10:H10)</f>
        <v>0</v>
      </c>
      <c r="J11" s="120">
        <f>SUM(J10:J10)</f>
        <v>0</v>
      </c>
      <c r="L11" s="120">
        <f>SUM(L10:L10)</f>
        <v>0</v>
      </c>
      <c r="N11" s="120">
        <f>SUM(N10:N10)</f>
        <v>0</v>
      </c>
      <c r="P11" s="120">
        <f>SUM(P10:P10)</f>
        <v>0</v>
      </c>
      <c r="Q11" s="109"/>
    </row>
    <row r="12" spans="2:17" ht="18.75" thickTop="1" x14ac:dyDescent="0.25">
      <c r="B12" s="107"/>
      <c r="G12" s="121"/>
      <c r="Q12" s="109"/>
    </row>
    <row r="13" spans="2:17" x14ac:dyDescent="0.25">
      <c r="B13" s="107"/>
      <c r="C13" s="198" t="s">
        <v>1572</v>
      </c>
      <c r="D13" s="198"/>
      <c r="Q13" s="109"/>
    </row>
    <row r="14" spans="2:17" ht="18.75" thickBot="1" x14ac:dyDescent="0.3">
      <c r="B14" s="107"/>
      <c r="D14" s="101" t="s">
        <v>118</v>
      </c>
      <c r="F14" s="3">
        <f>IF('Fund 9745 Journal Entries'!$F$7="Proprietary - Internal Service Fund",'Fund 9745 Journal Entries'!$K$19,0)</f>
        <v>1697173</v>
      </c>
      <c r="H14" s="3">
        <f>IF('Fund 9745 Journal Entries'!$F$7="Proprietary - Internal Service Fund",'Fund 9745 Journal Entries'!$K$37,0)</f>
        <v>3534236</v>
      </c>
      <c r="J14" s="3">
        <f>IF('Fund 9745 Journal Entries'!$F$7="Proprietary - Internal Service Fund",'Fund 9745 Journal Entries'!$J$56,0)</f>
        <v>598533</v>
      </c>
      <c r="L14" s="119">
        <f>SUM(F14+H14-J14)</f>
        <v>4632876</v>
      </c>
      <c r="N14" s="3">
        <f>IF('Fund 9745 Journal Entries'!$F$7="Proprietary - Internal Service Fund",'Fund 9745 Journal Entries'!$J$61,0)</f>
        <v>3477533</v>
      </c>
      <c r="P14" s="119">
        <f>L14-N14</f>
        <v>1155343</v>
      </c>
      <c r="Q14" s="109"/>
    </row>
    <row r="15" spans="2:17" ht="19.5" thickTop="1" thickBot="1" x14ac:dyDescent="0.3">
      <c r="B15" s="107"/>
      <c r="C15" s="198" t="s">
        <v>1584</v>
      </c>
      <c r="D15" s="198"/>
      <c r="F15" s="120">
        <f>SUM(F14:F14)</f>
        <v>1697173</v>
      </c>
      <c r="H15" s="120">
        <f>SUM(H14:H14)</f>
        <v>3534236</v>
      </c>
      <c r="J15" s="120">
        <f>SUM(J14:J14)</f>
        <v>598533</v>
      </c>
      <c r="L15" s="120">
        <f>SUM(L14:L14)</f>
        <v>4632876</v>
      </c>
      <c r="N15" s="120">
        <f>SUM(N14:N14)</f>
        <v>3477533</v>
      </c>
      <c r="P15" s="120">
        <f>SUM(P14:P14)</f>
        <v>1155343</v>
      </c>
      <c r="Q15" s="109"/>
    </row>
    <row r="16" spans="2:17" ht="18.75" thickTop="1" x14ac:dyDescent="0.25">
      <c r="B16" s="107"/>
      <c r="C16" s="118"/>
      <c r="D16" s="118"/>
      <c r="F16" s="119"/>
      <c r="H16" s="119"/>
      <c r="J16" s="119"/>
      <c r="L16" s="119"/>
      <c r="N16" s="119"/>
      <c r="P16" s="119"/>
      <c r="Q16" s="109"/>
    </row>
    <row r="17" spans="1:17" x14ac:dyDescent="0.25">
      <c r="B17" s="107"/>
      <c r="C17" s="198" t="s">
        <v>1576</v>
      </c>
      <c r="D17" s="198"/>
      <c r="Q17" s="109"/>
    </row>
    <row r="18" spans="1:17" ht="18.75" thickBot="1" x14ac:dyDescent="0.3">
      <c r="B18" s="107"/>
      <c r="D18" s="101" t="s">
        <v>118</v>
      </c>
      <c r="F18" s="3">
        <f>IF('Fund 9745 Journal Entries'!$F$7="Proprietary - Enterprise Fund",'Fund 9745 Journal Entries'!$K$19,0)</f>
        <v>0</v>
      </c>
      <c r="H18" s="3">
        <f>IF('Fund 9745 Journal Entries'!$F$7="Proprietary - Enterprise Fund",'Fund 9745 Journal Entries'!$K$37,0)</f>
        <v>0</v>
      </c>
      <c r="J18" s="3">
        <f>IF('Fund 9745 Journal Entries'!$F$7="Proprietary - Enterprise Fund",'Fund 9745 Journal Entries'!$J$56,0)</f>
        <v>0</v>
      </c>
      <c r="L18" s="119">
        <f>SUM(F18+H18-J18)</f>
        <v>0</v>
      </c>
      <c r="N18" s="3">
        <f>IF('Fund 9745 Journal Entries'!$F$7="Proprietary - Enterprise Fund",'Fund 9745 Journal Entries'!$J$61,0)</f>
        <v>0</v>
      </c>
      <c r="P18" s="119">
        <f>L18-N18</f>
        <v>0</v>
      </c>
      <c r="Q18" s="109"/>
    </row>
    <row r="19" spans="1:17" ht="19.5" thickTop="1" thickBot="1" x14ac:dyDescent="0.3">
      <c r="B19" s="107"/>
      <c r="C19" s="198" t="s">
        <v>1585</v>
      </c>
      <c r="D19" s="198"/>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9" t="s">
        <v>1625</v>
      </c>
      <c r="B25" s="199"/>
      <c r="C25" s="199"/>
      <c r="D25" s="199"/>
      <c r="E25" s="199"/>
      <c r="F25" s="199"/>
      <c r="G25" s="199"/>
      <c r="H25" s="199"/>
      <c r="I25" s="199"/>
      <c r="J25" s="199"/>
      <c r="K25" s="199"/>
      <c r="L25" s="199"/>
      <c r="M25" s="199"/>
      <c r="N25" s="199"/>
      <c r="O25" s="199"/>
      <c r="P25" s="199"/>
      <c r="Q25" s="199"/>
    </row>
    <row r="26" spans="1:17" x14ac:dyDescent="0.25">
      <c r="A26" s="199"/>
      <c r="B26" s="199"/>
      <c r="C26" s="199"/>
      <c r="D26" s="199"/>
      <c r="E26" s="199"/>
      <c r="F26" s="199"/>
      <c r="G26" s="199"/>
      <c r="H26" s="199"/>
      <c r="I26" s="199"/>
      <c r="J26" s="199"/>
      <c r="K26" s="199"/>
      <c r="L26" s="199"/>
      <c r="M26" s="199"/>
      <c r="N26" s="199"/>
      <c r="O26" s="199"/>
      <c r="P26" s="199"/>
      <c r="Q26" s="199"/>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D32" sqref="D32"/>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0" t="s">
        <v>1563</v>
      </c>
      <c r="B5" s="200"/>
      <c r="C5" s="200"/>
      <c r="D5" s="200"/>
      <c r="E5" s="200"/>
      <c r="F5" s="200"/>
      <c r="G5" s="200"/>
      <c r="H5" s="200"/>
      <c r="I5" s="200"/>
      <c r="J5" s="200"/>
      <c r="K5" s="200"/>
      <c r="L5" s="200"/>
      <c r="M5" s="200"/>
    </row>
    <row r="6" spans="1:13" ht="15" customHeight="1" x14ac:dyDescent="0.25">
      <c r="A6" s="200"/>
      <c r="B6" s="200"/>
      <c r="C6" s="200"/>
      <c r="D6" s="200"/>
      <c r="E6" s="200"/>
      <c r="F6" s="200"/>
      <c r="G6" s="200"/>
      <c r="H6" s="200"/>
      <c r="I6" s="200"/>
      <c r="J6" s="200"/>
      <c r="K6" s="200"/>
      <c r="L6" s="200"/>
      <c r="M6" s="200"/>
    </row>
    <row r="7" spans="1:13" x14ac:dyDescent="0.25">
      <c r="A7" s="200"/>
      <c r="B7" s="200"/>
      <c r="C7" s="200"/>
      <c r="D7" s="200"/>
      <c r="E7" s="200"/>
      <c r="F7" s="200"/>
      <c r="G7" s="200"/>
      <c r="H7" s="200"/>
      <c r="I7" s="200"/>
      <c r="J7" s="200"/>
      <c r="K7" s="200"/>
      <c r="L7" s="200"/>
      <c r="M7" s="200"/>
    </row>
    <row r="8" spans="1:13" ht="15" customHeight="1" x14ac:dyDescent="0.25">
      <c r="A8" s="202" t="s">
        <v>1621</v>
      </c>
      <c r="B8" s="202"/>
      <c r="C8" s="202"/>
      <c r="D8" s="202"/>
      <c r="E8" s="202"/>
      <c r="F8" s="202"/>
      <c r="G8" s="202"/>
      <c r="H8" s="202"/>
      <c r="I8" s="202"/>
      <c r="J8" s="202"/>
      <c r="K8" s="202"/>
      <c r="L8" s="202"/>
      <c r="M8" s="202"/>
    </row>
    <row r="9" spans="1:13" ht="15" customHeight="1" x14ac:dyDescent="0.25">
      <c r="A9" s="202"/>
      <c r="B9" s="202"/>
      <c r="C9" s="202"/>
      <c r="D9" s="202"/>
      <c r="E9" s="202"/>
      <c r="F9" s="202"/>
      <c r="G9" s="202"/>
      <c r="H9" s="202"/>
      <c r="I9" s="202"/>
      <c r="J9" s="202"/>
      <c r="K9" s="202"/>
      <c r="L9" s="202"/>
      <c r="M9" s="202"/>
    </row>
    <row r="10" spans="1:13" ht="15" customHeight="1" x14ac:dyDescent="0.25">
      <c r="A10" s="202"/>
      <c r="B10" s="202"/>
      <c r="C10" s="202"/>
      <c r="D10" s="202"/>
      <c r="E10" s="202"/>
      <c r="F10" s="202"/>
      <c r="G10" s="202"/>
      <c r="H10" s="202"/>
      <c r="I10" s="202"/>
      <c r="J10" s="202"/>
      <c r="K10" s="202"/>
      <c r="L10" s="202"/>
      <c r="M10" s="202"/>
    </row>
    <row r="11" spans="1:13" x14ac:dyDescent="0.25">
      <c r="A11" s="133" t="s">
        <v>1560</v>
      </c>
      <c r="B11" s="134"/>
      <c r="C11" s="135"/>
      <c r="D11" s="134"/>
      <c r="E11" s="135"/>
      <c r="F11" s="134"/>
      <c r="G11" s="135"/>
      <c r="H11" s="134"/>
      <c r="I11" s="135"/>
      <c r="J11" s="134"/>
      <c r="K11" s="134"/>
      <c r="L11" s="134"/>
      <c r="M11" s="134"/>
    </row>
    <row r="12" spans="1:13" x14ac:dyDescent="0.25">
      <c r="A12" s="137"/>
      <c r="B12" s="204" t="s">
        <v>1574</v>
      </c>
      <c r="C12" s="204"/>
      <c r="D12" s="204"/>
      <c r="E12" s="204"/>
      <c r="F12" s="204"/>
      <c r="G12" s="204"/>
      <c r="H12" s="204"/>
      <c r="I12" s="204"/>
      <c r="J12" s="204"/>
      <c r="K12" s="204"/>
      <c r="L12" s="204"/>
      <c r="M12" s="204"/>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9745 Journal Entries'!$F$7="Governmental Fund",ROUND('Fund 9745 Journal Entries'!$K$19,0),0)</f>
        <v>0</v>
      </c>
      <c r="C16" s="15" t="s">
        <v>1552</v>
      </c>
      <c r="D16" s="14">
        <f>IF('Fund 9745 Journal Entries'!$F$7="Governmental Fund",ROUND('Fund 9745 Journal Entries'!$K$37,0),0)</f>
        <v>0</v>
      </c>
      <c r="E16" s="16" t="s">
        <v>1554</v>
      </c>
      <c r="F16" s="14">
        <f>IF('Fund 9745 Journal Entries'!$F$7="Governmental Fund",ROUND('Fund 9745 Journal Entries'!$J$56,0),0)</f>
        <v>0</v>
      </c>
      <c r="G16" s="16" t="s">
        <v>1556</v>
      </c>
      <c r="H16" s="17">
        <f>+B16+D16-F16</f>
        <v>0</v>
      </c>
      <c r="I16" s="16"/>
      <c r="J16" s="18">
        <f>ROUND(SUM('Department Note Disclosure'!$B$16:$B$39),0)</f>
        <v>0</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4" t="s">
        <v>1573</v>
      </c>
      <c r="C19" s="204"/>
      <c r="D19" s="204"/>
      <c r="E19" s="204"/>
      <c r="F19" s="204"/>
      <c r="G19" s="204"/>
      <c r="H19" s="204"/>
      <c r="I19" s="204"/>
      <c r="J19" s="204"/>
      <c r="K19" s="204"/>
      <c r="L19" s="204"/>
      <c r="M19" s="204"/>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9745 Journal Entries'!$F$7="Proprietary - Internal Service Fund",ROUND('Fund 9745 Journal Entries'!$K$19,0),0)</f>
        <v>1697173</v>
      </c>
      <c r="C23" s="15" t="s">
        <v>1552</v>
      </c>
      <c r="D23" s="14">
        <f>IF('Fund 9745 Journal Entries'!$F$7="Proprietary - Internal Service Fund",ROUND('Fund 9745 Journal Entries'!$K$37,0),0)</f>
        <v>3534236</v>
      </c>
      <c r="E23" s="16" t="s">
        <v>1554</v>
      </c>
      <c r="F23" s="14">
        <f>IF('Fund 9745 Journal Entries'!$F$7="Proprietary - Internal Service Fund",ROUND('Fund 9745 Journal Entries'!$J$56,0),0)</f>
        <v>598533</v>
      </c>
      <c r="G23" s="16" t="s">
        <v>1556</v>
      </c>
      <c r="H23" s="17">
        <f>+B23+D23-F23</f>
        <v>4632876</v>
      </c>
      <c r="I23" s="16"/>
      <c r="J23" s="18">
        <f>ROUND(SUM('Department Note Disclosure'!$B$47:$B$70),0)</f>
        <v>4632876</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4" t="s">
        <v>1575</v>
      </c>
      <c r="C27" s="204"/>
      <c r="D27" s="204"/>
      <c r="E27" s="204"/>
      <c r="F27" s="204"/>
      <c r="G27" s="204"/>
      <c r="H27" s="204"/>
      <c r="I27" s="204"/>
      <c r="J27" s="204"/>
      <c r="K27" s="204"/>
      <c r="L27" s="204"/>
      <c r="M27" s="204"/>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9745 Journal Entries'!$F$7="Proprietary - Enterprise Fund",ROUND('Fund 9745 Journal Entries'!$K$19,0),0)</f>
        <v>0</v>
      </c>
      <c r="C31" s="15" t="s">
        <v>1552</v>
      </c>
      <c r="D31" s="14">
        <f>IF('Fund 9745 Journal Entries'!$F$7="Proprietary - Enterprise Fund",ROUND('Fund 9745 Journal Entries'!$K$37,0),0)</f>
        <v>0</v>
      </c>
      <c r="E31" s="16" t="s">
        <v>1554</v>
      </c>
      <c r="F31" s="14">
        <f>IF('Fund 9745 Journal Entries'!$F$7="Proprietary - Enterprise Fund",ROUND('Fund 9745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4" t="s">
        <v>1574</v>
      </c>
      <c r="C35" s="204"/>
      <c r="D35" s="204"/>
      <c r="E35" s="204"/>
      <c r="F35" s="204"/>
      <c r="G35" s="204"/>
      <c r="H35" s="204"/>
      <c r="I35" s="204"/>
      <c r="J35" s="204"/>
      <c r="K35" s="204"/>
      <c r="L35" s="204"/>
      <c r="M35" s="204"/>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9745 Journal Entries'!$F$7="Governmental Fund",ROUND('Fund 9745 Journal Entries'!$K$62,0),0)</f>
        <v>0</v>
      </c>
      <c r="G39" s="150"/>
      <c r="H39" s="150"/>
      <c r="I39" s="20"/>
      <c r="J39" s="18">
        <f>ROUND('Department Note Disclosure'!$B$16,0)</f>
        <v>0</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4" t="s">
        <v>1573</v>
      </c>
      <c r="C42" s="204"/>
      <c r="D42" s="204"/>
      <c r="E42" s="204"/>
      <c r="F42" s="204"/>
      <c r="G42" s="204"/>
      <c r="H42" s="204"/>
      <c r="I42" s="204"/>
      <c r="J42" s="204"/>
      <c r="K42" s="204"/>
      <c r="L42" s="204"/>
      <c r="M42" s="204"/>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9745 Journal Entries'!$F$7="Proprietary - Internal Service Fund",ROUND('Fund 9745 Journal Entries'!$K$62,0),0)</f>
        <v>3477533</v>
      </c>
      <c r="G46" s="150"/>
      <c r="H46" s="150"/>
      <c r="I46" s="20"/>
      <c r="J46" s="18">
        <f>ROUND('Department Note Disclosure'!$B$47,0)</f>
        <v>3477533</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4" t="s">
        <v>1575</v>
      </c>
      <c r="C49" s="204"/>
      <c r="D49" s="204"/>
      <c r="E49" s="204"/>
      <c r="F49" s="204"/>
      <c r="G49" s="204"/>
      <c r="H49" s="204"/>
      <c r="I49" s="204"/>
      <c r="J49" s="204"/>
      <c r="K49" s="204"/>
      <c r="L49" s="204"/>
      <c r="M49" s="204"/>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9745 Journal Entries'!$F$7="Proprietary - Enterprise Fund",ROUND('Fund 9745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5" t="s">
        <v>1574</v>
      </c>
      <c r="C57" s="205"/>
      <c r="D57" s="205"/>
      <c r="E57" s="205"/>
      <c r="F57" s="205"/>
      <c r="G57" s="205"/>
      <c r="H57" s="205"/>
      <c r="I57" s="205"/>
      <c r="J57" s="205"/>
      <c r="K57" s="205"/>
      <c r="L57" s="205"/>
      <c r="M57" s="205"/>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1" t="s">
        <v>1624</v>
      </c>
      <c r="C59" s="201"/>
      <c r="D59" s="201"/>
      <c r="E59" s="201"/>
      <c r="F59" s="201"/>
      <c r="G59" s="151"/>
      <c r="H59" s="201" t="s">
        <v>119</v>
      </c>
      <c r="I59" s="201"/>
      <c r="J59" s="201"/>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9745 Journal Entries'!$F$3,4)</f>
        <v>Balance July 1, 2022</v>
      </c>
      <c r="J61" s="22">
        <f>ROUND('SBITA Liabilities'!$F$10,0)</f>
        <v>0</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0</v>
      </c>
      <c r="H63" s="154" t="s">
        <v>11</v>
      </c>
      <c r="J63" s="22">
        <f>ROUND('SBITA Liabilities'!$J$10,0)</f>
        <v>0</v>
      </c>
      <c r="L63" s="19">
        <f>D63-J63</f>
        <v>0</v>
      </c>
    </row>
    <row r="64" spans="1:13" x14ac:dyDescent="0.25">
      <c r="B64" s="152" t="s">
        <v>1559</v>
      </c>
      <c r="D64" s="22">
        <f>$F$39</f>
        <v>0</v>
      </c>
      <c r="H64" s="154" t="s">
        <v>12</v>
      </c>
      <c r="J64" s="22">
        <f>ROUND('SBITA Liabilities'!$N$10,0)</f>
        <v>0</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6" customFormat="1" x14ac:dyDescent="0.25">
      <c r="A67" s="136"/>
      <c r="B67" s="206" t="s">
        <v>1573</v>
      </c>
    </row>
    <row r="68" spans="1:13" ht="6" customHeight="1" x14ac:dyDescent="0.25">
      <c r="B68" s="156"/>
    </row>
    <row r="69" spans="1:13" ht="15" customHeight="1" x14ac:dyDescent="0.25">
      <c r="B69" s="201" t="s">
        <v>1624</v>
      </c>
      <c r="C69" s="201"/>
      <c r="D69" s="201"/>
      <c r="E69" s="201"/>
      <c r="F69" s="201"/>
      <c r="G69" s="151"/>
      <c r="H69" s="201" t="s">
        <v>119</v>
      </c>
      <c r="I69" s="201"/>
      <c r="J69" s="201"/>
    </row>
    <row r="70" spans="1:13" x14ac:dyDescent="0.25">
      <c r="H70" s="137"/>
      <c r="I70" s="137"/>
      <c r="J70" s="137"/>
      <c r="K70" s="137"/>
      <c r="L70" s="146" t="s">
        <v>1564</v>
      </c>
    </row>
    <row r="71" spans="1:13" x14ac:dyDescent="0.25">
      <c r="B71" s="152" t="s">
        <v>1553</v>
      </c>
      <c r="D71" s="22">
        <f>$B$23</f>
        <v>1697173</v>
      </c>
      <c r="H71" s="154" t="str">
        <f>"Balance July 1, "&amp;LEFT('Fund 9745 Journal Entries'!$F$3,4)</f>
        <v>Balance July 1, 2022</v>
      </c>
      <c r="J71" s="22">
        <f>ROUND('SBITA Liabilities'!$F$14,0)</f>
        <v>1697173</v>
      </c>
      <c r="L71" s="19">
        <f>D71-J71</f>
        <v>0</v>
      </c>
    </row>
    <row r="72" spans="1:13" x14ac:dyDescent="0.25">
      <c r="B72" s="152" t="s">
        <v>1630</v>
      </c>
      <c r="D72" s="22">
        <f>D23</f>
        <v>3534236</v>
      </c>
      <c r="H72" s="154" t="s">
        <v>10</v>
      </c>
      <c r="J72" s="22">
        <f>ROUND('SBITA Liabilities'!$H$14,0)</f>
        <v>3534236</v>
      </c>
      <c r="L72" s="19">
        <f>D72-J72</f>
        <v>0</v>
      </c>
    </row>
    <row r="73" spans="1:13" x14ac:dyDescent="0.25">
      <c r="B73" s="152" t="s">
        <v>1555</v>
      </c>
      <c r="D73" s="22">
        <f>F23</f>
        <v>598533</v>
      </c>
      <c r="H73" s="154" t="s">
        <v>11</v>
      </c>
      <c r="J73" s="22">
        <f>ROUND('SBITA Liabilities'!$J$14,0)</f>
        <v>598533</v>
      </c>
      <c r="L73" s="19">
        <f>D73-J73</f>
        <v>0</v>
      </c>
    </row>
    <row r="74" spans="1:13" x14ac:dyDescent="0.25">
      <c r="B74" s="152" t="s">
        <v>1559</v>
      </c>
      <c r="D74" s="22">
        <f>F46</f>
        <v>3477533</v>
      </c>
      <c r="H74" s="154" t="s">
        <v>12</v>
      </c>
      <c r="J74" s="22">
        <f>ROUND('SBITA Liabilities'!$N$14,0)</f>
        <v>3477533</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6" t="s">
        <v>1575</v>
      </c>
      <c r="C77" s="206"/>
      <c r="D77" s="206"/>
      <c r="E77" s="206"/>
      <c r="F77" s="206"/>
      <c r="G77" s="206"/>
      <c r="H77" s="206"/>
      <c r="I77" s="206"/>
      <c r="J77" s="206"/>
      <c r="K77" s="206"/>
      <c r="L77" s="206"/>
      <c r="M77" s="206"/>
    </row>
    <row r="78" spans="1:13" ht="6" customHeight="1" x14ac:dyDescent="0.25">
      <c r="B78" s="156"/>
    </row>
    <row r="79" spans="1:13" ht="15" customHeight="1" x14ac:dyDescent="0.25">
      <c r="B79" s="201" t="s">
        <v>1624</v>
      </c>
      <c r="C79" s="201"/>
      <c r="D79" s="201"/>
      <c r="E79" s="201"/>
      <c r="F79" s="201"/>
      <c r="G79" s="151"/>
      <c r="H79" s="201" t="s">
        <v>119</v>
      </c>
      <c r="I79" s="201"/>
      <c r="J79" s="201"/>
    </row>
    <row r="80" spans="1:13" x14ac:dyDescent="0.25">
      <c r="H80" s="137"/>
      <c r="I80" s="137"/>
      <c r="J80" s="137"/>
      <c r="K80" s="137"/>
      <c r="L80" s="146" t="s">
        <v>1564</v>
      </c>
    </row>
    <row r="81" spans="1:13" x14ac:dyDescent="0.25">
      <c r="B81" s="152" t="s">
        <v>1553</v>
      </c>
      <c r="D81" s="22">
        <f>$B$31</f>
        <v>0</v>
      </c>
      <c r="H81" s="154" t="str">
        <f>"Balance July 1, "&amp;LEFT('Fund 9745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1BEA9FEC-0BC4-4D37-9F1C-15C96DE69075}"/>
</file>

<file path=customXml/itemProps2.xml><?xml version="1.0" encoding="utf-8"?>
<ds:datastoreItem xmlns:ds="http://schemas.openxmlformats.org/officeDocument/2006/customXml" ds:itemID="{35C15D8E-BE28-4D46-BD86-1A9DB2DADC1D}"/>
</file>

<file path=customXml/itemProps3.xml><?xml version="1.0" encoding="utf-8"?>
<ds:datastoreItem xmlns:ds="http://schemas.openxmlformats.org/officeDocument/2006/customXml" ds:itemID="{0B10AACF-BCF6-4C2B-9342-F38621741F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9745 Journal Entries</vt:lpstr>
      <vt:lpstr>Department Note Disclosure</vt:lpstr>
      <vt:lpstr>SBITA Liabilities</vt:lpstr>
      <vt:lpstr>Check Figures </vt:lpstr>
      <vt:lpstr>Drop Down Menus</vt:lpstr>
      <vt:lpstr>GAAP02Aindex</vt:lpstr>
      <vt:lpstr>'Department Note Disclosure'!Print_Area</vt:lpstr>
      <vt:lpstr>'Fund 9745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2024-06-13T01:02:48Z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0x01010068677D223A7AD843A8E9E0240054C094</vt:lpwstr>
  </property>
  <property fmtid="{D5CDD505-2E9C-101B-9397-08002B2CF9AE}" pid="5" name="Order">
    <vt:r8>3303900</vt:r8>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_ExtendedDescription">
    <vt:lpwstr/>
  </property>
  <property fmtid="{D5CDD505-2E9C-101B-9397-08002B2CF9AE}" pid="10" name="TriggerFlowInfo">
    <vt:lpwstr/>
  </property>
</Properties>
</file>