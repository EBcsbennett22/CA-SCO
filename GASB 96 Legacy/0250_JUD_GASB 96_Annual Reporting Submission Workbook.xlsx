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eidebailly-my.sharepoint.com/personal/cbennett_eidebailly_com/Documents/Current Projects/State of California/Accounting Standards/Current Year/GASB 96/Completed Templates/"/>
    </mc:Choice>
  </mc:AlternateContent>
  <xr:revisionPtr revIDLastSave="2" documentId="13_ncr:1_{FB438F66-578C-4220-87C6-D50969C8B8C2}" xr6:coauthVersionLast="47" xr6:coauthVersionMax="47" xr10:uidLastSave="{61FC3DC7-3512-4D58-9B3C-323D12ADE840}"/>
  <bookViews>
    <workbookView xWindow="-60" yWindow="-16320" windowWidth="29040" windowHeight="15720" tabRatio="697" xr2:uid="{00000000-000D-0000-FFFF-FFFF00000000}"/>
  </bookViews>
  <sheets>
    <sheet name="Fund 0001 Journal Entries" sheetId="2" r:id="rId1"/>
    <sheet name="Fund 0159 Journal Entries" sheetId="10"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Entries'!$A$3:$K$70</definedName>
    <definedName name="_xlnm.Print_Area" localSheetId="1">'Fund 0159 Journal Entries'!$A$3:$K$70</definedName>
    <definedName name="_xlnm.Print_Area" localSheetId="3">'SBITA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3" l="1"/>
  <c r="A47" i="3"/>
  <c r="A16" i="3"/>
  <c r="A17" i="3" s="1"/>
  <c r="D89" i="3"/>
  <c r="D58" i="3"/>
  <c r="D27" i="3"/>
  <c r="J61" i="2"/>
  <c r="K57" i="10" l="1"/>
  <c r="K57" i="2" l="1"/>
  <c r="D16" i="9" l="1"/>
  <c r="B16" i="9"/>
  <c r="N10" i="4"/>
  <c r="H10" i="4"/>
  <c r="F10" i="4"/>
  <c r="K29" i="2"/>
  <c r="K86" i="10" l="1"/>
  <c r="J86" i="10"/>
  <c r="L86" i="10" s="1"/>
  <c r="K81" i="10"/>
  <c r="J81" i="10"/>
  <c r="L81" i="10" s="1"/>
  <c r="C80" i="10"/>
  <c r="B78" i="10"/>
  <c r="J70" i="10"/>
  <c r="K69" i="10"/>
  <c r="K94" i="10" s="1"/>
  <c r="J63" i="10"/>
  <c r="K62" i="10"/>
  <c r="K97" i="10" s="1"/>
  <c r="K58" i="10"/>
  <c r="K96" i="10"/>
  <c r="J53" i="10"/>
  <c r="K52" i="10"/>
  <c r="K53" i="10" s="1"/>
  <c r="B51" i="10"/>
  <c r="J47" i="10"/>
  <c r="K46" i="10"/>
  <c r="K95" i="10" s="1"/>
  <c r="K39" i="10"/>
  <c r="J39" i="10"/>
  <c r="L39" i="10" s="1"/>
  <c r="C38" i="10"/>
  <c r="L31" i="10"/>
  <c r="K31" i="10"/>
  <c r="J31" i="10"/>
  <c r="A26" i="10"/>
  <c r="K22" i="10"/>
  <c r="J22" i="10"/>
  <c r="B14" i="10"/>
  <c r="A12" i="10"/>
  <c r="F8" i="10"/>
  <c r="C30" i="10" s="1"/>
  <c r="L22" i="10" l="1"/>
  <c r="L53" i="10"/>
  <c r="K63" i="10"/>
  <c r="L63" i="10" s="1"/>
  <c r="K70" i="10"/>
  <c r="L70" i="10" s="1"/>
  <c r="K47" i="10"/>
  <c r="L47" i="10" s="1"/>
  <c r="C52" i="10"/>
  <c r="J58" i="10"/>
  <c r="L58" i="10" s="1"/>
  <c r="B23" i="9" l="1"/>
  <c r="D23" i="9"/>
  <c r="F23" i="9"/>
  <c r="B31" i="9"/>
  <c r="D31" i="9"/>
  <c r="F31" i="9"/>
  <c r="F46" i="9"/>
  <c r="F53" i="9"/>
  <c r="N14" i="4"/>
  <c r="J14" i="4"/>
  <c r="H14" i="4"/>
  <c r="F14" i="4"/>
  <c r="F18" i="4"/>
  <c r="H18" i="4"/>
  <c r="J18" i="4"/>
  <c r="N18" i="4"/>
  <c r="K46" i="2"/>
  <c r="K52" i="2"/>
  <c r="G5" i="4" l="1"/>
  <c r="K62" i="2"/>
  <c r="F39" i="9" s="1"/>
  <c r="J56" i="2"/>
  <c r="D86" i="3"/>
  <c r="D55" i="3"/>
  <c r="D24" i="3"/>
  <c r="J10" i="4" l="1"/>
  <c r="F16" i="9"/>
  <c r="K97" i="2"/>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J52" i="9"/>
  <c r="D15" i="3"/>
  <c r="A18" i="3" l="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 r="J38" i="9" l="1"/>
  <c r="D30" i="3"/>
  <c r="D61" i="3"/>
  <c r="D92" i="3"/>
</calcChain>
</file>

<file path=xl/sharedStrings.xml><?xml version="1.0" encoding="utf-8"?>
<sst xmlns="http://schemas.openxmlformats.org/spreadsheetml/2006/main" count="7616" uniqueCount="1643">
  <si>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</si>
  <si>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</si>
  <si>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</si>
  <si>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</si>
  <si>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</si>
  <si>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</si>
  <si>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</si>
  <si>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</si>
  <si>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</si>
  <si>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</si>
  <si>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</si>
  <si>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</si>
  <si>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</si>
  <si>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</si>
  <si>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</si>
  <si>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</si>
  <si>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</si>
  <si>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</si>
  <si>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</si>
  <si>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</si>
  <si>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</si>
  <si>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</si>
  <si>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</si>
  <si>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</si>
  <si>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</si>
  <si>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</si>
  <si>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</si>
  <si>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</si>
  <si>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</si>
  <si>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</si>
  <si>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</si>
  <si>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</si>
  <si>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</si>
  <si>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</si>
  <si>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</si>
  <si>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</si>
  <si>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</si>
  <si>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</si>
  <si>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</si>
  <si>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</si>
  <si>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</si>
  <si>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</si>
  <si>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</si>
  <si>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</si>
  <si>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</si>
  <si>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</si>
  <si>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</si>
  <si>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</si>
  <si>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</si>
  <si>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</si>
  <si>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</si>
  <si>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</si>
  <si>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</si>
  <si>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</si>
  <si>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</si>
  <si>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</si>
  <si>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</si>
  <si>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</si>
  <si>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</si>
  <si>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</si>
  <si>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</si>
  <si>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</si>
  <si>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</si>
  <si>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</si>
  <si>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</si>
  <si>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</si>
  <si>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</si>
  <si>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</si>
  <si>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</si>
  <si>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</si>
  <si>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</si>
  <si>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</si>
  <si>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</si>
  <si>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</si>
  <si>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</si>
  <si>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</si>
  <si>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</si>
  <si>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</si>
  <si>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</si>
  <si>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</si>
  <si>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</si>
  <si>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</si>
  <si>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</si>
  <si>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</si>
  <si>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</si>
  <si>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</si>
  <si>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</si>
  <si>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</si>
  <si>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</si>
  <si>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</si>
  <si>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</si>
  <si>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</si>
  <si>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</si>
  <si>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</si>
  <si>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</si>
  <si>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</si>
  <si>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</si>
  <si>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</si>
  <si>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</si>
  <si>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</si>
  <si>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</si>
  <si>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</si>
  <si>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</si>
  <si>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</si>
  <si>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</si>
  <si>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</si>
  <si>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</si>
  <si>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</si>
  <si>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</si>
  <si>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</si>
  <si>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</si>
  <si>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</si>
  <si>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</si>
  <si>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</si>
  <si>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</si>
  <si>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</si>
  <si>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</si>
  <si>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</si>
  <si>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</si>
  <si>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</si>
  <si>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</si>
  <si>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</si>
  <si>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</si>
  <si>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</si>
  <si>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</si>
  <si>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</si>
  <si>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</si>
  <si>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</si>
  <si>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</si>
  <si>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</si>
  <si>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</si>
  <si>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</si>
  <si>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</si>
  <si>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</si>
  <si>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</si>
  <si>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</si>
  <si>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</si>
  <si>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</si>
  <si>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</si>
  <si>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</si>
  <si>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</si>
  <si>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</si>
  <si>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</si>
  <si>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</si>
  <si>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</si>
  <si>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</si>
  <si>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</si>
  <si>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</si>
  <si>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</si>
  <si>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</si>
  <si>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</si>
  <si>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</si>
  <si>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</si>
  <si>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</si>
  <si>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</si>
  <si>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</si>
  <si>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</si>
  <si>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</si>
  <si>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</si>
  <si>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</si>
  <si>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</si>
  <si>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</si>
  <si>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</si>
  <si>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</si>
  <si>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</si>
  <si>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</si>
  <si>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</si>
  <si>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</si>
  <si>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</si>
  <si>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</si>
  <si>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</si>
  <si>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</si>
  <si>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</si>
  <si>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</si>
  <si>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</si>
  <si>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</si>
  <si>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</si>
  <si>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</si>
  <si>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</si>
  <si>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</si>
  <si>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</si>
  <si>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</si>
  <si>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</si>
  <si>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</si>
  <si>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</si>
  <si>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</si>
  <si>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</si>
  <si>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</si>
  <si>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</si>
  <si>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</si>
  <si>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</si>
  <si>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</si>
  <si>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</si>
  <si>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</si>
  <si>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</si>
  <si>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</si>
  <si>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</si>
  <si>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</si>
  <si>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</si>
  <si>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</si>
  <si>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</si>
  <si>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</si>
  <si>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</si>
  <si>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</si>
  <si>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</si>
  <si>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</si>
  <si>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</si>
  <si>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</si>
  <si>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</si>
  <si>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</si>
  <si>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</si>
  <si>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</si>
  <si>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</si>
  <si>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</si>
  <si>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</si>
  <si>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</si>
  <si>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</si>
  <si>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</si>
  <si>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</si>
  <si>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</si>
  <si>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</si>
  <si>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</si>
  <si>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</si>
  <si>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</si>
  <si>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</si>
  <si>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</si>
  <si>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</si>
  <si>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</si>
  <si>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</si>
  <si>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</si>
  <si>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</si>
  <si>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</si>
  <si>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</si>
  <si>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</si>
  <si>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</si>
  <si>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</si>
  <si>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</si>
  <si>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</si>
  <si>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</si>
  <si>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</si>
  <si>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</si>
  <si>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</si>
  <si>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</si>
  <si>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</si>
  <si>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</si>
  <si>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</si>
  <si>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</si>
  <si>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</si>
  <si>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</si>
  <si>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</si>
  <si>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</si>
  <si>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</si>
  <si>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</si>
  <si>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</si>
  <si>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</si>
  <si>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</si>
  <si>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</si>
  <si>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</si>
  <si>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</si>
  <si>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</si>
  <si>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</si>
  <si>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</si>
  <si>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</si>
  <si>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</si>
  <si>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</si>
  <si>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</si>
  <si>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</si>
  <si>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</si>
  <si>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</si>
  <si>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</si>
  <si>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</si>
  <si>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</si>
  <si>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</si>
  <si>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</si>
  <si>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</si>
  <si>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</si>
  <si>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</si>
  <si>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</si>
  <si>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</si>
  <si>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</si>
  <si>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</si>
  <si>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</si>
  <si>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</si>
  <si>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</si>
  <si>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</si>
  <si>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</si>
  <si>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</si>
  <si>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</si>
  <si>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</si>
  <si>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</si>
  <si>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</si>
  <si>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</si>
  <si>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</si>
  <si>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</si>
  <si>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</si>
  <si>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</si>
  <si>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</si>
  <si>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</si>
  <si>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</si>
  <si>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</si>
  <si>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</si>
  <si>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</si>
  <si>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</si>
  <si>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</si>
  <si>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</si>
  <si>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</si>
  <si>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</si>
  <si>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</si>
  <si>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</si>
  <si>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</si>
  <si>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</si>
  <si>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</si>
  <si>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</si>
  <si>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</si>
  <si>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</si>
  <si>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</si>
  <si>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</si>
  <si>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</si>
  <si>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</si>
  <si>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</si>
  <si>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</si>
  <si>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</si>
  <si>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</si>
  <si>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</si>
  <si>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</si>
  <si>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</si>
  <si>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</si>
  <si>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</si>
  <si>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</si>
  <si>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</si>
  <si>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</si>
  <si>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</si>
  <si>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</si>
  <si>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</si>
  <si>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</si>
  <si>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</si>
  <si>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</si>
  <si>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</si>
  <si>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</si>
  <si>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</si>
  <si>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</si>
  <si>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</si>
  <si>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</si>
  <si>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</si>
  <si>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</si>
  <si>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</si>
  <si>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</si>
  <si>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</si>
  <si>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</si>
  <si>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</si>
  <si>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</si>
  <si>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</si>
  <si>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</si>
  <si>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</si>
  <si>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</si>
  <si>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</si>
  <si>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</si>
  <si>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</si>
  <si>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</si>
  <si>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</si>
  <si>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</si>
  <si>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</si>
  <si>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</si>
  <si>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</si>
  <si>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</si>
  <si>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</si>
  <si>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</si>
  <si>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</si>
  <si>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</si>
  <si>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</si>
  <si>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</si>
  <si>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</si>
  <si>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</si>
  <si>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</si>
  <si>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</si>
  <si>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</si>
  <si>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</si>
  <si>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</si>
  <si>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</si>
  <si>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</si>
  <si>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</si>
  <si>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</si>
  <si>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</si>
  <si>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</si>
  <si>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</si>
  <si>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</si>
  <si>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</si>
  <si>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</si>
  <si>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</si>
  <si>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</si>
  <si>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</si>
  <si>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</si>
  <si>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</si>
  <si>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</si>
  <si>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</si>
  <si>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</si>
  <si>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</si>
  <si>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</si>
  <si>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</si>
  <si>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</si>
  <si>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</si>
  <si>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</si>
  <si>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</si>
  <si>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</si>
  <si>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</si>
  <si>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</si>
  <si>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</si>
  <si>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</si>
  <si>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</si>
  <si>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</si>
  <si>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</si>
  <si>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</si>
  <si>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</si>
  <si>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</si>
  <si>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</si>
  <si>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</si>
  <si>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</si>
  <si>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</si>
  <si>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</si>
  <si>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</si>
  <si>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</si>
  <si>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</si>
  <si>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</si>
  <si>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</si>
  <si>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</si>
  <si>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</si>
  <si>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</si>
  <si>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</si>
  <si>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</si>
  <si>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</si>
  <si>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</si>
  <si>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</si>
  <si>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</si>
  <si>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</si>
  <si>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</si>
  <si>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</si>
  <si>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</si>
  <si>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</si>
  <si>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</si>
  <si>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</si>
  <si>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</si>
  <si>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</si>
  <si>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</si>
  <si>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</si>
  <si>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</si>
  <si>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</si>
  <si>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</si>
  <si>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</si>
  <si>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</si>
  <si>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</si>
  <si>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</si>
  <si>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</si>
  <si>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</si>
  <si>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</si>
  <si>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</si>
  <si>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</si>
  <si>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</si>
  <si>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</si>
  <si>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</si>
  <si>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</si>
  <si>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</si>
  <si>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</si>
  <si>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</si>
  <si>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</si>
  <si>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</si>
  <si>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</si>
  <si>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</si>
  <si>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</si>
  <si>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</si>
  <si>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</si>
  <si>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</si>
  <si>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</si>
  <si>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</si>
  <si>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</si>
  <si>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</si>
  <si>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</si>
  <si>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</si>
  <si>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</si>
  <si>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</si>
  <si>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</si>
  <si>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</si>
  <si>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</si>
  <si>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</si>
  <si>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</si>
  <si>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</si>
  <si>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</si>
  <si>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</si>
  <si>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</si>
  <si>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</si>
  <si>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</si>
  <si>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</si>
  <si>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</si>
  <si>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</si>
  <si>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</si>
  <si>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</si>
  <si>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</si>
  <si>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</si>
  <si>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</si>
  <si>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</si>
  <si>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</si>
  <si>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</si>
  <si>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</si>
  <si>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</si>
  <si>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</si>
  <si>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</si>
  <si>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</si>
  <si>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</si>
  <si>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</si>
  <si>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</si>
  <si>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</si>
  <si>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</si>
  <si>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</si>
  <si>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</si>
  <si>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</si>
  <si>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</si>
  <si>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</si>
  <si>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</si>
  <si>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</si>
  <si>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</si>
  <si>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</si>
  <si>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</si>
  <si>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</si>
  <si>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</si>
  <si>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</si>
  <si>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</si>
  <si>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</si>
  <si>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</si>
  <si>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</si>
  <si>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</si>
  <si>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</si>
  <si>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</si>
  <si>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</si>
  <si>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</si>
  <si>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</si>
  <si>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</si>
  <si>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</si>
  <si>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</si>
  <si>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</si>
  <si>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</si>
  <si>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</si>
  <si>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</si>
  <si>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</si>
  <si>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</si>
  <si>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</si>
  <si>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</si>
  <si>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</si>
  <si>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</si>
  <si>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</si>
  <si>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</si>
  <si>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</si>
  <si>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</si>
  <si>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</si>
  <si>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</si>
  <si>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</si>
  <si>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</si>
  <si>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</si>
  <si>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</si>
  <si>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</si>
  <si>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</si>
  <si>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</si>
  <si>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</si>
  <si>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</si>
  <si>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</si>
  <si>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</si>
  <si>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</si>
  <si>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</si>
  <si>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</si>
  <si>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</si>
  <si>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</si>
  <si>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</si>
  <si>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</si>
  <si>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</si>
  <si>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</si>
  <si>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</si>
  <si>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</si>
  <si>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</si>
  <si>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</si>
  <si>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</si>
  <si>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</si>
  <si>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</si>
  <si>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</si>
  <si>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</si>
  <si>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</si>
  <si>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</si>
  <si>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</si>
  <si>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</si>
  <si>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</si>
  <si>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</si>
  <si>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</si>
  <si>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</si>
  <si>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</si>
  <si>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</si>
  <si>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</si>
  <si>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</si>
  <si>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</si>
  <si>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</si>
  <si>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</si>
  <si>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</si>
  <si>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</si>
  <si>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</si>
  <si>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</si>
  <si>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</si>
  <si>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</si>
  <si>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</si>
  <si>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</si>
  <si>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</si>
  <si>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</si>
  <si>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</si>
  <si>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</si>
  <si>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</si>
  <si>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</si>
  <si>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</si>
  <si>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</si>
  <si>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</si>
  <si>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</si>
  <si>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</si>
  <si>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</si>
  <si>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</si>
  <si>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</si>
  <si>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</si>
  <si>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</si>
  <si>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</si>
  <si>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</si>
  <si>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</si>
  <si>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</si>
  <si>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</si>
  <si>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</si>
  <si>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</si>
  <si>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</si>
  <si>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</si>
  <si>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</si>
  <si>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</si>
  <si>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</si>
  <si>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</si>
  <si>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</si>
  <si>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</si>
  <si>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</si>
  <si>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</si>
  <si>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</si>
  <si>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</si>
  <si>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</si>
  <si>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</si>
  <si>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</si>
  <si>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</si>
  <si>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</si>
  <si>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</si>
  <si>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</si>
  <si>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</si>
  <si>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</si>
  <si>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</si>
  <si>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</si>
  <si>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</si>
  <si>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</si>
  <si>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</si>
  <si>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</si>
  <si>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</si>
  <si>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</si>
  <si>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</si>
  <si>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</si>
  <si>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</si>
  <si>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</si>
  <si>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</si>
  <si>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</si>
  <si>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</si>
  <si>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</si>
  <si>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</si>
  <si>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</si>
  <si>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</si>
  <si>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</si>
  <si>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</si>
  <si>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</si>
  <si>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</si>
  <si>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</si>
  <si>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</si>
  <si>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</si>
  <si>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</si>
  <si>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</si>
  <si>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</si>
  <si>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</si>
  <si>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</si>
  <si>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</si>
  <si>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</si>
  <si>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</si>
  <si>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</si>
  <si>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</si>
  <si>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</si>
  <si>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</si>
  <si>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</si>
  <si>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</si>
  <si>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</si>
  <si>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</si>
  <si>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</si>
  <si>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</si>
  <si>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</si>
  <si>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</si>
  <si>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</si>
  <si>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</si>
  <si>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</si>
  <si>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</si>
  <si>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</si>
  <si>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</si>
  <si>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</si>
  <si>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</si>
  <si>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</si>
  <si>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</si>
  <si>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</si>
  <si>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</si>
  <si>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</si>
  <si>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</si>
  <si>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</si>
  <si>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</si>
  <si>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</si>
  <si>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</si>
  <si>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</si>
  <si>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</si>
  <si>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</si>
  <si>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</si>
  <si>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</si>
  <si>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</si>
  <si>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</si>
  <si>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</si>
  <si>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</si>
  <si>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</si>
  <si>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</si>
  <si>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</si>
  <si>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</si>
  <si>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</si>
  <si>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</si>
  <si>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</si>
  <si>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</si>
  <si>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</si>
  <si>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</si>
  <si>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</si>
  <si>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</si>
  <si>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</si>
  <si>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</si>
  <si>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</si>
  <si>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</si>
  <si>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</si>
  <si>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</si>
  <si>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</si>
  <si>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</si>
  <si>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</si>
  <si>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</si>
  <si>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</si>
  <si>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</si>
  <si>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</si>
  <si>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</si>
  <si>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</si>
  <si>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</si>
  <si>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</si>
  <si>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</si>
  <si>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</si>
  <si>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</si>
  <si>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</si>
  <si>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</si>
  <si>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</si>
  <si>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</si>
  <si>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</si>
  <si>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</si>
  <si>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</si>
  <si>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</si>
  <si>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</si>
  <si>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</si>
  <si>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</si>
  <si>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</si>
  <si>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</si>
  <si>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</si>
  <si>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</si>
  <si>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</si>
  <si>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</si>
  <si>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</si>
  <si>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</si>
  <si>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</si>
  <si>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</si>
  <si>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</si>
  <si>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</si>
  <si>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</si>
  <si>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</si>
  <si>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</si>
  <si>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</si>
  <si>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</si>
  <si>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</si>
  <si>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</si>
  <si>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</si>
  <si>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</si>
  <si>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</si>
  <si>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</si>
  <si>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</si>
  <si>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</si>
  <si>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</si>
  <si>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</si>
  <si>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</si>
  <si>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</si>
  <si>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</si>
  <si>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</si>
  <si>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</si>
  <si>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</si>
  <si>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</si>
  <si>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</si>
  <si>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</si>
  <si>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</si>
  <si>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</si>
  <si>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</si>
  <si>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</si>
  <si>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</si>
  <si>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</si>
  <si>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</si>
  <si>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</si>
  <si>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</si>
  <si>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</si>
  <si>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</si>
  <si>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</si>
  <si>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</si>
  <si>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</si>
  <si>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</si>
  <si>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</si>
  <si>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</si>
  <si>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</si>
  <si>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</si>
  <si>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</si>
  <si>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</si>
  <si>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</si>
  <si>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</si>
  <si>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</si>
  <si>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</si>
  <si>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</si>
  <si>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</si>
  <si>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</si>
  <si>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</si>
  <si>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</si>
  <si>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</si>
  <si>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</si>
  <si>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</si>
  <si>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</si>
  <si>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</si>
  <si>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</si>
  <si>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</si>
  <si>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</si>
  <si>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</si>
  <si>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</si>
  <si>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</si>
  <si>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</si>
  <si>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</si>
  <si>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</si>
  <si>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</si>
  <si>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</si>
  <si>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</si>
  <si>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</si>
  <si>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</si>
  <si>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</si>
  <si>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</si>
  <si>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</si>
  <si>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</si>
  <si>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</si>
  <si>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</si>
  <si>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</si>
  <si>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</si>
  <si>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</si>
  <si>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</si>
  <si>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</si>
  <si>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</si>
  <si>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</si>
  <si>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</si>
  <si>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</si>
  <si>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</si>
  <si>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</si>
  <si>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</si>
  <si>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</si>
  <si>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</si>
  <si>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</si>
  <si>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</si>
  <si>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</si>
  <si>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</si>
  <si>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</si>
  <si>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</si>
  <si>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</si>
  <si>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</si>
  <si>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</si>
  <si>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</si>
  <si>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</si>
  <si>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</si>
  <si>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</si>
  <si>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</si>
  <si>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</si>
  <si>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</si>
  <si>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</si>
  <si>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</si>
  <si>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</si>
  <si>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</si>
  <si>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</si>
  <si>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</si>
  <si>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</si>
  <si>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</si>
  <si>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</si>
  <si>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</si>
  <si>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</si>
  <si>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</si>
  <si>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</si>
  <si>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</si>
  <si>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</si>
  <si>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</si>
  <si>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</si>
  <si>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</si>
  <si>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</si>
  <si>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</si>
  <si>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</si>
  <si>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</si>
  <si>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</si>
  <si>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</si>
  <si>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</si>
  <si>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</si>
  <si>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</si>
  <si>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</si>
  <si>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</si>
  <si>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</si>
  <si>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</si>
  <si>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</si>
  <si>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</si>
  <si>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</si>
  <si>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</si>
  <si>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</si>
  <si>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</si>
  <si>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</si>
  <si>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</si>
  <si>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</si>
  <si>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</si>
  <si>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</si>
  <si>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</si>
  <si>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</si>
  <si>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</si>
  <si>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</si>
  <si>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</si>
  <si>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</si>
  <si>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</si>
  <si>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</si>
  <si>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</si>
  <si>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</si>
  <si>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</si>
  <si>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</si>
  <si>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</si>
  <si>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</si>
  <si>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</si>
  <si>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</si>
  <si>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</si>
  <si>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</si>
  <si>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</si>
  <si>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</si>
  <si>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</si>
  <si>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</si>
  <si>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</si>
  <si>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</si>
  <si>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</si>
  <si>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</si>
  <si>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</si>
  <si>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</si>
  <si>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</si>
  <si>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</si>
  <si>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</si>
  <si>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</si>
  <si>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</si>
  <si>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</si>
  <si>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</si>
  <si>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</si>
  <si>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</si>
  <si>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</si>
  <si>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</si>
  <si>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</si>
  <si>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</si>
  <si>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</si>
  <si>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</si>
  <si>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</si>
  <si>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</si>
  <si>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</si>
  <si>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</si>
  <si>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</si>
  <si>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</si>
  <si>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</si>
  <si>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</si>
  <si>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</si>
  <si>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</si>
  <si>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</si>
  <si>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</si>
  <si>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</si>
  <si>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</si>
  <si>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</si>
  <si>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</si>
  <si>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</si>
  <si>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</si>
  <si>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</si>
  <si>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</si>
  <si>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</si>
  <si>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</si>
  <si>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</si>
  <si>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</si>
  <si>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</si>
  <si>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</si>
  <si>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</si>
  <si>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</si>
  <si>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</si>
  <si>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</si>
  <si>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</si>
  <si>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</si>
  <si>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</si>
  <si>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</si>
  <si>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</si>
  <si>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</si>
  <si>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</si>
  <si>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</si>
  <si>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</si>
  <si>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</si>
  <si>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</si>
  <si>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</si>
  <si>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</si>
  <si>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</si>
  <si>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</si>
  <si>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</si>
  <si>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</si>
  <si>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</si>
  <si>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</si>
  <si>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</si>
  <si>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</si>
  <si>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</si>
  <si>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</si>
  <si>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</si>
  <si>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</si>
  <si>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</si>
  <si>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</si>
  <si>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</si>
  <si>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</si>
  <si>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</si>
  <si>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</si>
  <si>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</si>
  <si>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</si>
  <si>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</si>
  <si>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</si>
  <si>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</si>
  <si>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</si>
  <si>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</si>
  <si>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</si>
  <si>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</si>
  <si>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</si>
  <si>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</si>
  <si>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</si>
  <si>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</si>
  <si>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</si>
  <si>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</si>
  <si>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</si>
  <si>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</si>
  <si>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</si>
  <si>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</si>
  <si>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</si>
  <si>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</si>
  <si>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</si>
  <si>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</si>
  <si>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</si>
  <si>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</si>
  <si>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</si>
  <si>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</si>
  <si>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</si>
  <si>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</si>
  <si>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</si>
  <si>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</si>
  <si>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</si>
  <si>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</si>
  <si>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</si>
  <si>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</si>
  <si>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</si>
  <si>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</si>
  <si>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</si>
  <si>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</si>
  <si>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</si>
  <si>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</si>
  <si>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</si>
  <si>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</si>
  <si>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</si>
  <si>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</si>
  <si>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</si>
  <si>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</si>
  <si>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</si>
  <si>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</si>
  <si>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</si>
  <si>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</si>
  <si>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</si>
  <si>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</si>
  <si>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</si>
  <si>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</si>
  <si>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</si>
  <si>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</si>
  <si>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</si>
  <si>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</si>
  <si>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</si>
  <si>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</si>
  <si>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</si>
  <si>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</si>
  <si>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</si>
  <si>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</si>
  <si>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</si>
  <si>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</si>
  <si>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</si>
  <si>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</si>
  <si>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</si>
  <si>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</si>
  <si>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</si>
  <si>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</si>
  <si>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</si>
  <si>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</si>
  <si>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</si>
  <si>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</si>
  <si>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</si>
  <si>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</si>
  <si>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</si>
  <si>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</si>
  <si>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</si>
  <si>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</si>
  <si>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</si>
  <si>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</si>
  <si>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</si>
  <si>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</si>
  <si>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</si>
  <si>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</si>
  <si>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</si>
  <si>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</si>
  <si>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</si>
  <si>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</si>
  <si>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</si>
  <si>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</si>
  <si>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</si>
  <si>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</si>
  <si>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</si>
  <si>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</si>
  <si>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</si>
  <si>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</si>
  <si>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</si>
  <si>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</si>
  <si>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</si>
  <si>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</si>
  <si>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</si>
  <si>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</si>
  <si>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</si>
  <si>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</si>
  <si>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</si>
  <si>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</si>
  <si>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</si>
  <si>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</si>
  <si>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</si>
  <si>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</si>
  <si>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</si>
  <si>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</si>
  <si>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</si>
  <si>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</si>
  <si>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</si>
  <si>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</si>
  <si>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</si>
  <si>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</si>
  <si>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</si>
  <si>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</si>
  <si>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</si>
  <si>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</si>
  <si>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</si>
  <si>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</si>
  <si>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</si>
  <si>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</si>
  <si>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</si>
  <si>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</si>
  <si>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</si>
  <si>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</si>
  <si>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</si>
  <si>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</si>
  <si>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</si>
  <si>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</si>
  <si>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</si>
  <si>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</si>
  <si>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</si>
  <si>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</si>
  <si>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</si>
  <si>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</si>
  <si>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</si>
  <si>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</si>
  <si>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</si>
  <si>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</si>
  <si>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</si>
  <si>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</si>
  <si>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</si>
  <si>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</si>
  <si>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</si>
  <si>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</si>
  <si>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</si>
  <si>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</si>
  <si>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</si>
  <si>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</si>
  <si>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</si>
  <si>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</si>
  <si>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</si>
  <si>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</si>
  <si>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</si>
  <si>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</si>
  <si>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</si>
  <si>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</si>
  <si>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</si>
  <si>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</si>
  <si>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</si>
  <si>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</si>
  <si>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</si>
  <si>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</si>
  <si>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</si>
  <si>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</si>
  <si>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</si>
  <si>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</si>
  <si>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</si>
  <si>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</si>
  <si>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</si>
  <si>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</si>
  <si>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</si>
  <si>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</si>
  <si>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</si>
  <si>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</si>
  <si>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</si>
  <si>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</si>
  <si>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</si>
  <si>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</si>
  <si>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</si>
  <si>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</si>
  <si>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</si>
  <si>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</si>
  <si>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</si>
  <si>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</si>
  <si>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</si>
  <si>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</si>
  <si>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</si>
  <si>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</si>
  <si>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</si>
  <si>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</si>
  <si>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</si>
  <si>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</si>
  <si>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</si>
  <si>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</si>
  <si>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</si>
  <si>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</si>
  <si>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</si>
  <si>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</si>
  <si>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</si>
  <si>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</si>
  <si>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</si>
  <si>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</si>
  <si>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</si>
  <si>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</si>
  <si>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</si>
  <si>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</si>
  <si>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</si>
  <si>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</si>
  <si>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</si>
  <si>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</si>
  <si>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</si>
  <si>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</si>
  <si>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</si>
  <si>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</si>
  <si>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</si>
  <si>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</si>
  <si>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</si>
  <si>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</si>
  <si>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</si>
  <si>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</si>
  <si>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</si>
  <si>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</si>
  <si>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</si>
  <si>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</si>
  <si>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</si>
  <si>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</si>
  <si>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</si>
  <si>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</si>
  <si>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</si>
  <si>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</si>
  <si>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</si>
  <si>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</si>
  <si>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</si>
  <si>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</si>
  <si>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</si>
  <si>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</si>
  <si>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</si>
  <si>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</si>
  <si>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</si>
  <si>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</si>
  <si>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</si>
  <si>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</si>
  <si>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</si>
  <si>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</si>
  <si>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</si>
  <si>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</si>
  <si>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</si>
  <si>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</si>
  <si>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</si>
  <si>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</si>
  <si>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</si>
  <si>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</si>
  <si>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</si>
  <si>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</si>
  <si>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</si>
  <si>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</si>
  <si>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</si>
  <si>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</si>
  <si>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</si>
  <si>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</si>
  <si>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</si>
  <si>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</si>
  <si>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</si>
  <si>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</si>
  <si>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</si>
  <si>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</si>
  <si>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</si>
  <si>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</si>
  <si>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</si>
  <si>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</si>
  <si>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</si>
  <si>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</si>
  <si>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</si>
  <si>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</si>
  <si>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</si>
  <si>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</si>
  <si>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</si>
  <si>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</si>
  <si>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</si>
  <si>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</si>
  <si>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</si>
  <si>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</si>
  <si>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</si>
  <si>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</si>
  <si>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</si>
  <si>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</si>
  <si>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</si>
  <si>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</si>
  <si>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</si>
  <si>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</si>
  <si>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</si>
  <si>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</si>
  <si>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</si>
  <si>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</si>
  <si>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</si>
  <si>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</si>
  <si>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</si>
  <si>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</si>
  <si>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</si>
  <si>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</si>
  <si>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</si>
  <si>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</si>
  <si>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</si>
  <si>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</si>
  <si>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</si>
  <si>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</si>
  <si>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</si>
  <si>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</si>
  <si>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</si>
  <si>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</si>
  <si>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</si>
  <si>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</si>
  <si>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</si>
  <si>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</si>
  <si>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</si>
  <si>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</si>
  <si>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</si>
  <si>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</si>
  <si>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</si>
  <si>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</si>
  <si>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</si>
  <si>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</si>
  <si>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</si>
  <si>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</si>
  <si>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</si>
  <si>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</si>
  <si>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</si>
  <si>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</si>
  <si>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</si>
  <si>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</si>
  <si>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</si>
  <si>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</si>
  <si>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</si>
  <si>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</si>
  <si>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</si>
  <si>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</si>
  <si>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</si>
  <si>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</si>
  <si>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</si>
  <si>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</si>
  <si>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</si>
  <si>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</si>
  <si>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</si>
  <si>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</si>
  <si>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</si>
  <si>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</si>
  <si>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</si>
  <si>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</si>
  <si>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</si>
  <si>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</si>
  <si>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</si>
  <si>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</si>
  <si>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</si>
  <si>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</si>
  <si>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</si>
  <si>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</si>
  <si>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</si>
  <si>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</si>
  <si>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</si>
  <si>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</si>
  <si>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</si>
  <si>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</si>
  <si>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</si>
  <si>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</si>
  <si>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</si>
  <si>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</si>
  <si>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</si>
  <si>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</si>
  <si>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</si>
  <si>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</si>
  <si>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</si>
  <si>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</si>
  <si>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</si>
  <si>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</si>
  <si>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</si>
  <si>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</si>
  <si>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</si>
  <si>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</si>
  <si>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</si>
  <si>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</si>
  <si>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</si>
  <si>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</si>
  <si>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</si>
  <si>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</si>
  <si>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</si>
  <si>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</si>
  <si>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</si>
  <si>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</si>
  <si>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</si>
  <si>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</si>
  <si>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</si>
  <si>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</si>
  <si>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</si>
  <si>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</si>
  <si>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</si>
  <si>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</si>
  <si>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</si>
  <si>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</si>
  <si>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</si>
  <si>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</si>
  <si>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</si>
  <si>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</si>
  <si>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</si>
  <si>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</si>
  <si>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</si>
  <si>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</si>
  <si>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</si>
  <si>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</si>
  <si>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</si>
  <si>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</si>
  <si>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</si>
  <si>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</si>
  <si>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</si>
  <si>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</si>
  <si>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</si>
  <si>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</si>
  <si>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</si>
  <si>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</si>
  <si>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</si>
  <si>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</si>
  <si>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</si>
  <si>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</si>
  <si>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</si>
  <si>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</si>
  <si>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</si>
  <si>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</si>
  <si>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</si>
  <si>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</si>
  <si>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</si>
  <si>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</si>
  <si>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</si>
  <si>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</si>
  <si>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</si>
  <si>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</si>
  <si>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</si>
  <si>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</si>
  <si>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</si>
  <si>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</si>
  <si>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</si>
  <si>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</si>
  <si>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</si>
  <si>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</si>
  <si>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</si>
  <si>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</si>
  <si>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</si>
  <si>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</si>
  <si>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</si>
  <si>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</si>
  <si>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</si>
  <si>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</si>
  <si>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</si>
  <si>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</si>
  <si>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</si>
  <si>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</si>
  <si>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</si>
  <si>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</si>
  <si>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</si>
  <si>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</si>
  <si>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</si>
  <si>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</si>
  <si>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</si>
  <si>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</si>
  <si>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</si>
  <si>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</si>
  <si>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</si>
  <si>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</si>
  <si>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</si>
  <si>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</si>
  <si>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</si>
  <si>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</si>
  <si>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</si>
  <si>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</si>
  <si>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</si>
  <si>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</si>
  <si>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</si>
  <si>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</si>
  <si>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</si>
  <si>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</si>
  <si>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</si>
  <si>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</si>
  <si>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</si>
  <si>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</si>
  <si>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</si>
  <si>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</si>
  <si>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</si>
  <si>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</si>
  <si>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</si>
  <si>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</si>
  <si>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</si>
  <si>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</si>
  <si>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</si>
  <si>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</si>
  <si>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</si>
  <si>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</si>
  <si>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</si>
  <si>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</si>
  <si>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</si>
  <si>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</si>
  <si>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</si>
  <si>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</si>
  <si>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</si>
  <si>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</si>
  <si>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</si>
  <si>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</si>
  <si>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</si>
  <si>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</si>
  <si>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</si>
  <si>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</si>
  <si>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</si>
  <si>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</si>
  <si>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</si>
  <si>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</si>
  <si>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</si>
  <si>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</si>
  <si>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</si>
  <si>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</si>
  <si>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</si>
  <si>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</si>
  <si>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</si>
  <si>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</si>
  <si>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</si>
  <si>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</si>
  <si>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</si>
  <si>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</si>
  <si>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</si>
  <si>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</si>
  <si>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</si>
  <si>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</si>
  <si>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</si>
  <si>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</si>
  <si>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</si>
  <si>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</si>
  <si>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</si>
  <si>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</si>
  <si>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</si>
  <si>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</si>
  <si>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</si>
  <si>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</si>
  <si>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</si>
  <si>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</si>
  <si>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</si>
  <si>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</si>
  <si>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</si>
  <si>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</si>
  <si>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</si>
  <si>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</si>
  <si>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</si>
  <si>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</si>
  <si>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</si>
  <si>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</si>
  <si>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</si>
  <si>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</si>
  <si>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</si>
  <si>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</si>
  <si>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</si>
  <si>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</si>
  <si>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</si>
  <si>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</si>
  <si>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</si>
  <si>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</si>
  <si>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</si>
  <si>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</si>
  <si>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</si>
  <si>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</si>
  <si>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</si>
  <si>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</si>
  <si>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</si>
  <si>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</si>
  <si>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</si>
  <si>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</si>
  <si>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</si>
  <si>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</si>
  <si>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</si>
  <si>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</si>
  <si>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</si>
  <si>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</si>
  <si>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</si>
  <si>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</si>
  <si>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</si>
  <si>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</si>
  <si>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</si>
  <si>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</si>
  <si>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</si>
  <si>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</si>
  <si>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</si>
  <si>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</si>
  <si>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</si>
  <si>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</si>
  <si>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</si>
  <si>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</si>
  <si>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</si>
  <si>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</si>
  <si>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</si>
  <si>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</si>
  <si>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</si>
  <si>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</si>
  <si>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</si>
  <si>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</si>
  <si>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</si>
  <si>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Judicial Council of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</si>
</sst>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0" zoomScaleNormal="80" workbookViewId="0">
      <selection activeCell="K3" sqref="K3"/>
    </sheetView>
  </sheetViews>
  <sheetFormatPr defaultColWidth="0" defaultRowHeight="15" zeroHeight="1" x14ac:dyDescent="0.3"/>
  <cols>
    <col min="1" max="1" width="12.109375" style="44" customWidth="1"/>
    <col min="2" max="2" width="9.44140625" style="44" customWidth="1"/>
    <col min="3" max="5" width="7.6640625" style="44" customWidth="1"/>
    <col min="6" max="6" width="17.6640625" style="44" customWidth="1"/>
    <col min="7" max="7" width="19.6640625" style="44" customWidth="1"/>
    <col min="8" max="8" width="21.5546875" style="7" customWidth="1"/>
    <col min="9" max="9" width="19.6640625" style="44" customWidth="1"/>
    <col min="10" max="10" width="26.44140625" style="44" customWidth="1"/>
    <col min="11" max="11" width="23.33203125" style="44" customWidth="1"/>
    <col min="12" max="12" width="50.6640625" style="44" customWidth="1"/>
    <col min="13" max="17" width="0" style="44" hidden="1" customWidth="1"/>
    <col min="18" max="16384" width="9.109375" style="44" hidden="1"/>
  </cols>
  <sheetData>
    <row r="1" spans="1:17" ht="44.25" customHeight="1" x14ac:dyDescent="0.3">
      <c r="A1" s="178" t="s">
        <v>1608</v>
      </c>
      <c r="B1" s="178"/>
      <c r="C1" s="178"/>
      <c r="D1" s="178"/>
      <c r="E1" s="178"/>
      <c r="F1" s="178"/>
      <c r="G1" s="178"/>
      <c r="H1" s="178"/>
      <c r="I1" s="178"/>
      <c r="J1" s="178"/>
      <c r="K1" s="178"/>
      <c r="L1" s="43"/>
    </row>
    <row r="2" spans="1:17" ht="17.399999999999999" x14ac:dyDescent="0.3">
      <c r="A2" s="179" t="s">
        <v>1565</v>
      </c>
      <c r="B2" s="179"/>
      <c r="C2" s="179"/>
      <c r="D2" s="179"/>
      <c r="E2" s="179"/>
      <c r="F2" s="179"/>
      <c r="G2" s="179"/>
      <c r="H2" s="179"/>
      <c r="I2" s="179"/>
      <c r="J2" s="179"/>
      <c r="K2" s="179"/>
      <c r="L2" s="45"/>
    </row>
    <row r="3" spans="1:17" ht="15.6" x14ac:dyDescent="0.3">
      <c r="A3" s="173" t="s">
        <v>0</v>
      </c>
      <c r="B3" s="173"/>
      <c r="C3" s="173"/>
      <c r="D3" s="173"/>
      <c r="E3" s="173"/>
      <c r="F3" s="172" t="s">
        <v>16</v>
      </c>
      <c r="G3" s="172"/>
      <c r="H3" s="172"/>
      <c r="I3" s="172"/>
    </row>
    <row r="4" spans="1:17" ht="15.6" x14ac:dyDescent="0.3">
      <c r="A4" s="173" t="s">
        <v>1586</v>
      </c>
      <c r="B4" s="173"/>
      <c r="C4" s="173"/>
      <c r="D4" s="173"/>
      <c r="E4" s="173"/>
      <c r="F4" s="172" t="s">
        <v>1642</v>
      </c>
      <c r="G4" s="172"/>
      <c r="H4" s="172"/>
      <c r="I4" s="172"/>
    </row>
    <row r="5" spans="1:17" ht="15.6" x14ac:dyDescent="0.25">
      <c r="A5" s="173" t="s">
        <v>1602</v>
      </c>
      <c r="B5" s="173"/>
      <c r="C5" s="173"/>
      <c r="D5" s="173"/>
      <c r="E5" s="173"/>
      <c r="F5" s="180" t="s">
        <v>175</v>
      </c>
      <c r="G5" s="180"/>
      <c r="H5" s="180"/>
      <c r="I5" s="180"/>
      <c r="J5" s="47"/>
      <c r="K5" s="47"/>
      <c r="L5" s="48"/>
      <c r="M5" s="48"/>
      <c r="N5" s="48"/>
    </row>
    <row r="6" spans="1:17" ht="15.6" x14ac:dyDescent="0.25">
      <c r="A6" s="173" t="s">
        <v>1</v>
      </c>
      <c r="B6" s="173"/>
      <c r="C6" s="173"/>
      <c r="D6" s="173"/>
      <c r="E6" s="173"/>
      <c r="F6" s="181">
        <v>1</v>
      </c>
      <c r="G6" s="181"/>
      <c r="H6" s="181"/>
      <c r="I6" s="181"/>
      <c r="L6" s="49"/>
      <c r="M6" s="48"/>
      <c r="N6" s="48"/>
      <c r="P6" s="27"/>
    </row>
    <row r="7" spans="1:17" ht="15.6" x14ac:dyDescent="0.25">
      <c r="A7" s="173" t="s">
        <v>1571</v>
      </c>
      <c r="B7" s="173"/>
      <c r="C7" s="173"/>
      <c r="D7" s="173"/>
      <c r="E7" s="173"/>
      <c r="F7" s="172" t="s">
        <v>1568</v>
      </c>
      <c r="G7" s="172"/>
      <c r="H7" s="172"/>
      <c r="I7" s="172"/>
      <c r="L7" s="49"/>
      <c r="M7" s="48"/>
      <c r="N7" s="48"/>
      <c r="P7" s="27"/>
    </row>
    <row r="8" spans="1:17" ht="15.6" x14ac:dyDescent="0.25">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5">
      <c r="H9" s="44"/>
      <c r="L9" s="49"/>
      <c r="M9" s="48"/>
      <c r="N9" s="48"/>
      <c r="Q9" s="28"/>
    </row>
    <row r="10" spans="1:17" x14ac:dyDescent="0.3">
      <c r="H10" s="44"/>
      <c r="J10" s="51"/>
      <c r="L10" s="49"/>
      <c r="M10" s="48"/>
      <c r="N10" s="48"/>
    </row>
    <row r="11" spans="1:17" ht="15.6" x14ac:dyDescent="0.3">
      <c r="A11" s="46"/>
      <c r="B11" s="46"/>
      <c r="C11" s="46"/>
      <c r="D11" s="46"/>
      <c r="E11" s="46"/>
      <c r="F11" s="50"/>
      <c r="G11" s="50"/>
      <c r="H11" s="50"/>
      <c r="I11" s="50"/>
      <c r="J11" s="50"/>
      <c r="L11" s="49"/>
      <c r="M11" s="48"/>
      <c r="N11" s="48"/>
    </row>
    <row r="12" spans="1:17" ht="21" x14ac:dyDescent="0.4">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5">
      <c r="A13" s="53" t="s">
        <v>3</v>
      </c>
      <c r="H13" s="44"/>
      <c r="L13" s="54"/>
    </row>
    <row r="14" spans="1:17" ht="16.5" customHeight="1" x14ac:dyDescent="0.35">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5">
      <c r="B15" s="165" t="s">
        <v>1580</v>
      </c>
      <c r="C15" s="165"/>
      <c r="D15" s="165"/>
      <c r="E15" s="165"/>
      <c r="F15" s="165"/>
      <c r="G15" s="165"/>
      <c r="H15" s="165"/>
      <c r="I15" s="165"/>
      <c r="J15" s="32"/>
      <c r="K15" s="33"/>
    </row>
    <row r="16" spans="1:17" ht="16.5" hidden="1" customHeight="1" x14ac:dyDescent="0.25">
      <c r="A16" s="56"/>
      <c r="B16" s="165" t="s">
        <v>1588</v>
      </c>
      <c r="C16" s="165"/>
      <c r="D16" s="165"/>
      <c r="E16" s="165"/>
      <c r="F16" s="165"/>
      <c r="G16" s="165"/>
      <c r="H16" s="165"/>
      <c r="I16" s="165"/>
      <c r="J16" s="32"/>
      <c r="K16" s="33"/>
    </row>
    <row r="17" spans="1:17" ht="16.5" customHeight="1" x14ac:dyDescent="0.25">
      <c r="A17" s="56"/>
      <c r="B17" s="165" t="s">
        <v>1589</v>
      </c>
      <c r="C17" s="165"/>
      <c r="D17" s="165"/>
      <c r="E17" s="165"/>
      <c r="F17" s="165"/>
      <c r="G17" s="165"/>
      <c r="H17" s="165"/>
      <c r="I17" s="165"/>
      <c r="J17" s="32"/>
      <c r="K17" s="33"/>
    </row>
    <row r="18" spans="1:17" ht="16.5" hidden="1" customHeight="1" x14ac:dyDescent="0.25">
      <c r="A18" s="56"/>
      <c r="B18" s="42"/>
      <c r="C18" s="165" t="s">
        <v>1587</v>
      </c>
      <c r="D18" s="165"/>
      <c r="E18" s="165"/>
      <c r="F18" s="165"/>
      <c r="G18" s="165"/>
      <c r="H18" s="165"/>
      <c r="I18" s="165"/>
      <c r="J18" s="33"/>
      <c r="K18" s="32"/>
    </row>
    <row r="19" spans="1:17" ht="16.5" customHeight="1" x14ac:dyDescent="0.3">
      <c r="A19" s="56"/>
      <c r="B19" s="57"/>
      <c r="C19" s="165" t="s">
        <v>1626</v>
      </c>
      <c r="D19" s="165"/>
      <c r="E19" s="165"/>
      <c r="F19" s="165"/>
      <c r="G19" s="165"/>
      <c r="H19" s="165"/>
      <c r="I19" s="165"/>
      <c r="J19" s="33"/>
      <c r="K19" s="32"/>
      <c r="P19" s="27"/>
    </row>
    <row r="20" spans="1:17" ht="16.5" hidden="1" customHeight="1" x14ac:dyDescent="0.3">
      <c r="A20" s="56"/>
      <c r="B20" s="57"/>
      <c r="C20" s="165" t="s">
        <v>1590</v>
      </c>
      <c r="D20" s="165"/>
      <c r="E20" s="165"/>
      <c r="F20" s="165"/>
      <c r="G20" s="165"/>
      <c r="H20" s="165"/>
      <c r="I20" s="165"/>
      <c r="K20" s="32"/>
      <c r="Q20" s="28"/>
    </row>
    <row r="21" spans="1:17" ht="16.5" customHeight="1" x14ac:dyDescent="0.3">
      <c r="A21" s="56"/>
      <c r="B21" s="57"/>
      <c r="C21" s="165" t="s">
        <v>1591</v>
      </c>
      <c r="D21" s="165"/>
      <c r="E21" s="165"/>
      <c r="F21" s="165"/>
      <c r="G21" s="165"/>
      <c r="H21" s="165"/>
      <c r="I21" s="165"/>
      <c r="J21" s="33"/>
      <c r="K21" s="32"/>
      <c r="Q21" s="28"/>
    </row>
    <row r="22" spans="1:17" ht="16.5" customHeight="1" x14ac:dyDescent="0.3">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3">
      <c r="A23" s="56"/>
      <c r="B23" s="59"/>
      <c r="C23" s="59"/>
      <c r="D23" s="59"/>
      <c r="E23" s="59"/>
      <c r="F23" s="59"/>
      <c r="G23" s="59"/>
      <c r="H23" s="59"/>
      <c r="I23" s="59"/>
      <c r="J23" s="5"/>
      <c r="K23" s="5"/>
      <c r="L23" s="54"/>
    </row>
    <row r="24" spans="1:17" ht="16.5" customHeight="1" x14ac:dyDescent="0.3">
      <c r="A24" s="1"/>
      <c r="B24" s="164" t="s">
        <v>1605</v>
      </c>
      <c r="C24" s="164"/>
      <c r="D24" s="164"/>
      <c r="E24" s="164"/>
      <c r="F24" s="164"/>
      <c r="G24" s="164"/>
      <c r="H24" s="164"/>
      <c r="I24" s="164"/>
      <c r="J24" s="164"/>
      <c r="K24" s="164"/>
      <c r="L24" s="54"/>
    </row>
    <row r="25" spans="1:17" ht="16.5" customHeight="1" x14ac:dyDescent="0.3">
      <c r="A25" s="1"/>
      <c r="B25" s="61"/>
      <c r="C25" s="62"/>
      <c r="D25" s="63"/>
      <c r="E25" s="63"/>
      <c r="F25" s="6"/>
      <c r="G25" s="6"/>
      <c r="H25" s="64"/>
      <c r="I25" s="64"/>
      <c r="J25" s="5"/>
      <c r="K25" s="5"/>
      <c r="L25" s="54"/>
    </row>
    <row r="26" spans="1:17" ht="20.25" customHeight="1" x14ac:dyDescent="0.4">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 x14ac:dyDescent="0.35">
      <c r="A27" s="55">
        <v>1</v>
      </c>
      <c r="B27" s="167" t="s">
        <v>1606</v>
      </c>
      <c r="C27" s="168"/>
      <c r="D27" s="168"/>
      <c r="E27" s="168"/>
      <c r="F27" s="168"/>
      <c r="G27" s="168"/>
      <c r="H27" s="168"/>
      <c r="I27" s="168"/>
      <c r="J27" s="168"/>
      <c r="K27" s="168"/>
      <c r="L27" s="54"/>
    </row>
    <row r="28" spans="1:17" ht="16.5" customHeight="1" x14ac:dyDescent="0.25">
      <c r="A28" s="56"/>
      <c r="B28" s="165" t="s">
        <v>1577</v>
      </c>
      <c r="C28" s="165"/>
      <c r="D28" s="165"/>
      <c r="E28" s="165"/>
      <c r="F28" s="165"/>
      <c r="G28" s="165"/>
      <c r="H28" s="165"/>
      <c r="I28" s="165"/>
      <c r="J28" s="32">
        <v>4150682</v>
      </c>
      <c r="K28" s="33"/>
      <c r="L28" s="54"/>
    </row>
    <row r="29" spans="1:17" ht="16.5" customHeight="1" x14ac:dyDescent="0.3">
      <c r="A29" s="56"/>
      <c r="B29" s="57"/>
      <c r="C29" s="165" t="s">
        <v>1578</v>
      </c>
      <c r="D29" s="165"/>
      <c r="E29" s="165"/>
      <c r="F29" s="165"/>
      <c r="G29" s="165"/>
      <c r="H29" s="165"/>
      <c r="I29" s="165"/>
      <c r="J29" s="33"/>
      <c r="K29" s="32">
        <f>+J28</f>
        <v>4150682</v>
      </c>
      <c r="L29" s="54"/>
    </row>
    <row r="30" spans="1:17" ht="16.5" customHeight="1" x14ac:dyDescent="0.3">
      <c r="A30" s="56"/>
      <c r="B30" s="57"/>
      <c r="C30" s="165" t="str">
        <f>VLOOKUP($F$8,'Drop Down Menus'!$D$2:$G$10,4,FALSE)</f>
        <v>Cr: Acct 0808 - GENERAL GOV. (GAAP ADJ)</v>
      </c>
      <c r="D30" s="165"/>
      <c r="E30" s="165"/>
      <c r="F30" s="165"/>
      <c r="G30" s="165"/>
      <c r="H30" s="165"/>
      <c r="I30" s="165"/>
      <c r="J30" s="33"/>
      <c r="K30" s="32"/>
    </row>
    <row r="31" spans="1:17" ht="16.5" customHeight="1" x14ac:dyDescent="0.3">
      <c r="A31" s="68"/>
      <c r="B31" s="58"/>
      <c r="C31" s="58"/>
      <c r="D31" s="58"/>
      <c r="E31" s="58"/>
      <c r="F31" s="58"/>
      <c r="G31" s="58"/>
      <c r="H31" s="58"/>
      <c r="I31" s="58"/>
      <c r="J31" s="29">
        <f>ROUND(SUM(J28:J30),2)</f>
        <v>4150682</v>
      </c>
      <c r="K31" s="29">
        <f>ROUND(SUM(K28:K30),2)</f>
        <v>4150682</v>
      </c>
      <c r="L31" s="54" t="str">
        <f>IF(J31=K31,"&lt;- Debits and Credits equal each other.","&lt;- Debits and Credits do not equal each other.")</f>
        <v>&lt;- Debits and Credits equal each other.</v>
      </c>
    </row>
    <row r="32" spans="1:17" ht="16.5" customHeight="1" x14ac:dyDescent="0.3">
      <c r="A32" s="1"/>
      <c r="B32" s="69"/>
      <c r="C32" s="69"/>
      <c r="D32" s="69"/>
      <c r="E32" s="69"/>
      <c r="F32" s="69"/>
      <c r="G32" s="69"/>
      <c r="H32" s="69"/>
      <c r="I32" s="69"/>
      <c r="J32" s="5"/>
      <c r="K32" s="5"/>
      <c r="L32" s="54"/>
    </row>
    <row r="33" spans="1:12" ht="16.5" customHeight="1" x14ac:dyDescent="0.35">
      <c r="A33" s="55">
        <v>2</v>
      </c>
      <c r="B33" s="175" t="s">
        <v>1607</v>
      </c>
      <c r="C33" s="176"/>
      <c r="D33" s="176"/>
      <c r="E33" s="176"/>
      <c r="F33" s="176"/>
      <c r="G33" s="176"/>
      <c r="H33" s="176"/>
      <c r="I33" s="176"/>
      <c r="J33" s="176"/>
      <c r="K33" s="176"/>
      <c r="L33" s="54"/>
    </row>
    <row r="34" spans="1:12" ht="16.5" customHeight="1" x14ac:dyDescent="0.35">
      <c r="A34" s="68"/>
      <c r="B34" s="165" t="s">
        <v>1580</v>
      </c>
      <c r="C34" s="165"/>
      <c r="D34" s="165"/>
      <c r="E34" s="165"/>
      <c r="F34" s="165"/>
      <c r="G34" s="165"/>
      <c r="H34" s="165"/>
      <c r="I34" s="165"/>
      <c r="J34" s="32">
        <v>4150682</v>
      </c>
      <c r="K34" s="70"/>
      <c r="L34" s="54"/>
    </row>
    <row r="35" spans="1:12" ht="16.5" customHeight="1" x14ac:dyDescent="0.25">
      <c r="B35" s="165" t="s">
        <v>1579</v>
      </c>
      <c r="C35" s="165"/>
      <c r="D35" s="165"/>
      <c r="E35" s="165"/>
      <c r="F35" s="165"/>
      <c r="G35" s="165"/>
      <c r="H35" s="165"/>
      <c r="I35" s="165"/>
      <c r="J35" s="32">
        <v>4150682</v>
      </c>
      <c r="K35" s="36"/>
    </row>
    <row r="36" spans="1:12" ht="16.5" customHeight="1" x14ac:dyDescent="0.25">
      <c r="A36" s="56"/>
      <c r="B36" s="71"/>
      <c r="C36" s="165" t="s">
        <v>1581</v>
      </c>
      <c r="D36" s="165"/>
      <c r="E36" s="165"/>
      <c r="F36" s="165"/>
      <c r="G36" s="165"/>
      <c r="H36" s="165"/>
      <c r="I36" s="165"/>
      <c r="J36" s="36"/>
      <c r="K36" s="32">
        <v>4150682</v>
      </c>
    </row>
    <row r="37" spans="1:12" ht="16.5" customHeight="1" x14ac:dyDescent="0.25">
      <c r="A37" s="56"/>
      <c r="C37" s="165" t="s">
        <v>1626</v>
      </c>
      <c r="D37" s="165"/>
      <c r="E37" s="165"/>
      <c r="F37" s="165"/>
      <c r="G37" s="165"/>
      <c r="H37" s="165"/>
      <c r="I37" s="165"/>
      <c r="J37" s="36"/>
      <c r="K37" s="32">
        <v>4150682</v>
      </c>
    </row>
    <row r="38" spans="1:12" ht="16.5" customHeight="1" x14ac:dyDescent="0.3">
      <c r="A38" s="56"/>
      <c r="B38" s="57"/>
      <c r="C38" s="165" t="str">
        <f>VLOOKUP($F$8,'Drop Down Menus'!$D$2:$G$10,4,FALSE)</f>
        <v>Cr: Acct 0808 - GENERAL GOV. (GAAP ADJ)</v>
      </c>
      <c r="D38" s="165"/>
      <c r="E38" s="165"/>
      <c r="F38" s="165"/>
      <c r="G38" s="165"/>
      <c r="H38" s="165"/>
      <c r="I38" s="165"/>
      <c r="J38" s="36"/>
      <c r="K38" s="32"/>
    </row>
    <row r="39" spans="1:12" ht="16.5" customHeight="1" x14ac:dyDescent="0.25">
      <c r="A39" s="56"/>
      <c r="B39" s="72"/>
      <c r="C39" s="72"/>
      <c r="D39" s="72"/>
      <c r="E39" s="72"/>
      <c r="F39" s="72"/>
      <c r="G39" s="72"/>
      <c r="H39" s="72"/>
      <c r="I39" s="72"/>
      <c r="J39" s="29">
        <f>ROUND(SUM(J34:J35),2)</f>
        <v>8301364</v>
      </c>
      <c r="K39" s="29">
        <f>ROUND(SUM(K36:K38),2)</f>
        <v>8301364</v>
      </c>
      <c r="L39" s="54" t="str">
        <f>IF(J39=K39,"&lt;- Debits and Credits equal each other.","&lt;- Debits and Credits do not equal each other.")</f>
        <v>&lt;- Debits and Credits equal each other.</v>
      </c>
    </row>
    <row r="40" spans="1:12" ht="16.5" customHeight="1" x14ac:dyDescent="0.3">
      <c r="A40" s="56"/>
      <c r="B40" s="59"/>
      <c r="C40" s="59"/>
      <c r="D40" s="59"/>
      <c r="E40" s="59"/>
      <c r="F40" s="59"/>
      <c r="G40" s="59"/>
      <c r="H40" s="59"/>
      <c r="I40" s="59"/>
      <c r="J40" s="73"/>
      <c r="K40" s="73"/>
      <c r="L40" s="54"/>
    </row>
    <row r="41" spans="1:12" ht="16.5" customHeight="1" x14ac:dyDescent="0.3">
      <c r="A41" s="68"/>
      <c r="B41" s="164" t="s">
        <v>1609</v>
      </c>
      <c r="C41" s="164"/>
      <c r="D41" s="164"/>
      <c r="E41" s="164"/>
      <c r="F41" s="164"/>
      <c r="G41" s="164"/>
      <c r="H41" s="164"/>
      <c r="I41" s="164"/>
      <c r="J41" s="164"/>
      <c r="K41" s="164"/>
      <c r="L41" s="54"/>
    </row>
    <row r="42" spans="1:12" ht="16.5" customHeight="1" x14ac:dyDescent="0.3">
      <c r="A42" s="68"/>
      <c r="B42" s="69"/>
      <c r="C42" s="69"/>
      <c r="D42" s="69"/>
      <c r="E42" s="69"/>
      <c r="F42" s="69"/>
      <c r="G42" s="69"/>
      <c r="H42" s="69"/>
      <c r="I42" s="69"/>
      <c r="J42" s="73"/>
      <c r="K42" s="73"/>
      <c r="L42" s="54"/>
    </row>
    <row r="43" spans="1:12" ht="20.25" customHeight="1" x14ac:dyDescent="0.4">
      <c r="A43" s="52" t="s">
        <v>1592</v>
      </c>
      <c r="B43" s="74"/>
      <c r="C43" s="75"/>
      <c r="D43" s="75"/>
      <c r="E43" s="75"/>
      <c r="F43" s="26"/>
      <c r="G43" s="26"/>
      <c r="H43" s="76"/>
      <c r="I43" s="76"/>
      <c r="J43" s="26"/>
      <c r="K43" s="26"/>
      <c r="L43" s="54"/>
    </row>
    <row r="44" spans="1:12" ht="16.5" customHeight="1" x14ac:dyDescent="0.35">
      <c r="A44" s="55">
        <v>3</v>
      </c>
      <c r="B44" s="77" t="s">
        <v>1631</v>
      </c>
      <c r="C44" s="78"/>
      <c r="D44" s="78"/>
      <c r="E44" s="78"/>
      <c r="F44" s="31"/>
      <c r="G44" s="31"/>
      <c r="H44" s="79"/>
      <c r="I44" s="79"/>
      <c r="J44" s="31"/>
      <c r="K44" s="31"/>
      <c r="L44" s="54"/>
    </row>
    <row r="45" spans="1:12" ht="16.5" customHeight="1" x14ac:dyDescent="0.25">
      <c r="A45" s="56"/>
      <c r="B45" s="165" t="s">
        <v>1582</v>
      </c>
      <c r="C45" s="165"/>
      <c r="D45" s="165"/>
      <c r="E45" s="165"/>
      <c r="F45" s="165"/>
      <c r="G45" s="165"/>
      <c r="H45" s="165"/>
      <c r="I45" s="165"/>
      <c r="J45" s="32">
        <v>172945</v>
      </c>
      <c r="K45" s="33"/>
    </row>
    <row r="46" spans="1:12" ht="16.5" customHeight="1" x14ac:dyDescent="0.25">
      <c r="A46" s="56"/>
      <c r="B46" s="71"/>
      <c r="C46" s="165" t="s">
        <v>1587</v>
      </c>
      <c r="D46" s="165"/>
      <c r="E46" s="165"/>
      <c r="F46" s="165"/>
      <c r="G46" s="165"/>
      <c r="H46" s="165"/>
      <c r="I46" s="165"/>
      <c r="J46" s="36"/>
      <c r="K46" s="32">
        <f>J45</f>
        <v>172945</v>
      </c>
    </row>
    <row r="47" spans="1:12" ht="16.5" customHeight="1" x14ac:dyDescent="0.3">
      <c r="A47" s="68"/>
      <c r="B47" s="58"/>
      <c r="C47" s="58"/>
      <c r="D47" s="58"/>
      <c r="E47" s="58"/>
      <c r="F47" s="58"/>
      <c r="G47" s="58"/>
      <c r="H47" s="58"/>
      <c r="I47" s="58"/>
      <c r="J47" s="39">
        <f>ROUND(SUM(J45:J45),2)</f>
        <v>172945</v>
      </c>
      <c r="K47" s="39">
        <f>ROUND(SUM(K46),2)</f>
        <v>172945</v>
      </c>
      <c r="L47" s="54" t="str">
        <f>IF(J47=K47,"&lt;- Debits and Credits equal each other.","&lt;- Debits and Credits do not equal each other.")</f>
        <v>&lt;- Debits and Credits equal each other.</v>
      </c>
    </row>
    <row r="48" spans="1:12" ht="16.5" customHeight="1" x14ac:dyDescent="0.3">
      <c r="A48" s="68"/>
      <c r="B48" s="80"/>
      <c r="C48" s="80"/>
      <c r="D48" s="80"/>
      <c r="E48" s="80"/>
      <c r="F48" s="80"/>
      <c r="G48" s="80"/>
      <c r="H48" s="80"/>
      <c r="I48" s="80"/>
      <c r="J48" s="5"/>
      <c r="K48" s="5"/>
      <c r="L48" s="54"/>
    </row>
    <row r="49" spans="1:12" ht="16.5" customHeight="1" x14ac:dyDescent="0.35">
      <c r="A49" s="55">
        <v>4</v>
      </c>
      <c r="B49" s="77" t="s">
        <v>1632</v>
      </c>
      <c r="C49" s="63"/>
      <c r="D49" s="63"/>
      <c r="E49" s="63"/>
      <c r="F49" s="6"/>
      <c r="G49" s="6"/>
      <c r="H49" s="64"/>
      <c r="I49" s="64"/>
      <c r="J49" s="5"/>
      <c r="K49" s="5"/>
      <c r="L49" s="54"/>
    </row>
    <row r="50" spans="1:12" ht="16.5" customHeight="1" x14ac:dyDescent="0.25">
      <c r="A50" s="56"/>
      <c r="B50" s="165" t="s">
        <v>1611</v>
      </c>
      <c r="C50" s="165"/>
      <c r="D50" s="165"/>
      <c r="E50" s="165"/>
      <c r="F50" s="165"/>
      <c r="G50" s="165"/>
      <c r="H50" s="165"/>
      <c r="I50" s="165"/>
      <c r="J50" s="37">
        <v>2050732</v>
      </c>
      <c r="K50" s="81"/>
    </row>
    <row r="51" spans="1:12" ht="16.5" customHeight="1" x14ac:dyDescent="0.25">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4101</v>
      </c>
      <c r="K51" s="81"/>
    </row>
    <row r="52" spans="1:12" ht="16.5" customHeight="1" x14ac:dyDescent="0.3">
      <c r="A52" s="56"/>
      <c r="B52" s="57"/>
      <c r="C52" s="165" t="str">
        <f>VLOOKUP($F$8,'Drop Down Menus'!$D$2:$G$10,4,FALSE)</f>
        <v>Cr: Acct 0808 - GENERAL GOV. (GAAP ADJ)</v>
      </c>
      <c r="D52" s="165"/>
      <c r="E52" s="165"/>
      <c r="F52" s="165"/>
      <c r="G52" s="165"/>
      <c r="H52" s="165"/>
      <c r="I52" s="165"/>
      <c r="J52" s="81"/>
      <c r="K52" s="38">
        <f>+J50+J51</f>
        <v>2054833</v>
      </c>
    </row>
    <row r="53" spans="1:12" ht="16.5" customHeight="1" x14ac:dyDescent="0.3">
      <c r="A53" s="68"/>
      <c r="B53" s="58"/>
      <c r="C53" s="58"/>
      <c r="D53" s="58"/>
      <c r="E53" s="58"/>
      <c r="F53" s="58"/>
      <c r="G53" s="58"/>
      <c r="H53" s="58"/>
      <c r="I53" s="58"/>
      <c r="J53" s="39">
        <f>ROUND(SUM(J50:J51),2)</f>
        <v>2054833</v>
      </c>
      <c r="K53" s="39">
        <f>ROUND(SUM(K52,),2)</f>
        <v>2054833</v>
      </c>
      <c r="L53" s="54" t="str">
        <f>IF(J53=K53,"&lt;- Debits and Credits equal each other.","&lt;- Debits and Credits do not equal each other.")</f>
        <v>&lt;- Debits and Credits equal each other.</v>
      </c>
    </row>
    <row r="54" spans="1:12" ht="16.5" customHeight="1" x14ac:dyDescent="0.3">
      <c r="A54" s="1"/>
      <c r="B54" s="62"/>
      <c r="C54" s="62"/>
      <c r="D54" s="62"/>
      <c r="E54" s="62"/>
      <c r="F54" s="62"/>
      <c r="G54" s="62"/>
      <c r="H54" s="62"/>
      <c r="I54" s="62"/>
      <c r="J54" s="5"/>
      <c r="K54" s="5"/>
      <c r="L54" s="54"/>
    </row>
    <row r="55" spans="1:12" ht="16.5" customHeight="1" x14ac:dyDescent="0.35">
      <c r="A55" s="55">
        <v>5</v>
      </c>
      <c r="B55" s="77" t="s">
        <v>1633</v>
      </c>
      <c r="C55" s="82"/>
      <c r="D55" s="82"/>
      <c r="E55" s="82"/>
      <c r="F55" s="4"/>
      <c r="G55" s="4"/>
      <c r="H55" s="83"/>
      <c r="I55" s="83"/>
      <c r="J55" s="5"/>
      <c r="K55" s="5"/>
      <c r="L55" s="54"/>
    </row>
    <row r="56" spans="1:12" ht="16.5" customHeight="1" x14ac:dyDescent="0.25">
      <c r="A56" s="56"/>
      <c r="B56" s="165" t="s">
        <v>1627</v>
      </c>
      <c r="C56" s="165"/>
      <c r="D56" s="165"/>
      <c r="E56" s="165"/>
      <c r="F56" s="165"/>
      <c r="G56" s="165"/>
      <c r="H56" s="165"/>
      <c r="I56" s="165"/>
      <c r="J56" s="32">
        <f>K57</f>
        <v>2050732</v>
      </c>
      <c r="K56" s="36"/>
    </row>
    <row r="57" spans="1:12" ht="16.5" customHeight="1" x14ac:dyDescent="0.3">
      <c r="A57" s="56"/>
      <c r="B57" s="57"/>
      <c r="C57" s="165" t="s">
        <v>1613</v>
      </c>
      <c r="D57" s="165"/>
      <c r="E57" s="165"/>
      <c r="F57" s="165"/>
      <c r="G57" s="165"/>
      <c r="H57" s="165"/>
      <c r="I57" s="165"/>
      <c r="J57" s="36"/>
      <c r="K57" s="32">
        <f>J50</f>
        <v>2050732</v>
      </c>
    </row>
    <row r="58" spans="1:12" ht="16.5" customHeight="1" x14ac:dyDescent="0.3">
      <c r="A58" s="68"/>
      <c r="B58" s="58"/>
      <c r="C58" s="58"/>
      <c r="D58" s="58"/>
      <c r="E58" s="58"/>
      <c r="F58" s="58"/>
      <c r="G58" s="58"/>
      <c r="H58" s="58"/>
      <c r="I58" s="58"/>
      <c r="J58" s="39">
        <f>ROUND(SUM(J56:J56),2)</f>
        <v>2050732</v>
      </c>
      <c r="K58" s="39">
        <f>ROUND(SUM(K57),2)</f>
        <v>2050732</v>
      </c>
      <c r="L58" s="54" t="str">
        <f>IF(J58=K58,"&lt;- Debits and Credits equal each other.","&lt;- Debits and Credits do not equal each other.")</f>
        <v>&lt;- Debits and Credits equal each other.</v>
      </c>
    </row>
    <row r="59" spans="1:12" ht="16.5" customHeight="1" x14ac:dyDescent="0.3">
      <c r="A59" s="1"/>
      <c r="B59" s="80"/>
      <c r="C59" s="80"/>
      <c r="D59" s="80"/>
      <c r="E59" s="80"/>
      <c r="F59" s="80"/>
      <c r="G59" s="80"/>
      <c r="H59" s="80"/>
      <c r="I59" s="80"/>
      <c r="J59" s="5"/>
      <c r="K59" s="5"/>
      <c r="L59" s="54"/>
    </row>
    <row r="60" spans="1:12" ht="16.5" customHeight="1" x14ac:dyDescent="0.35">
      <c r="A60" s="55">
        <v>6</v>
      </c>
      <c r="B60" s="77" t="s">
        <v>1634</v>
      </c>
      <c r="C60" s="82"/>
      <c r="D60" s="82"/>
      <c r="E60" s="82"/>
      <c r="F60" s="4"/>
      <c r="G60" s="4"/>
      <c r="H60" s="83"/>
      <c r="I60" s="83"/>
      <c r="J60" s="5"/>
      <c r="K60" s="5"/>
      <c r="L60" s="54"/>
    </row>
    <row r="61" spans="1:12" ht="16.5" customHeight="1" x14ac:dyDescent="0.25">
      <c r="B61" s="165" t="s">
        <v>1627</v>
      </c>
      <c r="C61" s="165"/>
      <c r="D61" s="165"/>
      <c r="E61" s="165"/>
      <c r="F61" s="165"/>
      <c r="G61" s="165"/>
      <c r="H61" s="165"/>
      <c r="I61" s="165"/>
      <c r="J61" s="41">
        <f>2099950</f>
        <v>2099950</v>
      </c>
      <c r="K61" s="33"/>
    </row>
    <row r="62" spans="1:12" ht="16.5" customHeight="1" x14ac:dyDescent="0.3">
      <c r="A62" s="56"/>
      <c r="B62" s="57"/>
      <c r="C62" s="165" t="s">
        <v>1623</v>
      </c>
      <c r="D62" s="165"/>
      <c r="E62" s="165"/>
      <c r="F62" s="165"/>
      <c r="G62" s="165"/>
      <c r="H62" s="165"/>
      <c r="I62" s="165"/>
      <c r="J62" s="33"/>
      <c r="K62" s="32">
        <f>J61</f>
        <v>2099950</v>
      </c>
    </row>
    <row r="63" spans="1:12" ht="16.5" customHeight="1" x14ac:dyDescent="0.25">
      <c r="A63" s="56"/>
      <c r="B63" s="166" t="s">
        <v>1622</v>
      </c>
      <c r="C63" s="166"/>
      <c r="D63" s="166"/>
      <c r="E63" s="166"/>
      <c r="F63" s="166"/>
      <c r="G63" s="166"/>
      <c r="H63" s="166"/>
      <c r="I63" s="166"/>
      <c r="J63" s="39">
        <f>ROUND(SUM(J61:J61),2)</f>
        <v>2099950</v>
      </c>
      <c r="K63" s="39">
        <f>ROUND(SUM(K62),2)</f>
        <v>2099950</v>
      </c>
      <c r="L63" s="54" t="str">
        <f>IF(J63=K63,"&lt;- Debits and Credits equal each other.","&lt;- Debits and Credits do not equal each other.")</f>
        <v>&lt;- Debits and Credits equal each other.</v>
      </c>
    </row>
    <row r="64" spans="1:12" ht="16.5" customHeight="1" x14ac:dyDescent="0.25">
      <c r="A64" s="56"/>
      <c r="B64" s="166"/>
      <c r="C64" s="166"/>
      <c r="D64" s="166"/>
      <c r="E64" s="166"/>
      <c r="F64" s="166"/>
      <c r="G64" s="166"/>
      <c r="H64" s="166"/>
      <c r="I64" s="166"/>
      <c r="J64" s="39"/>
      <c r="K64" s="39"/>
      <c r="L64" s="54"/>
    </row>
    <row r="65" spans="1:12" ht="16.5" customHeight="1" x14ac:dyDescent="0.3">
      <c r="A65" s="56"/>
      <c r="B65" s="58"/>
      <c r="C65" s="58"/>
      <c r="D65" s="58"/>
      <c r="E65" s="58"/>
      <c r="F65" s="58"/>
      <c r="G65" s="58"/>
      <c r="H65" s="58"/>
      <c r="I65" s="58"/>
      <c r="J65" s="5"/>
      <c r="K65" s="5"/>
      <c r="L65" s="54"/>
    </row>
    <row r="66" spans="1:12" ht="20.25" hidden="1" customHeight="1" x14ac:dyDescent="0.4">
      <c r="A66" s="52" t="s">
        <v>1593</v>
      </c>
      <c r="B66" s="65"/>
      <c r="C66" s="66"/>
      <c r="D66" s="66"/>
      <c r="E66" s="66"/>
      <c r="F66" s="30"/>
      <c r="G66" s="30"/>
      <c r="H66" s="67"/>
      <c r="I66" s="67"/>
      <c r="J66" s="30"/>
      <c r="K66" s="30"/>
      <c r="L66" s="54"/>
    </row>
    <row r="67" spans="1:12" ht="16.5" hidden="1" customHeight="1" x14ac:dyDescent="0.35">
      <c r="A67" s="55">
        <v>7</v>
      </c>
      <c r="B67" s="77" t="s">
        <v>1596</v>
      </c>
    </row>
    <row r="68" spans="1:12" ht="16.5" hidden="1" customHeight="1" x14ac:dyDescent="0.25">
      <c r="B68" s="171" t="s">
        <v>1594</v>
      </c>
      <c r="C68" s="171"/>
      <c r="D68" s="171"/>
      <c r="E68" s="171"/>
      <c r="F68" s="171"/>
      <c r="G68" s="171"/>
      <c r="H68" s="171"/>
      <c r="I68" s="171"/>
      <c r="J68" s="41"/>
      <c r="K68" s="34"/>
      <c r="L68" s="54"/>
    </row>
    <row r="69" spans="1:12" ht="16.5" hidden="1" customHeight="1" x14ac:dyDescent="0.25">
      <c r="A69" s="56"/>
      <c r="B69" s="84"/>
      <c r="C69" s="171" t="s">
        <v>1595</v>
      </c>
      <c r="D69" s="171"/>
      <c r="E69" s="171"/>
      <c r="F69" s="171"/>
      <c r="G69" s="171"/>
      <c r="H69" s="171"/>
      <c r="I69" s="171"/>
      <c r="J69" s="35"/>
      <c r="K69" s="41">
        <f>J68</f>
        <v>0</v>
      </c>
    </row>
    <row r="70" spans="1:12" ht="16.5" hidden="1" customHeight="1" x14ac:dyDescent="0.3">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3">
      <c r="B71" s="69"/>
      <c r="H71" s="44"/>
    </row>
    <row r="72" spans="1:12" ht="16.5" hidden="1" customHeight="1" x14ac:dyDescent="0.3">
      <c r="A72" s="56"/>
      <c r="B72" s="164" t="s">
        <v>1610</v>
      </c>
      <c r="C72" s="164"/>
      <c r="D72" s="164"/>
      <c r="E72" s="164"/>
      <c r="F72" s="164"/>
      <c r="G72" s="164"/>
      <c r="H72" s="164"/>
      <c r="I72" s="164"/>
      <c r="J72" s="164"/>
      <c r="K72" s="164"/>
      <c r="L72" s="54"/>
    </row>
    <row r="73" spans="1:12" ht="16.5" hidden="1" customHeight="1" x14ac:dyDescent="0.3">
      <c r="A73" s="56"/>
      <c r="H73" s="44"/>
      <c r="J73" s="5"/>
      <c r="K73" s="5"/>
      <c r="L73" s="54"/>
    </row>
    <row r="74" spans="1:12" ht="20.25" hidden="1" customHeight="1" x14ac:dyDescent="0.3">
      <c r="A74" s="85" t="s">
        <v>1618</v>
      </c>
      <c r="B74" s="86"/>
      <c r="C74" s="87"/>
      <c r="D74" s="87"/>
      <c r="E74" s="87"/>
      <c r="F74" s="40"/>
      <c r="G74" s="40"/>
      <c r="H74" s="88"/>
      <c r="I74" s="88"/>
      <c r="J74" s="40"/>
      <c r="K74" s="40"/>
      <c r="L74" s="54"/>
    </row>
    <row r="75" spans="1:12" ht="16.5" hidden="1" customHeight="1" x14ac:dyDescent="0.35">
      <c r="A75" s="55">
        <v>8</v>
      </c>
      <c r="B75" s="169" t="s">
        <v>1612</v>
      </c>
      <c r="C75" s="170"/>
      <c r="D75" s="170"/>
      <c r="E75" s="170"/>
      <c r="F75" s="170"/>
      <c r="G75" s="170"/>
      <c r="H75" s="170"/>
      <c r="I75" s="170"/>
      <c r="J75" s="170"/>
      <c r="K75" s="170"/>
      <c r="L75" s="54"/>
    </row>
    <row r="76" spans="1:12" ht="16.5" hidden="1" customHeight="1" x14ac:dyDescent="0.25">
      <c r="B76" s="165" t="s">
        <v>1626</v>
      </c>
      <c r="C76" s="165"/>
      <c r="D76" s="165"/>
      <c r="E76" s="165"/>
      <c r="F76" s="165"/>
      <c r="G76" s="165"/>
      <c r="H76" s="165"/>
      <c r="I76" s="165"/>
      <c r="J76" s="41"/>
    </row>
    <row r="77" spans="1:12" ht="16.5" hidden="1" customHeight="1" x14ac:dyDescent="0.25">
      <c r="B77" s="171" t="s">
        <v>1594</v>
      </c>
      <c r="C77" s="171"/>
      <c r="D77" s="171"/>
      <c r="E77" s="171"/>
      <c r="F77" s="171"/>
      <c r="G77" s="171"/>
      <c r="H77" s="171"/>
      <c r="I77" s="171"/>
      <c r="J77" s="41"/>
    </row>
    <row r="78" spans="1:12" ht="16.5" hidden="1" customHeight="1" x14ac:dyDescent="0.25">
      <c r="B78" s="165" t="str">
        <f>VLOOKUP($F$8,'Drop Down Menus'!$D$2:$G$10,4,FALSE)</f>
        <v>Cr: Acct 0808 - GENERAL GOV. (GAAP ADJ)</v>
      </c>
      <c r="C78" s="165"/>
      <c r="D78" s="165"/>
      <c r="E78" s="165"/>
      <c r="F78" s="165"/>
      <c r="G78" s="165"/>
      <c r="H78" s="165"/>
      <c r="I78" s="165"/>
      <c r="J78" s="41"/>
    </row>
    <row r="79" spans="1:12" ht="16.5" hidden="1" customHeight="1" x14ac:dyDescent="0.25">
      <c r="C79" s="171" t="s">
        <v>1595</v>
      </c>
      <c r="D79" s="171"/>
      <c r="E79" s="171"/>
      <c r="F79" s="171"/>
      <c r="G79" s="171"/>
      <c r="H79" s="171"/>
      <c r="I79" s="171"/>
      <c r="K79" s="41"/>
    </row>
    <row r="80" spans="1:12" ht="16.5" hidden="1" customHeight="1" x14ac:dyDescent="0.25">
      <c r="C80" s="165" t="str">
        <f>VLOOKUP($F$8,'Drop Down Menus'!$D$2:$G$10,4,FALSE)</f>
        <v>Cr: Acct 0808 - GENERAL GOV. (GAAP ADJ)</v>
      </c>
      <c r="D80" s="165"/>
      <c r="E80" s="165"/>
      <c r="F80" s="165"/>
      <c r="G80" s="165"/>
      <c r="H80" s="165"/>
      <c r="I80" s="165"/>
      <c r="K80" s="41"/>
    </row>
    <row r="81" spans="1:12" ht="16.5" hidden="1" customHeight="1" x14ac:dyDescent="0.3">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3">
      <c r="H82" s="44"/>
    </row>
    <row r="83" spans="1:12" ht="16.5" hidden="1" customHeight="1" x14ac:dyDescent="0.35">
      <c r="A83" s="55">
        <v>9</v>
      </c>
      <c r="B83" s="167" t="s">
        <v>1614</v>
      </c>
      <c r="C83" s="168"/>
      <c r="D83" s="168"/>
      <c r="E83" s="168"/>
      <c r="F83" s="168"/>
      <c r="G83" s="168"/>
      <c r="H83" s="168"/>
      <c r="I83" s="168"/>
      <c r="J83" s="168"/>
      <c r="K83" s="168"/>
    </row>
    <row r="84" spans="1:12" ht="16.5" hidden="1" customHeight="1" x14ac:dyDescent="0.25">
      <c r="B84" s="165" t="s">
        <v>1580</v>
      </c>
      <c r="C84" s="165"/>
      <c r="D84" s="165"/>
      <c r="E84" s="165"/>
      <c r="F84" s="165"/>
      <c r="G84" s="165"/>
      <c r="H84" s="165"/>
      <c r="I84" s="165"/>
      <c r="J84" s="41"/>
    </row>
    <row r="85" spans="1:12" ht="16.5" hidden="1" customHeight="1" x14ac:dyDescent="0.25">
      <c r="C85" s="165" t="s">
        <v>1626</v>
      </c>
      <c r="D85" s="165"/>
      <c r="E85" s="165"/>
      <c r="F85" s="165"/>
      <c r="G85" s="165"/>
      <c r="H85" s="165"/>
      <c r="I85" s="165"/>
      <c r="K85" s="41"/>
    </row>
    <row r="86" spans="1:12" ht="16.5" hidden="1" customHeight="1" x14ac:dyDescent="0.25">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3">
      <c r="H87" s="44"/>
    </row>
    <row r="88" spans="1:12" ht="16.5" hidden="1" customHeight="1" x14ac:dyDescent="0.3">
      <c r="B88" s="164" t="s">
        <v>1619</v>
      </c>
      <c r="C88" s="164"/>
      <c r="D88" s="164"/>
      <c r="E88" s="164"/>
      <c r="F88" s="164"/>
      <c r="G88" s="164"/>
      <c r="H88" s="164"/>
      <c r="I88" s="164"/>
      <c r="J88" s="164"/>
      <c r="K88" s="164"/>
    </row>
    <row r="89" spans="1:12" ht="16.5" hidden="1" customHeight="1" x14ac:dyDescent="0.3">
      <c r="B89" s="60"/>
      <c r="C89" s="60"/>
      <c r="D89" s="60"/>
      <c r="E89" s="60"/>
      <c r="F89" s="60"/>
      <c r="G89" s="60"/>
      <c r="H89" s="60"/>
      <c r="I89" s="60"/>
      <c r="J89" s="60"/>
      <c r="K89" s="60"/>
    </row>
    <row r="90" spans="1:12" ht="16.5" customHeight="1" x14ac:dyDescent="0.3">
      <c r="A90" s="85"/>
      <c r="B90" s="86"/>
      <c r="C90" s="87"/>
      <c r="D90" s="87"/>
      <c r="E90" s="87"/>
      <c r="F90" s="40"/>
      <c r="G90" s="40"/>
      <c r="H90" s="88"/>
      <c r="I90" s="88"/>
      <c r="J90" s="40"/>
      <c r="K90" s="40"/>
    </row>
    <row r="91" spans="1:12" ht="16.5" customHeight="1" x14ac:dyDescent="0.3">
      <c r="H91" s="44"/>
    </row>
    <row r="92" spans="1:12" ht="20.25" customHeight="1" x14ac:dyDescent="0.4">
      <c r="D92" s="157" t="s">
        <v>1636</v>
      </c>
      <c r="E92" s="158"/>
      <c r="F92" s="159"/>
      <c r="G92" s="159"/>
      <c r="H92" s="159"/>
      <c r="I92" s="160"/>
      <c r="J92" s="160"/>
      <c r="K92" s="161"/>
    </row>
    <row r="93" spans="1:12" ht="16.5" customHeight="1" x14ac:dyDescent="0.3">
      <c r="D93"/>
      <c r="E93"/>
      <c r="F93"/>
      <c r="G93"/>
      <c r="H93" s="44"/>
      <c r="I93"/>
      <c r="J93"/>
      <c r="K93" s="163" t="s">
        <v>1637</v>
      </c>
    </row>
    <row r="94" spans="1:12" ht="16.5" customHeight="1" x14ac:dyDescent="0.3">
      <c r="D94" s="57" t="s">
        <v>1638</v>
      </c>
      <c r="E94"/>
      <c r="F94"/>
      <c r="G94"/>
      <c r="H94" s="44"/>
      <c r="I94"/>
      <c r="J94"/>
      <c r="K94" s="162">
        <f>+J15+J34-K69+J76-K85</f>
        <v>4150682</v>
      </c>
    </row>
    <row r="95" spans="1:12" ht="16.5" customHeight="1" x14ac:dyDescent="0.3">
      <c r="D95" s="57" t="s">
        <v>1641</v>
      </c>
      <c r="E95"/>
      <c r="F95"/>
      <c r="G95"/>
      <c r="H95" s="44"/>
      <c r="I95"/>
      <c r="J95"/>
      <c r="K95" s="162">
        <f>-K18-K46+J68+J77</f>
        <v>-172945</v>
      </c>
    </row>
    <row r="96" spans="1:12" ht="16.5" customHeight="1" x14ac:dyDescent="0.3">
      <c r="D96" s="57" t="s">
        <v>1639</v>
      </c>
      <c r="E96"/>
      <c r="F96"/>
      <c r="G96"/>
      <c r="H96" s="44"/>
      <c r="I96"/>
      <c r="J96"/>
      <c r="K96" s="162">
        <f>-K19-K37+J56+J61+J76-K85</f>
        <v>0</v>
      </c>
    </row>
    <row r="97" spans="1:11" ht="16.5" customHeight="1" x14ac:dyDescent="0.3">
      <c r="D97" s="57" t="s">
        <v>1640</v>
      </c>
      <c r="E97"/>
      <c r="F97"/>
      <c r="G97"/>
      <c r="H97" s="44"/>
      <c r="I97"/>
      <c r="J97"/>
      <c r="K97" s="162">
        <f>-K62</f>
        <v>-2099950</v>
      </c>
    </row>
    <row r="98" spans="1:11" ht="16.5" customHeight="1" x14ac:dyDescent="0.3">
      <c r="H98" s="44"/>
    </row>
    <row r="99" spans="1:11" ht="16.5" customHeight="1" x14ac:dyDescent="0.3">
      <c r="A99" s="85"/>
      <c r="B99" s="86"/>
      <c r="C99" s="87"/>
      <c r="D99" s="87"/>
      <c r="E99" s="87"/>
      <c r="F99" s="40"/>
      <c r="G99" s="40"/>
      <c r="H99" s="88"/>
      <c r="I99" s="88"/>
      <c r="J99" s="40"/>
      <c r="K99" s="40"/>
    </row>
    <row r="100" spans="1:11" ht="16.5" hidden="1" customHeight="1" x14ac:dyDescent="0.3">
      <c r="H100" s="44"/>
    </row>
    <row r="101" spans="1:11" ht="16.5" hidden="1" customHeight="1" x14ac:dyDescent="0.3">
      <c r="H101" s="44"/>
    </row>
    <row r="102" spans="1:11" ht="16.5" hidden="1" customHeight="1" x14ac:dyDescent="0.3">
      <c r="H102" s="44"/>
    </row>
    <row r="103" spans="1:11" ht="16.5" hidden="1" customHeight="1" x14ac:dyDescent="0.3">
      <c r="H103" s="44"/>
    </row>
    <row r="104" spans="1:11" ht="16.5" hidden="1" customHeight="1" x14ac:dyDescent="0.3">
      <c r="H104" s="44"/>
    </row>
    <row r="105" spans="1:11" ht="16.5" hidden="1" customHeight="1" x14ac:dyDescent="0.3">
      <c r="H105" s="44"/>
    </row>
    <row r="106" spans="1:11" ht="16.5" hidden="1" customHeight="1" x14ac:dyDescent="0.3">
      <c r="H106" s="44"/>
    </row>
    <row r="107" spans="1:11" ht="16.5" hidden="1" customHeight="1" x14ac:dyDescent="0.3">
      <c r="H107" s="44"/>
    </row>
    <row r="108" spans="1:11" ht="16.5" hidden="1" customHeight="1" x14ac:dyDescent="0.3">
      <c r="H108" s="44"/>
    </row>
    <row r="109" spans="1:11" ht="16.5" hidden="1" customHeight="1" x14ac:dyDescent="0.3">
      <c r="H109" s="44"/>
    </row>
    <row r="110" spans="1:11" ht="16.5" hidden="1" customHeight="1" x14ac:dyDescent="0.3">
      <c r="H110" s="44"/>
    </row>
    <row r="111" spans="1:11" ht="16.5" hidden="1" customHeight="1" x14ac:dyDescent="0.3">
      <c r="H111" s="44"/>
    </row>
    <row r="112" spans="1:11" ht="16.5" hidden="1" customHeight="1" x14ac:dyDescent="0.3">
      <c r="H112" s="44"/>
    </row>
    <row r="113" spans="8:8" ht="16.5" hidden="1" customHeight="1" x14ac:dyDescent="0.3">
      <c r="H113" s="44"/>
    </row>
    <row r="114" spans="8:8" ht="16.5" hidden="1" customHeight="1" x14ac:dyDescent="0.3">
      <c r="H114" s="44"/>
    </row>
    <row r="115" spans="8:8" ht="16.5" hidden="1" customHeight="1" x14ac:dyDescent="0.3">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EA02-A243-45AF-9C82-B3B7E9AE9F05}">
  <sheetPr>
    <tabColor rgb="FF92D050"/>
    <pageSetUpPr fitToPage="1"/>
  </sheetPr>
  <dimension ref="A1:Q115"/>
  <sheetViews>
    <sheetView topLeftCell="A4" zoomScale="70" zoomScaleNormal="70" workbookViewId="0">
      <selection activeCell="K21" sqref="K21"/>
    </sheetView>
  </sheetViews>
  <sheetFormatPr defaultColWidth="0" defaultRowHeight="15" zeroHeight="1" x14ac:dyDescent="0.3"/>
  <cols>
    <col min="1" max="1" width="12.109375" style="44" customWidth="1"/>
    <col min="2" max="2" width="9.44140625" style="44" customWidth="1"/>
    <col min="3" max="5" width="7.6640625" style="44" customWidth="1"/>
    <col min="6" max="6" width="17.6640625" style="44" customWidth="1"/>
    <col min="7" max="7" width="19.6640625" style="44" customWidth="1"/>
    <col min="8" max="8" width="21.5546875" style="7" customWidth="1"/>
    <col min="9" max="9" width="19.6640625" style="44" customWidth="1"/>
    <col min="10" max="10" width="26.44140625" style="44" customWidth="1"/>
    <col min="11" max="11" width="23.33203125" style="44" customWidth="1"/>
    <col min="12" max="12" width="50.6640625" style="44" customWidth="1"/>
    <col min="13" max="17" width="0" style="44" hidden="1" customWidth="1"/>
    <col min="18" max="16384" width="9.109375" style="44" hidden="1"/>
  </cols>
  <sheetData>
    <row r="1" spans="1:17" ht="44.25" customHeight="1" x14ac:dyDescent="0.3">
      <c r="A1" s="178" t="s">
        <v>1608</v>
      </c>
      <c r="B1" s="178"/>
      <c r="C1" s="178"/>
      <c r="D1" s="178"/>
      <c r="E1" s="178"/>
      <c r="F1" s="178"/>
      <c r="G1" s="178"/>
      <c r="H1" s="178"/>
      <c r="I1" s="178"/>
      <c r="J1" s="178"/>
      <c r="K1" s="178"/>
      <c r="L1" s="43"/>
    </row>
    <row r="2" spans="1:17" ht="17.399999999999999" x14ac:dyDescent="0.3">
      <c r="A2" s="179" t="s">
        <v>1565</v>
      </c>
      <c r="B2" s="179"/>
      <c r="C2" s="179"/>
      <c r="D2" s="179"/>
      <c r="E2" s="179"/>
      <c r="F2" s="179"/>
      <c r="G2" s="179"/>
      <c r="H2" s="179"/>
      <c r="I2" s="179"/>
      <c r="J2" s="179"/>
      <c r="K2" s="179"/>
      <c r="L2" s="45"/>
    </row>
    <row r="3" spans="1:17" ht="15.6" x14ac:dyDescent="0.3">
      <c r="A3" s="173" t="s">
        <v>0</v>
      </c>
      <c r="B3" s="173"/>
      <c r="C3" s="173"/>
      <c r="D3" s="173"/>
      <c r="E3" s="173"/>
      <c r="F3" s="172" t="s">
        <v>16</v>
      </c>
      <c r="G3" s="172"/>
      <c r="H3" s="172"/>
      <c r="I3" s="172"/>
    </row>
    <row r="4" spans="1:17" ht="15.6" x14ac:dyDescent="0.3">
      <c r="A4" s="173" t="s">
        <v>1586</v>
      </c>
      <c r="B4" s="173"/>
      <c r="C4" s="173"/>
      <c r="D4" s="173"/>
      <c r="E4" s="173"/>
      <c r="F4" s="172" t="s">
        <v>1642</v>
      </c>
      <c r="G4" s="172"/>
      <c r="H4" s="172"/>
      <c r="I4" s="172"/>
    </row>
    <row r="5" spans="1:17" ht="15.6" x14ac:dyDescent="0.25">
      <c r="A5" s="173" t="s">
        <v>1602</v>
      </c>
      <c r="B5" s="173"/>
      <c r="C5" s="173"/>
      <c r="D5" s="173"/>
      <c r="E5" s="173"/>
      <c r="F5" s="180" t="s">
        <v>175</v>
      </c>
      <c r="G5" s="180"/>
      <c r="H5" s="180"/>
      <c r="I5" s="180"/>
      <c r="J5" s="47"/>
      <c r="K5" s="47"/>
      <c r="L5" s="48"/>
      <c r="M5" s="48"/>
      <c r="N5" s="48"/>
    </row>
    <row r="6" spans="1:17" ht="15.6" x14ac:dyDescent="0.25">
      <c r="A6" s="173" t="s">
        <v>1</v>
      </c>
      <c r="B6" s="173"/>
      <c r="C6" s="173"/>
      <c r="D6" s="173"/>
      <c r="E6" s="173"/>
      <c r="F6" s="181">
        <v>159</v>
      </c>
      <c r="G6" s="181"/>
      <c r="H6" s="181"/>
      <c r="I6" s="181"/>
      <c r="L6" s="49"/>
      <c r="M6" s="48"/>
      <c r="N6" s="48"/>
      <c r="P6" s="27"/>
    </row>
    <row r="7" spans="1:17" ht="15.6" x14ac:dyDescent="0.25">
      <c r="A7" s="173" t="s">
        <v>1571</v>
      </c>
      <c r="B7" s="173"/>
      <c r="C7" s="173"/>
      <c r="D7" s="173"/>
      <c r="E7" s="173"/>
      <c r="F7" s="172" t="s">
        <v>1568</v>
      </c>
      <c r="G7" s="172"/>
      <c r="H7" s="172"/>
      <c r="I7" s="172"/>
      <c r="L7" s="49"/>
      <c r="M7" s="48"/>
      <c r="N7" s="48"/>
      <c r="P7" s="27"/>
    </row>
    <row r="8" spans="1:17" ht="15.6" x14ac:dyDescent="0.25">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5">
      <c r="H9" s="44"/>
      <c r="L9" s="49"/>
      <c r="M9" s="48"/>
      <c r="N9" s="48"/>
      <c r="Q9" s="28"/>
    </row>
    <row r="10" spans="1:17" x14ac:dyDescent="0.3">
      <c r="H10" s="44"/>
      <c r="J10" s="51"/>
      <c r="L10" s="49"/>
      <c r="M10" s="48"/>
      <c r="N10" s="48"/>
    </row>
    <row r="11" spans="1:17" ht="15.6" x14ac:dyDescent="0.3">
      <c r="A11" s="46"/>
      <c r="B11" s="46"/>
      <c r="C11" s="46"/>
      <c r="D11" s="46"/>
      <c r="E11" s="46"/>
      <c r="F11" s="50"/>
      <c r="G11" s="50"/>
      <c r="H11" s="50"/>
      <c r="I11" s="50"/>
      <c r="J11" s="50"/>
      <c r="L11" s="49"/>
      <c r="M11" s="48"/>
      <c r="N11" s="48"/>
    </row>
    <row r="12" spans="1:17" ht="21" x14ac:dyDescent="0.4">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5">
      <c r="A13" s="53" t="s">
        <v>3</v>
      </c>
      <c r="H13" s="44"/>
      <c r="L13" s="54"/>
    </row>
    <row r="14" spans="1:17" ht="16.5" customHeight="1" x14ac:dyDescent="0.35">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5">
      <c r="B15" s="165" t="s">
        <v>1580</v>
      </c>
      <c r="C15" s="165"/>
      <c r="D15" s="165"/>
      <c r="E15" s="165"/>
      <c r="F15" s="165"/>
      <c r="G15" s="165"/>
      <c r="H15" s="165"/>
      <c r="I15" s="165"/>
      <c r="J15" s="32">
        <v>431223</v>
      </c>
      <c r="K15" s="33"/>
    </row>
    <row r="16" spans="1:17" ht="16.5" hidden="1" customHeight="1" x14ac:dyDescent="0.25">
      <c r="A16" s="56"/>
      <c r="B16" s="165" t="s">
        <v>1588</v>
      </c>
      <c r="C16" s="165"/>
      <c r="D16" s="165"/>
      <c r="E16" s="165"/>
      <c r="F16" s="165"/>
      <c r="G16" s="165"/>
      <c r="H16" s="165"/>
      <c r="I16" s="165"/>
      <c r="J16" s="32"/>
      <c r="K16" s="33"/>
    </row>
    <row r="17" spans="1:17" ht="16.5" customHeight="1" x14ac:dyDescent="0.25">
      <c r="A17" s="56"/>
      <c r="B17" s="165" t="s">
        <v>1589</v>
      </c>
      <c r="C17" s="165"/>
      <c r="D17" s="165"/>
      <c r="E17" s="165"/>
      <c r="F17" s="165"/>
      <c r="G17" s="165"/>
      <c r="H17" s="165"/>
      <c r="I17" s="165"/>
      <c r="J17" s="32"/>
      <c r="K17" s="33"/>
    </row>
    <row r="18" spans="1:17" ht="16.5" hidden="1" customHeight="1" x14ac:dyDescent="0.25">
      <c r="A18" s="56"/>
      <c r="B18" s="42"/>
      <c r="C18" s="165" t="s">
        <v>1587</v>
      </c>
      <c r="D18" s="165"/>
      <c r="E18" s="165"/>
      <c r="F18" s="165"/>
      <c r="G18" s="165"/>
      <c r="H18" s="165"/>
      <c r="I18" s="165"/>
      <c r="J18" s="33"/>
      <c r="K18" s="32"/>
    </row>
    <row r="19" spans="1:17" ht="16.5" customHeight="1" x14ac:dyDescent="0.3">
      <c r="A19" s="56"/>
      <c r="B19" s="57"/>
      <c r="C19" s="165" t="s">
        <v>1626</v>
      </c>
      <c r="D19" s="165"/>
      <c r="E19" s="165"/>
      <c r="F19" s="165"/>
      <c r="G19" s="165"/>
      <c r="H19" s="165"/>
      <c r="I19" s="165"/>
      <c r="J19" s="33"/>
      <c r="K19" s="32">
        <v>401379</v>
      </c>
      <c r="P19" s="27"/>
    </row>
    <row r="20" spans="1:17" ht="16.5" hidden="1" customHeight="1" x14ac:dyDescent="0.3">
      <c r="A20" s="56"/>
      <c r="B20" s="57"/>
      <c r="C20" s="165" t="s">
        <v>1590</v>
      </c>
      <c r="D20" s="165"/>
      <c r="E20" s="165"/>
      <c r="F20" s="165"/>
      <c r="G20" s="165"/>
      <c r="H20" s="165"/>
      <c r="I20" s="165"/>
      <c r="K20" s="32"/>
      <c r="Q20" s="28"/>
    </row>
    <row r="21" spans="1:17" ht="16.5" customHeight="1" x14ac:dyDescent="0.3">
      <c r="A21" s="56"/>
      <c r="B21" s="57"/>
      <c r="C21" s="165" t="s">
        <v>1591</v>
      </c>
      <c r="D21" s="165"/>
      <c r="E21" s="165"/>
      <c r="F21" s="165"/>
      <c r="G21" s="165"/>
      <c r="H21" s="165"/>
      <c r="I21" s="165"/>
      <c r="J21" s="33"/>
      <c r="K21" s="32">
        <v>29844</v>
      </c>
      <c r="Q21" s="28"/>
    </row>
    <row r="22" spans="1:17" ht="16.5" customHeight="1" x14ac:dyDescent="0.3">
      <c r="A22" s="56"/>
      <c r="B22" s="58"/>
      <c r="C22" s="58"/>
      <c r="D22" s="58"/>
      <c r="E22" s="58"/>
      <c r="F22" s="58"/>
      <c r="G22" s="58"/>
      <c r="H22" s="58"/>
      <c r="I22" s="58"/>
      <c r="J22" s="29">
        <f>ROUND(SUM(J15:J17),2)</f>
        <v>431223</v>
      </c>
      <c r="K22" s="29">
        <f>ROUND(SUM(K18:K21),2)</f>
        <v>431223</v>
      </c>
      <c r="L22" s="54" t="str">
        <f>IF(J22=K22,"&lt;- Debits and Credits equal each other.","&lt;- Debits and Credits do not equal each other.")</f>
        <v>&lt;- Debits and Credits equal each other.</v>
      </c>
    </row>
    <row r="23" spans="1:17" ht="16.5" customHeight="1" x14ac:dyDescent="0.3">
      <c r="A23" s="56"/>
      <c r="B23" s="59"/>
      <c r="C23" s="59"/>
      <c r="D23" s="59"/>
      <c r="E23" s="59"/>
      <c r="F23" s="59"/>
      <c r="G23" s="59"/>
      <c r="H23" s="59"/>
      <c r="I23" s="59"/>
      <c r="J23" s="5"/>
      <c r="K23" s="5"/>
      <c r="L23" s="54"/>
    </row>
    <row r="24" spans="1:17" ht="16.5" customHeight="1" x14ac:dyDescent="0.3">
      <c r="A24" s="1"/>
      <c r="B24" s="164" t="s">
        <v>1605</v>
      </c>
      <c r="C24" s="164"/>
      <c r="D24" s="164"/>
      <c r="E24" s="164"/>
      <c r="F24" s="164"/>
      <c r="G24" s="164"/>
      <c r="H24" s="164"/>
      <c r="I24" s="164"/>
      <c r="J24" s="164"/>
      <c r="K24" s="164"/>
      <c r="L24" s="54"/>
    </row>
    <row r="25" spans="1:17" ht="16.5" customHeight="1" x14ac:dyDescent="0.3">
      <c r="A25" s="1"/>
      <c r="B25" s="61"/>
      <c r="C25" s="62"/>
      <c r="D25" s="63"/>
      <c r="E25" s="63"/>
      <c r="F25" s="6"/>
      <c r="G25" s="6"/>
      <c r="H25" s="64"/>
      <c r="I25" s="64"/>
      <c r="J25" s="5"/>
      <c r="K25" s="5"/>
      <c r="L25" s="54"/>
    </row>
    <row r="26" spans="1:17" ht="20.25" customHeight="1" x14ac:dyDescent="0.4">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 x14ac:dyDescent="0.35">
      <c r="A27" s="55">
        <v>1</v>
      </c>
      <c r="B27" s="167" t="s">
        <v>1606</v>
      </c>
      <c r="C27" s="168"/>
      <c r="D27" s="168"/>
      <c r="E27" s="168"/>
      <c r="F27" s="168"/>
      <c r="G27" s="168"/>
      <c r="H27" s="168"/>
      <c r="I27" s="168"/>
      <c r="J27" s="168"/>
      <c r="K27" s="168"/>
      <c r="L27" s="54"/>
    </row>
    <row r="28" spans="1:17" ht="16.5" customHeight="1" x14ac:dyDescent="0.25">
      <c r="A28" s="56"/>
      <c r="B28" s="165" t="s">
        <v>1577</v>
      </c>
      <c r="C28" s="165"/>
      <c r="D28" s="165"/>
      <c r="E28" s="165"/>
      <c r="F28" s="165"/>
      <c r="G28" s="165"/>
      <c r="H28" s="165"/>
      <c r="I28" s="165"/>
      <c r="J28" s="32"/>
      <c r="K28" s="33"/>
      <c r="L28" s="54"/>
    </row>
    <row r="29" spans="1:17" ht="16.5" customHeight="1" x14ac:dyDescent="0.3">
      <c r="A29" s="56"/>
      <c r="B29" s="57"/>
      <c r="C29" s="165" t="s">
        <v>1578</v>
      </c>
      <c r="D29" s="165"/>
      <c r="E29" s="165"/>
      <c r="F29" s="165"/>
      <c r="G29" s="165"/>
      <c r="H29" s="165"/>
      <c r="I29" s="165"/>
      <c r="J29" s="33"/>
      <c r="K29" s="32"/>
      <c r="L29" s="54"/>
    </row>
    <row r="30" spans="1:17" ht="16.5" customHeight="1" x14ac:dyDescent="0.3">
      <c r="A30" s="56"/>
      <c r="B30" s="57"/>
      <c r="C30" s="165" t="str">
        <f>VLOOKUP($F$8,'Drop Down Menus'!$D$2:$G$10,4,FALSE)</f>
        <v>Cr: Acct 0808 - GENERAL GOV. (GAAP ADJ)</v>
      </c>
      <c r="D30" s="165"/>
      <c r="E30" s="165"/>
      <c r="F30" s="165"/>
      <c r="G30" s="165"/>
      <c r="H30" s="165"/>
      <c r="I30" s="165"/>
      <c r="J30" s="33"/>
      <c r="K30" s="32"/>
    </row>
    <row r="31" spans="1:17" ht="16.5" customHeight="1" x14ac:dyDescent="0.3">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3">
      <c r="A32" s="1"/>
      <c r="B32" s="69"/>
      <c r="C32" s="69"/>
      <c r="D32" s="69"/>
      <c r="E32" s="69"/>
      <c r="F32" s="69"/>
      <c r="G32" s="69"/>
      <c r="H32" s="69"/>
      <c r="I32" s="69"/>
      <c r="J32" s="5"/>
      <c r="K32" s="5"/>
      <c r="L32" s="54"/>
    </row>
    <row r="33" spans="1:12" ht="16.5" customHeight="1" x14ac:dyDescent="0.35">
      <c r="A33" s="55">
        <v>2</v>
      </c>
      <c r="B33" s="175" t="s">
        <v>1607</v>
      </c>
      <c r="C33" s="176"/>
      <c r="D33" s="176"/>
      <c r="E33" s="176"/>
      <c r="F33" s="176"/>
      <c r="G33" s="176"/>
      <c r="H33" s="176"/>
      <c r="I33" s="176"/>
      <c r="J33" s="176"/>
      <c r="K33" s="176"/>
      <c r="L33" s="54"/>
    </row>
    <row r="34" spans="1:12" ht="16.5" customHeight="1" x14ac:dyDescent="0.35">
      <c r="A34" s="68"/>
      <c r="B34" s="165" t="s">
        <v>1580</v>
      </c>
      <c r="C34" s="165"/>
      <c r="D34" s="165"/>
      <c r="E34" s="165"/>
      <c r="F34" s="165"/>
      <c r="G34" s="165"/>
      <c r="H34" s="165"/>
      <c r="I34" s="165"/>
      <c r="J34" s="32"/>
      <c r="K34" s="70"/>
      <c r="L34" s="54"/>
    </row>
    <row r="35" spans="1:12" ht="16.5" customHeight="1" x14ac:dyDescent="0.25">
      <c r="B35" s="165" t="s">
        <v>1579</v>
      </c>
      <c r="C35" s="165"/>
      <c r="D35" s="165"/>
      <c r="E35" s="165"/>
      <c r="F35" s="165"/>
      <c r="G35" s="165"/>
      <c r="H35" s="165"/>
      <c r="I35" s="165"/>
      <c r="J35" s="32"/>
      <c r="K35" s="36"/>
    </row>
    <row r="36" spans="1:12" ht="16.5" customHeight="1" x14ac:dyDescent="0.25">
      <c r="A36" s="56"/>
      <c r="B36" s="71"/>
      <c r="C36" s="165" t="s">
        <v>1581</v>
      </c>
      <c r="D36" s="165"/>
      <c r="E36" s="165"/>
      <c r="F36" s="165"/>
      <c r="G36" s="165"/>
      <c r="H36" s="165"/>
      <c r="I36" s="165"/>
      <c r="J36" s="36"/>
      <c r="K36" s="32"/>
    </row>
    <row r="37" spans="1:12" ht="16.5" customHeight="1" x14ac:dyDescent="0.25">
      <c r="A37" s="56"/>
      <c r="C37" s="165" t="s">
        <v>1626</v>
      </c>
      <c r="D37" s="165"/>
      <c r="E37" s="165"/>
      <c r="F37" s="165"/>
      <c r="G37" s="165"/>
      <c r="H37" s="165"/>
      <c r="I37" s="165"/>
      <c r="J37" s="36"/>
      <c r="K37" s="32"/>
    </row>
    <row r="38" spans="1:12" ht="16.5" customHeight="1" x14ac:dyDescent="0.3">
      <c r="A38" s="56"/>
      <c r="B38" s="57"/>
      <c r="C38" s="165" t="str">
        <f>VLOOKUP($F$8,'Drop Down Menus'!$D$2:$G$10,4,FALSE)</f>
        <v>Cr: Acct 0808 - GENERAL GOV. (GAAP ADJ)</v>
      </c>
      <c r="D38" s="165"/>
      <c r="E38" s="165"/>
      <c r="F38" s="165"/>
      <c r="G38" s="165"/>
      <c r="H38" s="165"/>
      <c r="I38" s="165"/>
      <c r="J38" s="36"/>
      <c r="K38" s="32"/>
    </row>
    <row r="39" spans="1:12" ht="16.5" customHeight="1" x14ac:dyDescent="0.25">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3">
      <c r="A40" s="56"/>
      <c r="B40" s="59"/>
      <c r="C40" s="59"/>
      <c r="D40" s="59"/>
      <c r="E40" s="59"/>
      <c r="F40" s="59"/>
      <c r="G40" s="59"/>
      <c r="H40" s="59"/>
      <c r="I40" s="59"/>
      <c r="J40" s="73"/>
      <c r="K40" s="73"/>
      <c r="L40" s="54"/>
    </row>
    <row r="41" spans="1:12" ht="16.5" customHeight="1" x14ac:dyDescent="0.3">
      <c r="A41" s="68"/>
      <c r="B41" s="164" t="s">
        <v>1609</v>
      </c>
      <c r="C41" s="164"/>
      <c r="D41" s="164"/>
      <c r="E41" s="164"/>
      <c r="F41" s="164"/>
      <c r="G41" s="164"/>
      <c r="H41" s="164"/>
      <c r="I41" s="164"/>
      <c r="J41" s="164"/>
      <c r="K41" s="164"/>
      <c r="L41" s="54"/>
    </row>
    <row r="42" spans="1:12" ht="16.5" customHeight="1" x14ac:dyDescent="0.3">
      <c r="A42" s="68"/>
      <c r="B42" s="69"/>
      <c r="C42" s="69"/>
      <c r="D42" s="69"/>
      <c r="E42" s="69"/>
      <c r="F42" s="69"/>
      <c r="G42" s="69"/>
      <c r="H42" s="69"/>
      <c r="I42" s="69"/>
      <c r="J42" s="73"/>
      <c r="K42" s="73"/>
      <c r="L42" s="54"/>
    </row>
    <row r="43" spans="1:12" ht="20.25" customHeight="1" x14ac:dyDescent="0.4">
      <c r="A43" s="52" t="s">
        <v>1592</v>
      </c>
      <c r="B43" s="74"/>
      <c r="C43" s="75"/>
      <c r="D43" s="75"/>
      <c r="E43" s="75"/>
      <c r="F43" s="26"/>
      <c r="G43" s="26"/>
      <c r="H43" s="76"/>
      <c r="I43" s="76"/>
      <c r="J43" s="26"/>
      <c r="K43" s="26"/>
      <c r="L43" s="54"/>
    </row>
    <row r="44" spans="1:12" ht="16.5" customHeight="1" x14ac:dyDescent="0.35">
      <c r="A44" s="55">
        <v>3</v>
      </c>
      <c r="B44" s="77" t="s">
        <v>1631</v>
      </c>
      <c r="C44" s="78"/>
      <c r="D44" s="78"/>
      <c r="E44" s="78"/>
      <c r="F44" s="31"/>
      <c r="G44" s="31"/>
      <c r="H44" s="79"/>
      <c r="I44" s="79"/>
      <c r="J44" s="31"/>
      <c r="K44" s="31"/>
      <c r="L44" s="54"/>
    </row>
    <row r="45" spans="1:12" ht="16.5" customHeight="1" x14ac:dyDescent="0.25">
      <c r="A45" s="56"/>
      <c r="B45" s="165" t="s">
        <v>1582</v>
      </c>
      <c r="C45" s="165"/>
      <c r="D45" s="165"/>
      <c r="E45" s="165"/>
      <c r="F45" s="165"/>
      <c r="G45" s="165"/>
      <c r="H45" s="165"/>
      <c r="I45" s="165"/>
      <c r="J45" s="32">
        <v>132684</v>
      </c>
      <c r="K45" s="33"/>
    </row>
    <row r="46" spans="1:12" ht="16.5" customHeight="1" x14ac:dyDescent="0.25">
      <c r="A46" s="56"/>
      <c r="B46" s="71"/>
      <c r="C46" s="165" t="s">
        <v>1587</v>
      </c>
      <c r="D46" s="165"/>
      <c r="E46" s="165"/>
      <c r="F46" s="165"/>
      <c r="G46" s="165"/>
      <c r="H46" s="165"/>
      <c r="I46" s="165"/>
      <c r="J46" s="36"/>
      <c r="K46" s="32">
        <f>J45</f>
        <v>132684</v>
      </c>
    </row>
    <row r="47" spans="1:12" ht="16.5" customHeight="1" x14ac:dyDescent="0.3">
      <c r="A47" s="68"/>
      <c r="B47" s="58"/>
      <c r="C47" s="58"/>
      <c r="D47" s="58"/>
      <c r="E47" s="58"/>
      <c r="F47" s="58"/>
      <c r="G47" s="58"/>
      <c r="H47" s="58"/>
      <c r="I47" s="58"/>
      <c r="J47" s="39">
        <f>ROUND(SUM(J45:J45),2)</f>
        <v>132684</v>
      </c>
      <c r="K47" s="39">
        <f>ROUND(SUM(K46),2)</f>
        <v>132684</v>
      </c>
      <c r="L47" s="54" t="str">
        <f>IF(J47=K47,"&lt;- Debits and Credits equal each other.","&lt;- Debits and Credits do not equal each other.")</f>
        <v>&lt;- Debits and Credits equal each other.</v>
      </c>
    </row>
    <row r="48" spans="1:12" ht="16.5" customHeight="1" x14ac:dyDescent="0.3">
      <c r="A48" s="68"/>
      <c r="B48" s="80"/>
      <c r="C48" s="80"/>
      <c r="D48" s="80"/>
      <c r="E48" s="80"/>
      <c r="F48" s="80"/>
      <c r="G48" s="80"/>
      <c r="H48" s="80"/>
      <c r="I48" s="80"/>
      <c r="J48" s="5"/>
      <c r="K48" s="5"/>
      <c r="L48" s="54"/>
    </row>
    <row r="49" spans="1:12" ht="16.5" customHeight="1" x14ac:dyDescent="0.35">
      <c r="A49" s="55">
        <v>4</v>
      </c>
      <c r="B49" s="77" t="s">
        <v>1632</v>
      </c>
      <c r="C49" s="63"/>
      <c r="D49" s="63"/>
      <c r="E49" s="63"/>
      <c r="F49" s="6"/>
      <c r="G49" s="6"/>
      <c r="H49" s="64"/>
      <c r="I49" s="64"/>
      <c r="J49" s="5"/>
      <c r="K49" s="5"/>
      <c r="L49" s="54"/>
    </row>
    <row r="50" spans="1:12" ht="16.5" customHeight="1" x14ac:dyDescent="0.25">
      <c r="A50" s="56"/>
      <c r="B50" s="165" t="s">
        <v>1611</v>
      </c>
      <c r="C50" s="165"/>
      <c r="D50" s="165"/>
      <c r="E50" s="165"/>
      <c r="F50" s="165"/>
      <c r="G50" s="165"/>
      <c r="H50" s="165"/>
      <c r="I50" s="165"/>
      <c r="J50" s="37">
        <v>118674</v>
      </c>
      <c r="K50" s="81"/>
    </row>
    <row r="51" spans="1:12" ht="16.5" customHeight="1" x14ac:dyDescent="0.25">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5742</v>
      </c>
      <c r="K51" s="81"/>
    </row>
    <row r="52" spans="1:12" ht="16.5" customHeight="1" x14ac:dyDescent="0.3">
      <c r="A52" s="56"/>
      <c r="B52" s="57"/>
      <c r="C52" s="165" t="str">
        <f>VLOOKUP($F$8,'Drop Down Menus'!$D$2:$G$10,4,FALSE)</f>
        <v>Cr: Acct 0808 - GENERAL GOV. (GAAP ADJ)</v>
      </c>
      <c r="D52" s="165"/>
      <c r="E52" s="165"/>
      <c r="F52" s="165"/>
      <c r="G52" s="165"/>
      <c r="H52" s="165"/>
      <c r="I52" s="165"/>
      <c r="J52" s="81"/>
      <c r="K52" s="38">
        <f>+J50+J51</f>
        <v>124416</v>
      </c>
    </row>
    <row r="53" spans="1:12" ht="16.5" customHeight="1" x14ac:dyDescent="0.3">
      <c r="A53" s="68"/>
      <c r="B53" s="58"/>
      <c r="C53" s="58"/>
      <c r="D53" s="58"/>
      <c r="E53" s="58"/>
      <c r="F53" s="58"/>
      <c r="G53" s="58"/>
      <c r="H53" s="58"/>
      <c r="I53" s="58"/>
      <c r="J53" s="39">
        <f>ROUND(SUM(J50:J51),2)</f>
        <v>124416</v>
      </c>
      <c r="K53" s="39">
        <f>ROUND(SUM(K52,),2)</f>
        <v>124416</v>
      </c>
      <c r="L53" s="54" t="str">
        <f>IF(J53=K53,"&lt;- Debits and Credits equal each other.","&lt;- Debits and Credits do not equal each other.")</f>
        <v>&lt;- Debits and Credits equal each other.</v>
      </c>
    </row>
    <row r="54" spans="1:12" ht="16.5" customHeight="1" x14ac:dyDescent="0.3">
      <c r="A54" s="1"/>
      <c r="B54" s="62"/>
      <c r="C54" s="62"/>
      <c r="D54" s="62"/>
      <c r="E54" s="62"/>
      <c r="F54" s="62"/>
      <c r="G54" s="62"/>
      <c r="H54" s="62"/>
      <c r="I54" s="62"/>
      <c r="J54" s="5"/>
      <c r="K54" s="5"/>
      <c r="L54" s="54"/>
    </row>
    <row r="55" spans="1:12" ht="16.5" customHeight="1" x14ac:dyDescent="0.35">
      <c r="A55" s="55">
        <v>5</v>
      </c>
      <c r="B55" s="77" t="s">
        <v>1633</v>
      </c>
      <c r="C55" s="82"/>
      <c r="D55" s="82"/>
      <c r="E55" s="82"/>
      <c r="F55" s="4"/>
      <c r="G55" s="4"/>
      <c r="H55" s="83"/>
      <c r="I55" s="83"/>
      <c r="J55" s="5"/>
      <c r="K55" s="5"/>
      <c r="L55" s="54"/>
    </row>
    <row r="56" spans="1:12" ht="16.5" customHeight="1" x14ac:dyDescent="0.25">
      <c r="A56" s="56"/>
      <c r="B56" s="165" t="s">
        <v>1627</v>
      </c>
      <c r="C56" s="165"/>
      <c r="D56" s="165"/>
      <c r="E56" s="165"/>
      <c r="F56" s="165"/>
      <c r="G56" s="165"/>
      <c r="H56" s="165"/>
      <c r="I56" s="165"/>
      <c r="J56" s="32">
        <v>118674</v>
      </c>
      <c r="K56" s="36"/>
    </row>
    <row r="57" spans="1:12" ht="16.5" customHeight="1" x14ac:dyDescent="0.3">
      <c r="A57" s="56"/>
      <c r="B57" s="57"/>
      <c r="C57" s="165" t="s">
        <v>1613</v>
      </c>
      <c r="D57" s="165"/>
      <c r="E57" s="165"/>
      <c r="F57" s="165"/>
      <c r="G57" s="165"/>
      <c r="H57" s="165"/>
      <c r="I57" s="165"/>
      <c r="J57" s="36"/>
      <c r="K57" s="32">
        <f>J50</f>
        <v>118674</v>
      </c>
    </row>
    <row r="58" spans="1:12" ht="16.5" customHeight="1" x14ac:dyDescent="0.3">
      <c r="A58" s="68"/>
      <c r="B58" s="58"/>
      <c r="C58" s="58"/>
      <c r="D58" s="58"/>
      <c r="E58" s="58"/>
      <c r="F58" s="58"/>
      <c r="G58" s="58"/>
      <c r="H58" s="58"/>
      <c r="I58" s="58"/>
      <c r="J58" s="39">
        <f>ROUND(SUM(J56:J56),2)</f>
        <v>118674</v>
      </c>
      <c r="K58" s="39">
        <f>ROUND(SUM(K57),2)</f>
        <v>118674</v>
      </c>
      <c r="L58" s="54" t="str">
        <f>IF(J58=K58,"&lt;- Debits and Credits equal each other.","&lt;- Debits and Credits do not equal each other.")</f>
        <v>&lt;- Debits and Credits equal each other.</v>
      </c>
    </row>
    <row r="59" spans="1:12" ht="16.5" customHeight="1" x14ac:dyDescent="0.3">
      <c r="A59" s="1"/>
      <c r="B59" s="80"/>
      <c r="C59" s="80"/>
      <c r="D59" s="80"/>
      <c r="E59" s="80"/>
      <c r="F59" s="80"/>
      <c r="G59" s="80"/>
      <c r="H59" s="80"/>
      <c r="I59" s="80"/>
      <c r="J59" s="5"/>
      <c r="K59" s="5"/>
      <c r="L59" s="54"/>
    </row>
    <row r="60" spans="1:12" ht="16.5" customHeight="1" x14ac:dyDescent="0.35">
      <c r="A60" s="55">
        <v>6</v>
      </c>
      <c r="B60" s="77" t="s">
        <v>1634</v>
      </c>
      <c r="C60" s="82"/>
      <c r="D60" s="82"/>
      <c r="E60" s="82"/>
      <c r="F60" s="4"/>
      <c r="G60" s="4"/>
      <c r="H60" s="83"/>
      <c r="I60" s="83"/>
      <c r="J60" s="5"/>
      <c r="K60" s="5"/>
      <c r="L60" s="54"/>
    </row>
    <row r="61" spans="1:12" ht="16.5" customHeight="1" x14ac:dyDescent="0.25">
      <c r="B61" s="165" t="s">
        <v>1627</v>
      </c>
      <c r="C61" s="165"/>
      <c r="D61" s="165"/>
      <c r="E61" s="165"/>
      <c r="F61" s="165"/>
      <c r="G61" s="165"/>
      <c r="H61" s="165"/>
      <c r="I61" s="165"/>
      <c r="J61" s="41">
        <v>136057</v>
      </c>
      <c r="K61" s="33"/>
    </row>
    <row r="62" spans="1:12" ht="16.5" customHeight="1" x14ac:dyDescent="0.3">
      <c r="A62" s="56"/>
      <c r="B62" s="57"/>
      <c r="C62" s="165" t="s">
        <v>1623</v>
      </c>
      <c r="D62" s="165"/>
      <c r="E62" s="165"/>
      <c r="F62" s="165"/>
      <c r="G62" s="165"/>
      <c r="H62" s="165"/>
      <c r="I62" s="165"/>
      <c r="J62" s="33"/>
      <c r="K62" s="32">
        <f>J61</f>
        <v>136057</v>
      </c>
    </row>
    <row r="63" spans="1:12" ht="16.5" customHeight="1" x14ac:dyDescent="0.25">
      <c r="A63" s="56"/>
      <c r="B63" s="166" t="s">
        <v>1622</v>
      </c>
      <c r="C63" s="166"/>
      <c r="D63" s="166"/>
      <c r="E63" s="166"/>
      <c r="F63" s="166"/>
      <c r="G63" s="166"/>
      <c r="H63" s="166"/>
      <c r="I63" s="166"/>
      <c r="J63" s="39">
        <f>ROUND(SUM(J61:J61),2)</f>
        <v>136057</v>
      </c>
      <c r="K63" s="39">
        <f>ROUND(SUM(K62),2)</f>
        <v>136057</v>
      </c>
      <c r="L63" s="54" t="str">
        <f>IF(J63=K63,"&lt;- Debits and Credits equal each other.","&lt;- Debits and Credits do not equal each other.")</f>
        <v>&lt;- Debits and Credits equal each other.</v>
      </c>
    </row>
    <row r="64" spans="1:12" ht="16.5" customHeight="1" x14ac:dyDescent="0.25">
      <c r="A64" s="56"/>
      <c r="B64" s="166"/>
      <c r="C64" s="166"/>
      <c r="D64" s="166"/>
      <c r="E64" s="166"/>
      <c r="F64" s="166"/>
      <c r="G64" s="166"/>
      <c r="H64" s="166"/>
      <c r="I64" s="166"/>
      <c r="J64" s="39"/>
      <c r="K64" s="39"/>
      <c r="L64" s="54"/>
    </row>
    <row r="65" spans="1:12" ht="16.5" customHeight="1" x14ac:dyDescent="0.3">
      <c r="A65" s="56"/>
      <c r="B65" s="58"/>
      <c r="C65" s="58"/>
      <c r="D65" s="58"/>
      <c r="E65" s="58"/>
      <c r="F65" s="58"/>
      <c r="G65" s="58"/>
      <c r="H65" s="58"/>
      <c r="I65" s="58"/>
      <c r="J65" s="5"/>
      <c r="K65" s="5"/>
      <c r="L65" s="54"/>
    </row>
    <row r="66" spans="1:12" ht="20.25" hidden="1" customHeight="1" x14ac:dyDescent="0.4">
      <c r="A66" s="52" t="s">
        <v>1593</v>
      </c>
      <c r="B66" s="65"/>
      <c r="C66" s="66"/>
      <c r="D66" s="66"/>
      <c r="E66" s="66"/>
      <c r="F66" s="30"/>
      <c r="G66" s="30"/>
      <c r="H66" s="67"/>
      <c r="I66" s="67"/>
      <c r="J66" s="30"/>
      <c r="K66" s="30"/>
      <c r="L66" s="54"/>
    </row>
    <row r="67" spans="1:12" ht="16.5" hidden="1" customHeight="1" x14ac:dyDescent="0.35">
      <c r="A67" s="55">
        <v>7</v>
      </c>
      <c r="B67" s="77" t="s">
        <v>1596</v>
      </c>
    </row>
    <row r="68" spans="1:12" ht="16.5" hidden="1" customHeight="1" x14ac:dyDescent="0.25">
      <c r="B68" s="171" t="s">
        <v>1594</v>
      </c>
      <c r="C68" s="171"/>
      <c r="D68" s="171"/>
      <c r="E68" s="171"/>
      <c r="F68" s="171"/>
      <c r="G68" s="171"/>
      <c r="H68" s="171"/>
      <c r="I68" s="171"/>
      <c r="J68" s="41"/>
      <c r="K68" s="34"/>
      <c r="L68" s="54"/>
    </row>
    <row r="69" spans="1:12" ht="16.5" hidden="1" customHeight="1" x14ac:dyDescent="0.25">
      <c r="A69" s="56"/>
      <c r="B69" s="84"/>
      <c r="C69" s="171" t="s">
        <v>1595</v>
      </c>
      <c r="D69" s="171"/>
      <c r="E69" s="171"/>
      <c r="F69" s="171"/>
      <c r="G69" s="171"/>
      <c r="H69" s="171"/>
      <c r="I69" s="171"/>
      <c r="J69" s="35"/>
      <c r="K69" s="41">
        <f>J68</f>
        <v>0</v>
      </c>
    </row>
    <row r="70" spans="1:12" ht="16.5" hidden="1" customHeight="1" x14ac:dyDescent="0.3">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3">
      <c r="B71" s="69"/>
      <c r="H71" s="44"/>
    </row>
    <row r="72" spans="1:12" ht="16.5" hidden="1" customHeight="1" x14ac:dyDescent="0.3">
      <c r="A72" s="56"/>
      <c r="B72" s="164" t="s">
        <v>1610</v>
      </c>
      <c r="C72" s="164"/>
      <c r="D72" s="164"/>
      <c r="E72" s="164"/>
      <c r="F72" s="164"/>
      <c r="G72" s="164"/>
      <c r="H72" s="164"/>
      <c r="I72" s="164"/>
      <c r="J72" s="164"/>
      <c r="K72" s="164"/>
      <c r="L72" s="54"/>
    </row>
    <row r="73" spans="1:12" ht="16.5" hidden="1" customHeight="1" x14ac:dyDescent="0.3">
      <c r="A73" s="56"/>
      <c r="H73" s="44"/>
      <c r="J73" s="5"/>
      <c r="K73" s="5"/>
      <c r="L73" s="54"/>
    </row>
    <row r="74" spans="1:12" ht="20.25" hidden="1" customHeight="1" x14ac:dyDescent="0.3">
      <c r="A74" s="85" t="s">
        <v>1618</v>
      </c>
      <c r="B74" s="86"/>
      <c r="C74" s="87"/>
      <c r="D74" s="87"/>
      <c r="E74" s="87"/>
      <c r="F74" s="40"/>
      <c r="G74" s="40"/>
      <c r="H74" s="88"/>
      <c r="I74" s="88"/>
      <c r="J74" s="40"/>
      <c r="K74" s="40"/>
      <c r="L74" s="54"/>
    </row>
    <row r="75" spans="1:12" ht="16.5" hidden="1" customHeight="1" x14ac:dyDescent="0.35">
      <c r="A75" s="55">
        <v>8</v>
      </c>
      <c r="B75" s="169" t="s">
        <v>1612</v>
      </c>
      <c r="C75" s="170"/>
      <c r="D75" s="170"/>
      <c r="E75" s="170"/>
      <c r="F75" s="170"/>
      <c r="G75" s="170"/>
      <c r="H75" s="170"/>
      <c r="I75" s="170"/>
      <c r="J75" s="170"/>
      <c r="K75" s="170"/>
      <c r="L75" s="54"/>
    </row>
    <row r="76" spans="1:12" ht="16.5" hidden="1" customHeight="1" x14ac:dyDescent="0.25">
      <c r="B76" s="165" t="s">
        <v>1626</v>
      </c>
      <c r="C76" s="165"/>
      <c r="D76" s="165"/>
      <c r="E76" s="165"/>
      <c r="F76" s="165"/>
      <c r="G76" s="165"/>
      <c r="H76" s="165"/>
      <c r="I76" s="165"/>
      <c r="J76" s="41"/>
    </row>
    <row r="77" spans="1:12" ht="16.5" hidden="1" customHeight="1" x14ac:dyDescent="0.25">
      <c r="B77" s="171" t="s">
        <v>1594</v>
      </c>
      <c r="C77" s="171"/>
      <c r="D77" s="171"/>
      <c r="E77" s="171"/>
      <c r="F77" s="171"/>
      <c r="G77" s="171"/>
      <c r="H77" s="171"/>
      <c r="I77" s="171"/>
      <c r="J77" s="41"/>
    </row>
    <row r="78" spans="1:12" ht="16.5" hidden="1" customHeight="1" x14ac:dyDescent="0.25">
      <c r="B78" s="165" t="str">
        <f>VLOOKUP($F$8,'Drop Down Menus'!$D$2:$G$10,4,FALSE)</f>
        <v>Cr: Acct 0808 - GENERAL GOV. (GAAP ADJ)</v>
      </c>
      <c r="C78" s="165"/>
      <c r="D78" s="165"/>
      <c r="E78" s="165"/>
      <c r="F78" s="165"/>
      <c r="G78" s="165"/>
      <c r="H78" s="165"/>
      <c r="I78" s="165"/>
      <c r="J78" s="41"/>
    </row>
    <row r="79" spans="1:12" ht="16.5" hidden="1" customHeight="1" x14ac:dyDescent="0.25">
      <c r="C79" s="171" t="s">
        <v>1595</v>
      </c>
      <c r="D79" s="171"/>
      <c r="E79" s="171"/>
      <c r="F79" s="171"/>
      <c r="G79" s="171"/>
      <c r="H79" s="171"/>
      <c r="I79" s="171"/>
      <c r="K79" s="41"/>
    </row>
    <row r="80" spans="1:12" ht="16.5" hidden="1" customHeight="1" x14ac:dyDescent="0.25">
      <c r="C80" s="165" t="str">
        <f>VLOOKUP($F$8,'Drop Down Menus'!$D$2:$G$10,4,FALSE)</f>
        <v>Cr: Acct 0808 - GENERAL GOV. (GAAP ADJ)</v>
      </c>
      <c r="D80" s="165"/>
      <c r="E80" s="165"/>
      <c r="F80" s="165"/>
      <c r="G80" s="165"/>
      <c r="H80" s="165"/>
      <c r="I80" s="165"/>
      <c r="K80" s="41"/>
    </row>
    <row r="81" spans="1:12" ht="16.5" hidden="1" customHeight="1" x14ac:dyDescent="0.3">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3">
      <c r="H82" s="44"/>
    </row>
    <row r="83" spans="1:12" ht="16.5" hidden="1" customHeight="1" x14ac:dyDescent="0.35">
      <c r="A83" s="55">
        <v>9</v>
      </c>
      <c r="B83" s="167" t="s">
        <v>1614</v>
      </c>
      <c r="C83" s="168"/>
      <c r="D83" s="168"/>
      <c r="E83" s="168"/>
      <c r="F83" s="168"/>
      <c r="G83" s="168"/>
      <c r="H83" s="168"/>
      <c r="I83" s="168"/>
      <c r="J83" s="168"/>
      <c r="K83" s="168"/>
    </row>
    <row r="84" spans="1:12" ht="16.5" hidden="1" customHeight="1" x14ac:dyDescent="0.25">
      <c r="B84" s="165" t="s">
        <v>1580</v>
      </c>
      <c r="C84" s="165"/>
      <c r="D84" s="165"/>
      <c r="E84" s="165"/>
      <c r="F84" s="165"/>
      <c r="G84" s="165"/>
      <c r="H84" s="165"/>
      <c r="I84" s="165"/>
      <c r="J84" s="41"/>
    </row>
    <row r="85" spans="1:12" ht="16.5" hidden="1" customHeight="1" x14ac:dyDescent="0.25">
      <c r="C85" s="165" t="s">
        <v>1626</v>
      </c>
      <c r="D85" s="165"/>
      <c r="E85" s="165"/>
      <c r="F85" s="165"/>
      <c r="G85" s="165"/>
      <c r="H85" s="165"/>
      <c r="I85" s="165"/>
      <c r="K85" s="41"/>
    </row>
    <row r="86" spans="1:12" ht="16.5" hidden="1" customHeight="1" x14ac:dyDescent="0.25">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3">
      <c r="H87" s="44"/>
    </row>
    <row r="88" spans="1:12" ht="16.5" hidden="1" customHeight="1" x14ac:dyDescent="0.3">
      <c r="B88" s="164" t="s">
        <v>1619</v>
      </c>
      <c r="C88" s="164"/>
      <c r="D88" s="164"/>
      <c r="E88" s="164"/>
      <c r="F88" s="164"/>
      <c r="G88" s="164"/>
      <c r="H88" s="164"/>
      <c r="I88" s="164"/>
      <c r="J88" s="164"/>
      <c r="K88" s="164"/>
    </row>
    <row r="89" spans="1:12" ht="16.5" hidden="1" customHeight="1" x14ac:dyDescent="0.3">
      <c r="B89" s="60"/>
      <c r="C89" s="60"/>
      <c r="D89" s="60"/>
      <c r="E89" s="60"/>
      <c r="F89" s="60"/>
      <c r="G89" s="60"/>
      <c r="H89" s="60"/>
      <c r="I89" s="60"/>
      <c r="J89" s="60"/>
      <c r="K89" s="60"/>
    </row>
    <row r="90" spans="1:12" ht="16.5" customHeight="1" x14ac:dyDescent="0.3">
      <c r="A90" s="85"/>
      <c r="B90" s="86"/>
      <c r="C90" s="87"/>
      <c r="D90" s="87"/>
      <c r="E90" s="87"/>
      <c r="F90" s="40"/>
      <c r="G90" s="40"/>
      <c r="H90" s="88"/>
      <c r="I90" s="88"/>
      <c r="J90" s="40"/>
      <c r="K90" s="40"/>
    </row>
    <row r="91" spans="1:12" ht="16.5" customHeight="1" x14ac:dyDescent="0.3">
      <c r="H91" s="44"/>
    </row>
    <row r="92" spans="1:12" ht="20.25" customHeight="1" x14ac:dyDescent="0.4">
      <c r="D92" s="157" t="s">
        <v>1636</v>
      </c>
      <c r="E92" s="158"/>
      <c r="F92" s="159"/>
      <c r="G92" s="159"/>
      <c r="H92" s="159"/>
      <c r="I92" s="160"/>
      <c r="J92" s="160"/>
      <c r="K92" s="161"/>
    </row>
    <row r="93" spans="1:12" ht="16.5" customHeight="1" x14ac:dyDescent="0.3">
      <c r="D93"/>
      <c r="E93"/>
      <c r="F93"/>
      <c r="G93"/>
      <c r="H93" s="44"/>
      <c r="I93"/>
      <c r="J93"/>
      <c r="K93" s="163" t="s">
        <v>1637</v>
      </c>
    </row>
    <row r="94" spans="1:12" ht="16.5" customHeight="1" x14ac:dyDescent="0.3">
      <c r="D94" s="57" t="s">
        <v>1638</v>
      </c>
      <c r="E94"/>
      <c r="F94"/>
      <c r="G94"/>
      <c r="H94" s="44"/>
      <c r="I94"/>
      <c r="J94"/>
      <c r="K94" s="162">
        <f>+J15+J34-K69+J76-K85</f>
        <v>431223</v>
      </c>
    </row>
    <row r="95" spans="1:12" ht="16.5" customHeight="1" x14ac:dyDescent="0.3">
      <c r="D95" s="57" t="s">
        <v>1641</v>
      </c>
      <c r="E95"/>
      <c r="F95"/>
      <c r="G95"/>
      <c r="H95" s="44"/>
      <c r="I95"/>
      <c r="J95"/>
      <c r="K95" s="162">
        <f>-K18-K46+J68+J77</f>
        <v>-132684</v>
      </c>
    </row>
    <row r="96" spans="1:12" ht="16.5" customHeight="1" x14ac:dyDescent="0.3">
      <c r="D96" s="57" t="s">
        <v>1639</v>
      </c>
      <c r="E96"/>
      <c r="F96"/>
      <c r="G96"/>
      <c r="H96" s="44"/>
      <c r="I96"/>
      <c r="J96"/>
      <c r="K96" s="162">
        <f>-K19-K37+J56+J61+J76-K85</f>
        <v>-146648</v>
      </c>
    </row>
    <row r="97" spans="1:11" ht="16.5" customHeight="1" x14ac:dyDescent="0.3">
      <c r="D97" s="57" t="s">
        <v>1640</v>
      </c>
      <c r="E97"/>
      <c r="F97"/>
      <c r="G97"/>
      <c r="H97" s="44"/>
      <c r="I97"/>
      <c r="J97"/>
      <c r="K97" s="162">
        <f>-K62</f>
        <v>-136057</v>
      </c>
    </row>
    <row r="98" spans="1:11" ht="16.5" customHeight="1" x14ac:dyDescent="0.3">
      <c r="H98" s="44"/>
    </row>
    <row r="99" spans="1:11" ht="16.5" customHeight="1" x14ac:dyDescent="0.3">
      <c r="A99" s="85"/>
      <c r="B99" s="86"/>
      <c r="C99" s="87"/>
      <c r="D99" s="87"/>
      <c r="E99" s="87"/>
      <c r="F99" s="40"/>
      <c r="G99" s="40"/>
      <c r="H99" s="88"/>
      <c r="I99" s="88"/>
      <c r="J99" s="40"/>
      <c r="K99" s="40"/>
    </row>
    <row r="100" spans="1:11" ht="16.5" hidden="1" customHeight="1" x14ac:dyDescent="0.3">
      <c r="H100" s="44"/>
    </row>
    <row r="101" spans="1:11" ht="16.5" hidden="1" customHeight="1" x14ac:dyDescent="0.3">
      <c r="H101" s="44"/>
    </row>
    <row r="102" spans="1:11" ht="16.5" hidden="1" customHeight="1" x14ac:dyDescent="0.3">
      <c r="H102" s="44"/>
    </row>
    <row r="103" spans="1:11" ht="16.5" hidden="1" customHeight="1" x14ac:dyDescent="0.3">
      <c r="H103" s="44"/>
    </row>
    <row r="104" spans="1:11" ht="16.5" hidden="1" customHeight="1" x14ac:dyDescent="0.3">
      <c r="H104" s="44"/>
    </row>
    <row r="105" spans="1:11" ht="16.5" hidden="1" customHeight="1" x14ac:dyDescent="0.3">
      <c r="H105" s="44"/>
    </row>
    <row r="106" spans="1:11" ht="16.5" hidden="1" customHeight="1" x14ac:dyDescent="0.3">
      <c r="H106" s="44"/>
    </row>
    <row r="107" spans="1:11" ht="16.5" hidden="1" customHeight="1" x14ac:dyDescent="0.3">
      <c r="H107" s="44"/>
    </row>
    <row r="108" spans="1:11" ht="16.5" hidden="1" customHeight="1" x14ac:dyDescent="0.3">
      <c r="H108" s="44"/>
    </row>
    <row r="109" spans="1:11" ht="16.5" hidden="1" customHeight="1" x14ac:dyDescent="0.3">
      <c r="H109" s="44"/>
    </row>
    <row r="110" spans="1:11" ht="16.5" hidden="1" customHeight="1" x14ac:dyDescent="0.3">
      <c r="H110" s="44"/>
    </row>
    <row r="111" spans="1:11" ht="16.5" hidden="1" customHeight="1" x14ac:dyDescent="0.3">
      <c r="H111" s="44"/>
    </row>
    <row r="112" spans="1:11" ht="16.5" hidden="1" customHeight="1" x14ac:dyDescent="0.3">
      <c r="H112" s="44"/>
    </row>
    <row r="113" spans="8:8" ht="16.5" hidden="1" customHeight="1" x14ac:dyDescent="0.3">
      <c r="H113" s="44"/>
    </row>
    <row r="114" spans="8:8" ht="16.5" hidden="1" customHeight="1" x14ac:dyDescent="0.3">
      <c r="H114" s="44"/>
    </row>
    <row r="115" spans="8:8" ht="16.5" hidden="1" customHeight="1" x14ac:dyDescent="0.3">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D5A33A0E-691C-4E5D-A77C-DC95F16CC1B9}">
      <formula1>4</formula1>
    </dataValidation>
    <dataValidation type="textLength" operator="lessThan" allowBlank="1" showInputMessage="1" showErrorMessage="1" sqref="E11 A6:A8" xr:uid="{9032B10E-9494-4AED-91F7-2500C53F7816}">
      <formula1>0</formula1>
    </dataValidation>
    <dataValidation operator="lessThan" allowBlank="1" showInputMessage="1" showErrorMessage="1" sqref="A3:A5 A7:A8 A11" xr:uid="{7D1CAC09-B207-4EEF-8891-8C97E391E202}"/>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2AB2DA7-563F-42C1-8FD1-D3156A293661}">
          <x14:formula1>
            <xm:f>'Drop Down Menus'!$B$1:$B$3</xm:f>
          </x14:formula1>
          <xm:sqref>F7</xm:sqref>
        </x14:dataValidation>
        <x14:dataValidation type="list" allowBlank="1" showInputMessage="1" showErrorMessage="1" xr:uid="{BA113C7F-815A-4669-882E-84F8F1EB5EC5}">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8" zoomScaleNormal="100" workbookViewId="0">
      <selection activeCell="C18" sqref="C18"/>
    </sheetView>
  </sheetViews>
  <sheetFormatPr defaultColWidth="8.88671875" defaultRowHeight="15" x14ac:dyDescent="0.25"/>
  <cols>
    <col min="1" max="1" width="33.44140625" style="1" customWidth="1"/>
    <col min="2" max="3" width="33.6640625" style="1" customWidth="1"/>
    <col min="4" max="4" width="92.109375" style="1" customWidth="1"/>
    <col min="5" max="16384" width="8.88671875" style="1"/>
  </cols>
  <sheetData>
    <row r="1" spans="1:11" ht="21" customHeight="1" x14ac:dyDescent="0.25">
      <c r="A1" s="187" t="s">
        <v>1617</v>
      </c>
      <c r="B1" s="187"/>
      <c r="C1" s="187"/>
      <c r="D1" s="187"/>
    </row>
    <row r="2" spans="1:11" ht="21.75" customHeight="1" x14ac:dyDescent="0.25">
      <c r="A2" s="187"/>
      <c r="B2" s="187"/>
      <c r="C2" s="187"/>
      <c r="D2" s="187"/>
      <c r="E2" s="43"/>
      <c r="F2" s="43"/>
      <c r="G2" s="43"/>
      <c r="H2" s="43"/>
      <c r="I2" s="43"/>
      <c r="J2" s="43"/>
    </row>
    <row r="3" spans="1:11" ht="32.25" customHeight="1" x14ac:dyDescent="0.3">
      <c r="A3" s="190" t="s">
        <v>1615</v>
      </c>
      <c r="B3" s="190"/>
      <c r="C3" s="190"/>
      <c r="D3" s="190"/>
      <c r="E3" s="90"/>
      <c r="F3" s="90"/>
      <c r="G3" s="90"/>
      <c r="H3" s="90"/>
      <c r="I3" s="90"/>
      <c r="J3" s="90"/>
      <c r="K3" s="90"/>
    </row>
    <row r="4" spans="1:11" ht="15.75" customHeight="1" x14ac:dyDescent="0.3">
      <c r="A4" s="191" t="s">
        <v>1616</v>
      </c>
      <c r="B4" s="191"/>
      <c r="C4" s="191"/>
      <c r="D4" s="191"/>
      <c r="E4" s="90"/>
      <c r="F4" s="90"/>
      <c r="G4" s="90"/>
      <c r="H4" s="90"/>
      <c r="I4" s="90"/>
      <c r="J4" s="90"/>
      <c r="K4" s="90"/>
    </row>
    <row r="5" spans="1:11" ht="15.75" customHeight="1" x14ac:dyDescent="0.3">
      <c r="A5" s="189" t="s">
        <v>4</v>
      </c>
      <c r="B5" s="189"/>
      <c r="C5" s="189"/>
      <c r="D5" s="89"/>
      <c r="E5" s="90"/>
      <c r="F5" s="90"/>
      <c r="G5" s="90"/>
      <c r="H5" s="90"/>
      <c r="I5" s="90"/>
      <c r="J5" s="90"/>
      <c r="K5" s="90"/>
    </row>
    <row r="6" spans="1:11" ht="15.75" customHeight="1" x14ac:dyDescent="0.3">
      <c r="A6" s="189"/>
      <c r="B6" s="189"/>
      <c r="C6" s="189"/>
      <c r="D6" s="89"/>
      <c r="E6" s="90"/>
      <c r="F6" s="90"/>
      <c r="G6" s="90"/>
      <c r="H6" s="90"/>
      <c r="I6" s="90"/>
      <c r="J6" s="90"/>
      <c r="K6" s="90"/>
    </row>
    <row r="7" spans="1:11" ht="15.75" customHeight="1" x14ac:dyDescent="0.3">
      <c r="A7" s="189" t="s">
        <v>5</v>
      </c>
      <c r="B7" s="189"/>
      <c r="C7" s="189"/>
      <c r="D7" s="89"/>
      <c r="E7" s="90"/>
      <c r="F7" s="90"/>
      <c r="G7" s="90"/>
      <c r="H7" s="90"/>
      <c r="I7" s="90"/>
      <c r="J7" s="90"/>
      <c r="K7" s="90"/>
    </row>
    <row r="8" spans="1:11" ht="15.75" customHeight="1" x14ac:dyDescent="0.3">
      <c r="A8" s="189"/>
      <c r="B8" s="189"/>
      <c r="C8" s="189"/>
      <c r="D8" s="89"/>
      <c r="E8" s="90"/>
      <c r="F8" s="90"/>
      <c r="G8" s="90"/>
      <c r="H8" s="90"/>
      <c r="I8" s="90"/>
      <c r="J8" s="90"/>
      <c r="K8" s="90"/>
    </row>
    <row r="9" spans="1:11" ht="15.6" x14ac:dyDescent="0.3">
      <c r="A9" s="89"/>
      <c r="B9" s="89"/>
      <c r="C9" s="89"/>
      <c r="D9" s="89"/>
      <c r="E9" s="90"/>
      <c r="F9" s="90"/>
      <c r="G9" s="90"/>
      <c r="H9" s="90"/>
      <c r="I9" s="90"/>
      <c r="J9" s="90"/>
      <c r="K9" s="90"/>
    </row>
    <row r="10" spans="1:11" ht="15.6" x14ac:dyDescent="0.3">
      <c r="A10" s="91" t="s">
        <v>1599</v>
      </c>
      <c r="B10" s="90"/>
      <c r="C10" s="90"/>
      <c r="D10" s="90"/>
      <c r="E10" s="90"/>
      <c r="F10" s="90"/>
      <c r="G10" s="90"/>
      <c r="H10" s="90"/>
      <c r="I10" s="90"/>
      <c r="J10" s="90"/>
      <c r="K10" s="90"/>
    </row>
    <row r="11" spans="1:11" ht="15.6" x14ac:dyDescent="0.3">
      <c r="A11" s="92" t="s">
        <v>9</v>
      </c>
      <c r="B11" s="192" t="s">
        <v>16</v>
      </c>
      <c r="C11" s="192"/>
    </row>
    <row r="12" spans="1:11" ht="15" customHeight="1" x14ac:dyDescent="0.3">
      <c r="A12" s="92" t="s">
        <v>1601</v>
      </c>
      <c r="B12" s="193">
        <v>250</v>
      </c>
      <c r="C12" s="193"/>
    </row>
    <row r="13" spans="1:11" ht="15.6" x14ac:dyDescent="0.3">
      <c r="A13" s="92" t="s">
        <v>1600</v>
      </c>
      <c r="B13" s="188" t="s">
        <v>1642</v>
      </c>
      <c r="C13" s="188"/>
      <c r="E13" s="93"/>
      <c r="F13" s="93"/>
      <c r="G13" s="93"/>
      <c r="H13" s="93"/>
      <c r="I13" s="93"/>
      <c r="J13" s="93"/>
      <c r="K13" s="93"/>
    </row>
    <row r="14" spans="1:11" ht="23.25" customHeight="1" x14ac:dyDescent="0.3">
      <c r="A14" s="182" t="s">
        <v>6</v>
      </c>
      <c r="B14" s="182"/>
      <c r="C14" s="182"/>
      <c r="E14" s="93"/>
      <c r="F14" s="93"/>
      <c r="G14" s="93"/>
      <c r="H14" s="93"/>
      <c r="I14" s="93"/>
      <c r="J14" s="93"/>
      <c r="K14" s="93"/>
    </row>
    <row r="15" spans="1:11" ht="15" customHeight="1" x14ac:dyDescent="0.3">
      <c r="A15" s="94"/>
      <c r="B15" s="94" t="s">
        <v>7</v>
      </c>
      <c r="C15" s="94" t="s">
        <v>8</v>
      </c>
      <c r="D15" s="95" t="str">
        <f>"All of the below questions are for Fiscal Year "&amp;$B$11&amp;":"</f>
        <v>All of the below questions are for Fiscal Year 2022–2023:</v>
      </c>
    </row>
    <row r="16" spans="1:11" ht="15" customHeight="1" x14ac:dyDescent="0.25">
      <c r="A16" s="94" t="str">
        <f>RIGHT(B11,4)&amp;"–"&amp;RIGHT(B11,4)+1</f>
        <v>2023–2024</v>
      </c>
      <c r="B16" s="2">
        <v>2236007</v>
      </c>
      <c r="C16" s="2">
        <v>3437</v>
      </c>
      <c r="D16" s="185" t="s">
        <v>1537</v>
      </c>
      <c r="E16" s="97"/>
      <c r="F16" s="97"/>
      <c r="G16" s="97"/>
      <c r="H16" s="97"/>
      <c r="I16" s="97"/>
      <c r="J16" s="97"/>
      <c r="K16" s="97"/>
    </row>
    <row r="17" spans="1:11" ht="15" customHeight="1" x14ac:dyDescent="0.25">
      <c r="A17" s="94" t="str">
        <f>LEFT(A16,4)+1&amp;"–"&amp;RIGHT(A16,4)+1</f>
        <v>2024–2025</v>
      </c>
      <c r="B17" s="2">
        <v>146648</v>
      </c>
      <c r="C17" s="2">
        <v>0</v>
      </c>
      <c r="D17" s="185"/>
      <c r="E17" s="97"/>
      <c r="F17" s="97"/>
      <c r="G17" s="97"/>
      <c r="H17" s="97"/>
      <c r="I17" s="97"/>
      <c r="J17" s="97"/>
      <c r="K17" s="97"/>
    </row>
    <row r="18" spans="1:11" ht="15" customHeight="1" x14ac:dyDescent="0.25">
      <c r="A18" s="94" t="str">
        <f>LEFT(A17,4)+1&amp;"–"&amp;RIGHT(A17,4)+1</f>
        <v>2025–2026</v>
      </c>
      <c r="B18" s="2"/>
      <c r="C18" s="2"/>
      <c r="D18" s="25" t="s">
        <v>116</v>
      </c>
      <c r="E18" s="97"/>
      <c r="F18" s="97"/>
      <c r="G18" s="97"/>
      <c r="H18" s="97"/>
      <c r="I18" s="97"/>
      <c r="J18" s="97"/>
      <c r="K18" s="97"/>
    </row>
    <row r="19" spans="1:11" ht="15" customHeight="1" x14ac:dyDescent="0.25">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5">
      <c r="A20" s="94" t="str">
        <f>LEFT(A19,4)+1&amp;"–"&amp;RIGHT(A19,4)+1</f>
        <v>2027–2028</v>
      </c>
      <c r="B20" s="2"/>
      <c r="C20" s="2"/>
      <c r="D20" s="24">
        <v>0</v>
      </c>
      <c r="E20" s="97"/>
      <c r="F20" s="97"/>
      <c r="G20" s="97"/>
      <c r="H20" s="97"/>
      <c r="I20" s="97"/>
      <c r="J20" s="97"/>
      <c r="K20" s="97"/>
    </row>
    <row r="21" spans="1:11" ht="15" customHeight="1" x14ac:dyDescent="0.3">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3">
      <c r="A22" s="94" t="str">
        <f t="shared" ref="A22:A35" si="0">LEFT(A21,4)+5&amp;"–"&amp;RIGHT(A21,4)+5</f>
        <v>2033–2038</v>
      </c>
      <c r="B22" s="2"/>
      <c r="C22" s="2"/>
      <c r="D22" s="186"/>
      <c r="E22" s="95"/>
      <c r="F22" s="95"/>
      <c r="G22" s="95"/>
      <c r="H22" s="95"/>
      <c r="I22" s="95"/>
      <c r="J22" s="95"/>
      <c r="K22" s="95"/>
    </row>
    <row r="23" spans="1:11" ht="15" customHeight="1" x14ac:dyDescent="0.3">
      <c r="A23" s="94" t="str">
        <f t="shared" si="0"/>
        <v>2038–2043</v>
      </c>
      <c r="B23" s="2"/>
      <c r="C23" s="2"/>
      <c r="D23" s="23" t="s">
        <v>116</v>
      </c>
      <c r="E23" s="95"/>
      <c r="F23" s="95"/>
      <c r="G23" s="95"/>
      <c r="H23" s="95"/>
      <c r="I23" s="95"/>
      <c r="J23" s="95"/>
      <c r="K23" s="95"/>
    </row>
    <row r="24" spans="1:11" ht="15" customHeight="1" x14ac:dyDescent="0.25">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6" x14ac:dyDescent="0.25">
      <c r="A25" s="94" t="str">
        <f t="shared" si="0"/>
        <v>2048–2053</v>
      </c>
      <c r="B25" s="2"/>
      <c r="C25" s="2"/>
      <c r="D25" s="186"/>
      <c r="E25" s="98"/>
      <c r="F25" s="98"/>
      <c r="G25" s="98"/>
      <c r="H25" s="98"/>
      <c r="I25" s="98"/>
      <c r="J25" s="98"/>
      <c r="K25" s="98"/>
    </row>
    <row r="26" spans="1:11" ht="15" customHeight="1" x14ac:dyDescent="0.25">
      <c r="A26" s="94" t="str">
        <f t="shared" si="0"/>
        <v>2053–2058</v>
      </c>
      <c r="B26" s="2"/>
      <c r="C26" s="2"/>
      <c r="D26" s="23" t="s">
        <v>116</v>
      </c>
      <c r="E26" s="99"/>
      <c r="F26" s="99"/>
      <c r="G26" s="99"/>
      <c r="H26" s="99"/>
      <c r="I26" s="99"/>
    </row>
    <row r="27" spans="1:11" ht="15" customHeight="1" x14ac:dyDescent="0.25">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3">
      <c r="A28" s="94" t="str">
        <f t="shared" si="0"/>
        <v>2063–2068</v>
      </c>
      <c r="B28" s="2"/>
      <c r="C28" s="2"/>
      <c r="D28" s="186"/>
      <c r="E28" s="95"/>
      <c r="F28" s="95"/>
      <c r="G28" s="95"/>
      <c r="H28" s="95"/>
      <c r="I28" s="95"/>
      <c r="J28" s="95"/>
      <c r="K28" s="95"/>
    </row>
    <row r="29" spans="1:11" ht="15.75" customHeight="1" x14ac:dyDescent="0.25">
      <c r="A29" s="94" t="str">
        <f t="shared" si="0"/>
        <v>2068–2073</v>
      </c>
      <c r="B29" s="2"/>
      <c r="C29" s="2"/>
      <c r="D29" s="25" t="s">
        <v>116</v>
      </c>
    </row>
    <row r="30" spans="1:11" ht="15.75" customHeight="1" x14ac:dyDescent="0.25">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5">
      <c r="A31" s="94" t="str">
        <f t="shared" si="0"/>
        <v>2078–2083</v>
      </c>
      <c r="B31" s="2"/>
      <c r="C31" s="2"/>
      <c r="D31" s="186"/>
    </row>
    <row r="32" spans="1:11" ht="15" customHeight="1" x14ac:dyDescent="0.25">
      <c r="A32" s="94" t="str">
        <f t="shared" si="0"/>
        <v>2083–2088</v>
      </c>
      <c r="B32" s="2"/>
      <c r="C32" s="2"/>
      <c r="D32" s="23">
        <v>0</v>
      </c>
    </row>
    <row r="33" spans="1:11" x14ac:dyDescent="0.25">
      <c r="A33" s="94" t="str">
        <f t="shared" si="0"/>
        <v>2088–2093</v>
      </c>
      <c r="B33" s="2"/>
      <c r="C33" s="2"/>
    </row>
    <row r="34" spans="1:11" x14ac:dyDescent="0.25">
      <c r="A34" s="94" t="str">
        <f t="shared" si="0"/>
        <v>2093–2098</v>
      </c>
      <c r="B34" s="2"/>
      <c r="C34" s="2"/>
    </row>
    <row r="35" spans="1:11" ht="15" customHeight="1" x14ac:dyDescent="0.25">
      <c r="A35" s="94" t="str">
        <f t="shared" si="0"/>
        <v>2098–2103</v>
      </c>
      <c r="B35" s="2"/>
      <c r="C35" s="2"/>
    </row>
    <row r="36" spans="1:11" x14ac:dyDescent="0.25">
      <c r="A36" s="94" t="str">
        <f>LEFT(A35,4)+5&amp;"–"&amp;RIGHT(A35,4)+5</f>
        <v>2103–2108</v>
      </c>
      <c r="B36" s="2"/>
      <c r="C36" s="2"/>
    </row>
    <row r="37" spans="1:11" ht="15" customHeight="1" x14ac:dyDescent="0.25">
      <c r="A37" s="94" t="str">
        <f>LEFT(A36,4)+5&amp;"–"&amp;RIGHT(A36,4)+5</f>
        <v>2108–2113</v>
      </c>
      <c r="B37" s="2"/>
      <c r="C37" s="2"/>
    </row>
    <row r="38" spans="1:11" ht="15.6" x14ac:dyDescent="0.25">
      <c r="A38" s="94" t="str">
        <f>LEFT(A37,4)+5&amp;"–"&amp;RIGHT(A37,4)+5</f>
        <v>2113–2118</v>
      </c>
      <c r="B38" s="2"/>
      <c r="C38" s="2"/>
      <c r="E38" s="100"/>
      <c r="F38" s="100"/>
      <c r="G38" s="100"/>
      <c r="H38" s="100"/>
      <c r="I38" s="100"/>
      <c r="J38" s="100"/>
      <c r="K38" s="100"/>
    </row>
    <row r="39" spans="1:11" ht="15.6" x14ac:dyDescent="0.25">
      <c r="A39" s="94" t="str">
        <f>LEFT(A38,4)+5&amp;"–"&amp;RIGHT(A38,4)+5</f>
        <v>2118–2123</v>
      </c>
      <c r="B39" s="2"/>
      <c r="C39" s="2"/>
      <c r="E39" s="100"/>
      <c r="F39" s="100"/>
      <c r="G39" s="100"/>
      <c r="H39" s="100"/>
      <c r="I39" s="100"/>
      <c r="J39" s="100"/>
      <c r="K39" s="100"/>
    </row>
    <row r="40" spans="1:11" ht="15.6" x14ac:dyDescent="0.25">
      <c r="E40" s="100"/>
      <c r="F40" s="100"/>
      <c r="G40" s="100"/>
      <c r="H40" s="100"/>
      <c r="I40" s="100"/>
      <c r="J40" s="100"/>
      <c r="K40" s="100"/>
    </row>
    <row r="41" spans="1:11" ht="15.6" x14ac:dyDescent="0.3">
      <c r="A41" s="91" t="s">
        <v>1635</v>
      </c>
    </row>
    <row r="42" spans="1:11" ht="15.6" x14ac:dyDescent="0.3">
      <c r="A42" s="92" t="s">
        <v>9</v>
      </c>
      <c r="B42" s="183" t="str">
        <f>B11</f>
        <v>2022–2023</v>
      </c>
      <c r="C42" s="183"/>
    </row>
    <row r="43" spans="1:11" ht="15.75" customHeight="1" x14ac:dyDescent="0.3">
      <c r="A43" s="92" t="s">
        <v>1601</v>
      </c>
      <c r="B43" s="184">
        <f>B12</f>
        <v>250</v>
      </c>
      <c r="C43" s="184"/>
    </row>
    <row r="44" spans="1:11" ht="15.6" x14ac:dyDescent="0.3">
      <c r="A44" s="92" t="s">
        <v>1600</v>
      </c>
      <c r="B44" s="183" t="str">
        <f>B13</f>
        <v>Judicial Council of California</v>
      </c>
      <c r="C44" s="183"/>
    </row>
    <row r="45" spans="1:11" ht="15.6" x14ac:dyDescent="0.3">
      <c r="A45" s="182" t="s">
        <v>6</v>
      </c>
      <c r="B45" s="182"/>
      <c r="C45" s="182"/>
    </row>
    <row r="46" spans="1:11" ht="15" customHeight="1" x14ac:dyDescent="0.3">
      <c r="A46" s="94"/>
      <c r="B46" s="94" t="s">
        <v>7</v>
      </c>
      <c r="C46" s="94" t="s">
        <v>8</v>
      </c>
      <c r="D46" s="95" t="str">
        <f>"All of the below questions are for Fiscal Year "&amp;$B$11&amp;":"</f>
        <v>All of the below questions are for Fiscal Year 2022–2023:</v>
      </c>
    </row>
    <row r="47" spans="1:11" x14ac:dyDescent="0.25">
      <c r="A47" s="94" t="str">
        <f>RIGHT(B42,4)&amp;"–"&amp;RIGHT(B42,4)+1</f>
        <v>2023–2024</v>
      </c>
      <c r="B47" s="2"/>
      <c r="C47" s="2"/>
      <c r="D47" s="186" t="s">
        <v>1537</v>
      </c>
    </row>
    <row r="48" spans="1:11" ht="15" customHeight="1" x14ac:dyDescent="0.25">
      <c r="A48" s="94" t="str">
        <f>LEFT(A47,4)+1&amp;"–"&amp;RIGHT(A47,4)+1</f>
        <v>2024–2025</v>
      </c>
      <c r="B48" s="2"/>
      <c r="C48" s="2"/>
      <c r="D48" s="186"/>
    </row>
    <row r="49" spans="1:4" x14ac:dyDescent="0.25">
      <c r="A49" s="94" t="str">
        <f>LEFT(A48,4)+1&amp;"–"&amp;RIGHT(A48,4)+1</f>
        <v>2025–2026</v>
      </c>
      <c r="B49" s="2"/>
      <c r="C49" s="2"/>
      <c r="D49" s="25"/>
    </row>
    <row r="50" spans="1:4" x14ac:dyDescent="0.25">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5">
      <c r="A51" s="94" t="str">
        <f>LEFT(A50,4)+1&amp;"–"&amp;RIGHT(A50,4)+1</f>
        <v>2027–2028</v>
      </c>
      <c r="B51" s="2"/>
      <c r="C51" s="2"/>
      <c r="D51" s="24"/>
    </row>
    <row r="52" spans="1:4" x14ac:dyDescent="0.25">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5">
      <c r="A53" s="94" t="str">
        <f t="shared" ref="A53:A66" si="1">LEFT(A52,4)+5&amp;"–"&amp;RIGHT(A52,4)+5</f>
        <v>2033–2038</v>
      </c>
      <c r="B53" s="2"/>
      <c r="C53" s="2"/>
      <c r="D53" s="186"/>
    </row>
    <row r="54" spans="1:4" ht="15" customHeight="1" x14ac:dyDescent="0.25">
      <c r="A54" s="94" t="str">
        <f t="shared" si="1"/>
        <v>2038–2043</v>
      </c>
      <c r="B54" s="2"/>
      <c r="C54" s="2"/>
      <c r="D54" s="23"/>
    </row>
    <row r="55" spans="1:4" ht="15" customHeight="1" x14ac:dyDescent="0.25">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5">
      <c r="A56" s="94" t="str">
        <f t="shared" si="1"/>
        <v>2048–2053</v>
      </c>
      <c r="B56" s="2"/>
      <c r="C56" s="2"/>
      <c r="D56" s="186"/>
    </row>
    <row r="57" spans="1:4" ht="15.75" customHeight="1" x14ac:dyDescent="0.25">
      <c r="A57" s="94" t="str">
        <f t="shared" si="1"/>
        <v>2053–2058</v>
      </c>
      <c r="B57" s="2"/>
      <c r="C57" s="2"/>
      <c r="D57" s="23"/>
    </row>
    <row r="58" spans="1:4" ht="15.75" customHeight="1" x14ac:dyDescent="0.25">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5">
      <c r="A59" s="94" t="str">
        <f t="shared" si="1"/>
        <v>2063–2068</v>
      </c>
      <c r="B59" s="2"/>
      <c r="C59" s="2"/>
      <c r="D59" s="186"/>
    </row>
    <row r="60" spans="1:4" x14ac:dyDescent="0.25">
      <c r="A60" s="94" t="str">
        <f t="shared" si="1"/>
        <v>2068–2073</v>
      </c>
      <c r="B60" s="2"/>
      <c r="C60" s="2"/>
      <c r="D60" s="25"/>
    </row>
    <row r="61" spans="1:4" ht="15" customHeight="1" x14ac:dyDescent="0.25">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5">
      <c r="A62" s="94" t="str">
        <f t="shared" si="1"/>
        <v>2078–2083</v>
      </c>
      <c r="B62" s="2"/>
      <c r="C62" s="2"/>
      <c r="D62" s="186"/>
    </row>
    <row r="63" spans="1:4" x14ac:dyDescent="0.25">
      <c r="A63" s="94" t="str">
        <f t="shared" si="1"/>
        <v>2083–2088</v>
      </c>
      <c r="B63" s="2"/>
      <c r="C63" s="2"/>
      <c r="D63" s="23"/>
    </row>
    <row r="64" spans="1:4" x14ac:dyDescent="0.25">
      <c r="A64" s="94" t="str">
        <f t="shared" si="1"/>
        <v>2088–2093</v>
      </c>
      <c r="B64" s="2"/>
      <c r="C64" s="2"/>
    </row>
    <row r="65" spans="1:4" x14ac:dyDescent="0.25">
      <c r="A65" s="94" t="str">
        <f t="shared" si="1"/>
        <v>2093–2098</v>
      </c>
      <c r="B65" s="2"/>
      <c r="C65" s="2"/>
    </row>
    <row r="66" spans="1:4" x14ac:dyDescent="0.25">
      <c r="A66" s="94" t="str">
        <f t="shared" si="1"/>
        <v>2098–2103</v>
      </c>
      <c r="B66" s="2"/>
      <c r="C66" s="2"/>
    </row>
    <row r="67" spans="1:4" x14ac:dyDescent="0.25">
      <c r="A67" s="94" t="str">
        <f>LEFT(A66,4)+5&amp;"–"&amp;RIGHT(A66,4)+5</f>
        <v>2103–2108</v>
      </c>
      <c r="B67" s="2"/>
      <c r="C67" s="2"/>
    </row>
    <row r="68" spans="1:4" x14ac:dyDescent="0.25">
      <c r="A68" s="94" t="str">
        <f>LEFT(A67,4)+5&amp;"–"&amp;RIGHT(A67,4)+5</f>
        <v>2108–2113</v>
      </c>
      <c r="B68" s="2"/>
      <c r="C68" s="2"/>
    </row>
    <row r="69" spans="1:4" x14ac:dyDescent="0.25">
      <c r="A69" s="94" t="str">
        <f>LEFT(A68,4)+5&amp;"–"&amp;RIGHT(A68,4)+5</f>
        <v>2113–2118</v>
      </c>
      <c r="B69" s="2"/>
      <c r="C69" s="2"/>
    </row>
    <row r="70" spans="1:4" x14ac:dyDescent="0.25">
      <c r="A70" s="94" t="str">
        <f>LEFT(A69,4)+5&amp;"–"&amp;RIGHT(A69,4)+5</f>
        <v>2118–2123</v>
      </c>
      <c r="B70" s="2"/>
      <c r="C70" s="2"/>
    </row>
    <row r="72" spans="1:4" ht="15.6" x14ac:dyDescent="0.3">
      <c r="A72" s="91" t="s">
        <v>1583</v>
      </c>
    </row>
    <row r="73" spans="1:4" ht="15.6" x14ac:dyDescent="0.3">
      <c r="A73" s="92" t="s">
        <v>9</v>
      </c>
      <c r="B73" s="183" t="str">
        <f>B11</f>
        <v>2022–2023</v>
      </c>
      <c r="C73" s="183"/>
    </row>
    <row r="74" spans="1:4" ht="15.75" customHeight="1" x14ac:dyDescent="0.3">
      <c r="A74" s="92" t="s">
        <v>1601</v>
      </c>
      <c r="B74" s="184">
        <f>B12</f>
        <v>250</v>
      </c>
      <c r="C74" s="184"/>
    </row>
    <row r="75" spans="1:4" ht="15.6" x14ac:dyDescent="0.3">
      <c r="A75" s="92" t="s">
        <v>1600</v>
      </c>
      <c r="B75" s="183" t="str">
        <f>B13</f>
        <v>Judicial Council of California</v>
      </c>
      <c r="C75" s="183"/>
    </row>
    <row r="76" spans="1:4" ht="15.6" x14ac:dyDescent="0.3">
      <c r="A76" s="182" t="s">
        <v>6</v>
      </c>
      <c r="B76" s="182"/>
      <c r="C76" s="182"/>
    </row>
    <row r="77" spans="1:4" ht="15.6" x14ac:dyDescent="0.3">
      <c r="A77" s="94"/>
      <c r="B77" s="94" t="s">
        <v>7</v>
      </c>
      <c r="C77" s="94" t="s">
        <v>8</v>
      </c>
      <c r="D77" s="95" t="str">
        <f>"All of the below questions are for Fiscal Year "&amp;$B$11&amp;":"</f>
        <v>All of the below questions are for Fiscal Year 2022–2023:</v>
      </c>
    </row>
    <row r="78" spans="1:4" x14ac:dyDescent="0.25">
      <c r="A78" s="94" t="str">
        <f>RIGHT(B73,4)&amp;"–"&amp;RIGHT(B73,4)+1</f>
        <v>2023–2024</v>
      </c>
      <c r="B78" s="2"/>
      <c r="C78" s="2"/>
      <c r="D78" s="185" t="s">
        <v>1537</v>
      </c>
    </row>
    <row r="79" spans="1:4" ht="15" customHeight="1" x14ac:dyDescent="0.25">
      <c r="A79" s="94" t="str">
        <f>LEFT(A78,4)+1&amp;"–"&amp;RIGHT(A78,4)+1</f>
        <v>2024–2025</v>
      </c>
      <c r="B79" s="2"/>
      <c r="C79" s="2"/>
      <c r="D79" s="185"/>
    </row>
    <row r="80" spans="1:4" x14ac:dyDescent="0.25">
      <c r="A80" s="94" t="str">
        <f>LEFT(A79,4)+1&amp;"–"&amp;RIGHT(A79,4)+1</f>
        <v>2025–2026</v>
      </c>
      <c r="B80" s="2"/>
      <c r="C80" s="2"/>
      <c r="D80" s="25"/>
    </row>
    <row r="81" spans="1:4" x14ac:dyDescent="0.25">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5">
      <c r="A82" s="94" t="str">
        <f>LEFT(A81,4)+1&amp;"–"&amp;RIGHT(A81,4)+1</f>
        <v>2027–2028</v>
      </c>
      <c r="B82" s="2"/>
      <c r="C82" s="2"/>
      <c r="D82" s="24"/>
    </row>
    <row r="83" spans="1:4" x14ac:dyDescent="0.25">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5">
      <c r="A84" s="94" t="str">
        <f t="shared" ref="A84:A97" si="2">LEFT(A83,4)+5&amp;"–"&amp;RIGHT(A83,4)+5</f>
        <v>2033–2038</v>
      </c>
      <c r="B84" s="2"/>
      <c r="C84" s="2"/>
      <c r="D84" s="186"/>
    </row>
    <row r="85" spans="1:4" x14ac:dyDescent="0.25">
      <c r="A85" s="94" t="str">
        <f t="shared" si="2"/>
        <v>2038–2043</v>
      </c>
      <c r="B85" s="2"/>
      <c r="C85" s="2"/>
      <c r="D85" s="23"/>
    </row>
    <row r="86" spans="1:4" ht="15" customHeight="1" x14ac:dyDescent="0.25">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5">
      <c r="A87" s="94" t="str">
        <f t="shared" si="2"/>
        <v>2048–2053</v>
      </c>
      <c r="B87" s="2"/>
      <c r="C87" s="2"/>
      <c r="D87" s="186"/>
    </row>
    <row r="88" spans="1:4" ht="15" customHeight="1" x14ac:dyDescent="0.25">
      <c r="A88" s="94" t="str">
        <f t="shared" si="2"/>
        <v>2053–2058</v>
      </c>
      <c r="B88" s="2"/>
      <c r="C88" s="2"/>
      <c r="D88" s="23"/>
    </row>
    <row r="89" spans="1:4" ht="15.75" customHeight="1" x14ac:dyDescent="0.25">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5">
      <c r="A90" s="94" t="str">
        <f t="shared" si="2"/>
        <v>2063–2068</v>
      </c>
      <c r="B90" s="2"/>
      <c r="C90" s="2"/>
      <c r="D90" s="186"/>
    </row>
    <row r="91" spans="1:4" x14ac:dyDescent="0.25">
      <c r="A91" s="94" t="str">
        <f t="shared" si="2"/>
        <v>2068–2073</v>
      </c>
      <c r="B91" s="2"/>
      <c r="C91" s="2"/>
      <c r="D91" s="25"/>
    </row>
    <row r="92" spans="1:4" ht="15" customHeight="1" x14ac:dyDescent="0.25">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5">
      <c r="A93" s="94" t="str">
        <f t="shared" si="2"/>
        <v>2078–2083</v>
      </c>
      <c r="B93" s="2"/>
      <c r="C93" s="2"/>
      <c r="D93" s="186"/>
    </row>
    <row r="94" spans="1:4" x14ac:dyDescent="0.25">
      <c r="A94" s="94" t="str">
        <f t="shared" si="2"/>
        <v>2083–2088</v>
      </c>
      <c r="B94" s="2"/>
      <c r="C94" s="2"/>
      <c r="D94" s="23"/>
    </row>
    <row r="95" spans="1:4" x14ac:dyDescent="0.25">
      <c r="A95" s="94" t="str">
        <f t="shared" si="2"/>
        <v>2088–2093</v>
      </c>
      <c r="B95" s="2"/>
      <c r="C95" s="2"/>
    </row>
    <row r="96" spans="1:4" x14ac:dyDescent="0.25">
      <c r="A96" s="94" t="str">
        <f t="shared" si="2"/>
        <v>2093–2098</v>
      </c>
      <c r="B96" s="2"/>
      <c r="C96" s="2"/>
    </row>
    <row r="97" spans="1:3" x14ac:dyDescent="0.25">
      <c r="A97" s="94" t="str">
        <f t="shared" si="2"/>
        <v>2098–2103</v>
      </c>
      <c r="B97" s="2"/>
      <c r="C97" s="2"/>
    </row>
    <row r="98" spans="1:3" x14ac:dyDescent="0.25">
      <c r="A98" s="94" t="str">
        <f>LEFT(A97,4)+5&amp;"–"&amp;RIGHT(A97,4)+5</f>
        <v>2103–2108</v>
      </c>
      <c r="B98" s="2"/>
      <c r="C98" s="2"/>
    </row>
    <row r="99" spans="1:3" x14ac:dyDescent="0.25">
      <c r="A99" s="94" t="str">
        <f>LEFT(A98,4)+5&amp;"–"&amp;RIGHT(A98,4)+5</f>
        <v>2108–2113</v>
      </c>
      <c r="B99" s="2"/>
      <c r="C99" s="2"/>
    </row>
    <row r="100" spans="1:3" x14ac:dyDescent="0.25">
      <c r="A100" s="94" t="str">
        <f>LEFT(A99,4)+5&amp;"–"&amp;RIGHT(A99,4)+5</f>
        <v>2113–2118</v>
      </c>
      <c r="B100" s="2"/>
      <c r="C100" s="2"/>
    </row>
    <row r="101" spans="1:3" x14ac:dyDescent="0.25">
      <c r="A101" s="94" t="str">
        <f>LEFT(A100,4)+5&amp;"–"&amp;RIGHT(A100,4)+5</f>
        <v>2118–2123</v>
      </c>
      <c r="B101" s="2"/>
      <c r="C101" s="2"/>
    </row>
  </sheetData>
  <sheetProtection algorithmName="SHA-512" hashValue="B9OnydtT+xsCWpguVpT3hM5YJrwyWH1AAwOJPApzQM2hlnmgvvuAMx2IA4TZO+nW4zZksVC9NzH8Ymg13WZN/A==" saltValue="6hDY/fRpATrQTOZ4gynQF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T1" sqref="T1"/>
    </sheetView>
  </sheetViews>
  <sheetFormatPr defaultColWidth="9.109375" defaultRowHeight="18" x14ac:dyDescent="0.35"/>
  <cols>
    <col min="1" max="1" width="9.109375" style="101"/>
    <col min="2" max="3" width="3.6640625" style="101" customWidth="1"/>
    <col min="4" max="4" width="42.109375" style="101" customWidth="1"/>
    <col min="5" max="5" width="3.6640625" style="101" customWidth="1"/>
    <col min="6" max="6" width="16.88671875" style="102" customWidth="1"/>
    <col min="7" max="7" width="3.6640625" style="101" customWidth="1"/>
    <col min="8" max="8" width="16.88671875" style="102" customWidth="1"/>
    <col min="9" max="9" width="3.6640625" style="101" customWidth="1"/>
    <col min="10" max="10" width="16.88671875" style="102" customWidth="1"/>
    <col min="11" max="11" width="3.6640625" style="101" customWidth="1"/>
    <col min="12" max="12" width="16.88671875" style="102" customWidth="1"/>
    <col min="13" max="13" width="3.6640625" style="101" customWidth="1"/>
    <col min="14" max="14" width="16.88671875" style="102" customWidth="1"/>
    <col min="15" max="15" width="3.6640625" style="101" customWidth="1"/>
    <col min="16" max="16" width="17.6640625" style="102" bestFit="1" customWidth="1"/>
    <col min="17" max="17" width="3.6640625" style="101" customWidth="1"/>
    <col min="18" max="16384" width="9.109375" style="101"/>
  </cols>
  <sheetData>
    <row r="1" spans="2:17" ht="18.600000000000001" thickBot="1" x14ac:dyDescent="0.4"/>
    <row r="2" spans="2:17" x14ac:dyDescent="0.35">
      <c r="B2" s="103"/>
      <c r="C2" s="104"/>
      <c r="D2" s="104"/>
      <c r="E2" s="104"/>
      <c r="F2" s="105"/>
      <c r="G2" s="104"/>
      <c r="H2" s="105"/>
      <c r="I2" s="104"/>
      <c r="J2" s="105"/>
      <c r="K2" s="104"/>
      <c r="L2" s="105"/>
      <c r="M2" s="104"/>
      <c r="N2" s="105"/>
      <c r="O2" s="104"/>
      <c r="P2" s="105"/>
      <c r="Q2" s="106"/>
    </row>
    <row r="3" spans="2:17" ht="20.399999999999999" x14ac:dyDescent="0.35">
      <c r="B3" s="107"/>
      <c r="D3" s="108"/>
      <c r="E3" s="108"/>
      <c r="F3" s="108"/>
      <c r="G3" s="194" t="s">
        <v>119</v>
      </c>
      <c r="H3" s="194"/>
      <c r="I3" s="194"/>
      <c r="J3" s="194"/>
      <c r="K3" s="194"/>
      <c r="L3" s="194"/>
      <c r="M3" s="194"/>
      <c r="N3" s="108"/>
      <c r="O3" s="108"/>
      <c r="P3" s="108"/>
      <c r="Q3" s="109"/>
    </row>
    <row r="4" spans="2:17" ht="20.399999999999999" x14ac:dyDescent="0.35">
      <c r="B4" s="107"/>
      <c r="D4" s="108"/>
      <c r="E4" s="108"/>
      <c r="F4" s="108"/>
      <c r="G4" s="194" t="str">
        <f>"FY "&amp;'Department Note Disclosure'!$B$11</f>
        <v>FY 2022–2023</v>
      </c>
      <c r="H4" s="194"/>
      <c r="I4" s="194"/>
      <c r="J4" s="194"/>
      <c r="K4" s="194"/>
      <c r="L4" s="194"/>
      <c r="M4" s="194"/>
      <c r="N4" s="108"/>
      <c r="O4" s="108"/>
      <c r="P4" s="108"/>
      <c r="Q4" s="109"/>
    </row>
    <row r="5" spans="2:17" ht="20.399999999999999" x14ac:dyDescent="0.35">
      <c r="B5" s="107"/>
      <c r="D5" s="108"/>
      <c r="E5" s="108"/>
      <c r="F5" s="108"/>
      <c r="G5" s="195" t="str">
        <f>"Business Unit " &amp;'Fund 0001 Journal Entries'!$F$5&amp;" "&amp;'Fund 0001 Journal Entries'!$F$4</f>
        <v>Business Unit 0250 Judicial Council of California</v>
      </c>
      <c r="H5" s="195"/>
      <c r="I5" s="195"/>
      <c r="J5" s="195"/>
      <c r="K5" s="195"/>
      <c r="L5" s="195"/>
      <c r="M5" s="195"/>
      <c r="N5" s="108"/>
      <c r="O5" s="108"/>
      <c r="P5" s="108"/>
      <c r="Q5" s="109"/>
    </row>
    <row r="6" spans="2:17" x14ac:dyDescent="0.35">
      <c r="B6" s="107"/>
      <c r="Q6" s="109"/>
    </row>
    <row r="7" spans="2:17" x14ac:dyDescent="0.35">
      <c r="B7" s="107"/>
      <c r="C7" s="196" t="s">
        <v>1620</v>
      </c>
      <c r="D7" s="196"/>
      <c r="E7" s="110"/>
      <c r="F7" s="111" t="s">
        <v>1566</v>
      </c>
      <c r="G7" s="112"/>
      <c r="H7" s="111" t="s">
        <v>1629</v>
      </c>
      <c r="I7" s="112"/>
      <c r="J7" s="111" t="s">
        <v>1628</v>
      </c>
      <c r="K7" s="112"/>
      <c r="L7" s="111"/>
      <c r="M7" s="112"/>
      <c r="N7" s="111" t="s">
        <v>1567</v>
      </c>
      <c r="O7" s="113"/>
      <c r="P7" s="114"/>
      <c r="Q7" s="109"/>
    </row>
    <row r="8" spans="2:17" ht="36.6" thickBot="1" x14ac:dyDescent="0.4">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35">
      <c r="B9" s="107"/>
      <c r="C9" s="197" t="s">
        <v>14</v>
      </c>
      <c r="D9" s="197"/>
      <c r="Q9" s="109"/>
    </row>
    <row r="10" spans="2:17" ht="18.600000000000001" thickBot="1" x14ac:dyDescent="0.4">
      <c r="B10" s="107"/>
      <c r="D10" s="101" t="s">
        <v>118</v>
      </c>
      <c r="F10" s="3">
        <f>IF('Fund 0001 Journal Entries'!$F$7="Governmental Fund",'Fund 0001 Journal Entries'!$K$19,0)+IF('Fund 0159 Journal Entries'!$F$7="Governmental Fund",'Fund 0159 Journal Entries'!$K$19,0)</f>
        <v>401379</v>
      </c>
      <c r="H10" s="3">
        <f>IF('Fund 0001 Journal Entries'!$F$7="Governmental Fund",'Fund 0001 Journal Entries'!$K$37,0)+IF('Fund 0159 Journal Entries'!$F$7="Governmental Fund",'Fund 0159 Journal Entries'!$K$37,0)</f>
        <v>4150682</v>
      </c>
      <c r="J10" s="3">
        <f>IF('Fund 0001 Journal Entries'!$F$7="Governmental Fund",'Fund 0001 Journal Entries'!$J$56,0)+IF('Fund 0159 Journal Entries'!$F$7="Governmental Fund",'Fund 0159 Journal Entries'!$J$56,0)</f>
        <v>2169406</v>
      </c>
      <c r="L10" s="119">
        <f>SUM(F10+H10-J10)</f>
        <v>2382655</v>
      </c>
      <c r="N10" s="3">
        <f>IF('Fund 0001 Journal Entries'!$F$7="Governmental Fund",'Fund 0001 Journal Entries'!$J$61,0)+IF('Fund 0159 Journal Entries'!$F$7="Governmental Fund",'Fund 0159 Journal Entries'!$J$61,0)</f>
        <v>2236007</v>
      </c>
      <c r="P10" s="119">
        <f>L10-N10</f>
        <v>146648</v>
      </c>
      <c r="Q10" s="109"/>
    </row>
    <row r="11" spans="2:17" ht="19.2" thickTop="1" thickBot="1" x14ac:dyDescent="0.4">
      <c r="B11" s="107"/>
      <c r="C11" s="197" t="s">
        <v>15</v>
      </c>
      <c r="D11" s="197"/>
      <c r="F11" s="120">
        <f>SUM(F10:F10)</f>
        <v>401379</v>
      </c>
      <c r="H11" s="120">
        <f>SUM(H10:H10)</f>
        <v>4150682</v>
      </c>
      <c r="J11" s="120">
        <f>SUM(J10:J10)</f>
        <v>2169406</v>
      </c>
      <c r="L11" s="120">
        <f>SUM(L10:L10)</f>
        <v>2382655</v>
      </c>
      <c r="N11" s="120">
        <f>SUM(N10:N10)</f>
        <v>2236007</v>
      </c>
      <c r="P11" s="120">
        <f>SUM(P10:P10)</f>
        <v>146648</v>
      </c>
      <c r="Q11" s="109"/>
    </row>
    <row r="12" spans="2:17" ht="18.600000000000001" thickTop="1" x14ac:dyDescent="0.35">
      <c r="B12" s="107"/>
      <c r="G12" s="121"/>
      <c r="Q12" s="109"/>
    </row>
    <row r="13" spans="2:17" x14ac:dyDescent="0.35">
      <c r="B13" s="107"/>
      <c r="C13" s="197" t="s">
        <v>1572</v>
      </c>
      <c r="D13" s="197"/>
      <c r="Q13" s="109"/>
    </row>
    <row r="14" spans="2:17" ht="18.600000000000001" thickBot="1" x14ac:dyDescent="0.4">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2" thickTop="1" thickBot="1" x14ac:dyDescent="0.4">
      <c r="B15" s="107"/>
      <c r="C15" s="197" t="s">
        <v>1584</v>
      </c>
      <c r="D15" s="197"/>
      <c r="F15" s="120">
        <f>SUM(F14:F14)</f>
        <v>0</v>
      </c>
      <c r="H15" s="120">
        <f>SUM(H14:H14)</f>
        <v>0</v>
      </c>
      <c r="J15" s="120">
        <f>SUM(J14:J14)</f>
        <v>0</v>
      </c>
      <c r="L15" s="120">
        <f>SUM(L14:L14)</f>
        <v>0</v>
      </c>
      <c r="N15" s="120">
        <f>SUM(N14:N14)</f>
        <v>0</v>
      </c>
      <c r="P15" s="120">
        <f>SUM(P14:P14)</f>
        <v>0</v>
      </c>
      <c r="Q15" s="109"/>
    </row>
    <row r="16" spans="2:17" ht="18.600000000000001" thickTop="1" x14ac:dyDescent="0.35">
      <c r="B16" s="107"/>
      <c r="C16" s="118"/>
      <c r="D16" s="118"/>
      <c r="F16" s="119"/>
      <c r="H16" s="119"/>
      <c r="J16" s="119"/>
      <c r="L16" s="119"/>
      <c r="N16" s="119"/>
      <c r="P16" s="119"/>
      <c r="Q16" s="109"/>
    </row>
    <row r="17" spans="1:17" x14ac:dyDescent="0.35">
      <c r="B17" s="107"/>
      <c r="C17" s="197" t="s">
        <v>1576</v>
      </c>
      <c r="D17" s="197"/>
      <c r="Q17" s="109"/>
    </row>
    <row r="18" spans="1:17" ht="18.600000000000001" thickBot="1" x14ac:dyDescent="0.4">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2" thickTop="1" thickBot="1" x14ac:dyDescent="0.4">
      <c r="B19" s="107"/>
      <c r="C19" s="197" t="s">
        <v>1585</v>
      </c>
      <c r="D19" s="197"/>
      <c r="F19" s="120">
        <f>SUM(F18:F18)</f>
        <v>0</v>
      </c>
      <c r="H19" s="120">
        <f>SUM(H18:H18)</f>
        <v>0</v>
      </c>
      <c r="J19" s="120">
        <f>SUM(J18:J18)</f>
        <v>0</v>
      </c>
      <c r="L19" s="120">
        <f>SUM(L18:L18)</f>
        <v>0</v>
      </c>
      <c r="N19" s="120">
        <f>SUM(N18:N18)</f>
        <v>0</v>
      </c>
      <c r="P19" s="120">
        <f>SUM(P18:P18)</f>
        <v>0</v>
      </c>
      <c r="Q19" s="109"/>
    </row>
    <row r="20" spans="1:17" ht="18.600000000000001" thickTop="1" x14ac:dyDescent="0.35">
      <c r="B20" s="107"/>
      <c r="C20" s="118"/>
      <c r="D20" s="118"/>
      <c r="F20" s="119"/>
      <c r="H20" s="119"/>
      <c r="J20" s="119"/>
      <c r="L20" s="119"/>
      <c r="N20" s="119"/>
      <c r="P20" s="119"/>
      <c r="Q20" s="109"/>
    </row>
    <row r="21" spans="1:17" ht="18.600000000000001" thickBot="1" x14ac:dyDescent="0.4">
      <c r="B21" s="122"/>
      <c r="C21" s="123"/>
      <c r="D21" s="123"/>
      <c r="E21" s="123"/>
      <c r="F21" s="124"/>
      <c r="G21" s="123"/>
      <c r="H21" s="124"/>
      <c r="I21" s="123"/>
      <c r="J21" s="124"/>
      <c r="K21" s="123"/>
      <c r="L21" s="124"/>
      <c r="M21" s="123"/>
      <c r="N21" s="124"/>
      <c r="O21" s="123"/>
      <c r="P21" s="124"/>
      <c r="Q21" s="125"/>
    </row>
    <row r="25" spans="1:17" ht="18" customHeight="1" x14ac:dyDescent="0.35">
      <c r="A25" s="198" t="s">
        <v>1625</v>
      </c>
      <c r="B25" s="198"/>
      <c r="C25" s="198"/>
      <c r="D25" s="198"/>
      <c r="E25" s="198"/>
      <c r="F25" s="198"/>
      <c r="G25" s="198"/>
      <c r="H25" s="198"/>
      <c r="I25" s="198"/>
      <c r="J25" s="198"/>
      <c r="K25" s="198"/>
      <c r="L25" s="198"/>
      <c r="M25" s="198"/>
      <c r="N25" s="198"/>
      <c r="O25" s="198"/>
      <c r="P25" s="198"/>
      <c r="Q25" s="198"/>
    </row>
    <row r="26" spans="1:17" x14ac:dyDescent="0.3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9"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Normal="100" workbookViewId="0">
      <selection activeCell="L1" sqref="L1"/>
    </sheetView>
  </sheetViews>
  <sheetFormatPr defaultColWidth="0" defaultRowHeight="14.4" zeroHeight="1" x14ac:dyDescent="0.3"/>
  <cols>
    <col min="1" max="1" width="4" style="136" customWidth="1"/>
    <col min="2" max="2" width="15.33203125" style="136" customWidth="1"/>
    <col min="3" max="3" width="3.44140625" style="153" customWidth="1"/>
    <col min="4" max="4" width="16.44140625" style="136" customWidth="1"/>
    <col min="5" max="5" width="2.33203125" style="153" customWidth="1"/>
    <col min="6" max="6" width="16.6640625" style="136" customWidth="1"/>
    <col min="7" max="7" width="2.88671875" style="153" customWidth="1"/>
    <col min="8" max="8" width="18.109375" style="136" customWidth="1"/>
    <col min="9" max="9" width="2.33203125" style="153" customWidth="1"/>
    <col min="10" max="10" width="27.44140625" style="136" customWidth="1"/>
    <col min="11" max="11" width="2.33203125" style="136" customWidth="1"/>
    <col min="12" max="12" width="15" style="136" customWidth="1"/>
    <col min="13" max="13" width="4" style="136" customWidth="1"/>
    <col min="14" max="15" width="0" style="136" hidden="1" customWidth="1"/>
    <col min="16" max="16384" width="9.109375" style="136" hidden="1"/>
  </cols>
  <sheetData>
    <row r="1" spans="1:13" s="131" customFormat="1" ht="15.6" x14ac:dyDescent="0.3">
      <c r="A1" s="126" t="s">
        <v>1549</v>
      </c>
      <c r="B1" s="127"/>
      <c r="C1" s="128"/>
      <c r="D1" s="127"/>
      <c r="E1" s="128"/>
      <c r="F1" s="129"/>
      <c r="G1" s="130"/>
      <c r="H1" s="129"/>
      <c r="I1" s="130"/>
      <c r="J1" s="127"/>
      <c r="K1" s="127"/>
      <c r="L1" s="127"/>
      <c r="M1" s="127"/>
    </row>
    <row r="2" spans="1:13" s="131" customFormat="1" ht="15.6" x14ac:dyDescent="0.3">
      <c r="A2" s="126" t="s">
        <v>1551</v>
      </c>
      <c r="B2" s="127"/>
      <c r="C2" s="128"/>
      <c r="D2" s="127"/>
      <c r="E2" s="128"/>
      <c r="F2" s="127"/>
      <c r="G2" s="128"/>
      <c r="H2" s="127"/>
      <c r="I2" s="128"/>
      <c r="J2" s="127"/>
      <c r="K2" s="127"/>
      <c r="L2" s="127"/>
      <c r="M2" s="127"/>
    </row>
    <row r="3" spans="1:13" s="131" customFormat="1" ht="15.6" x14ac:dyDescent="0.3">
      <c r="C3" s="132"/>
      <c r="E3" s="132"/>
      <c r="G3" s="132"/>
      <c r="I3" s="132"/>
    </row>
    <row r="4" spans="1:13" x14ac:dyDescent="0.3">
      <c r="A4" s="133" t="s">
        <v>1550</v>
      </c>
      <c r="B4" s="134"/>
      <c r="C4" s="135"/>
      <c r="D4" s="134"/>
      <c r="E4" s="135"/>
      <c r="F4" s="134"/>
      <c r="G4" s="135"/>
      <c r="H4" s="134"/>
      <c r="I4" s="135"/>
      <c r="J4" s="134"/>
      <c r="K4" s="134"/>
      <c r="L4" s="134"/>
      <c r="M4" s="134"/>
    </row>
    <row r="5" spans="1:13" ht="15" customHeight="1" x14ac:dyDescent="0.3">
      <c r="A5" s="199" t="s">
        <v>1563</v>
      </c>
      <c r="B5" s="199"/>
      <c r="C5" s="199"/>
      <c r="D5" s="199"/>
      <c r="E5" s="199"/>
      <c r="F5" s="199"/>
      <c r="G5" s="199"/>
      <c r="H5" s="199"/>
      <c r="I5" s="199"/>
      <c r="J5" s="199"/>
      <c r="K5" s="199"/>
      <c r="L5" s="199"/>
      <c r="M5" s="199"/>
    </row>
    <row r="6" spans="1:13" ht="15" customHeight="1" x14ac:dyDescent="0.3">
      <c r="A6" s="199"/>
      <c r="B6" s="199"/>
      <c r="C6" s="199"/>
      <c r="D6" s="199"/>
      <c r="E6" s="199"/>
      <c r="F6" s="199"/>
      <c r="G6" s="199"/>
      <c r="H6" s="199"/>
      <c r="I6" s="199"/>
      <c r="J6" s="199"/>
      <c r="K6" s="199"/>
      <c r="L6" s="199"/>
      <c r="M6" s="199"/>
    </row>
    <row r="7" spans="1:13" x14ac:dyDescent="0.3">
      <c r="A7" s="199"/>
      <c r="B7" s="199"/>
      <c r="C7" s="199"/>
      <c r="D7" s="199"/>
      <c r="E7" s="199"/>
      <c r="F7" s="199"/>
      <c r="G7" s="199"/>
      <c r="H7" s="199"/>
      <c r="I7" s="199"/>
      <c r="J7" s="199"/>
      <c r="K7" s="199"/>
      <c r="L7" s="199"/>
      <c r="M7" s="199"/>
    </row>
    <row r="8" spans="1:13" ht="15" customHeight="1" x14ac:dyDescent="0.3">
      <c r="A8" s="201" t="s">
        <v>1621</v>
      </c>
      <c r="B8" s="201"/>
      <c r="C8" s="201"/>
      <c r="D8" s="201"/>
      <c r="E8" s="201"/>
      <c r="F8" s="201"/>
      <c r="G8" s="201"/>
      <c r="H8" s="201"/>
      <c r="I8" s="201"/>
      <c r="J8" s="201"/>
      <c r="K8" s="201"/>
      <c r="L8" s="201"/>
      <c r="M8" s="201"/>
    </row>
    <row r="9" spans="1:13" ht="15" customHeight="1" x14ac:dyDescent="0.3">
      <c r="A9" s="201"/>
      <c r="B9" s="201"/>
      <c r="C9" s="201"/>
      <c r="D9" s="201"/>
      <c r="E9" s="201"/>
      <c r="F9" s="201"/>
      <c r="G9" s="201"/>
      <c r="H9" s="201"/>
      <c r="I9" s="201"/>
      <c r="J9" s="201"/>
      <c r="K9" s="201"/>
      <c r="L9" s="201"/>
      <c r="M9" s="201"/>
    </row>
    <row r="10" spans="1:13" ht="15" customHeight="1" x14ac:dyDescent="0.3">
      <c r="A10" s="201"/>
      <c r="B10" s="201"/>
      <c r="C10" s="201"/>
      <c r="D10" s="201"/>
      <c r="E10" s="201"/>
      <c r="F10" s="201"/>
      <c r="G10" s="201"/>
      <c r="H10" s="201"/>
      <c r="I10" s="201"/>
      <c r="J10" s="201"/>
      <c r="K10" s="201"/>
      <c r="L10" s="201"/>
      <c r="M10" s="201"/>
    </row>
    <row r="11" spans="1:13" x14ac:dyDescent="0.3">
      <c r="A11" s="133" t="s">
        <v>1560</v>
      </c>
      <c r="B11" s="134"/>
      <c r="C11" s="135"/>
      <c r="D11" s="134"/>
      <c r="E11" s="135"/>
      <c r="F11" s="134"/>
      <c r="G11" s="135"/>
      <c r="H11" s="134"/>
      <c r="I11" s="135"/>
      <c r="J11" s="134"/>
      <c r="K11" s="134"/>
      <c r="L11" s="134"/>
      <c r="M11" s="134"/>
    </row>
    <row r="12" spans="1:13" x14ac:dyDescent="0.3">
      <c r="A12" s="137"/>
      <c r="B12" s="203" t="s">
        <v>1574</v>
      </c>
      <c r="C12" s="203"/>
      <c r="D12" s="203"/>
      <c r="E12" s="203"/>
      <c r="F12" s="203"/>
      <c r="G12" s="203"/>
      <c r="H12" s="203"/>
      <c r="I12" s="203"/>
      <c r="J12" s="203"/>
      <c r="K12" s="203"/>
      <c r="L12" s="203"/>
      <c r="M12" s="203"/>
    </row>
    <row r="13" spans="1:13" ht="6.75" customHeight="1" x14ac:dyDescent="0.3">
      <c r="A13" s="137"/>
      <c r="B13" s="137"/>
      <c r="C13" s="138"/>
      <c r="D13" s="137"/>
      <c r="E13" s="138"/>
      <c r="F13" s="137"/>
      <c r="G13" s="138"/>
      <c r="H13" s="137"/>
      <c r="I13" s="138"/>
      <c r="J13" s="137"/>
      <c r="K13" s="137"/>
      <c r="L13" s="137"/>
      <c r="M13" s="137"/>
    </row>
    <row r="14" spans="1:13" ht="15" customHeight="1" x14ac:dyDescent="0.3">
      <c r="A14" s="137"/>
      <c r="B14" s="202" t="s">
        <v>1624</v>
      </c>
      <c r="C14" s="202"/>
      <c r="D14" s="202"/>
      <c r="E14" s="202"/>
      <c r="F14" s="202"/>
      <c r="G14" s="202"/>
      <c r="H14" s="202"/>
      <c r="I14" s="138"/>
      <c r="J14" s="139" t="s">
        <v>1557</v>
      </c>
      <c r="K14" s="140"/>
      <c r="L14" s="140"/>
      <c r="M14" s="137"/>
    </row>
    <row r="15" spans="1:13" ht="15" customHeight="1" x14ac:dyDescent="0.3">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3">
      <c r="A16" s="147"/>
      <c r="B16" s="14">
        <f>IF('Fund 0001 Journal Entries'!$F$7="Governmental Fund",ROUND('Fund 0001 Journal Entries'!$K$19,0),0)+IF('Fund 0159 Journal Entries'!$F$7="Governmental Fund",ROUND('Fund 0159 Journal Entries'!$K$19,0),0)</f>
        <v>401379</v>
      </c>
      <c r="C16" s="15" t="s">
        <v>1552</v>
      </c>
      <c r="D16" s="14">
        <f>IF('Fund 0001 Journal Entries'!$F$7="Governmental Fund",ROUND('Fund 0001 Journal Entries'!$K$37,0),0)+IF('Fund 0159 Journal Entries'!$F$7="Governmental Fund",ROUND('Fund 0159 Journal Entries'!$K$37,0),0)</f>
        <v>4150682</v>
      </c>
      <c r="E16" s="16" t="s">
        <v>1554</v>
      </c>
      <c r="F16" s="14">
        <f>IF('Fund 0001 Journal Entries'!$F$7="Governmental Fund",ROUND('Fund 0001 Journal Entries'!$J$56,0),0)+IF('Fund 0159 Journal Entries'!$F$7="Governmental Fund",ROUND('Fund 0159 Journal Entries'!$J$56,0),0)</f>
        <v>2169406</v>
      </c>
      <c r="G16" s="16" t="s">
        <v>1556</v>
      </c>
      <c r="H16" s="17">
        <f>+B16+D16-F16</f>
        <v>2382655</v>
      </c>
      <c r="I16" s="16"/>
      <c r="J16" s="18">
        <f>ROUND(SUM('Department Note Disclosure'!$B$16:$B$39),0)</f>
        <v>2382655</v>
      </c>
      <c r="K16" s="15"/>
      <c r="L16" s="19">
        <f>H16-J16</f>
        <v>0</v>
      </c>
      <c r="M16" s="137"/>
    </row>
    <row r="17" spans="1:13" ht="15" customHeight="1" x14ac:dyDescent="0.3">
      <c r="A17" s="147"/>
      <c r="B17" s="147"/>
      <c r="C17" s="148"/>
      <c r="D17" s="149" t="str">
        <f>IF(OR(L16&gt;0, (L16&lt;0)), "Please review and correct the variance.","")</f>
        <v/>
      </c>
      <c r="E17" s="148"/>
      <c r="F17" s="147"/>
      <c r="G17" s="148"/>
      <c r="H17" s="147"/>
      <c r="I17" s="148"/>
      <c r="J17" s="147"/>
      <c r="K17" s="147"/>
      <c r="L17" s="147"/>
      <c r="M17" s="137"/>
    </row>
    <row r="18" spans="1:13" ht="6" customHeight="1" x14ac:dyDescent="0.3">
      <c r="A18" s="147"/>
      <c r="B18" s="147"/>
      <c r="C18" s="148"/>
      <c r="D18" s="149"/>
      <c r="E18" s="148"/>
      <c r="F18" s="147"/>
      <c r="G18" s="148"/>
      <c r="H18" s="147"/>
      <c r="I18" s="148"/>
      <c r="J18" s="147"/>
      <c r="K18" s="147"/>
      <c r="L18" s="147"/>
      <c r="M18" s="137"/>
    </row>
    <row r="19" spans="1:13" x14ac:dyDescent="0.3">
      <c r="A19" s="137"/>
      <c r="B19" s="203" t="s">
        <v>1573</v>
      </c>
      <c r="C19" s="203"/>
      <c r="D19" s="203"/>
      <c r="E19" s="203"/>
      <c r="F19" s="203"/>
      <c r="G19" s="203"/>
      <c r="H19" s="203"/>
      <c r="I19" s="203"/>
      <c r="J19" s="203"/>
      <c r="K19" s="203"/>
      <c r="L19" s="203"/>
      <c r="M19" s="203"/>
    </row>
    <row r="20" spans="1:13" ht="6" customHeight="1" x14ac:dyDescent="0.3">
      <c r="A20" s="137"/>
      <c r="B20" s="137"/>
      <c r="C20" s="138"/>
      <c r="D20" s="137"/>
      <c r="E20" s="138"/>
      <c r="F20" s="137"/>
      <c r="G20" s="138"/>
      <c r="H20" s="137"/>
      <c r="I20" s="138"/>
      <c r="J20" s="137"/>
      <c r="K20" s="137"/>
      <c r="L20" s="137"/>
      <c r="M20" s="137"/>
    </row>
    <row r="21" spans="1:13" ht="15" customHeight="1" x14ac:dyDescent="0.3">
      <c r="A21" s="137"/>
      <c r="B21" s="202" t="s">
        <v>1624</v>
      </c>
      <c r="C21" s="202"/>
      <c r="D21" s="202"/>
      <c r="E21" s="202"/>
      <c r="F21" s="202"/>
      <c r="G21" s="202"/>
      <c r="H21" s="202"/>
      <c r="I21" s="138"/>
      <c r="J21" s="139" t="s">
        <v>1557</v>
      </c>
      <c r="K21" s="140"/>
      <c r="L21" s="140"/>
      <c r="M21" s="137"/>
    </row>
    <row r="22" spans="1:13" ht="15" customHeight="1" x14ac:dyDescent="0.3">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3">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3">
      <c r="A24" s="147"/>
      <c r="B24" s="147"/>
      <c r="C24" s="148"/>
      <c r="D24" s="147"/>
      <c r="E24" s="148"/>
      <c r="F24" s="147"/>
      <c r="G24" s="148"/>
      <c r="H24" s="147"/>
      <c r="I24" s="148"/>
      <c r="J24" s="147"/>
      <c r="K24" s="147"/>
      <c r="L24" s="147"/>
      <c r="M24" s="137"/>
    </row>
    <row r="25" spans="1:13" ht="15" customHeight="1" x14ac:dyDescent="0.3">
      <c r="A25" s="147"/>
      <c r="B25" s="147"/>
      <c r="C25" s="148"/>
      <c r="D25" s="149" t="str">
        <f>IF(OR(L23&gt;0, (L23&lt;0)), "Please review and correct the variance.","")</f>
        <v/>
      </c>
      <c r="E25" s="148"/>
      <c r="F25" s="147"/>
      <c r="G25" s="148"/>
      <c r="H25" s="147"/>
      <c r="I25" s="148"/>
      <c r="J25" s="147"/>
      <c r="K25" s="147"/>
      <c r="L25" s="147"/>
      <c r="M25" s="137"/>
    </row>
    <row r="26" spans="1:13" ht="6" customHeight="1" x14ac:dyDescent="0.3">
      <c r="A26" s="147"/>
      <c r="B26" s="147"/>
      <c r="C26" s="148"/>
      <c r="D26" s="149"/>
      <c r="E26" s="148"/>
      <c r="F26" s="147"/>
      <c r="G26" s="148"/>
      <c r="H26" s="147"/>
      <c r="I26" s="148"/>
      <c r="J26" s="147"/>
      <c r="K26" s="147"/>
      <c r="L26" s="147"/>
      <c r="M26" s="137"/>
    </row>
    <row r="27" spans="1:13" x14ac:dyDescent="0.3">
      <c r="A27" s="137"/>
      <c r="B27" s="203" t="s">
        <v>1575</v>
      </c>
      <c r="C27" s="203"/>
      <c r="D27" s="203"/>
      <c r="E27" s="203"/>
      <c r="F27" s="203"/>
      <c r="G27" s="203"/>
      <c r="H27" s="203"/>
      <c r="I27" s="203"/>
      <c r="J27" s="203"/>
      <c r="K27" s="203"/>
      <c r="L27" s="203"/>
      <c r="M27" s="203"/>
    </row>
    <row r="28" spans="1:13" ht="6" customHeight="1" x14ac:dyDescent="0.3">
      <c r="A28" s="137"/>
      <c r="B28" s="137"/>
      <c r="C28" s="138"/>
      <c r="D28" s="137"/>
      <c r="E28" s="138"/>
      <c r="F28" s="137"/>
      <c r="G28" s="138"/>
      <c r="H28" s="137"/>
      <c r="I28" s="138"/>
      <c r="J28" s="137"/>
      <c r="K28" s="137"/>
      <c r="L28" s="137"/>
      <c r="M28" s="137"/>
    </row>
    <row r="29" spans="1:13" ht="15" customHeight="1" x14ac:dyDescent="0.3">
      <c r="A29" s="137"/>
      <c r="B29" s="202" t="s">
        <v>1624</v>
      </c>
      <c r="C29" s="202"/>
      <c r="D29" s="202"/>
      <c r="E29" s="202"/>
      <c r="F29" s="202"/>
      <c r="G29" s="202"/>
      <c r="H29" s="202"/>
      <c r="I29" s="138"/>
      <c r="J29" s="139" t="s">
        <v>1557</v>
      </c>
      <c r="K29" s="140"/>
      <c r="L29" s="140"/>
      <c r="M29" s="137"/>
    </row>
    <row r="30" spans="1:13" ht="15" customHeight="1" x14ac:dyDescent="0.3">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3">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3">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3">
      <c r="A33" s="137"/>
      <c r="B33" s="150"/>
      <c r="C33" s="138"/>
      <c r="D33" s="150"/>
      <c r="E33" s="138"/>
      <c r="F33" s="150"/>
      <c r="G33" s="138"/>
      <c r="H33" s="150"/>
      <c r="I33" s="138"/>
      <c r="J33" s="150"/>
      <c r="K33" s="150"/>
      <c r="L33" s="150"/>
      <c r="M33" s="137"/>
    </row>
    <row r="34" spans="1:13" x14ac:dyDescent="0.3">
      <c r="A34" s="133" t="s">
        <v>1561</v>
      </c>
      <c r="B34" s="134"/>
      <c r="C34" s="135"/>
      <c r="D34" s="134"/>
      <c r="E34" s="135"/>
      <c r="F34" s="134"/>
      <c r="G34" s="135"/>
      <c r="H34" s="134"/>
      <c r="I34" s="135"/>
      <c r="J34" s="134"/>
      <c r="K34" s="134"/>
      <c r="L34" s="134"/>
      <c r="M34" s="134"/>
    </row>
    <row r="35" spans="1:13" ht="15" customHeight="1" x14ac:dyDescent="0.3">
      <c r="A35" s="137"/>
      <c r="B35" s="203" t="s">
        <v>1574</v>
      </c>
      <c r="C35" s="203"/>
      <c r="D35" s="203"/>
      <c r="E35" s="203"/>
      <c r="F35" s="203"/>
      <c r="G35" s="203"/>
      <c r="H35" s="203"/>
      <c r="I35" s="203"/>
      <c r="J35" s="203"/>
      <c r="K35" s="203"/>
      <c r="L35" s="203"/>
      <c r="M35" s="203"/>
    </row>
    <row r="36" spans="1:13" ht="6" customHeight="1" x14ac:dyDescent="0.3">
      <c r="A36" s="137"/>
      <c r="B36" s="137"/>
      <c r="C36" s="138"/>
      <c r="D36" s="137"/>
      <c r="E36" s="138"/>
      <c r="F36" s="137"/>
      <c r="G36" s="138"/>
      <c r="H36" s="137"/>
      <c r="I36" s="138"/>
      <c r="J36" s="137"/>
      <c r="K36" s="137"/>
      <c r="L36" s="137"/>
      <c r="M36" s="137"/>
    </row>
    <row r="37" spans="1:13" ht="15" customHeight="1" x14ac:dyDescent="0.3">
      <c r="A37" s="137"/>
      <c r="B37" s="202" t="s">
        <v>1624</v>
      </c>
      <c r="C37" s="202"/>
      <c r="D37" s="202"/>
      <c r="E37" s="202"/>
      <c r="F37" s="202"/>
      <c r="G37" s="202"/>
      <c r="H37" s="202"/>
      <c r="I37" s="138"/>
      <c r="J37" s="139" t="s">
        <v>1557</v>
      </c>
      <c r="K37" s="140"/>
      <c r="L37" s="140"/>
      <c r="M37" s="137"/>
    </row>
    <row r="38" spans="1:13" ht="15" customHeight="1" x14ac:dyDescent="0.3">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3">
      <c r="A39" s="137"/>
      <c r="B39" s="150"/>
      <c r="C39" s="150"/>
      <c r="E39" s="150"/>
      <c r="F39" s="14">
        <f>IF('Fund 0001 Journal Entries'!$F$7="Governmental Fund",ROUND('Fund 0001 Journal Entries'!$K$62,0),0)+IF('Fund 0159 Journal Entries'!$F$7="Governmental Fund",ROUND('Fund 0159 Journal Entries'!$K$62,0),0)</f>
        <v>2236007</v>
      </c>
      <c r="G39" s="150"/>
      <c r="H39" s="150"/>
      <c r="I39" s="20"/>
      <c r="J39" s="18">
        <f>ROUND('Department Note Disclosure'!$B$16,0)</f>
        <v>2236007</v>
      </c>
      <c r="K39" s="21"/>
      <c r="L39" s="19">
        <f>F39-J39</f>
        <v>0</v>
      </c>
      <c r="M39" s="137"/>
    </row>
    <row r="40" spans="1:13" ht="17.399999999999999" x14ac:dyDescent="0.3">
      <c r="A40" s="137"/>
      <c r="B40" s="147"/>
      <c r="C40" s="148"/>
      <c r="D40" s="149" t="str">
        <f>IF(OR(L39&gt;0, (L39&lt;0)), "Please review and correct the variance.","")</f>
        <v/>
      </c>
      <c r="E40" s="148"/>
      <c r="F40" s="147"/>
      <c r="G40" s="148"/>
      <c r="H40" s="147"/>
      <c r="I40" s="148"/>
      <c r="J40" s="147"/>
      <c r="K40" s="147"/>
      <c r="L40" s="147"/>
      <c r="M40" s="137"/>
    </row>
    <row r="41" spans="1:13" ht="6" customHeight="1" x14ac:dyDescent="0.3">
      <c r="A41" s="137"/>
      <c r="B41" s="147"/>
      <c r="C41" s="148"/>
      <c r="D41" s="149"/>
      <c r="E41" s="148"/>
      <c r="F41" s="147"/>
      <c r="G41" s="148"/>
      <c r="H41" s="147"/>
      <c r="I41" s="148"/>
      <c r="J41" s="147"/>
      <c r="K41" s="147"/>
      <c r="L41" s="147"/>
      <c r="M41" s="137"/>
    </row>
    <row r="42" spans="1:13" x14ac:dyDescent="0.3">
      <c r="A42" s="137"/>
      <c r="B42" s="203" t="s">
        <v>1573</v>
      </c>
      <c r="C42" s="203"/>
      <c r="D42" s="203"/>
      <c r="E42" s="203"/>
      <c r="F42" s="203"/>
      <c r="G42" s="203"/>
      <c r="H42" s="203"/>
      <c r="I42" s="203"/>
      <c r="J42" s="203"/>
      <c r="K42" s="203"/>
      <c r="L42" s="203"/>
      <c r="M42" s="203"/>
    </row>
    <row r="43" spans="1:13" ht="6" customHeight="1" x14ac:dyDescent="0.3">
      <c r="A43" s="137"/>
      <c r="B43" s="137"/>
      <c r="C43" s="138"/>
      <c r="D43" s="137"/>
      <c r="E43" s="138"/>
      <c r="F43" s="137"/>
      <c r="G43" s="138"/>
      <c r="H43" s="137"/>
      <c r="I43" s="138"/>
      <c r="J43" s="137"/>
      <c r="K43" s="137"/>
      <c r="L43" s="137"/>
      <c r="M43" s="137"/>
    </row>
    <row r="44" spans="1:13" ht="15" customHeight="1" x14ac:dyDescent="0.3">
      <c r="A44" s="137"/>
      <c r="B44" s="202" t="s">
        <v>1624</v>
      </c>
      <c r="C44" s="202"/>
      <c r="D44" s="202"/>
      <c r="E44" s="202"/>
      <c r="F44" s="202"/>
      <c r="G44" s="202"/>
      <c r="H44" s="202"/>
      <c r="I44" s="138"/>
      <c r="J44" s="139" t="s">
        <v>1557</v>
      </c>
      <c r="K44" s="140"/>
      <c r="L44" s="140"/>
      <c r="M44" s="137"/>
    </row>
    <row r="45" spans="1:13" ht="15" customHeight="1" x14ac:dyDescent="0.3">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3">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399999999999999" x14ac:dyDescent="0.3">
      <c r="A47" s="137"/>
      <c r="B47" s="137"/>
      <c r="C47" s="137"/>
      <c r="D47" s="149" t="str">
        <f>IF(OR(L46&gt;0, (L46&lt;0)), "Please review and correct the variance.","")</f>
        <v/>
      </c>
      <c r="E47" s="137"/>
      <c r="F47" s="137"/>
      <c r="G47" s="137"/>
      <c r="H47" s="137"/>
      <c r="I47" s="137"/>
      <c r="J47" s="137"/>
      <c r="K47" s="137"/>
      <c r="L47" s="137"/>
      <c r="M47" s="137"/>
    </row>
    <row r="48" spans="1:13" ht="6" customHeight="1" x14ac:dyDescent="0.3">
      <c r="A48" s="137"/>
      <c r="B48" s="137"/>
      <c r="C48" s="137"/>
      <c r="D48" s="149"/>
      <c r="E48" s="137"/>
      <c r="F48" s="137"/>
      <c r="G48" s="137"/>
      <c r="H48" s="137"/>
      <c r="I48" s="137"/>
      <c r="J48" s="137"/>
      <c r="K48" s="137"/>
      <c r="L48" s="137"/>
      <c r="M48" s="137"/>
    </row>
    <row r="49" spans="1:13" x14ac:dyDescent="0.3">
      <c r="A49" s="137"/>
      <c r="B49" s="203" t="s">
        <v>1575</v>
      </c>
      <c r="C49" s="203"/>
      <c r="D49" s="203"/>
      <c r="E49" s="203"/>
      <c r="F49" s="203"/>
      <c r="G49" s="203"/>
      <c r="H49" s="203"/>
      <c r="I49" s="203"/>
      <c r="J49" s="203"/>
      <c r="K49" s="203"/>
      <c r="L49" s="203"/>
      <c r="M49" s="203"/>
    </row>
    <row r="50" spans="1:13" x14ac:dyDescent="0.3">
      <c r="A50" s="137"/>
      <c r="B50" s="137"/>
      <c r="C50" s="138"/>
      <c r="D50" s="137"/>
      <c r="E50" s="138"/>
      <c r="F50" s="137"/>
      <c r="G50" s="138"/>
      <c r="H50" s="137"/>
      <c r="I50" s="138"/>
      <c r="J50" s="137"/>
      <c r="K50" s="137"/>
      <c r="L50" s="137"/>
      <c r="M50" s="137"/>
    </row>
    <row r="51" spans="1:13" x14ac:dyDescent="0.3">
      <c r="A51" s="137"/>
      <c r="B51" s="202" t="s">
        <v>1624</v>
      </c>
      <c r="C51" s="202"/>
      <c r="D51" s="202"/>
      <c r="E51" s="202"/>
      <c r="F51" s="202"/>
      <c r="G51" s="202"/>
      <c r="H51" s="202"/>
      <c r="I51" s="138"/>
      <c r="J51" s="139" t="s">
        <v>1557</v>
      </c>
      <c r="K51" s="140"/>
      <c r="L51" s="140"/>
      <c r="M51" s="137"/>
    </row>
    <row r="52" spans="1:13" ht="15" customHeight="1" x14ac:dyDescent="0.3">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3">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399999999999999" x14ac:dyDescent="0.3">
      <c r="A54" s="137"/>
      <c r="B54" s="147"/>
      <c r="C54" s="148"/>
      <c r="D54" s="149" t="str">
        <f>IF(OR(L53&gt;0, (L53&lt;0)), "Please review and correct the variance.","")</f>
        <v/>
      </c>
      <c r="E54" s="148"/>
      <c r="F54" s="147"/>
      <c r="G54" s="148"/>
      <c r="H54" s="147"/>
      <c r="I54" s="148"/>
      <c r="J54" s="147"/>
      <c r="K54" s="147"/>
      <c r="L54" s="147"/>
      <c r="M54" s="137"/>
    </row>
    <row r="55" spans="1:13" ht="17.399999999999999" x14ac:dyDescent="0.3">
      <c r="A55" s="137"/>
      <c r="B55" s="137"/>
      <c r="C55" s="137"/>
      <c r="D55" s="149"/>
      <c r="E55" s="137"/>
      <c r="F55" s="137"/>
      <c r="G55" s="137"/>
      <c r="H55" s="137"/>
      <c r="I55" s="137"/>
      <c r="J55" s="137"/>
      <c r="K55" s="137"/>
      <c r="L55" s="137"/>
      <c r="M55" s="137"/>
    </row>
    <row r="56" spans="1:13" x14ac:dyDescent="0.3">
      <c r="A56" s="133" t="s">
        <v>1562</v>
      </c>
      <c r="B56" s="134"/>
      <c r="C56" s="135"/>
      <c r="D56" s="134"/>
      <c r="E56" s="135"/>
      <c r="F56" s="134"/>
      <c r="G56" s="135"/>
      <c r="H56" s="134"/>
      <c r="I56" s="135"/>
      <c r="J56" s="134"/>
      <c r="K56" s="134"/>
      <c r="L56" s="134"/>
      <c r="M56" s="134"/>
    </row>
    <row r="57" spans="1:13" ht="15" customHeight="1" x14ac:dyDescent="0.3">
      <c r="A57" s="137"/>
      <c r="B57" s="204" t="s">
        <v>1574</v>
      </c>
      <c r="C57" s="204"/>
      <c r="D57" s="204"/>
      <c r="E57" s="204"/>
      <c r="F57" s="204"/>
      <c r="G57" s="204"/>
      <c r="H57" s="204"/>
      <c r="I57" s="204"/>
      <c r="J57" s="204"/>
      <c r="K57" s="204"/>
      <c r="L57" s="204"/>
      <c r="M57" s="204"/>
    </row>
    <row r="58" spans="1:13" ht="6" customHeight="1" x14ac:dyDescent="0.3">
      <c r="A58" s="137"/>
      <c r="B58" s="151"/>
      <c r="C58" s="151"/>
      <c r="D58" s="151"/>
      <c r="E58" s="151"/>
      <c r="F58" s="151"/>
      <c r="G58" s="151"/>
      <c r="H58" s="151"/>
      <c r="I58" s="151"/>
      <c r="J58" s="151"/>
      <c r="K58" s="151"/>
      <c r="L58" s="151"/>
      <c r="M58" s="137"/>
    </row>
    <row r="59" spans="1:13" ht="15" customHeight="1" x14ac:dyDescent="0.3">
      <c r="A59" s="137"/>
      <c r="B59" s="200" t="s">
        <v>1624</v>
      </c>
      <c r="C59" s="200"/>
      <c r="D59" s="200"/>
      <c r="E59" s="200"/>
      <c r="F59" s="200"/>
      <c r="G59" s="151"/>
      <c r="H59" s="200" t="s">
        <v>119</v>
      </c>
      <c r="I59" s="200"/>
      <c r="J59" s="200"/>
      <c r="K59" s="151"/>
      <c r="L59" s="151"/>
      <c r="M59" s="137"/>
    </row>
    <row r="60" spans="1:13" x14ac:dyDescent="0.3">
      <c r="A60" s="137"/>
      <c r="B60" s="137"/>
      <c r="C60" s="137"/>
      <c r="D60" s="137"/>
      <c r="E60" s="137"/>
      <c r="F60" s="137"/>
      <c r="G60" s="137"/>
      <c r="H60" s="137"/>
      <c r="I60" s="137"/>
      <c r="J60" s="137"/>
      <c r="K60" s="137"/>
      <c r="L60" s="146" t="s">
        <v>1564</v>
      </c>
      <c r="M60" s="137"/>
    </row>
    <row r="61" spans="1:13" x14ac:dyDescent="0.3">
      <c r="B61" s="152" t="s">
        <v>1553</v>
      </c>
      <c r="D61" s="22">
        <f>$B$16</f>
        <v>401379</v>
      </c>
      <c r="H61" s="154" t="str">
        <f>"Balance July 1, "&amp;LEFT('Fund 0001 Journal Entries'!$F$3,4)</f>
        <v>Balance July 1, 2022</v>
      </c>
      <c r="J61" s="22">
        <f>ROUND('SBITA Liabilities'!$F$10,0)</f>
        <v>401379</v>
      </c>
      <c r="L61" s="19">
        <f>D61-J61</f>
        <v>0</v>
      </c>
    </row>
    <row r="62" spans="1:13" x14ac:dyDescent="0.3">
      <c r="B62" s="152" t="s">
        <v>1630</v>
      </c>
      <c r="D62" s="22">
        <f>$D$16</f>
        <v>4150682</v>
      </c>
      <c r="H62" s="154" t="s">
        <v>10</v>
      </c>
      <c r="J62" s="22">
        <f>ROUND('SBITA Liabilities'!$H$10,0)</f>
        <v>4150682</v>
      </c>
      <c r="L62" s="19">
        <f>D62-J62</f>
        <v>0</v>
      </c>
    </row>
    <row r="63" spans="1:13" x14ac:dyDescent="0.3">
      <c r="B63" s="152" t="s">
        <v>1555</v>
      </c>
      <c r="D63" s="22">
        <f>$F$16</f>
        <v>2169406</v>
      </c>
      <c r="H63" s="154" t="s">
        <v>11</v>
      </c>
      <c r="J63" s="22">
        <f>ROUND('SBITA Liabilities'!$J$10,0)</f>
        <v>2169406</v>
      </c>
      <c r="L63" s="19">
        <f>D63-J63</f>
        <v>0</v>
      </c>
    </row>
    <row r="64" spans="1:13" x14ac:dyDescent="0.3">
      <c r="B64" s="152" t="s">
        <v>1559</v>
      </c>
      <c r="D64" s="22">
        <f>$F$39</f>
        <v>2236007</v>
      </c>
      <c r="H64" s="154" t="s">
        <v>12</v>
      </c>
      <c r="J64" s="22">
        <f>ROUND('SBITA Liabilities'!$N$10,0)</f>
        <v>2236007</v>
      </c>
      <c r="L64" s="19">
        <f>D64-J64</f>
        <v>0</v>
      </c>
    </row>
    <row r="65" spans="1:13" ht="15.9" customHeight="1" x14ac:dyDescent="0.3">
      <c r="D65" s="149" t="str">
        <f>IF(OR(L61&gt;0, (L61&lt;0),L62&gt;0,L62&lt;0,L63&gt;0,L63&lt;0,L64&gt;0,L64&lt;0), "Please review and correct the variance.","")</f>
        <v/>
      </c>
    </row>
    <row r="66" spans="1:13" ht="6" customHeight="1" x14ac:dyDescent="0.3">
      <c r="D66" s="155"/>
    </row>
    <row r="67" spans="1:13" s="205" customFormat="1" x14ac:dyDescent="0.3">
      <c r="A67" s="136"/>
      <c r="B67" s="205" t="s">
        <v>1573</v>
      </c>
    </row>
    <row r="68" spans="1:13" ht="6" customHeight="1" x14ac:dyDescent="0.3">
      <c r="B68" s="156"/>
    </row>
    <row r="69" spans="1:13" ht="15" customHeight="1" x14ac:dyDescent="0.3">
      <c r="B69" s="200" t="s">
        <v>1624</v>
      </c>
      <c r="C69" s="200"/>
      <c r="D69" s="200"/>
      <c r="E69" s="200"/>
      <c r="F69" s="200"/>
      <c r="G69" s="151"/>
      <c r="H69" s="200" t="s">
        <v>119</v>
      </c>
      <c r="I69" s="200"/>
      <c r="J69" s="200"/>
    </row>
    <row r="70" spans="1:13" x14ac:dyDescent="0.3">
      <c r="H70" s="137"/>
      <c r="I70" s="137"/>
      <c r="J70" s="137"/>
      <c r="K70" s="137"/>
      <c r="L70" s="146" t="s">
        <v>1564</v>
      </c>
    </row>
    <row r="71" spans="1:13" x14ac:dyDescent="0.3">
      <c r="B71" s="152" t="s">
        <v>1553</v>
      </c>
      <c r="D71" s="22">
        <f>$B$23</f>
        <v>0</v>
      </c>
      <c r="H71" s="154" t="str">
        <f>"Balance July 1, "&amp;LEFT('Fund 0001 Journal Entries'!$F$3,4)</f>
        <v>Balance July 1, 2022</v>
      </c>
      <c r="J71" s="22">
        <f>ROUND('SBITA Liabilities'!$F$14,0)</f>
        <v>0</v>
      </c>
      <c r="L71" s="19">
        <f>D71-J71</f>
        <v>0</v>
      </c>
    </row>
    <row r="72" spans="1:13" x14ac:dyDescent="0.3">
      <c r="B72" s="152" t="s">
        <v>1630</v>
      </c>
      <c r="D72" s="22">
        <f>D23</f>
        <v>0</v>
      </c>
      <c r="H72" s="154" t="s">
        <v>10</v>
      </c>
      <c r="J72" s="22">
        <f>ROUND('SBITA Liabilities'!$H$14,0)</f>
        <v>0</v>
      </c>
      <c r="L72" s="19">
        <f>D72-J72</f>
        <v>0</v>
      </c>
    </row>
    <row r="73" spans="1:13" x14ac:dyDescent="0.3">
      <c r="B73" s="152" t="s">
        <v>1555</v>
      </c>
      <c r="D73" s="22">
        <f>F23</f>
        <v>0</v>
      </c>
      <c r="H73" s="154" t="s">
        <v>11</v>
      </c>
      <c r="J73" s="22">
        <f>ROUND('SBITA Liabilities'!$J$14,0)</f>
        <v>0</v>
      </c>
      <c r="L73" s="19">
        <f>D73-J73</f>
        <v>0</v>
      </c>
    </row>
    <row r="74" spans="1:13" x14ac:dyDescent="0.3">
      <c r="B74" s="152" t="s">
        <v>1559</v>
      </c>
      <c r="D74" s="22">
        <f>F46</f>
        <v>0</v>
      </c>
      <c r="H74" s="154" t="s">
        <v>12</v>
      </c>
      <c r="J74" s="22">
        <f>ROUND('SBITA Liabilities'!$N$14,0)</f>
        <v>0</v>
      </c>
      <c r="L74" s="19">
        <f>D74-J74</f>
        <v>0</v>
      </c>
    </row>
    <row r="75" spans="1:13" ht="17.399999999999999" x14ac:dyDescent="0.3">
      <c r="D75" s="149" t="str">
        <f>IF(OR(L71&gt;0, (L71&lt;0),L72&gt;0,L72&lt;0,L73&gt;0,L73&lt;0,L74&gt;0,L74&lt;0), "Please review and correct the variance.","")</f>
        <v/>
      </c>
    </row>
    <row r="76" spans="1:13" ht="6" customHeight="1" x14ac:dyDescent="0.3">
      <c r="D76" s="149"/>
    </row>
    <row r="77" spans="1:13" x14ac:dyDescent="0.3">
      <c r="B77" s="205" t="s">
        <v>1575</v>
      </c>
      <c r="C77" s="205"/>
      <c r="D77" s="205"/>
      <c r="E77" s="205"/>
      <c r="F77" s="205"/>
      <c r="G77" s="205"/>
      <c r="H77" s="205"/>
      <c r="I77" s="205"/>
      <c r="J77" s="205"/>
      <c r="K77" s="205"/>
      <c r="L77" s="205"/>
      <c r="M77" s="205"/>
    </row>
    <row r="78" spans="1:13" ht="6" customHeight="1" x14ac:dyDescent="0.3">
      <c r="B78" s="156"/>
    </row>
    <row r="79" spans="1:13" ht="15" customHeight="1" x14ac:dyDescent="0.3">
      <c r="B79" s="200" t="s">
        <v>1624</v>
      </c>
      <c r="C79" s="200"/>
      <c r="D79" s="200"/>
      <c r="E79" s="200"/>
      <c r="F79" s="200"/>
      <c r="G79" s="151"/>
      <c r="H79" s="200" t="s">
        <v>119</v>
      </c>
      <c r="I79" s="200"/>
      <c r="J79" s="200"/>
    </row>
    <row r="80" spans="1:13" x14ac:dyDescent="0.3">
      <c r="H80" s="137"/>
      <c r="I80" s="137"/>
      <c r="J80" s="137"/>
      <c r="K80" s="137"/>
      <c r="L80" s="146" t="s">
        <v>1564</v>
      </c>
    </row>
    <row r="81" spans="1:13" x14ac:dyDescent="0.3">
      <c r="B81" s="152" t="s">
        <v>1553</v>
      </c>
      <c r="D81" s="22">
        <f>$B$31</f>
        <v>0</v>
      </c>
      <c r="H81" s="154" t="str">
        <f>"Balance July 1, "&amp;LEFT('Fund 0001 Journal Entries'!$F$3,4)</f>
        <v>Balance July 1, 2022</v>
      </c>
      <c r="J81" s="22">
        <f>ROUND('SBITA Liabilities'!$F$18,0)</f>
        <v>0</v>
      </c>
      <c r="L81" s="19">
        <f>D81-J81</f>
        <v>0</v>
      </c>
    </row>
    <row r="82" spans="1:13" x14ac:dyDescent="0.3">
      <c r="B82" s="152" t="s">
        <v>1630</v>
      </c>
      <c r="D82" s="22">
        <f>D31</f>
        <v>0</v>
      </c>
      <c r="H82" s="154" t="s">
        <v>10</v>
      </c>
      <c r="J82" s="22">
        <f>ROUND('SBITA Liabilities'!$H$18,0)</f>
        <v>0</v>
      </c>
      <c r="L82" s="19">
        <f>D82-J82</f>
        <v>0</v>
      </c>
    </row>
    <row r="83" spans="1:13" x14ac:dyDescent="0.3">
      <c r="B83" s="152" t="s">
        <v>1555</v>
      </c>
      <c r="D83" s="22">
        <f>F31</f>
        <v>0</v>
      </c>
      <c r="H83" s="154" t="s">
        <v>11</v>
      </c>
      <c r="J83" s="22">
        <f>ROUND('SBITA Liabilities'!$J$18,0)</f>
        <v>0</v>
      </c>
      <c r="L83" s="19">
        <f>D83-J83</f>
        <v>0</v>
      </c>
    </row>
    <row r="84" spans="1:13" x14ac:dyDescent="0.3">
      <c r="B84" s="152" t="s">
        <v>1559</v>
      </c>
      <c r="D84" s="22">
        <f>F53</f>
        <v>0</v>
      </c>
      <c r="H84" s="154" t="s">
        <v>12</v>
      </c>
      <c r="J84" s="22">
        <f>ROUND('SBITA Liabilities'!$N$18,0)</f>
        <v>0</v>
      </c>
      <c r="L84" s="19">
        <f>D84-J84</f>
        <v>0</v>
      </c>
    </row>
    <row r="85" spans="1:13" ht="17.399999999999999" x14ac:dyDescent="0.3">
      <c r="D85" s="149" t="str">
        <f>IF(OR(L81&gt;0, (L81&lt;0),L82&gt;0,L82&lt;0,L83&gt;0,L83&lt;0,L84&gt;0,L84&lt;0), "Please review and correct the variance.","")</f>
        <v/>
      </c>
    </row>
    <row r="86" spans="1:13" x14ac:dyDescent="0.3">
      <c r="A86" s="133"/>
      <c r="B86" s="134"/>
      <c r="C86" s="135"/>
      <c r="D86" s="134"/>
      <c r="E86" s="135"/>
      <c r="F86" s="134"/>
      <c r="G86" s="135"/>
      <c r="H86" s="134"/>
      <c r="I86" s="135"/>
      <c r="J86" s="134"/>
      <c r="K86" s="134"/>
      <c r="L86" s="134"/>
      <c r="M86" s="134"/>
    </row>
    <row r="87" spans="1:13" x14ac:dyDescent="0.3"/>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6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09375" defaultRowHeight="15" x14ac:dyDescent="0.25"/>
  <cols>
    <col min="1" max="1" width="12.88671875" style="1" bestFit="1" customWidth="1"/>
    <col min="2" max="2" width="35.6640625" style="1" bestFit="1" customWidth="1"/>
    <col min="3" max="3" width="9.109375" style="1"/>
    <col min="4" max="4" width="42.6640625" style="1" bestFit="1" customWidth="1"/>
    <col min="5" max="5" width="57.44140625" style="1" bestFit="1" customWidth="1"/>
    <col min="6" max="6" width="62.6640625" style="1" bestFit="1" customWidth="1"/>
    <col min="7" max="7" width="58.6640625" style="1" bestFit="1" customWidth="1"/>
    <col min="8" max="16384" width="9.109375" style="1"/>
  </cols>
  <sheetData>
    <row r="1" spans="1:11" ht="15.6" x14ac:dyDescent="0.3">
      <c r="A1" s="1" t="s">
        <v>16</v>
      </c>
      <c r="B1" s="1" t="s">
        <v>1568</v>
      </c>
      <c r="C1" s="1" t="s">
        <v>117</v>
      </c>
      <c r="D1" s="11" t="s">
        <v>135</v>
      </c>
      <c r="E1" s="1" t="s">
        <v>1513</v>
      </c>
      <c r="F1" s="1" t="s">
        <v>1514</v>
      </c>
      <c r="G1" s="1" t="s">
        <v>1513</v>
      </c>
      <c r="I1" s="10"/>
      <c r="J1"/>
      <c r="K1"/>
    </row>
    <row r="2" spans="1:11" ht="15.6" x14ac:dyDescent="0.3">
      <c r="A2" s="1" t="s">
        <v>17</v>
      </c>
      <c r="B2" s="1" t="s">
        <v>1569</v>
      </c>
      <c r="C2" s="1" t="s">
        <v>116</v>
      </c>
      <c r="D2" s="11" t="s">
        <v>143</v>
      </c>
      <c r="E2" s="1" t="s">
        <v>1515</v>
      </c>
      <c r="F2" s="1" t="s">
        <v>1516</v>
      </c>
      <c r="G2" s="1" t="s">
        <v>1517</v>
      </c>
      <c r="I2"/>
      <c r="J2"/>
      <c r="K2"/>
    </row>
    <row r="3" spans="1:11" ht="15.6" x14ac:dyDescent="0.3">
      <c r="A3" s="1" t="s">
        <v>18</v>
      </c>
      <c r="B3" s="1" t="s">
        <v>1570</v>
      </c>
      <c r="D3" s="11" t="s">
        <v>334</v>
      </c>
      <c r="E3" s="1" t="s">
        <v>1518</v>
      </c>
      <c r="F3" s="1" t="s">
        <v>1519</v>
      </c>
      <c r="G3" s="1" t="s">
        <v>1520</v>
      </c>
      <c r="I3"/>
      <c r="J3"/>
      <c r="K3"/>
    </row>
    <row r="4" spans="1:11" ht="15.6" x14ac:dyDescent="0.3">
      <c r="A4" s="1" t="s">
        <v>19</v>
      </c>
      <c r="D4" s="11" t="s">
        <v>237</v>
      </c>
      <c r="E4" s="1" t="s">
        <v>1521</v>
      </c>
      <c r="F4" s="1" t="s">
        <v>1522</v>
      </c>
      <c r="G4" s="1" t="s">
        <v>1523</v>
      </c>
      <c r="I4"/>
      <c r="J4"/>
      <c r="K4"/>
    </row>
    <row r="5" spans="1:11" ht="15.6" x14ac:dyDescent="0.3">
      <c r="A5" s="1" t="s">
        <v>20</v>
      </c>
      <c r="D5" s="11" t="s">
        <v>243</v>
      </c>
      <c r="E5" s="1" t="s">
        <v>1524</v>
      </c>
      <c r="F5" s="1" t="s">
        <v>1525</v>
      </c>
      <c r="G5" s="1" t="s">
        <v>1526</v>
      </c>
      <c r="I5"/>
      <c r="J5"/>
      <c r="K5"/>
    </row>
    <row r="6" spans="1:11" ht="15.6" x14ac:dyDescent="0.3">
      <c r="A6" s="1" t="s">
        <v>21</v>
      </c>
      <c r="D6" s="12" t="s">
        <v>228</v>
      </c>
      <c r="E6" s="1" t="s">
        <v>1527</v>
      </c>
      <c r="F6" s="1" t="s">
        <v>1528</v>
      </c>
      <c r="G6" s="1" t="s">
        <v>1529</v>
      </c>
      <c r="I6"/>
      <c r="J6"/>
      <c r="K6"/>
    </row>
    <row r="7" spans="1:11" ht="15.6" x14ac:dyDescent="0.3">
      <c r="A7" s="1" t="s">
        <v>22</v>
      </c>
      <c r="D7" s="11" t="s">
        <v>233</v>
      </c>
      <c r="E7" s="1" t="s">
        <v>1530</v>
      </c>
      <c r="F7" s="1" t="s">
        <v>1531</v>
      </c>
      <c r="G7" s="1" t="s">
        <v>1532</v>
      </c>
      <c r="I7"/>
      <c r="J7"/>
      <c r="K7"/>
    </row>
    <row r="8" spans="1:11" ht="15.6" x14ac:dyDescent="0.3">
      <c r="A8" s="1" t="s">
        <v>23</v>
      </c>
      <c r="D8" s="11" t="s">
        <v>820</v>
      </c>
      <c r="E8" s="1" t="s">
        <v>1533</v>
      </c>
      <c r="F8" s="1" t="s">
        <v>1534</v>
      </c>
      <c r="G8" s="1" t="s">
        <v>1535</v>
      </c>
      <c r="I8"/>
      <c r="J8"/>
      <c r="K8"/>
    </row>
    <row r="9" spans="1:11" ht="15.6" x14ac:dyDescent="0.3">
      <c r="A9" s="1" t="s">
        <v>24</v>
      </c>
      <c r="D9" s="11" t="s">
        <v>1603</v>
      </c>
      <c r="E9" s="1" t="s">
        <v>1597</v>
      </c>
      <c r="F9" s="1" t="s">
        <v>1536</v>
      </c>
      <c r="G9" s="1" t="s">
        <v>1598</v>
      </c>
      <c r="I9"/>
      <c r="J9"/>
      <c r="K9"/>
    </row>
    <row r="10" spans="1:11" x14ac:dyDescent="0.25">
      <c r="A10" s="1" t="s">
        <v>25</v>
      </c>
      <c r="D10" s="11" t="s">
        <v>1604</v>
      </c>
      <c r="E10" s="1" t="s">
        <v>1548</v>
      </c>
      <c r="F10" s="1" t="s">
        <v>1548</v>
      </c>
      <c r="G10" s="1" t="s">
        <v>1547</v>
      </c>
    </row>
    <row r="11" spans="1:11" x14ac:dyDescent="0.25">
      <c r="A11" s="1" t="s">
        <v>26</v>
      </c>
    </row>
    <row r="12" spans="1:11" x14ac:dyDescent="0.25">
      <c r="A12" s="1" t="s">
        <v>27</v>
      </c>
      <c r="D12" s="11"/>
    </row>
    <row r="13" spans="1:11" x14ac:dyDescent="0.25">
      <c r="A13" s="1" t="s">
        <v>28</v>
      </c>
      <c r="D13" s="11"/>
    </row>
    <row r="14" spans="1:11" x14ac:dyDescent="0.25">
      <c r="A14" s="1" t="s">
        <v>29</v>
      </c>
      <c r="D14" s="11"/>
    </row>
    <row r="15" spans="1:11" x14ac:dyDescent="0.25">
      <c r="A15" s="1" t="s">
        <v>30</v>
      </c>
      <c r="D15" s="11"/>
    </row>
    <row r="16" spans="1:11" x14ac:dyDescent="0.25">
      <c r="A16" s="1" t="s">
        <v>31</v>
      </c>
      <c r="D16" s="13"/>
    </row>
    <row r="17" spans="1:4" x14ac:dyDescent="0.25">
      <c r="A17" s="1" t="s">
        <v>32</v>
      </c>
      <c r="D17" s="11"/>
    </row>
    <row r="18" spans="1:4" x14ac:dyDescent="0.25">
      <c r="A18" s="1" t="s">
        <v>33</v>
      </c>
      <c r="D18" s="11"/>
    </row>
    <row r="19" spans="1:4" x14ac:dyDescent="0.25">
      <c r="A19" s="1" t="s">
        <v>34</v>
      </c>
      <c r="D19" s="11"/>
    </row>
    <row r="20" spans="1:4" x14ac:dyDescent="0.25">
      <c r="A20" s="1" t="s">
        <v>35</v>
      </c>
      <c r="D20" s="11"/>
    </row>
    <row r="21" spans="1:4" x14ac:dyDescent="0.25">
      <c r="A21" s="1" t="s">
        <v>36</v>
      </c>
    </row>
    <row r="22" spans="1:4" x14ac:dyDescent="0.25">
      <c r="A22" s="1" t="s">
        <v>37</v>
      </c>
    </row>
    <row r="23" spans="1:4" x14ac:dyDescent="0.25">
      <c r="A23" s="1" t="s">
        <v>38</v>
      </c>
    </row>
    <row r="24" spans="1:4" x14ac:dyDescent="0.25">
      <c r="A24" s="1" t="s">
        <v>39</v>
      </c>
    </row>
    <row r="25" spans="1:4" x14ac:dyDescent="0.25">
      <c r="A25" s="1" t="s">
        <v>40</v>
      </c>
    </row>
    <row r="26" spans="1:4" x14ac:dyDescent="0.25">
      <c r="A26" s="1" t="s">
        <v>41</v>
      </c>
    </row>
    <row r="27" spans="1:4" x14ac:dyDescent="0.25">
      <c r="A27" s="1" t="s">
        <v>42</v>
      </c>
    </row>
    <row r="28" spans="1:4" x14ac:dyDescent="0.25">
      <c r="A28" s="1" t="s">
        <v>43</v>
      </c>
    </row>
    <row r="29" spans="1:4" x14ac:dyDescent="0.25">
      <c r="A29" s="1" t="s">
        <v>44</v>
      </c>
    </row>
    <row r="30" spans="1:4" x14ac:dyDescent="0.25">
      <c r="A30" s="1" t="s">
        <v>45</v>
      </c>
    </row>
    <row r="31" spans="1:4" x14ac:dyDescent="0.25">
      <c r="A31" s="1" t="s">
        <v>46</v>
      </c>
    </row>
    <row r="32" spans="1:4" x14ac:dyDescent="0.25">
      <c r="A32" s="1" t="s">
        <v>47</v>
      </c>
    </row>
    <row r="33" spans="1:1" x14ac:dyDescent="0.25">
      <c r="A33" s="1" t="s">
        <v>48</v>
      </c>
    </row>
    <row r="34" spans="1:1" x14ac:dyDescent="0.25">
      <c r="A34" s="1" t="s">
        <v>49</v>
      </c>
    </row>
    <row r="35" spans="1:1" x14ac:dyDescent="0.25">
      <c r="A35" s="1" t="s">
        <v>50</v>
      </c>
    </row>
    <row r="36" spans="1:1" x14ac:dyDescent="0.25">
      <c r="A36" s="1" t="s">
        <v>51</v>
      </c>
    </row>
    <row r="37" spans="1:1" x14ac:dyDescent="0.25">
      <c r="A37" s="1" t="s">
        <v>52</v>
      </c>
    </row>
    <row r="38" spans="1:1" x14ac:dyDescent="0.25">
      <c r="A38" s="1" t="s">
        <v>53</v>
      </c>
    </row>
    <row r="39" spans="1:1" x14ac:dyDescent="0.25">
      <c r="A39" s="1" t="s">
        <v>54</v>
      </c>
    </row>
    <row r="40" spans="1:1" x14ac:dyDescent="0.25">
      <c r="A40" s="1" t="s">
        <v>55</v>
      </c>
    </row>
    <row r="41" spans="1:1" x14ac:dyDescent="0.25">
      <c r="A41" s="1" t="s">
        <v>56</v>
      </c>
    </row>
    <row r="42" spans="1:1" x14ac:dyDescent="0.25">
      <c r="A42" s="1" t="s">
        <v>57</v>
      </c>
    </row>
    <row r="43" spans="1:1" x14ac:dyDescent="0.25">
      <c r="A43" s="1" t="s">
        <v>58</v>
      </c>
    </row>
    <row r="44" spans="1:1" x14ac:dyDescent="0.25">
      <c r="A44" s="1" t="s">
        <v>59</v>
      </c>
    </row>
    <row r="45" spans="1:1" x14ac:dyDescent="0.25">
      <c r="A45" s="1" t="s">
        <v>60</v>
      </c>
    </row>
    <row r="46" spans="1:1" x14ac:dyDescent="0.25">
      <c r="A46" s="1" t="s">
        <v>61</v>
      </c>
    </row>
    <row r="47" spans="1:1" x14ac:dyDescent="0.25">
      <c r="A47" s="1" t="s">
        <v>62</v>
      </c>
    </row>
    <row r="48" spans="1:1" x14ac:dyDescent="0.25">
      <c r="A48" s="1" t="s">
        <v>63</v>
      </c>
    </row>
    <row r="49" spans="1:1" x14ac:dyDescent="0.25">
      <c r="A49" s="1" t="s">
        <v>64</v>
      </c>
    </row>
    <row r="50" spans="1:1" x14ac:dyDescent="0.25">
      <c r="A50" s="1" t="s">
        <v>65</v>
      </c>
    </row>
    <row r="51" spans="1:1" x14ac:dyDescent="0.25">
      <c r="A51" s="1" t="s">
        <v>66</v>
      </c>
    </row>
    <row r="52" spans="1:1" x14ac:dyDescent="0.25">
      <c r="A52" s="1" t="s">
        <v>67</v>
      </c>
    </row>
    <row r="53" spans="1:1" x14ac:dyDescent="0.25">
      <c r="A53" s="1" t="s">
        <v>68</v>
      </c>
    </row>
    <row r="54" spans="1:1" x14ac:dyDescent="0.25">
      <c r="A54" s="1" t="s">
        <v>69</v>
      </c>
    </row>
    <row r="55" spans="1:1" x14ac:dyDescent="0.25">
      <c r="A55" s="1" t="s">
        <v>70</v>
      </c>
    </row>
    <row r="56" spans="1:1" x14ac:dyDescent="0.25">
      <c r="A56" s="1" t="s">
        <v>71</v>
      </c>
    </row>
    <row r="57" spans="1:1" x14ac:dyDescent="0.25">
      <c r="A57" s="1" t="s">
        <v>72</v>
      </c>
    </row>
    <row r="58" spans="1:1" x14ac:dyDescent="0.25">
      <c r="A58" s="1" t="s">
        <v>73</v>
      </c>
    </row>
    <row r="59" spans="1:1" x14ac:dyDescent="0.25">
      <c r="A59" s="1" t="s">
        <v>74</v>
      </c>
    </row>
    <row r="60" spans="1:1" x14ac:dyDescent="0.25">
      <c r="A60" s="1" t="s">
        <v>75</v>
      </c>
    </row>
    <row r="61" spans="1:1" x14ac:dyDescent="0.25">
      <c r="A61" s="1" t="s">
        <v>76</v>
      </c>
    </row>
    <row r="62" spans="1:1" x14ac:dyDescent="0.25">
      <c r="A62" s="1" t="s">
        <v>77</v>
      </c>
    </row>
    <row r="63" spans="1:1" x14ac:dyDescent="0.25">
      <c r="A63" s="1" t="s">
        <v>78</v>
      </c>
    </row>
    <row r="64" spans="1:1" x14ac:dyDescent="0.25">
      <c r="A64" s="1" t="s">
        <v>79</v>
      </c>
    </row>
    <row r="65" spans="1:1" x14ac:dyDescent="0.25">
      <c r="A65" s="1" t="s">
        <v>80</v>
      </c>
    </row>
    <row r="66" spans="1:1" x14ac:dyDescent="0.25">
      <c r="A66" s="1" t="s">
        <v>81</v>
      </c>
    </row>
    <row r="67" spans="1:1" x14ac:dyDescent="0.25">
      <c r="A67" s="1" t="s">
        <v>82</v>
      </c>
    </row>
    <row r="68" spans="1:1" x14ac:dyDescent="0.25">
      <c r="A68" s="1" t="s">
        <v>83</v>
      </c>
    </row>
    <row r="69" spans="1:1" x14ac:dyDescent="0.25">
      <c r="A69" s="1" t="s">
        <v>84</v>
      </c>
    </row>
    <row r="70" spans="1:1" x14ac:dyDescent="0.25">
      <c r="A70" s="1" t="s">
        <v>85</v>
      </c>
    </row>
    <row r="71" spans="1:1" x14ac:dyDescent="0.25">
      <c r="A71" s="1" t="s">
        <v>86</v>
      </c>
    </row>
    <row r="72" spans="1:1" x14ac:dyDescent="0.25">
      <c r="A72" s="1" t="s">
        <v>87</v>
      </c>
    </row>
    <row r="73" spans="1:1" x14ac:dyDescent="0.25">
      <c r="A73" s="1" t="s">
        <v>88</v>
      </c>
    </row>
    <row r="74" spans="1:1" x14ac:dyDescent="0.25">
      <c r="A74" s="1" t="s">
        <v>89</v>
      </c>
    </row>
    <row r="75" spans="1:1" x14ac:dyDescent="0.25">
      <c r="A75" s="1" t="s">
        <v>90</v>
      </c>
    </row>
    <row r="76" spans="1:1" x14ac:dyDescent="0.25">
      <c r="A76" s="1" t="s">
        <v>91</v>
      </c>
    </row>
    <row r="77" spans="1:1" x14ac:dyDescent="0.25">
      <c r="A77" s="1" t="s">
        <v>92</v>
      </c>
    </row>
    <row r="78" spans="1:1" x14ac:dyDescent="0.25">
      <c r="A78" s="1" t="s">
        <v>93</v>
      </c>
    </row>
    <row r="79" spans="1:1" x14ac:dyDescent="0.25">
      <c r="A79" s="1" t="s">
        <v>94</v>
      </c>
    </row>
    <row r="80" spans="1:1" x14ac:dyDescent="0.25">
      <c r="A80" s="1" t="s">
        <v>95</v>
      </c>
    </row>
    <row r="81" spans="1:1" x14ac:dyDescent="0.25">
      <c r="A81" s="1" t="s">
        <v>96</v>
      </c>
    </row>
    <row r="82" spans="1:1" x14ac:dyDescent="0.25">
      <c r="A82" s="1" t="s">
        <v>97</v>
      </c>
    </row>
    <row r="83" spans="1:1" x14ac:dyDescent="0.25">
      <c r="A83" s="1" t="s">
        <v>98</v>
      </c>
    </row>
    <row r="84" spans="1:1" x14ac:dyDescent="0.25">
      <c r="A84" s="1" t="s">
        <v>99</v>
      </c>
    </row>
    <row r="85" spans="1:1" x14ac:dyDescent="0.25">
      <c r="A85" s="1" t="s">
        <v>100</v>
      </c>
    </row>
    <row r="86" spans="1:1" x14ac:dyDescent="0.25">
      <c r="A86" s="1" t="s">
        <v>101</v>
      </c>
    </row>
    <row r="87" spans="1:1" x14ac:dyDescent="0.25">
      <c r="A87" s="1" t="s">
        <v>102</v>
      </c>
    </row>
    <row r="88" spans="1:1" x14ac:dyDescent="0.25">
      <c r="A88" s="1" t="s">
        <v>103</v>
      </c>
    </row>
    <row r="89" spans="1:1" x14ac:dyDescent="0.25">
      <c r="A89" s="1" t="s">
        <v>104</v>
      </c>
    </row>
    <row r="90" spans="1:1" x14ac:dyDescent="0.25">
      <c r="A90" s="1" t="s">
        <v>105</v>
      </c>
    </row>
    <row r="91" spans="1:1" x14ac:dyDescent="0.25">
      <c r="A91" s="1" t="s">
        <v>106</v>
      </c>
    </row>
    <row r="92" spans="1:1" x14ac:dyDescent="0.25">
      <c r="A92" s="1" t="s">
        <v>107</v>
      </c>
    </row>
    <row r="93" spans="1:1" x14ac:dyDescent="0.25">
      <c r="A93" s="1" t="s">
        <v>108</v>
      </c>
    </row>
    <row r="94" spans="1:1" x14ac:dyDescent="0.25">
      <c r="A94" s="1" t="s">
        <v>109</v>
      </c>
    </row>
    <row r="95" spans="1:1" x14ac:dyDescent="0.25">
      <c r="A95" s="1" t="s">
        <v>110</v>
      </c>
    </row>
    <row r="96" spans="1:1" x14ac:dyDescent="0.25">
      <c r="A96" s="1" t="s">
        <v>111</v>
      </c>
    </row>
    <row r="97" spans="1:1" x14ac:dyDescent="0.25">
      <c r="A97" s="1" t="s">
        <v>112</v>
      </c>
    </row>
    <row r="98" spans="1:1" x14ac:dyDescent="0.25">
      <c r="A98" s="1" t="s">
        <v>113</v>
      </c>
    </row>
    <row r="99" spans="1:1" x14ac:dyDescent="0.25">
      <c r="A99" s="1" t="s">
        <v>114</v>
      </c>
    </row>
    <row r="100" spans="1:1" x14ac:dyDescent="0.25">
      <c r="A100" s="1" t="s">
        <v>115</v>
      </c>
    </row>
    <row r="101" spans="1:1" x14ac:dyDescent="0.25">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8" t="s">
        <v>121</v>
      </c>
      <c r="B1" s="8" t="s">
        <v>122</v>
      </c>
      <c r="C1" s="8" t="s">
        <v>123</v>
      </c>
      <c r="D1" s="8" t="s">
        <v>124</v>
      </c>
      <c r="E1" s="8" t="s">
        <v>125</v>
      </c>
      <c r="F1" s="8" t="s">
        <v>126</v>
      </c>
      <c r="G1" s="8" t="s">
        <v>127</v>
      </c>
      <c r="H1" s="8" t="s">
        <v>128</v>
      </c>
      <c r="I1" s="8" t="s">
        <v>129</v>
      </c>
      <c r="J1" s="8" t="s">
        <v>130</v>
      </c>
      <c r="K1" s="8" t="s">
        <v>131</v>
      </c>
    </row>
    <row r="2" spans="1:11" x14ac:dyDescent="0.3">
      <c r="A2" s="9" t="s">
        <v>132</v>
      </c>
      <c r="B2" s="9" t="s">
        <v>133</v>
      </c>
      <c r="C2" s="9" t="s">
        <v>134</v>
      </c>
      <c r="D2" s="9" t="s">
        <v>133</v>
      </c>
      <c r="E2" s="9" t="s">
        <v>135</v>
      </c>
      <c r="F2" s="9" t="s">
        <v>136</v>
      </c>
      <c r="G2" s="9" t="s">
        <v>137</v>
      </c>
      <c r="H2" s="9" t="s">
        <v>132</v>
      </c>
      <c r="I2" s="9" t="s">
        <v>132</v>
      </c>
      <c r="J2" s="9" t="s">
        <v>138</v>
      </c>
      <c r="K2" s="9" t="s">
        <v>139</v>
      </c>
    </row>
    <row r="3" spans="1:11" x14ac:dyDescent="0.3">
      <c r="A3" s="9" t="s">
        <v>140</v>
      </c>
      <c r="B3" s="9" t="s">
        <v>141</v>
      </c>
      <c r="C3" s="9" t="s">
        <v>142</v>
      </c>
      <c r="D3" s="9" t="s">
        <v>143</v>
      </c>
      <c r="E3" s="9" t="s">
        <v>135</v>
      </c>
      <c r="F3" s="9" t="s">
        <v>132</v>
      </c>
      <c r="G3" s="9" t="s">
        <v>132</v>
      </c>
      <c r="H3" s="9" t="s">
        <v>132</v>
      </c>
      <c r="I3" s="9" t="s">
        <v>132</v>
      </c>
      <c r="J3" s="9" t="s">
        <v>144</v>
      </c>
      <c r="K3" s="9" t="s">
        <v>139</v>
      </c>
    </row>
    <row r="4" spans="1:11" x14ac:dyDescent="0.3">
      <c r="A4" s="9" t="s">
        <v>145</v>
      </c>
      <c r="B4" s="9" t="s">
        <v>146</v>
      </c>
      <c r="C4" s="9" t="s">
        <v>142</v>
      </c>
      <c r="D4" s="9" t="s">
        <v>143</v>
      </c>
      <c r="E4" s="9" t="s">
        <v>135</v>
      </c>
      <c r="F4" s="9" t="s">
        <v>132</v>
      </c>
      <c r="G4" s="9" t="s">
        <v>132</v>
      </c>
      <c r="H4" s="9" t="s">
        <v>132</v>
      </c>
      <c r="I4" s="9" t="s">
        <v>132</v>
      </c>
      <c r="J4" s="9" t="s">
        <v>147</v>
      </c>
      <c r="K4" s="9" t="s">
        <v>139</v>
      </c>
    </row>
    <row r="5" spans="1:11" x14ac:dyDescent="0.3">
      <c r="A5" s="9" t="s">
        <v>148</v>
      </c>
      <c r="B5" s="9" t="s">
        <v>149</v>
      </c>
      <c r="C5" s="9" t="s">
        <v>142</v>
      </c>
      <c r="D5" s="9" t="s">
        <v>143</v>
      </c>
      <c r="E5" s="9" t="s">
        <v>135</v>
      </c>
      <c r="F5" s="9" t="s">
        <v>132</v>
      </c>
      <c r="G5" s="9" t="s">
        <v>132</v>
      </c>
      <c r="H5" s="9" t="s">
        <v>132</v>
      </c>
      <c r="I5" s="9" t="s">
        <v>132</v>
      </c>
      <c r="J5" s="9" t="s">
        <v>147</v>
      </c>
      <c r="K5" s="9" t="s">
        <v>139</v>
      </c>
    </row>
    <row r="6" spans="1:11" x14ac:dyDescent="0.3">
      <c r="A6" s="9" t="s">
        <v>150</v>
      </c>
      <c r="B6" s="9" t="s">
        <v>151</v>
      </c>
      <c r="C6" s="9" t="s">
        <v>142</v>
      </c>
      <c r="D6" s="9" t="s">
        <v>143</v>
      </c>
      <c r="E6" s="9" t="s">
        <v>135</v>
      </c>
      <c r="F6" s="9" t="s">
        <v>132</v>
      </c>
      <c r="G6" s="9" t="s">
        <v>132</v>
      </c>
      <c r="H6" s="9" t="s">
        <v>132</v>
      </c>
      <c r="I6" s="9" t="s">
        <v>132</v>
      </c>
      <c r="J6" s="9" t="s">
        <v>147</v>
      </c>
      <c r="K6" s="9" t="s">
        <v>139</v>
      </c>
    </row>
    <row r="7" spans="1:11" x14ac:dyDescent="0.3">
      <c r="A7" s="9" t="s">
        <v>152</v>
      </c>
      <c r="B7" s="9" t="s">
        <v>153</v>
      </c>
      <c r="C7" s="9" t="s">
        <v>142</v>
      </c>
      <c r="D7" s="9" t="s">
        <v>143</v>
      </c>
      <c r="E7" s="9" t="s">
        <v>135</v>
      </c>
      <c r="F7" s="9" t="s">
        <v>132</v>
      </c>
      <c r="G7" s="9" t="s">
        <v>132</v>
      </c>
      <c r="H7" s="9" t="s">
        <v>132</v>
      </c>
      <c r="I7" s="9" t="s">
        <v>132</v>
      </c>
      <c r="J7" s="9" t="s">
        <v>154</v>
      </c>
      <c r="K7" s="9" t="s">
        <v>139</v>
      </c>
    </row>
    <row r="8" spans="1:11" x14ac:dyDescent="0.3">
      <c r="A8" s="9" t="s">
        <v>155</v>
      </c>
      <c r="B8" s="9" t="s">
        <v>156</v>
      </c>
      <c r="C8" s="9" t="s">
        <v>142</v>
      </c>
      <c r="D8" s="9" t="s">
        <v>143</v>
      </c>
      <c r="E8" s="9" t="s">
        <v>135</v>
      </c>
      <c r="F8" s="9" t="s">
        <v>132</v>
      </c>
      <c r="G8" s="9" t="s">
        <v>132</v>
      </c>
      <c r="H8" s="9" t="s">
        <v>132</v>
      </c>
      <c r="I8" s="9" t="s">
        <v>132</v>
      </c>
      <c r="J8" s="9" t="s">
        <v>154</v>
      </c>
      <c r="K8" s="9" t="s">
        <v>139</v>
      </c>
    </row>
    <row r="9" spans="1:11" x14ac:dyDescent="0.3">
      <c r="A9" s="9" t="s">
        <v>157</v>
      </c>
      <c r="B9" s="9" t="s">
        <v>158</v>
      </c>
      <c r="C9" s="9" t="s">
        <v>142</v>
      </c>
      <c r="D9" s="9" t="s">
        <v>143</v>
      </c>
      <c r="E9" s="9" t="s">
        <v>135</v>
      </c>
      <c r="F9" s="9" t="s">
        <v>132</v>
      </c>
      <c r="G9" s="9" t="s">
        <v>132</v>
      </c>
      <c r="H9" s="9" t="s">
        <v>132</v>
      </c>
      <c r="I9" s="9" t="s">
        <v>132</v>
      </c>
      <c r="J9" s="9" t="s">
        <v>154</v>
      </c>
      <c r="K9" s="9" t="s">
        <v>139</v>
      </c>
    </row>
    <row r="10" spans="1:11" x14ac:dyDescent="0.3">
      <c r="A10" s="9" t="s">
        <v>159</v>
      </c>
      <c r="B10" s="9" t="s">
        <v>160</v>
      </c>
      <c r="C10" s="9" t="s">
        <v>142</v>
      </c>
      <c r="D10" s="9" t="s">
        <v>143</v>
      </c>
      <c r="E10" s="9" t="s">
        <v>135</v>
      </c>
      <c r="F10" s="9" t="s">
        <v>132</v>
      </c>
      <c r="G10" s="9" t="s">
        <v>132</v>
      </c>
      <c r="H10" s="9" t="s">
        <v>132</v>
      </c>
      <c r="I10" s="9" t="s">
        <v>132</v>
      </c>
      <c r="J10" s="9" t="s">
        <v>144</v>
      </c>
      <c r="K10" s="9" t="s">
        <v>139</v>
      </c>
    </row>
    <row r="11" spans="1:11" x14ac:dyDescent="0.3">
      <c r="A11" s="9" t="s">
        <v>161</v>
      </c>
      <c r="B11" s="9" t="s">
        <v>162</v>
      </c>
      <c r="C11" s="9" t="s">
        <v>142</v>
      </c>
      <c r="D11" s="9" t="s">
        <v>143</v>
      </c>
      <c r="E11" s="9" t="s">
        <v>135</v>
      </c>
      <c r="F11" s="9" t="s">
        <v>132</v>
      </c>
      <c r="G11" s="9" t="s">
        <v>132</v>
      </c>
      <c r="H11" s="9" t="s">
        <v>132</v>
      </c>
      <c r="I11" s="9" t="s">
        <v>132</v>
      </c>
      <c r="J11" s="9" t="s">
        <v>147</v>
      </c>
      <c r="K11" s="9" t="s">
        <v>139</v>
      </c>
    </row>
    <row r="12" spans="1:11" x14ac:dyDescent="0.3">
      <c r="A12" s="9" t="s">
        <v>163</v>
      </c>
      <c r="B12" s="9" t="s">
        <v>164</v>
      </c>
      <c r="C12" s="9" t="s">
        <v>142</v>
      </c>
      <c r="D12" s="9" t="s">
        <v>143</v>
      </c>
      <c r="E12" s="9" t="s">
        <v>135</v>
      </c>
      <c r="F12" s="9" t="s">
        <v>132</v>
      </c>
      <c r="G12" s="9" t="s">
        <v>132</v>
      </c>
      <c r="H12" s="9" t="s">
        <v>132</v>
      </c>
      <c r="I12" s="9" t="s">
        <v>132</v>
      </c>
      <c r="J12" s="9" t="s">
        <v>138</v>
      </c>
      <c r="K12" s="9" t="s">
        <v>139</v>
      </c>
    </row>
    <row r="13" spans="1:11" x14ac:dyDescent="0.3">
      <c r="A13" s="9" t="s">
        <v>165</v>
      </c>
      <c r="B13" s="9" t="s">
        <v>166</v>
      </c>
      <c r="C13" s="9" t="s">
        <v>142</v>
      </c>
      <c r="D13" s="9" t="s">
        <v>143</v>
      </c>
      <c r="E13" s="9" t="s">
        <v>135</v>
      </c>
      <c r="F13" s="9" t="s">
        <v>132</v>
      </c>
      <c r="G13" s="9" t="s">
        <v>132</v>
      </c>
      <c r="H13" s="9" t="s">
        <v>132</v>
      </c>
      <c r="I13" s="9" t="s">
        <v>132</v>
      </c>
      <c r="J13" s="9" t="s">
        <v>147</v>
      </c>
      <c r="K13" s="9" t="s">
        <v>167</v>
      </c>
    </row>
    <row r="14" spans="1:11" x14ac:dyDescent="0.3">
      <c r="A14" s="9" t="s">
        <v>168</v>
      </c>
      <c r="B14" s="9" t="s">
        <v>169</v>
      </c>
      <c r="C14" s="9" t="s">
        <v>142</v>
      </c>
      <c r="D14" s="9" t="s">
        <v>143</v>
      </c>
      <c r="E14" s="9" t="s">
        <v>135</v>
      </c>
      <c r="F14" s="9" t="s">
        <v>132</v>
      </c>
      <c r="G14" s="9" t="s">
        <v>132</v>
      </c>
      <c r="H14" s="9" t="s">
        <v>132</v>
      </c>
      <c r="I14" s="9" t="s">
        <v>132</v>
      </c>
      <c r="J14" s="9" t="s">
        <v>147</v>
      </c>
      <c r="K14" s="9" t="s">
        <v>167</v>
      </c>
    </row>
    <row r="15" spans="1:11" x14ac:dyDescent="0.3">
      <c r="A15" s="9" t="s">
        <v>170</v>
      </c>
      <c r="B15" s="9" t="s">
        <v>171</v>
      </c>
      <c r="C15" s="9" t="s">
        <v>142</v>
      </c>
      <c r="D15" s="9" t="s">
        <v>143</v>
      </c>
      <c r="E15" s="9" t="s">
        <v>135</v>
      </c>
      <c r="F15" s="9" t="s">
        <v>132</v>
      </c>
      <c r="G15" s="9" t="s">
        <v>132</v>
      </c>
      <c r="H15" s="9" t="s">
        <v>132</v>
      </c>
      <c r="I15" s="9" t="s">
        <v>132</v>
      </c>
      <c r="J15" s="9" t="s">
        <v>147</v>
      </c>
      <c r="K15" s="9" t="s">
        <v>139</v>
      </c>
    </row>
    <row r="16" spans="1:11" x14ac:dyDescent="0.3">
      <c r="A16" s="9" t="s">
        <v>172</v>
      </c>
      <c r="B16" s="9" t="s">
        <v>173</v>
      </c>
      <c r="C16" s="9" t="s">
        <v>142</v>
      </c>
      <c r="D16" s="9" t="s">
        <v>143</v>
      </c>
      <c r="E16" s="9" t="s">
        <v>135</v>
      </c>
      <c r="F16" s="9" t="s">
        <v>132</v>
      </c>
      <c r="G16" s="9" t="s">
        <v>132</v>
      </c>
      <c r="H16" s="9" t="s">
        <v>132</v>
      </c>
      <c r="I16" s="9" t="s">
        <v>132</v>
      </c>
      <c r="J16" s="9" t="s">
        <v>174</v>
      </c>
      <c r="K16" s="9" t="s">
        <v>139</v>
      </c>
    </row>
    <row r="17" spans="1:11" x14ac:dyDescent="0.3">
      <c r="A17" s="9" t="s">
        <v>175</v>
      </c>
      <c r="B17" s="9" t="s">
        <v>176</v>
      </c>
      <c r="C17" s="9" t="s">
        <v>142</v>
      </c>
      <c r="D17" s="9" t="s">
        <v>143</v>
      </c>
      <c r="E17" s="9" t="s">
        <v>135</v>
      </c>
      <c r="F17" s="9" t="s">
        <v>132</v>
      </c>
      <c r="G17" s="9" t="s">
        <v>132</v>
      </c>
      <c r="H17" s="9" t="s">
        <v>132</v>
      </c>
      <c r="I17" s="9" t="s">
        <v>132</v>
      </c>
      <c r="J17" s="9" t="s">
        <v>138</v>
      </c>
      <c r="K17" s="9" t="s">
        <v>139</v>
      </c>
    </row>
    <row r="18" spans="1:11" x14ac:dyDescent="0.3">
      <c r="A18" s="9" t="s">
        <v>177</v>
      </c>
      <c r="B18" s="9" t="s">
        <v>178</v>
      </c>
      <c r="C18" s="9" t="s">
        <v>142</v>
      </c>
      <c r="D18" s="9" t="s">
        <v>143</v>
      </c>
      <c r="E18" s="9" t="s">
        <v>135</v>
      </c>
      <c r="F18" s="9" t="s">
        <v>132</v>
      </c>
      <c r="G18" s="9" t="s">
        <v>132</v>
      </c>
      <c r="H18" s="9" t="s">
        <v>132</v>
      </c>
      <c r="I18" s="9" t="s">
        <v>132</v>
      </c>
      <c r="J18" s="9" t="s">
        <v>138</v>
      </c>
      <c r="K18" s="9" t="s">
        <v>139</v>
      </c>
    </row>
    <row r="19" spans="1:11" x14ac:dyDescent="0.3">
      <c r="A19" s="9" t="s">
        <v>179</v>
      </c>
      <c r="B19" s="9" t="s">
        <v>180</v>
      </c>
      <c r="C19" s="9" t="s">
        <v>142</v>
      </c>
      <c r="D19" s="9" t="s">
        <v>143</v>
      </c>
      <c r="E19" s="9" t="s">
        <v>135</v>
      </c>
      <c r="F19" s="9" t="s">
        <v>132</v>
      </c>
      <c r="G19" s="9" t="s">
        <v>132</v>
      </c>
      <c r="H19" s="9" t="s">
        <v>132</v>
      </c>
      <c r="I19" s="9" t="s">
        <v>132</v>
      </c>
      <c r="J19" s="9" t="s">
        <v>138</v>
      </c>
      <c r="K19" s="9" t="s">
        <v>139</v>
      </c>
    </row>
    <row r="20" spans="1:11" x14ac:dyDescent="0.3">
      <c r="A20" s="9" t="s">
        <v>181</v>
      </c>
      <c r="B20" s="9" t="s">
        <v>182</v>
      </c>
      <c r="C20" s="9" t="s">
        <v>142</v>
      </c>
      <c r="D20" s="9" t="s">
        <v>143</v>
      </c>
      <c r="E20" s="9" t="s">
        <v>135</v>
      </c>
      <c r="F20" s="9" t="s">
        <v>132</v>
      </c>
      <c r="G20" s="9" t="s">
        <v>132</v>
      </c>
      <c r="H20" s="9" t="s">
        <v>132</v>
      </c>
      <c r="I20" s="9" t="s">
        <v>132</v>
      </c>
      <c r="J20" s="9" t="s">
        <v>144</v>
      </c>
      <c r="K20" s="9" t="s">
        <v>139</v>
      </c>
    </row>
    <row r="21" spans="1:11" x14ac:dyDescent="0.3">
      <c r="A21" s="9" t="s">
        <v>183</v>
      </c>
      <c r="B21" s="9" t="s">
        <v>184</v>
      </c>
      <c r="C21" s="9" t="s">
        <v>142</v>
      </c>
      <c r="D21" s="9" t="s">
        <v>143</v>
      </c>
      <c r="E21" s="9" t="s">
        <v>135</v>
      </c>
      <c r="F21" s="9" t="s">
        <v>132</v>
      </c>
      <c r="G21" s="9" t="s">
        <v>132</v>
      </c>
      <c r="H21" s="9" t="s">
        <v>132</v>
      </c>
      <c r="I21" s="9" t="s">
        <v>132</v>
      </c>
      <c r="J21" s="9" t="s">
        <v>185</v>
      </c>
      <c r="K21" s="9" t="s">
        <v>139</v>
      </c>
    </row>
    <row r="22" spans="1:11" x14ac:dyDescent="0.3">
      <c r="A22" s="9" t="s">
        <v>186</v>
      </c>
      <c r="B22" s="9" t="s">
        <v>187</v>
      </c>
      <c r="C22" s="9" t="s">
        <v>142</v>
      </c>
      <c r="D22" s="9" t="s">
        <v>143</v>
      </c>
      <c r="E22" s="9" t="s">
        <v>135</v>
      </c>
      <c r="F22" s="9" t="s">
        <v>132</v>
      </c>
      <c r="G22" s="9" t="s">
        <v>132</v>
      </c>
      <c r="H22" s="9" t="s">
        <v>132</v>
      </c>
      <c r="I22" s="9" t="s">
        <v>132</v>
      </c>
      <c r="J22" s="9" t="s">
        <v>188</v>
      </c>
      <c r="K22" s="9" t="s">
        <v>139</v>
      </c>
    </row>
    <row r="23" spans="1:11" x14ac:dyDescent="0.3">
      <c r="A23" s="9" t="s">
        <v>189</v>
      </c>
      <c r="B23" s="9" t="s">
        <v>190</v>
      </c>
      <c r="C23" s="9" t="s">
        <v>142</v>
      </c>
      <c r="D23" s="9" t="s">
        <v>143</v>
      </c>
      <c r="E23" s="9" t="s">
        <v>135</v>
      </c>
      <c r="F23" s="9" t="s">
        <v>132</v>
      </c>
      <c r="G23" s="9" t="s">
        <v>132</v>
      </c>
      <c r="H23" s="9" t="s">
        <v>132</v>
      </c>
      <c r="I23" s="9" t="s">
        <v>132</v>
      </c>
      <c r="J23" s="9" t="s">
        <v>138</v>
      </c>
      <c r="K23" s="9" t="s">
        <v>139</v>
      </c>
    </row>
    <row r="24" spans="1:11" x14ac:dyDescent="0.3">
      <c r="A24" s="9" t="s">
        <v>191</v>
      </c>
      <c r="B24" s="9" t="s">
        <v>192</v>
      </c>
      <c r="C24" s="9" t="s">
        <v>142</v>
      </c>
      <c r="D24" s="9" t="s">
        <v>143</v>
      </c>
      <c r="E24" s="9" t="s">
        <v>135</v>
      </c>
      <c r="F24" s="9" t="s">
        <v>132</v>
      </c>
      <c r="G24" s="9" t="s">
        <v>132</v>
      </c>
      <c r="H24" s="9" t="s">
        <v>132</v>
      </c>
      <c r="I24" s="9" t="s">
        <v>132</v>
      </c>
      <c r="J24" s="9" t="s">
        <v>144</v>
      </c>
      <c r="K24" s="9" t="s">
        <v>139</v>
      </c>
    </row>
    <row r="25" spans="1:11" x14ac:dyDescent="0.3">
      <c r="A25" s="9" t="s">
        <v>193</v>
      </c>
      <c r="B25" s="9" t="s">
        <v>194</v>
      </c>
      <c r="C25" s="9" t="s">
        <v>142</v>
      </c>
      <c r="D25" s="9" t="s">
        <v>143</v>
      </c>
      <c r="E25" s="9" t="s">
        <v>135</v>
      </c>
      <c r="F25" s="9" t="s">
        <v>132</v>
      </c>
      <c r="G25" s="9" t="s">
        <v>132</v>
      </c>
      <c r="H25" s="9" t="s">
        <v>132</v>
      </c>
      <c r="I25" s="9" t="s">
        <v>132</v>
      </c>
      <c r="J25" s="9" t="s">
        <v>138</v>
      </c>
      <c r="K25" s="9" t="s">
        <v>139</v>
      </c>
    </row>
    <row r="26" spans="1:11" x14ac:dyDescent="0.3">
      <c r="A26" s="9" t="s">
        <v>195</v>
      </c>
      <c r="B26" s="9" t="s">
        <v>196</v>
      </c>
      <c r="C26" s="9" t="s">
        <v>142</v>
      </c>
      <c r="D26" s="9" t="s">
        <v>143</v>
      </c>
      <c r="E26" s="9" t="s">
        <v>135</v>
      </c>
      <c r="F26" s="9" t="s">
        <v>132</v>
      </c>
      <c r="G26" s="9" t="s">
        <v>132</v>
      </c>
      <c r="H26" s="9" t="s">
        <v>132</v>
      </c>
      <c r="I26" s="9" t="s">
        <v>132</v>
      </c>
      <c r="J26" s="9" t="s">
        <v>144</v>
      </c>
      <c r="K26" s="9" t="s">
        <v>139</v>
      </c>
    </row>
    <row r="27" spans="1:11" x14ac:dyDescent="0.3">
      <c r="A27" s="9" t="s">
        <v>197</v>
      </c>
      <c r="B27" s="9" t="s">
        <v>198</v>
      </c>
      <c r="C27" s="9" t="s">
        <v>142</v>
      </c>
      <c r="D27" s="9" t="s">
        <v>143</v>
      </c>
      <c r="E27" s="9" t="s">
        <v>135</v>
      </c>
      <c r="F27" s="9" t="s">
        <v>132</v>
      </c>
      <c r="G27" s="9" t="s">
        <v>132</v>
      </c>
      <c r="H27" s="9" t="s">
        <v>132</v>
      </c>
      <c r="I27" s="9" t="s">
        <v>132</v>
      </c>
      <c r="J27" s="9" t="s">
        <v>138</v>
      </c>
      <c r="K27" s="9" t="s">
        <v>139</v>
      </c>
    </row>
    <row r="28" spans="1:11" x14ac:dyDescent="0.3">
      <c r="A28" s="9" t="s">
        <v>199</v>
      </c>
      <c r="B28" s="9" t="s">
        <v>200</v>
      </c>
      <c r="C28" s="9" t="s">
        <v>142</v>
      </c>
      <c r="D28" s="9" t="s">
        <v>143</v>
      </c>
      <c r="E28" s="9" t="s">
        <v>135</v>
      </c>
      <c r="F28" s="9" t="s">
        <v>132</v>
      </c>
      <c r="G28" s="9" t="s">
        <v>132</v>
      </c>
      <c r="H28" s="9" t="s">
        <v>132</v>
      </c>
      <c r="I28" s="9" t="s">
        <v>132</v>
      </c>
      <c r="J28" s="9" t="s">
        <v>138</v>
      </c>
      <c r="K28" s="9" t="s">
        <v>139</v>
      </c>
    </row>
    <row r="29" spans="1:11" x14ac:dyDescent="0.3">
      <c r="A29" s="9" t="s">
        <v>201</v>
      </c>
      <c r="B29" s="9" t="s">
        <v>202</v>
      </c>
      <c r="C29" s="9" t="s">
        <v>142</v>
      </c>
      <c r="D29" s="9" t="s">
        <v>143</v>
      </c>
      <c r="E29" s="9" t="s">
        <v>135</v>
      </c>
      <c r="F29" s="9" t="s">
        <v>132</v>
      </c>
      <c r="G29" s="9" t="s">
        <v>132</v>
      </c>
      <c r="H29" s="9" t="s">
        <v>132</v>
      </c>
      <c r="I29" s="9" t="s">
        <v>132</v>
      </c>
      <c r="J29" s="9" t="s">
        <v>144</v>
      </c>
      <c r="K29" s="9" t="s">
        <v>139</v>
      </c>
    </row>
    <row r="30" spans="1:11" x14ac:dyDescent="0.3">
      <c r="A30" s="9" t="s">
        <v>203</v>
      </c>
      <c r="B30" s="9" t="s">
        <v>204</v>
      </c>
      <c r="C30" s="9" t="s">
        <v>142</v>
      </c>
      <c r="D30" s="9" t="s">
        <v>143</v>
      </c>
      <c r="E30" s="9" t="s">
        <v>135</v>
      </c>
      <c r="F30" s="9" t="s">
        <v>132</v>
      </c>
      <c r="G30" s="9" t="s">
        <v>132</v>
      </c>
      <c r="H30" s="9" t="s">
        <v>132</v>
      </c>
      <c r="I30" s="9" t="s">
        <v>132</v>
      </c>
      <c r="J30" s="9" t="s">
        <v>144</v>
      </c>
      <c r="K30" s="9" t="s">
        <v>139</v>
      </c>
    </row>
    <row r="31" spans="1:11" x14ac:dyDescent="0.3">
      <c r="A31" s="9" t="s">
        <v>205</v>
      </c>
      <c r="B31" s="9" t="s">
        <v>206</v>
      </c>
      <c r="C31" s="9" t="s">
        <v>142</v>
      </c>
      <c r="D31" s="9" t="s">
        <v>143</v>
      </c>
      <c r="E31" s="9" t="s">
        <v>135</v>
      </c>
      <c r="F31" s="9" t="s">
        <v>132</v>
      </c>
      <c r="G31" s="9" t="s">
        <v>132</v>
      </c>
      <c r="H31" s="9" t="s">
        <v>132</v>
      </c>
      <c r="I31" s="9" t="s">
        <v>132</v>
      </c>
      <c r="J31" s="9" t="s">
        <v>144</v>
      </c>
      <c r="K31" s="9" t="s">
        <v>139</v>
      </c>
    </row>
    <row r="32" spans="1:11" x14ac:dyDescent="0.3">
      <c r="A32" s="9" t="s">
        <v>207</v>
      </c>
      <c r="B32" s="9" t="s">
        <v>208</v>
      </c>
      <c r="C32" s="9" t="s">
        <v>142</v>
      </c>
      <c r="D32" s="9" t="s">
        <v>143</v>
      </c>
      <c r="E32" s="9" t="s">
        <v>135</v>
      </c>
      <c r="F32" s="9" t="s">
        <v>132</v>
      </c>
      <c r="G32" s="9" t="s">
        <v>132</v>
      </c>
      <c r="H32" s="9" t="s">
        <v>132</v>
      </c>
      <c r="I32" s="9" t="s">
        <v>132</v>
      </c>
      <c r="J32" s="9" t="s">
        <v>144</v>
      </c>
      <c r="K32" s="9" t="s">
        <v>139</v>
      </c>
    </row>
    <row r="33" spans="1:11" x14ac:dyDescent="0.3">
      <c r="A33" s="9" t="s">
        <v>209</v>
      </c>
      <c r="B33" s="9" t="s">
        <v>210</v>
      </c>
      <c r="C33" s="9" t="s">
        <v>142</v>
      </c>
      <c r="D33" s="9" t="s">
        <v>143</v>
      </c>
      <c r="E33" s="9" t="s">
        <v>135</v>
      </c>
      <c r="F33" s="9" t="s">
        <v>132</v>
      </c>
      <c r="G33" s="9" t="s">
        <v>132</v>
      </c>
      <c r="H33" s="9" t="s">
        <v>132</v>
      </c>
      <c r="I33" s="9" t="s">
        <v>132</v>
      </c>
      <c r="J33" s="9" t="s">
        <v>144</v>
      </c>
      <c r="K33" s="9" t="s">
        <v>139</v>
      </c>
    </row>
    <row r="34" spans="1:11" x14ac:dyDescent="0.3">
      <c r="A34" s="9" t="s">
        <v>211</v>
      </c>
      <c r="B34" s="9" t="s">
        <v>212</v>
      </c>
      <c r="C34" s="9" t="s">
        <v>142</v>
      </c>
      <c r="D34" s="9" t="s">
        <v>143</v>
      </c>
      <c r="E34" s="9" t="s">
        <v>135</v>
      </c>
      <c r="F34" s="9" t="s">
        <v>132</v>
      </c>
      <c r="G34" s="9" t="s">
        <v>132</v>
      </c>
      <c r="H34" s="9" t="s">
        <v>132</v>
      </c>
      <c r="I34" s="9" t="s">
        <v>132</v>
      </c>
      <c r="J34" s="9" t="s">
        <v>147</v>
      </c>
      <c r="K34" s="9" t="s">
        <v>139</v>
      </c>
    </row>
    <row r="35" spans="1:11" x14ac:dyDescent="0.3">
      <c r="A35" s="9" t="s">
        <v>213</v>
      </c>
      <c r="B35" s="9" t="s">
        <v>214</v>
      </c>
      <c r="C35" s="9" t="s">
        <v>142</v>
      </c>
      <c r="D35" s="9" t="s">
        <v>143</v>
      </c>
      <c r="E35" s="9" t="s">
        <v>135</v>
      </c>
      <c r="F35" s="9" t="s">
        <v>132</v>
      </c>
      <c r="G35" s="9" t="s">
        <v>132</v>
      </c>
      <c r="H35" s="9" t="s">
        <v>132</v>
      </c>
      <c r="I35" s="9" t="s">
        <v>132</v>
      </c>
      <c r="J35" s="9" t="s">
        <v>154</v>
      </c>
      <c r="K35" s="9" t="s">
        <v>139</v>
      </c>
    </row>
    <row r="36" spans="1:11" x14ac:dyDescent="0.3">
      <c r="A36" s="9" t="s">
        <v>215</v>
      </c>
      <c r="B36" s="9" t="s">
        <v>216</v>
      </c>
      <c r="C36" s="9" t="s">
        <v>142</v>
      </c>
      <c r="D36" s="9" t="s">
        <v>217</v>
      </c>
      <c r="E36" s="9" t="s">
        <v>135</v>
      </c>
      <c r="F36" s="9" t="s">
        <v>132</v>
      </c>
      <c r="G36" s="9" t="s">
        <v>132</v>
      </c>
      <c r="H36" s="9" t="s">
        <v>132</v>
      </c>
      <c r="I36" s="9" t="s">
        <v>132</v>
      </c>
      <c r="J36" s="9" t="s">
        <v>218</v>
      </c>
      <c r="K36" s="9" t="s">
        <v>139</v>
      </c>
    </row>
    <row r="37" spans="1:11" x14ac:dyDescent="0.3">
      <c r="A37" s="9" t="s">
        <v>219</v>
      </c>
      <c r="B37" s="9" t="s">
        <v>220</v>
      </c>
      <c r="C37" s="9" t="s">
        <v>142</v>
      </c>
      <c r="D37" s="9" t="s">
        <v>143</v>
      </c>
      <c r="E37" s="9" t="s">
        <v>135</v>
      </c>
      <c r="F37" s="9" t="s">
        <v>132</v>
      </c>
      <c r="G37" s="9" t="s">
        <v>132</v>
      </c>
      <c r="H37" s="9" t="s">
        <v>132</v>
      </c>
      <c r="I37" s="9" t="s">
        <v>132</v>
      </c>
      <c r="J37" s="9" t="s">
        <v>221</v>
      </c>
      <c r="K37" s="9" t="s">
        <v>139</v>
      </c>
    </row>
    <row r="38" spans="1:11" x14ac:dyDescent="0.3">
      <c r="A38" s="9" t="s">
        <v>222</v>
      </c>
      <c r="B38" s="9" t="s">
        <v>223</v>
      </c>
      <c r="C38" s="9" t="s">
        <v>142</v>
      </c>
      <c r="D38" s="9" t="s">
        <v>143</v>
      </c>
      <c r="E38" s="9" t="s">
        <v>135</v>
      </c>
      <c r="F38" s="9" t="s">
        <v>132</v>
      </c>
      <c r="G38" s="9" t="s">
        <v>132</v>
      </c>
      <c r="H38" s="9" t="s">
        <v>132</v>
      </c>
      <c r="I38" s="9" t="s">
        <v>132</v>
      </c>
      <c r="J38" s="9" t="s">
        <v>224</v>
      </c>
      <c r="K38" s="9" t="s">
        <v>139</v>
      </c>
    </row>
    <row r="39" spans="1:11" x14ac:dyDescent="0.3">
      <c r="A39" s="9" t="s">
        <v>225</v>
      </c>
      <c r="B39" s="9" t="s">
        <v>226</v>
      </c>
      <c r="C39" s="9" t="s">
        <v>227</v>
      </c>
      <c r="D39" s="9" t="s">
        <v>228</v>
      </c>
      <c r="E39" s="9" t="s">
        <v>135</v>
      </c>
      <c r="F39" s="9" t="s">
        <v>132</v>
      </c>
      <c r="G39" s="9" t="s">
        <v>132</v>
      </c>
      <c r="H39" s="9" t="s">
        <v>132</v>
      </c>
      <c r="I39" s="9" t="s">
        <v>132</v>
      </c>
      <c r="J39" s="9" t="s">
        <v>229</v>
      </c>
      <c r="K39" s="9" t="s">
        <v>139</v>
      </c>
    </row>
    <row r="40" spans="1:11" x14ac:dyDescent="0.3">
      <c r="A40" s="9" t="s">
        <v>230</v>
      </c>
      <c r="B40" s="9" t="s">
        <v>231</v>
      </c>
      <c r="C40" s="9" t="s">
        <v>232</v>
      </c>
      <c r="D40" s="9" t="s">
        <v>233</v>
      </c>
      <c r="E40" s="9" t="s">
        <v>135</v>
      </c>
      <c r="F40" s="9" t="s">
        <v>132</v>
      </c>
      <c r="G40" s="9" t="s">
        <v>132</v>
      </c>
      <c r="H40" s="9" t="s">
        <v>132</v>
      </c>
      <c r="I40" s="9" t="s">
        <v>132</v>
      </c>
      <c r="J40" s="9" t="s">
        <v>229</v>
      </c>
      <c r="K40" s="9" t="s">
        <v>139</v>
      </c>
    </row>
    <row r="41" spans="1:11" x14ac:dyDescent="0.3">
      <c r="A41" s="9" t="s">
        <v>234</v>
      </c>
      <c r="B41" s="9" t="s">
        <v>235</v>
      </c>
      <c r="C41" s="9" t="s">
        <v>236</v>
      </c>
      <c r="D41" s="9" t="s">
        <v>237</v>
      </c>
      <c r="E41" s="9" t="s">
        <v>135</v>
      </c>
      <c r="F41" s="9" t="s">
        <v>132</v>
      </c>
      <c r="G41" s="9" t="s">
        <v>132</v>
      </c>
      <c r="H41" s="9" t="s">
        <v>132</v>
      </c>
      <c r="I41" s="9" t="s">
        <v>132</v>
      </c>
      <c r="J41" s="9" t="s">
        <v>218</v>
      </c>
      <c r="K41" s="9" t="s">
        <v>139</v>
      </c>
    </row>
    <row r="42" spans="1:11" x14ac:dyDescent="0.3">
      <c r="A42" s="9" t="s">
        <v>238</v>
      </c>
      <c r="B42" s="9" t="s">
        <v>239</v>
      </c>
      <c r="C42" s="9" t="s">
        <v>236</v>
      </c>
      <c r="D42" s="9" t="s">
        <v>237</v>
      </c>
      <c r="E42" s="9" t="s">
        <v>135</v>
      </c>
      <c r="F42" s="9" t="s">
        <v>132</v>
      </c>
      <c r="G42" s="9" t="s">
        <v>132</v>
      </c>
      <c r="H42" s="9" t="s">
        <v>132</v>
      </c>
      <c r="I42" s="9" t="s">
        <v>132</v>
      </c>
      <c r="J42" s="9" t="s">
        <v>218</v>
      </c>
      <c r="K42" s="9" t="s">
        <v>139</v>
      </c>
    </row>
    <row r="43" spans="1:11" x14ac:dyDescent="0.3">
      <c r="A43" s="9" t="s">
        <v>240</v>
      </c>
      <c r="B43" s="9" t="s">
        <v>241</v>
      </c>
      <c r="C43" s="9" t="s">
        <v>242</v>
      </c>
      <c r="D43" s="9" t="s">
        <v>243</v>
      </c>
      <c r="E43" s="9" t="s">
        <v>135</v>
      </c>
      <c r="F43" s="9" t="s">
        <v>132</v>
      </c>
      <c r="G43" s="9" t="s">
        <v>132</v>
      </c>
      <c r="H43" s="9" t="s">
        <v>132</v>
      </c>
      <c r="I43" s="9" t="s">
        <v>132</v>
      </c>
      <c r="J43" s="9" t="s">
        <v>244</v>
      </c>
      <c r="K43" s="9" t="s">
        <v>245</v>
      </c>
    </row>
    <row r="44" spans="1:11" x14ac:dyDescent="0.3">
      <c r="A44" s="9" t="s">
        <v>246</v>
      </c>
      <c r="B44" s="9" t="s">
        <v>247</v>
      </c>
      <c r="C44" s="9" t="s">
        <v>248</v>
      </c>
      <c r="D44" s="9" t="s">
        <v>249</v>
      </c>
      <c r="E44" s="9" t="s">
        <v>135</v>
      </c>
      <c r="F44" s="9" t="s">
        <v>132</v>
      </c>
      <c r="G44" s="9" t="s">
        <v>132</v>
      </c>
      <c r="H44" s="9" t="s">
        <v>132</v>
      </c>
      <c r="I44" s="9" t="s">
        <v>132</v>
      </c>
      <c r="J44" s="9" t="s">
        <v>218</v>
      </c>
      <c r="K44" s="9" t="s">
        <v>245</v>
      </c>
    </row>
    <row r="45" spans="1:11" x14ac:dyDescent="0.3">
      <c r="A45" s="9" t="s">
        <v>250</v>
      </c>
      <c r="B45" s="9" t="s">
        <v>251</v>
      </c>
      <c r="C45" s="9" t="s">
        <v>142</v>
      </c>
      <c r="D45" s="9" t="s">
        <v>143</v>
      </c>
      <c r="E45" s="9" t="s">
        <v>135</v>
      </c>
      <c r="F45" s="9" t="s">
        <v>132</v>
      </c>
      <c r="G45" s="9" t="s">
        <v>132</v>
      </c>
      <c r="H45" s="9" t="s">
        <v>132</v>
      </c>
      <c r="I45" s="9" t="s">
        <v>132</v>
      </c>
      <c r="J45" s="9" t="s">
        <v>185</v>
      </c>
      <c r="K45" s="9" t="s">
        <v>139</v>
      </c>
    </row>
    <row r="46" spans="1:11" x14ac:dyDescent="0.3">
      <c r="A46" s="9" t="s">
        <v>252</v>
      </c>
      <c r="B46" s="9" t="s">
        <v>253</v>
      </c>
      <c r="C46" s="9" t="s">
        <v>142</v>
      </c>
      <c r="D46" s="9" t="s">
        <v>143</v>
      </c>
      <c r="E46" s="9" t="s">
        <v>135</v>
      </c>
      <c r="F46" s="9" t="s">
        <v>132</v>
      </c>
      <c r="G46" s="9" t="s">
        <v>132</v>
      </c>
      <c r="H46" s="9" t="s">
        <v>132</v>
      </c>
      <c r="I46" s="9" t="s">
        <v>132</v>
      </c>
      <c r="J46" s="9" t="s">
        <v>254</v>
      </c>
      <c r="K46" s="9" t="s">
        <v>139</v>
      </c>
    </row>
    <row r="47" spans="1:11" x14ac:dyDescent="0.3">
      <c r="A47" s="9" t="s">
        <v>255</v>
      </c>
      <c r="B47" s="9" t="s">
        <v>256</v>
      </c>
      <c r="C47" s="9" t="s">
        <v>242</v>
      </c>
      <c r="D47" s="9" t="s">
        <v>243</v>
      </c>
      <c r="E47" s="9" t="s">
        <v>135</v>
      </c>
      <c r="F47" s="9" t="s">
        <v>132</v>
      </c>
      <c r="G47" s="9" t="s">
        <v>132</v>
      </c>
      <c r="H47" s="9" t="s">
        <v>132</v>
      </c>
      <c r="I47" s="9" t="s">
        <v>132</v>
      </c>
      <c r="J47" s="9" t="s">
        <v>244</v>
      </c>
      <c r="K47" s="9" t="s">
        <v>139</v>
      </c>
    </row>
    <row r="48" spans="1:11" x14ac:dyDescent="0.3">
      <c r="A48" s="9" t="s">
        <v>257</v>
      </c>
      <c r="B48" s="9" t="s">
        <v>258</v>
      </c>
      <c r="C48" s="9" t="s">
        <v>259</v>
      </c>
      <c r="D48" s="9" t="s">
        <v>260</v>
      </c>
      <c r="E48" s="9" t="s">
        <v>135</v>
      </c>
      <c r="F48" s="9" t="s">
        <v>132</v>
      </c>
      <c r="G48" s="9" t="s">
        <v>132</v>
      </c>
      <c r="H48" s="9" t="s">
        <v>132</v>
      </c>
      <c r="I48" s="9" t="s">
        <v>132</v>
      </c>
      <c r="J48" s="9" t="s">
        <v>218</v>
      </c>
      <c r="K48" s="9" t="s">
        <v>139</v>
      </c>
    </row>
    <row r="49" spans="1:11" x14ac:dyDescent="0.3">
      <c r="A49" s="9" t="s">
        <v>261</v>
      </c>
      <c r="B49" s="9" t="s">
        <v>262</v>
      </c>
      <c r="C49" s="9" t="s">
        <v>236</v>
      </c>
      <c r="D49" s="9" t="s">
        <v>237</v>
      </c>
      <c r="E49" s="9" t="s">
        <v>135</v>
      </c>
      <c r="F49" s="9" t="s">
        <v>132</v>
      </c>
      <c r="G49" s="9" t="s">
        <v>132</v>
      </c>
      <c r="H49" s="9" t="s">
        <v>132</v>
      </c>
      <c r="I49" s="9" t="s">
        <v>132</v>
      </c>
      <c r="J49" s="9" t="s">
        <v>218</v>
      </c>
      <c r="K49" s="9" t="s">
        <v>139</v>
      </c>
    </row>
    <row r="50" spans="1:11" x14ac:dyDescent="0.3">
      <c r="A50" s="9" t="s">
        <v>263</v>
      </c>
      <c r="B50" s="9" t="s">
        <v>264</v>
      </c>
      <c r="C50" s="9" t="s">
        <v>142</v>
      </c>
      <c r="D50" s="9" t="s">
        <v>143</v>
      </c>
      <c r="E50" s="9" t="s">
        <v>135</v>
      </c>
      <c r="F50" s="9" t="s">
        <v>132</v>
      </c>
      <c r="G50" s="9" t="s">
        <v>132</v>
      </c>
      <c r="H50" s="9" t="s">
        <v>132</v>
      </c>
      <c r="I50" s="9" t="s">
        <v>132</v>
      </c>
      <c r="J50" s="9" t="s">
        <v>144</v>
      </c>
      <c r="K50" s="9" t="s">
        <v>139</v>
      </c>
    </row>
    <row r="51" spans="1:11" x14ac:dyDescent="0.3">
      <c r="A51" s="9" t="s">
        <v>265</v>
      </c>
      <c r="B51" s="9" t="s">
        <v>266</v>
      </c>
      <c r="C51" s="9" t="s">
        <v>142</v>
      </c>
      <c r="D51" s="9" t="s">
        <v>143</v>
      </c>
      <c r="E51" s="9" t="s">
        <v>135</v>
      </c>
      <c r="F51" s="9" t="s">
        <v>132</v>
      </c>
      <c r="G51" s="9" t="s">
        <v>132</v>
      </c>
      <c r="H51" s="9" t="s">
        <v>132</v>
      </c>
      <c r="I51" s="9" t="s">
        <v>132</v>
      </c>
      <c r="J51" s="9" t="s">
        <v>144</v>
      </c>
      <c r="K51" s="9" t="s">
        <v>139</v>
      </c>
    </row>
    <row r="52" spans="1:11" x14ac:dyDescent="0.3">
      <c r="A52" s="9" t="s">
        <v>267</v>
      </c>
      <c r="B52" s="9" t="s">
        <v>268</v>
      </c>
      <c r="C52" s="9" t="s">
        <v>142</v>
      </c>
      <c r="D52" s="9" t="s">
        <v>143</v>
      </c>
      <c r="E52" s="9" t="s">
        <v>135</v>
      </c>
      <c r="F52" s="9" t="s">
        <v>132</v>
      </c>
      <c r="G52" s="9" t="s">
        <v>132</v>
      </c>
      <c r="H52" s="9" t="s">
        <v>132</v>
      </c>
      <c r="I52" s="9" t="s">
        <v>132</v>
      </c>
      <c r="J52" s="9" t="s">
        <v>144</v>
      </c>
      <c r="K52" s="9" t="s">
        <v>139</v>
      </c>
    </row>
    <row r="53" spans="1:11" x14ac:dyDescent="0.3">
      <c r="A53" s="9" t="s">
        <v>269</v>
      </c>
      <c r="B53" s="9" t="s">
        <v>270</v>
      </c>
      <c r="C53" s="9" t="s">
        <v>142</v>
      </c>
      <c r="D53" s="9" t="s">
        <v>143</v>
      </c>
      <c r="E53" s="9" t="s">
        <v>135</v>
      </c>
      <c r="F53" s="9" t="s">
        <v>132</v>
      </c>
      <c r="G53" s="9" t="s">
        <v>132</v>
      </c>
      <c r="H53" s="9" t="s">
        <v>132</v>
      </c>
      <c r="I53" s="9" t="s">
        <v>132</v>
      </c>
      <c r="J53" s="9" t="s">
        <v>144</v>
      </c>
      <c r="K53" s="9" t="s">
        <v>139</v>
      </c>
    </row>
    <row r="54" spans="1:11" x14ac:dyDescent="0.3">
      <c r="A54" s="9" t="s">
        <v>271</v>
      </c>
      <c r="B54" s="9" t="s">
        <v>272</v>
      </c>
      <c r="C54" s="9" t="s">
        <v>142</v>
      </c>
      <c r="D54" s="9" t="s">
        <v>143</v>
      </c>
      <c r="E54" s="9" t="s">
        <v>135</v>
      </c>
      <c r="F54" s="9" t="s">
        <v>132</v>
      </c>
      <c r="G54" s="9" t="s">
        <v>132</v>
      </c>
      <c r="H54" s="9" t="s">
        <v>132</v>
      </c>
      <c r="I54" s="9" t="s">
        <v>132</v>
      </c>
      <c r="J54" s="9" t="s">
        <v>147</v>
      </c>
      <c r="K54" s="9" t="s">
        <v>139</v>
      </c>
    </row>
    <row r="55" spans="1:11" x14ac:dyDescent="0.3">
      <c r="A55" s="9" t="s">
        <v>273</v>
      </c>
      <c r="B55" s="9" t="s">
        <v>274</v>
      </c>
      <c r="C55" s="9" t="s">
        <v>142</v>
      </c>
      <c r="D55" s="9" t="s">
        <v>143</v>
      </c>
      <c r="E55" s="9" t="s">
        <v>135</v>
      </c>
      <c r="F55" s="9" t="s">
        <v>132</v>
      </c>
      <c r="G55" s="9" t="s">
        <v>132</v>
      </c>
      <c r="H55" s="9" t="s">
        <v>132</v>
      </c>
      <c r="I55" s="9" t="s">
        <v>132</v>
      </c>
      <c r="J55" s="9" t="s">
        <v>147</v>
      </c>
      <c r="K55" s="9" t="s">
        <v>275</v>
      </c>
    </row>
    <row r="56" spans="1:11" x14ac:dyDescent="0.3">
      <c r="A56" s="9" t="s">
        <v>276</v>
      </c>
      <c r="B56" s="9" t="s">
        <v>277</v>
      </c>
      <c r="C56" s="9" t="s">
        <v>142</v>
      </c>
      <c r="D56" s="9" t="s">
        <v>143</v>
      </c>
      <c r="E56" s="9" t="s">
        <v>135</v>
      </c>
      <c r="F56" s="9" t="s">
        <v>132</v>
      </c>
      <c r="G56" s="9" t="s">
        <v>132</v>
      </c>
      <c r="H56" s="9" t="s">
        <v>132</v>
      </c>
      <c r="I56" s="9" t="s">
        <v>132</v>
      </c>
      <c r="J56" s="9" t="s">
        <v>144</v>
      </c>
      <c r="K56" s="9" t="s">
        <v>139</v>
      </c>
    </row>
    <row r="57" spans="1:11" x14ac:dyDescent="0.3">
      <c r="A57" s="9" t="s">
        <v>278</v>
      </c>
      <c r="B57" s="9" t="s">
        <v>279</v>
      </c>
      <c r="C57" s="9" t="s">
        <v>142</v>
      </c>
      <c r="D57" s="9" t="s">
        <v>143</v>
      </c>
      <c r="E57" s="9" t="s">
        <v>135</v>
      </c>
      <c r="F57" s="9" t="s">
        <v>132</v>
      </c>
      <c r="G57" s="9" t="s">
        <v>132</v>
      </c>
      <c r="H57" s="9" t="s">
        <v>132</v>
      </c>
      <c r="I57" s="9" t="s">
        <v>132</v>
      </c>
      <c r="J57" s="9" t="s">
        <v>144</v>
      </c>
      <c r="K57" s="9" t="s">
        <v>245</v>
      </c>
    </row>
    <row r="58" spans="1:11" x14ac:dyDescent="0.3">
      <c r="A58" s="9" t="s">
        <v>280</v>
      </c>
      <c r="B58" s="9" t="s">
        <v>281</v>
      </c>
      <c r="C58" s="9" t="s">
        <v>142</v>
      </c>
      <c r="D58" s="9" t="s">
        <v>143</v>
      </c>
      <c r="E58" s="9" t="s">
        <v>135</v>
      </c>
      <c r="F58" s="9" t="s">
        <v>132</v>
      </c>
      <c r="G58" s="9" t="s">
        <v>132</v>
      </c>
      <c r="H58" s="9" t="s">
        <v>132</v>
      </c>
      <c r="I58" s="9" t="s">
        <v>132</v>
      </c>
      <c r="J58" s="9" t="s">
        <v>147</v>
      </c>
      <c r="K58" s="9" t="s">
        <v>139</v>
      </c>
    </row>
    <row r="59" spans="1:11" x14ac:dyDescent="0.3">
      <c r="A59" s="9" t="s">
        <v>282</v>
      </c>
      <c r="B59" s="9" t="s">
        <v>283</v>
      </c>
      <c r="C59" s="9" t="s">
        <v>142</v>
      </c>
      <c r="D59" s="9" t="s">
        <v>143</v>
      </c>
      <c r="E59" s="9" t="s">
        <v>135</v>
      </c>
      <c r="F59" s="9" t="s">
        <v>132</v>
      </c>
      <c r="G59" s="9" t="s">
        <v>132</v>
      </c>
      <c r="H59" s="9" t="s">
        <v>132</v>
      </c>
      <c r="I59" s="9" t="s">
        <v>132</v>
      </c>
      <c r="J59" s="9" t="s">
        <v>284</v>
      </c>
      <c r="K59" s="9" t="s">
        <v>139</v>
      </c>
    </row>
    <row r="60" spans="1:11" x14ac:dyDescent="0.3">
      <c r="A60" s="9" t="s">
        <v>285</v>
      </c>
      <c r="B60" s="9" t="s">
        <v>286</v>
      </c>
      <c r="C60" s="9" t="s">
        <v>142</v>
      </c>
      <c r="D60" s="9" t="s">
        <v>143</v>
      </c>
      <c r="E60" s="9" t="s">
        <v>135</v>
      </c>
      <c r="F60" s="9" t="s">
        <v>132</v>
      </c>
      <c r="G60" s="9" t="s">
        <v>132</v>
      </c>
      <c r="H60" s="9" t="s">
        <v>132</v>
      </c>
      <c r="I60" s="9" t="s">
        <v>132</v>
      </c>
      <c r="J60" s="9" t="s">
        <v>287</v>
      </c>
      <c r="K60" s="9" t="s">
        <v>245</v>
      </c>
    </row>
    <row r="61" spans="1:11" x14ac:dyDescent="0.3">
      <c r="A61" s="9" t="s">
        <v>288</v>
      </c>
      <c r="B61" s="9" t="s">
        <v>289</v>
      </c>
      <c r="C61" s="9" t="s">
        <v>142</v>
      </c>
      <c r="D61" s="9" t="s">
        <v>143</v>
      </c>
      <c r="E61" s="9" t="s">
        <v>135</v>
      </c>
      <c r="F61" s="9" t="s">
        <v>132</v>
      </c>
      <c r="G61" s="9" t="s">
        <v>132</v>
      </c>
      <c r="H61" s="9" t="s">
        <v>132</v>
      </c>
      <c r="I61" s="9" t="s">
        <v>132</v>
      </c>
      <c r="J61" s="9" t="s">
        <v>290</v>
      </c>
      <c r="K61" s="9" t="s">
        <v>139</v>
      </c>
    </row>
    <row r="62" spans="1:11" x14ac:dyDescent="0.3">
      <c r="A62" s="9" t="s">
        <v>291</v>
      </c>
      <c r="B62" s="9" t="s">
        <v>292</v>
      </c>
      <c r="C62" s="9" t="s">
        <v>142</v>
      </c>
      <c r="D62" s="9" t="s">
        <v>143</v>
      </c>
      <c r="E62" s="9" t="s">
        <v>135</v>
      </c>
      <c r="F62" s="9" t="s">
        <v>132</v>
      </c>
      <c r="G62" s="9" t="s">
        <v>132</v>
      </c>
      <c r="H62" s="9" t="s">
        <v>132</v>
      </c>
      <c r="I62" s="9" t="s">
        <v>132</v>
      </c>
      <c r="J62" s="9" t="s">
        <v>293</v>
      </c>
      <c r="K62" s="9" t="s">
        <v>139</v>
      </c>
    </row>
    <row r="63" spans="1:11" x14ac:dyDescent="0.3">
      <c r="A63" s="9" t="s">
        <v>294</v>
      </c>
      <c r="B63" s="9" t="s">
        <v>295</v>
      </c>
      <c r="C63" s="9" t="s">
        <v>142</v>
      </c>
      <c r="D63" s="9" t="s">
        <v>143</v>
      </c>
      <c r="E63" s="9" t="s">
        <v>135</v>
      </c>
      <c r="F63" s="9" t="s">
        <v>132</v>
      </c>
      <c r="G63" s="9" t="s">
        <v>132</v>
      </c>
      <c r="H63" s="9" t="s">
        <v>132</v>
      </c>
      <c r="I63" s="9" t="s">
        <v>132</v>
      </c>
      <c r="J63" s="9" t="s">
        <v>138</v>
      </c>
      <c r="K63" s="9" t="s">
        <v>139</v>
      </c>
    </row>
    <row r="64" spans="1:11" x14ac:dyDescent="0.3">
      <c r="A64" s="9" t="s">
        <v>296</v>
      </c>
      <c r="B64" s="9" t="s">
        <v>297</v>
      </c>
      <c r="C64" s="9" t="s">
        <v>142</v>
      </c>
      <c r="D64" s="9" t="s">
        <v>143</v>
      </c>
      <c r="E64" s="9" t="s">
        <v>135</v>
      </c>
      <c r="F64" s="9" t="s">
        <v>132</v>
      </c>
      <c r="G64" s="9" t="s">
        <v>132</v>
      </c>
      <c r="H64" s="9" t="s">
        <v>132</v>
      </c>
      <c r="I64" s="9" t="s">
        <v>132</v>
      </c>
      <c r="J64" s="9" t="s">
        <v>144</v>
      </c>
      <c r="K64" s="9" t="s">
        <v>139</v>
      </c>
    </row>
    <row r="65" spans="1:11" x14ac:dyDescent="0.3">
      <c r="A65" s="9" t="s">
        <v>298</v>
      </c>
      <c r="B65" s="9" t="s">
        <v>299</v>
      </c>
      <c r="C65" s="9" t="s">
        <v>142</v>
      </c>
      <c r="D65" s="9" t="s">
        <v>143</v>
      </c>
      <c r="E65" s="9" t="s">
        <v>135</v>
      </c>
      <c r="F65" s="9" t="s">
        <v>132</v>
      </c>
      <c r="G65" s="9" t="s">
        <v>132</v>
      </c>
      <c r="H65" s="9" t="s">
        <v>132</v>
      </c>
      <c r="I65" s="9" t="s">
        <v>132</v>
      </c>
      <c r="J65" s="9" t="s">
        <v>144</v>
      </c>
      <c r="K65" s="9" t="s">
        <v>139</v>
      </c>
    </row>
    <row r="66" spans="1:11" x14ac:dyDescent="0.3">
      <c r="A66" s="9" t="s">
        <v>300</v>
      </c>
      <c r="B66" s="9" t="s">
        <v>301</v>
      </c>
      <c r="C66" s="9" t="s">
        <v>142</v>
      </c>
      <c r="D66" s="9" t="s">
        <v>143</v>
      </c>
      <c r="E66" s="9" t="s">
        <v>135</v>
      </c>
      <c r="F66" s="9" t="s">
        <v>132</v>
      </c>
      <c r="G66" s="9" t="s">
        <v>132</v>
      </c>
      <c r="H66" s="9" t="s">
        <v>132</v>
      </c>
      <c r="I66" s="9" t="s">
        <v>132</v>
      </c>
      <c r="J66" s="9" t="s">
        <v>144</v>
      </c>
      <c r="K66" s="9" t="s">
        <v>245</v>
      </c>
    </row>
    <row r="67" spans="1:11" x14ac:dyDescent="0.3">
      <c r="A67" s="9" t="s">
        <v>302</v>
      </c>
      <c r="B67" s="9" t="s">
        <v>303</v>
      </c>
      <c r="C67" s="9" t="s">
        <v>142</v>
      </c>
      <c r="D67" s="9" t="s">
        <v>143</v>
      </c>
      <c r="E67" s="9" t="s">
        <v>135</v>
      </c>
      <c r="F67" s="9" t="s">
        <v>132</v>
      </c>
      <c r="G67" s="9" t="s">
        <v>132</v>
      </c>
      <c r="H67" s="9" t="s">
        <v>132</v>
      </c>
      <c r="I67" s="9" t="s">
        <v>132</v>
      </c>
      <c r="J67" s="9" t="s">
        <v>144</v>
      </c>
      <c r="K67" s="9" t="s">
        <v>139</v>
      </c>
    </row>
    <row r="68" spans="1:11" x14ac:dyDescent="0.3">
      <c r="A68" s="9" t="s">
        <v>242</v>
      </c>
      <c r="B68" s="9" t="s">
        <v>304</v>
      </c>
      <c r="C68" s="9" t="s">
        <v>142</v>
      </c>
      <c r="D68" s="9" t="s">
        <v>143</v>
      </c>
      <c r="E68" s="9" t="s">
        <v>135</v>
      </c>
      <c r="F68" s="9" t="s">
        <v>132</v>
      </c>
      <c r="G68" s="9" t="s">
        <v>132</v>
      </c>
      <c r="H68" s="9" t="s">
        <v>132</v>
      </c>
      <c r="I68" s="9" t="s">
        <v>132</v>
      </c>
      <c r="J68" s="9" t="s">
        <v>138</v>
      </c>
      <c r="K68" s="9" t="s">
        <v>139</v>
      </c>
    </row>
    <row r="69" spans="1:11" x14ac:dyDescent="0.3">
      <c r="A69" s="9" t="s">
        <v>227</v>
      </c>
      <c r="B69" s="9" t="s">
        <v>305</v>
      </c>
      <c r="C69" s="9" t="s">
        <v>142</v>
      </c>
      <c r="D69" s="9" t="s">
        <v>143</v>
      </c>
      <c r="E69" s="9" t="s">
        <v>135</v>
      </c>
      <c r="F69" s="9" t="s">
        <v>132</v>
      </c>
      <c r="G69" s="9" t="s">
        <v>132</v>
      </c>
      <c r="H69" s="9" t="s">
        <v>132</v>
      </c>
      <c r="I69" s="9" t="s">
        <v>132</v>
      </c>
      <c r="J69" s="9" t="s">
        <v>293</v>
      </c>
      <c r="K69" s="9" t="s">
        <v>139</v>
      </c>
    </row>
    <row r="70" spans="1:11" x14ac:dyDescent="0.3">
      <c r="A70" s="9" t="s">
        <v>306</v>
      </c>
      <c r="B70" s="9" t="s">
        <v>307</v>
      </c>
      <c r="C70" s="9" t="s">
        <v>142</v>
      </c>
      <c r="D70" s="9" t="s">
        <v>143</v>
      </c>
      <c r="E70" s="9" t="s">
        <v>135</v>
      </c>
      <c r="F70" s="9" t="s">
        <v>132</v>
      </c>
      <c r="G70" s="9" t="s">
        <v>132</v>
      </c>
      <c r="H70" s="9" t="s">
        <v>132</v>
      </c>
      <c r="I70" s="9" t="s">
        <v>132</v>
      </c>
      <c r="J70" s="9" t="s">
        <v>138</v>
      </c>
      <c r="K70" s="9" t="s">
        <v>139</v>
      </c>
    </row>
    <row r="71" spans="1:11" x14ac:dyDescent="0.3">
      <c r="A71" s="9" t="s">
        <v>308</v>
      </c>
      <c r="B71" s="9" t="s">
        <v>309</v>
      </c>
      <c r="C71" s="9" t="s">
        <v>142</v>
      </c>
      <c r="D71" s="9" t="s">
        <v>143</v>
      </c>
      <c r="E71" s="9" t="s">
        <v>135</v>
      </c>
      <c r="F71" s="9" t="s">
        <v>132</v>
      </c>
      <c r="G71" s="9" t="s">
        <v>132</v>
      </c>
      <c r="H71" s="9" t="s">
        <v>132</v>
      </c>
      <c r="I71" s="9" t="s">
        <v>132</v>
      </c>
      <c r="J71" s="9" t="s">
        <v>174</v>
      </c>
      <c r="K71" s="9" t="s">
        <v>139</v>
      </c>
    </row>
    <row r="72" spans="1:11" x14ac:dyDescent="0.3">
      <c r="A72" s="9" t="s">
        <v>310</v>
      </c>
      <c r="B72" s="9" t="s">
        <v>311</v>
      </c>
      <c r="C72" s="9" t="s">
        <v>142</v>
      </c>
      <c r="D72" s="9" t="s">
        <v>143</v>
      </c>
      <c r="E72" s="9" t="s">
        <v>135</v>
      </c>
      <c r="F72" s="9" t="s">
        <v>132</v>
      </c>
      <c r="G72" s="9" t="s">
        <v>132</v>
      </c>
      <c r="H72" s="9" t="s">
        <v>132</v>
      </c>
      <c r="I72" s="9" t="s">
        <v>132</v>
      </c>
      <c r="J72" s="9" t="s">
        <v>312</v>
      </c>
      <c r="K72" s="9" t="s">
        <v>139</v>
      </c>
    </row>
    <row r="73" spans="1:11" x14ac:dyDescent="0.3">
      <c r="A73" s="9" t="s">
        <v>313</v>
      </c>
      <c r="B73" s="9" t="s">
        <v>314</v>
      </c>
      <c r="C73" s="9" t="s">
        <v>142</v>
      </c>
      <c r="D73" s="9" t="s">
        <v>143</v>
      </c>
      <c r="E73" s="9" t="s">
        <v>135</v>
      </c>
      <c r="F73" s="9" t="s">
        <v>132</v>
      </c>
      <c r="G73" s="9" t="s">
        <v>132</v>
      </c>
      <c r="H73" s="9" t="s">
        <v>132</v>
      </c>
      <c r="I73" s="9" t="s">
        <v>132</v>
      </c>
      <c r="J73" s="9" t="s">
        <v>144</v>
      </c>
      <c r="K73" s="9" t="s">
        <v>245</v>
      </c>
    </row>
    <row r="74" spans="1:11" x14ac:dyDescent="0.3">
      <c r="A74" s="9" t="s">
        <v>315</v>
      </c>
      <c r="B74" s="9" t="s">
        <v>316</v>
      </c>
      <c r="C74" s="9" t="s">
        <v>142</v>
      </c>
      <c r="D74" s="9" t="s">
        <v>143</v>
      </c>
      <c r="E74" s="9" t="s">
        <v>135</v>
      </c>
      <c r="F74" s="9" t="s">
        <v>132</v>
      </c>
      <c r="G74" s="9" t="s">
        <v>132</v>
      </c>
      <c r="H74" s="9" t="s">
        <v>132</v>
      </c>
      <c r="I74" s="9" t="s">
        <v>132</v>
      </c>
      <c r="J74" s="9" t="s">
        <v>229</v>
      </c>
      <c r="K74" s="9" t="s">
        <v>139</v>
      </c>
    </row>
    <row r="75" spans="1:11" x14ac:dyDescent="0.3">
      <c r="A75" s="9" t="s">
        <v>317</v>
      </c>
      <c r="B75" s="9" t="s">
        <v>318</v>
      </c>
      <c r="C75" s="9" t="s">
        <v>142</v>
      </c>
      <c r="D75" s="9" t="s">
        <v>143</v>
      </c>
      <c r="E75" s="9" t="s">
        <v>135</v>
      </c>
      <c r="F75" s="9" t="s">
        <v>132</v>
      </c>
      <c r="G75" s="9" t="s">
        <v>132</v>
      </c>
      <c r="H75" s="9" t="s">
        <v>132</v>
      </c>
      <c r="I75" s="9" t="s">
        <v>132</v>
      </c>
      <c r="J75" s="9" t="s">
        <v>138</v>
      </c>
      <c r="K75" s="9" t="s">
        <v>139</v>
      </c>
    </row>
    <row r="76" spans="1:11" x14ac:dyDescent="0.3">
      <c r="A76" s="9" t="s">
        <v>319</v>
      </c>
      <c r="B76" s="9" t="s">
        <v>320</v>
      </c>
      <c r="C76" s="9" t="s">
        <v>142</v>
      </c>
      <c r="D76" s="9" t="s">
        <v>143</v>
      </c>
      <c r="E76" s="9" t="s">
        <v>135</v>
      </c>
      <c r="F76" s="9" t="s">
        <v>132</v>
      </c>
      <c r="G76" s="9" t="s">
        <v>132</v>
      </c>
      <c r="H76" s="9" t="s">
        <v>132</v>
      </c>
      <c r="I76" s="9" t="s">
        <v>132</v>
      </c>
      <c r="J76" s="9" t="s">
        <v>321</v>
      </c>
      <c r="K76" s="9" t="s">
        <v>139</v>
      </c>
    </row>
    <row r="77" spans="1:11" x14ac:dyDescent="0.3">
      <c r="A77" s="9" t="s">
        <v>322</v>
      </c>
      <c r="B77" s="9" t="s">
        <v>323</v>
      </c>
      <c r="C77" s="9" t="s">
        <v>142</v>
      </c>
      <c r="D77" s="9" t="s">
        <v>143</v>
      </c>
      <c r="E77" s="9" t="s">
        <v>135</v>
      </c>
      <c r="F77" s="9" t="s">
        <v>132</v>
      </c>
      <c r="G77" s="9" t="s">
        <v>132</v>
      </c>
      <c r="H77" s="9" t="s">
        <v>132</v>
      </c>
      <c r="I77" s="9" t="s">
        <v>132</v>
      </c>
      <c r="J77" s="9" t="s">
        <v>138</v>
      </c>
      <c r="K77" s="9" t="s">
        <v>139</v>
      </c>
    </row>
    <row r="78" spans="1:11" x14ac:dyDescent="0.3">
      <c r="A78" s="9" t="s">
        <v>324</v>
      </c>
      <c r="B78" s="9" t="s">
        <v>325</v>
      </c>
      <c r="C78" s="9" t="s">
        <v>142</v>
      </c>
      <c r="D78" s="9" t="s">
        <v>143</v>
      </c>
      <c r="E78" s="9" t="s">
        <v>135</v>
      </c>
      <c r="F78" s="9" t="s">
        <v>132</v>
      </c>
      <c r="G78" s="9" t="s">
        <v>132</v>
      </c>
      <c r="H78" s="9" t="s">
        <v>132</v>
      </c>
      <c r="I78" s="9" t="s">
        <v>132</v>
      </c>
      <c r="J78" s="9" t="s">
        <v>326</v>
      </c>
      <c r="K78" s="9" t="s">
        <v>139</v>
      </c>
    </row>
    <row r="79" spans="1:11" x14ac:dyDescent="0.3">
      <c r="A79" s="9" t="s">
        <v>327</v>
      </c>
      <c r="B79" s="9" t="s">
        <v>328</v>
      </c>
      <c r="C79" s="9" t="s">
        <v>142</v>
      </c>
      <c r="D79" s="9" t="s">
        <v>143</v>
      </c>
      <c r="E79" s="9" t="s">
        <v>135</v>
      </c>
      <c r="F79" s="9" t="s">
        <v>132</v>
      </c>
      <c r="G79" s="9" t="s">
        <v>132</v>
      </c>
      <c r="H79" s="9" t="s">
        <v>132</v>
      </c>
      <c r="I79" s="9" t="s">
        <v>132</v>
      </c>
      <c r="J79" s="9" t="s">
        <v>329</v>
      </c>
      <c r="K79" s="9" t="s">
        <v>245</v>
      </c>
    </row>
    <row r="80" spans="1:11" x14ac:dyDescent="0.3">
      <c r="A80" s="9" t="s">
        <v>330</v>
      </c>
      <c r="B80" s="9" t="s">
        <v>331</v>
      </c>
      <c r="C80" s="9" t="s">
        <v>142</v>
      </c>
      <c r="D80" s="9" t="s">
        <v>143</v>
      </c>
      <c r="E80" s="9" t="s">
        <v>135</v>
      </c>
      <c r="F80" s="9" t="s">
        <v>132</v>
      </c>
      <c r="G80" s="9" t="s">
        <v>132</v>
      </c>
      <c r="H80" s="9" t="s">
        <v>132</v>
      </c>
      <c r="I80" s="9" t="s">
        <v>132</v>
      </c>
      <c r="J80" s="9" t="s">
        <v>144</v>
      </c>
      <c r="K80" s="9" t="s">
        <v>139</v>
      </c>
    </row>
    <row r="81" spans="1:11" x14ac:dyDescent="0.3">
      <c r="A81" s="9" t="s">
        <v>332</v>
      </c>
      <c r="B81" s="9" t="s">
        <v>333</v>
      </c>
      <c r="C81" s="9" t="s">
        <v>259</v>
      </c>
      <c r="D81" s="9" t="s">
        <v>334</v>
      </c>
      <c r="E81" s="9" t="s">
        <v>135</v>
      </c>
      <c r="F81" s="9" t="s">
        <v>132</v>
      </c>
      <c r="G81" s="9" t="s">
        <v>132</v>
      </c>
      <c r="H81" s="9" t="s">
        <v>132</v>
      </c>
      <c r="I81" s="9" t="s">
        <v>132</v>
      </c>
      <c r="J81" s="9" t="s">
        <v>244</v>
      </c>
      <c r="K81" s="9" t="s">
        <v>139</v>
      </c>
    </row>
    <row r="82" spans="1:11" x14ac:dyDescent="0.3">
      <c r="A82" s="9" t="s">
        <v>335</v>
      </c>
      <c r="B82" s="9" t="s">
        <v>336</v>
      </c>
      <c r="C82" s="9" t="s">
        <v>142</v>
      </c>
      <c r="D82" s="9" t="s">
        <v>143</v>
      </c>
      <c r="E82" s="9" t="s">
        <v>135</v>
      </c>
      <c r="F82" s="9" t="s">
        <v>132</v>
      </c>
      <c r="G82" s="9" t="s">
        <v>132</v>
      </c>
      <c r="H82" s="9" t="s">
        <v>132</v>
      </c>
      <c r="I82" s="9" t="s">
        <v>132</v>
      </c>
      <c r="J82" s="9" t="s">
        <v>144</v>
      </c>
      <c r="K82" s="9" t="s">
        <v>139</v>
      </c>
    </row>
    <row r="83" spans="1:11" x14ac:dyDescent="0.3">
      <c r="A83" s="9" t="s">
        <v>337</v>
      </c>
      <c r="B83" s="9" t="s">
        <v>338</v>
      </c>
      <c r="C83" s="9" t="s">
        <v>142</v>
      </c>
      <c r="D83" s="9" t="s">
        <v>143</v>
      </c>
      <c r="E83" s="9" t="s">
        <v>135</v>
      </c>
      <c r="F83" s="9" t="s">
        <v>132</v>
      </c>
      <c r="G83" s="9" t="s">
        <v>132</v>
      </c>
      <c r="H83" s="9" t="s">
        <v>132</v>
      </c>
      <c r="I83" s="9" t="s">
        <v>132</v>
      </c>
      <c r="J83" s="9" t="s">
        <v>144</v>
      </c>
      <c r="K83" s="9" t="s">
        <v>139</v>
      </c>
    </row>
    <row r="84" spans="1:11" x14ac:dyDescent="0.3">
      <c r="A84" s="9" t="s">
        <v>339</v>
      </c>
      <c r="B84" s="9" t="s">
        <v>340</v>
      </c>
      <c r="C84" s="9" t="s">
        <v>142</v>
      </c>
      <c r="D84" s="9" t="s">
        <v>143</v>
      </c>
      <c r="E84" s="9" t="s">
        <v>135</v>
      </c>
      <c r="F84" s="9" t="s">
        <v>132</v>
      </c>
      <c r="G84" s="9" t="s">
        <v>132</v>
      </c>
      <c r="H84" s="9" t="s">
        <v>132</v>
      </c>
      <c r="I84" s="9" t="s">
        <v>132</v>
      </c>
      <c r="J84" s="9" t="s">
        <v>144</v>
      </c>
      <c r="K84" s="9" t="s">
        <v>139</v>
      </c>
    </row>
    <row r="85" spans="1:11" x14ac:dyDescent="0.3">
      <c r="A85" s="9" t="s">
        <v>341</v>
      </c>
      <c r="B85" s="9" t="s">
        <v>342</v>
      </c>
      <c r="C85" s="9" t="s">
        <v>142</v>
      </c>
      <c r="D85" s="9" t="s">
        <v>143</v>
      </c>
      <c r="E85" s="9" t="s">
        <v>135</v>
      </c>
      <c r="F85" s="9" t="s">
        <v>132</v>
      </c>
      <c r="G85" s="9" t="s">
        <v>132</v>
      </c>
      <c r="H85" s="9" t="s">
        <v>132</v>
      </c>
      <c r="I85" s="9" t="s">
        <v>132</v>
      </c>
      <c r="J85" s="9" t="s">
        <v>147</v>
      </c>
      <c r="K85" s="9" t="s">
        <v>167</v>
      </c>
    </row>
    <row r="86" spans="1:11" x14ac:dyDescent="0.3">
      <c r="A86" s="9" t="s">
        <v>343</v>
      </c>
      <c r="B86" s="9" t="s">
        <v>344</v>
      </c>
      <c r="C86" s="9" t="s">
        <v>142</v>
      </c>
      <c r="D86" s="9" t="s">
        <v>143</v>
      </c>
      <c r="E86" s="9" t="s">
        <v>135</v>
      </c>
      <c r="F86" s="9" t="s">
        <v>132</v>
      </c>
      <c r="G86" s="9" t="s">
        <v>132</v>
      </c>
      <c r="H86" s="9" t="s">
        <v>132</v>
      </c>
      <c r="I86" s="9" t="s">
        <v>132</v>
      </c>
      <c r="J86" s="9" t="s">
        <v>144</v>
      </c>
      <c r="K86" s="9" t="s">
        <v>139</v>
      </c>
    </row>
    <row r="87" spans="1:11" x14ac:dyDescent="0.3">
      <c r="A87" s="9" t="s">
        <v>345</v>
      </c>
      <c r="B87" s="9" t="s">
        <v>346</v>
      </c>
      <c r="C87" s="9" t="s">
        <v>142</v>
      </c>
      <c r="D87" s="9" t="s">
        <v>143</v>
      </c>
      <c r="E87" s="9" t="s">
        <v>135</v>
      </c>
      <c r="F87" s="9" t="s">
        <v>132</v>
      </c>
      <c r="G87" s="9" t="s">
        <v>132</v>
      </c>
      <c r="H87" s="9" t="s">
        <v>132</v>
      </c>
      <c r="I87" s="9" t="s">
        <v>132</v>
      </c>
      <c r="J87" s="9" t="s">
        <v>326</v>
      </c>
      <c r="K87" s="9" t="s">
        <v>139</v>
      </c>
    </row>
    <row r="88" spans="1:11" x14ac:dyDescent="0.3">
      <c r="A88" s="9" t="s">
        <v>347</v>
      </c>
      <c r="B88" s="9" t="s">
        <v>348</v>
      </c>
      <c r="C88" s="9" t="s">
        <v>142</v>
      </c>
      <c r="D88" s="9" t="s">
        <v>143</v>
      </c>
      <c r="E88" s="9" t="s">
        <v>135</v>
      </c>
      <c r="F88" s="9" t="s">
        <v>132</v>
      </c>
      <c r="G88" s="9" t="s">
        <v>132</v>
      </c>
      <c r="H88" s="9" t="s">
        <v>132</v>
      </c>
      <c r="I88" s="9" t="s">
        <v>132</v>
      </c>
      <c r="J88" s="9" t="s">
        <v>144</v>
      </c>
      <c r="K88" s="9" t="s">
        <v>139</v>
      </c>
    </row>
    <row r="89" spans="1:11" x14ac:dyDescent="0.3">
      <c r="A89" s="9" t="s">
        <v>349</v>
      </c>
      <c r="B89" s="9" t="s">
        <v>350</v>
      </c>
      <c r="C89" s="9" t="s">
        <v>142</v>
      </c>
      <c r="D89" s="9" t="s">
        <v>143</v>
      </c>
      <c r="E89" s="9" t="s">
        <v>135</v>
      </c>
      <c r="F89" s="9" t="s">
        <v>132</v>
      </c>
      <c r="G89" s="9" t="s">
        <v>132</v>
      </c>
      <c r="H89" s="9" t="s">
        <v>132</v>
      </c>
      <c r="I89" s="9" t="s">
        <v>132</v>
      </c>
      <c r="J89" s="9" t="s">
        <v>144</v>
      </c>
      <c r="K89" s="9" t="s">
        <v>139</v>
      </c>
    </row>
    <row r="90" spans="1:11" x14ac:dyDescent="0.3">
      <c r="A90" s="9" t="s">
        <v>351</v>
      </c>
      <c r="B90" s="9" t="s">
        <v>338</v>
      </c>
      <c r="C90" s="9" t="s">
        <v>142</v>
      </c>
      <c r="D90" s="9" t="s">
        <v>143</v>
      </c>
      <c r="E90" s="9" t="s">
        <v>135</v>
      </c>
      <c r="F90" s="9" t="s">
        <v>132</v>
      </c>
      <c r="G90" s="9" t="s">
        <v>132</v>
      </c>
      <c r="H90" s="9" t="s">
        <v>132</v>
      </c>
      <c r="I90" s="9" t="s">
        <v>132</v>
      </c>
      <c r="J90" s="9" t="s">
        <v>147</v>
      </c>
      <c r="K90" s="9" t="s">
        <v>167</v>
      </c>
    </row>
    <row r="91" spans="1:11" x14ac:dyDescent="0.3">
      <c r="A91" s="9" t="s">
        <v>352</v>
      </c>
      <c r="B91" s="9" t="s">
        <v>353</v>
      </c>
      <c r="C91" s="9" t="s">
        <v>142</v>
      </c>
      <c r="D91" s="9" t="s">
        <v>143</v>
      </c>
      <c r="E91" s="9" t="s">
        <v>135</v>
      </c>
      <c r="F91" s="9" t="s">
        <v>132</v>
      </c>
      <c r="G91" s="9" t="s">
        <v>132</v>
      </c>
      <c r="H91" s="9" t="s">
        <v>132</v>
      </c>
      <c r="I91" s="9" t="s">
        <v>132</v>
      </c>
      <c r="J91" s="9" t="s">
        <v>144</v>
      </c>
      <c r="K91" s="9" t="s">
        <v>139</v>
      </c>
    </row>
    <row r="92" spans="1:11" x14ac:dyDescent="0.3">
      <c r="A92" s="9" t="s">
        <v>354</v>
      </c>
      <c r="B92" s="9" t="s">
        <v>355</v>
      </c>
      <c r="C92" s="9" t="s">
        <v>142</v>
      </c>
      <c r="D92" s="9" t="s">
        <v>143</v>
      </c>
      <c r="E92" s="9" t="s">
        <v>135</v>
      </c>
      <c r="F92" s="9" t="s">
        <v>132</v>
      </c>
      <c r="G92" s="9" t="s">
        <v>132</v>
      </c>
      <c r="H92" s="9" t="s">
        <v>132</v>
      </c>
      <c r="I92" s="9" t="s">
        <v>132</v>
      </c>
      <c r="J92" s="9" t="s">
        <v>144</v>
      </c>
      <c r="K92" s="9" t="s">
        <v>139</v>
      </c>
    </row>
    <row r="93" spans="1:11" x14ac:dyDescent="0.3">
      <c r="A93" s="9" t="s">
        <v>356</v>
      </c>
      <c r="B93" s="9" t="s">
        <v>357</v>
      </c>
      <c r="C93" s="9" t="s">
        <v>142</v>
      </c>
      <c r="D93" s="9" t="s">
        <v>143</v>
      </c>
      <c r="E93" s="9" t="s">
        <v>135</v>
      </c>
      <c r="F93" s="9" t="s">
        <v>132</v>
      </c>
      <c r="G93" s="9" t="s">
        <v>132</v>
      </c>
      <c r="H93" s="9" t="s">
        <v>132</v>
      </c>
      <c r="I93" s="9" t="s">
        <v>132</v>
      </c>
      <c r="J93" s="9" t="s">
        <v>144</v>
      </c>
      <c r="K93" s="9" t="s">
        <v>139</v>
      </c>
    </row>
    <row r="94" spans="1:11" x14ac:dyDescent="0.3">
      <c r="A94" s="9" t="s">
        <v>358</v>
      </c>
      <c r="B94" s="9" t="s">
        <v>359</v>
      </c>
      <c r="C94" s="9" t="s">
        <v>142</v>
      </c>
      <c r="D94" s="9" t="s">
        <v>143</v>
      </c>
      <c r="E94" s="9" t="s">
        <v>135</v>
      </c>
      <c r="F94" s="9" t="s">
        <v>132</v>
      </c>
      <c r="G94" s="9" t="s">
        <v>132</v>
      </c>
      <c r="H94" s="9" t="s">
        <v>132</v>
      </c>
      <c r="I94" s="9" t="s">
        <v>132</v>
      </c>
      <c r="J94" s="9" t="s">
        <v>144</v>
      </c>
      <c r="K94" s="9" t="s">
        <v>139</v>
      </c>
    </row>
    <row r="95" spans="1:11" x14ac:dyDescent="0.3">
      <c r="A95" s="9" t="s">
        <v>360</v>
      </c>
      <c r="B95" s="9" t="s">
        <v>361</v>
      </c>
      <c r="C95" s="9" t="s">
        <v>142</v>
      </c>
      <c r="D95" s="9" t="s">
        <v>143</v>
      </c>
      <c r="E95" s="9" t="s">
        <v>135</v>
      </c>
      <c r="F95" s="9" t="s">
        <v>132</v>
      </c>
      <c r="G95" s="9" t="s">
        <v>132</v>
      </c>
      <c r="H95" s="9" t="s">
        <v>132</v>
      </c>
      <c r="I95" s="9" t="s">
        <v>132</v>
      </c>
      <c r="J95" s="9" t="s">
        <v>144</v>
      </c>
      <c r="K95" s="9" t="s">
        <v>139</v>
      </c>
    </row>
    <row r="96" spans="1:11" x14ac:dyDescent="0.3">
      <c r="A96" s="9" t="s">
        <v>362</v>
      </c>
      <c r="B96" s="9" t="s">
        <v>363</v>
      </c>
      <c r="C96" s="9" t="s">
        <v>142</v>
      </c>
      <c r="D96" s="9" t="s">
        <v>143</v>
      </c>
      <c r="E96" s="9" t="s">
        <v>135</v>
      </c>
      <c r="F96" s="9" t="s">
        <v>132</v>
      </c>
      <c r="G96" s="9" t="s">
        <v>132</v>
      </c>
      <c r="H96" s="9" t="s">
        <v>132</v>
      </c>
      <c r="I96" s="9" t="s">
        <v>132</v>
      </c>
      <c r="J96" s="9" t="s">
        <v>144</v>
      </c>
      <c r="K96" s="9" t="s">
        <v>139</v>
      </c>
    </row>
    <row r="97" spans="1:11" x14ac:dyDescent="0.3">
      <c r="A97" s="9" t="s">
        <v>364</v>
      </c>
      <c r="B97" s="9" t="s">
        <v>365</v>
      </c>
      <c r="C97" s="9" t="s">
        <v>142</v>
      </c>
      <c r="D97" s="9" t="s">
        <v>143</v>
      </c>
      <c r="E97" s="9" t="s">
        <v>135</v>
      </c>
      <c r="F97" s="9" t="s">
        <v>132</v>
      </c>
      <c r="G97" s="9" t="s">
        <v>132</v>
      </c>
      <c r="H97" s="9" t="s">
        <v>132</v>
      </c>
      <c r="I97" s="9" t="s">
        <v>132</v>
      </c>
      <c r="J97" s="9" t="s">
        <v>312</v>
      </c>
      <c r="K97" s="9" t="s">
        <v>139</v>
      </c>
    </row>
    <row r="98" spans="1:11" x14ac:dyDescent="0.3">
      <c r="A98" s="9" t="s">
        <v>366</v>
      </c>
      <c r="B98" s="9" t="s">
        <v>344</v>
      </c>
      <c r="C98" s="9" t="s">
        <v>142</v>
      </c>
      <c r="D98" s="9" t="s">
        <v>143</v>
      </c>
      <c r="E98" s="9" t="s">
        <v>135</v>
      </c>
      <c r="F98" s="9" t="s">
        <v>132</v>
      </c>
      <c r="G98" s="9" t="s">
        <v>132</v>
      </c>
      <c r="H98" s="9" t="s">
        <v>132</v>
      </c>
      <c r="I98" s="9" t="s">
        <v>132</v>
      </c>
      <c r="J98" s="9" t="s">
        <v>147</v>
      </c>
      <c r="K98" s="9" t="s">
        <v>167</v>
      </c>
    </row>
    <row r="99" spans="1:11" x14ac:dyDescent="0.3">
      <c r="A99" s="9" t="s">
        <v>367</v>
      </c>
      <c r="B99" s="9" t="s">
        <v>368</v>
      </c>
      <c r="C99" s="9" t="s">
        <v>142</v>
      </c>
      <c r="D99" s="9" t="s">
        <v>368</v>
      </c>
      <c r="E99" s="9" t="s">
        <v>135</v>
      </c>
      <c r="F99" s="9" t="s">
        <v>132</v>
      </c>
      <c r="G99" s="9" t="s">
        <v>132</v>
      </c>
      <c r="H99" s="9" t="s">
        <v>132</v>
      </c>
      <c r="I99" s="9" t="s">
        <v>132</v>
      </c>
      <c r="J99" s="9" t="s">
        <v>369</v>
      </c>
      <c r="K99" s="9" t="s">
        <v>139</v>
      </c>
    </row>
    <row r="100" spans="1:11" x14ac:dyDescent="0.3">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3">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3">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3">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3">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3">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3">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3">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3">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3">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3">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3">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3">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3">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3">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3">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3">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3">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3">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3">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3">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3">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3">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3">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3">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3">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3">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3">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3">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3">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3">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3">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3">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3">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3">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3">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3">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3">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3">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3">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3">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3">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3">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3">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3">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3">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3">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3">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3">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3">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3">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3">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3">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3">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3">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3">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3">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3">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3">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3">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3">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3">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3">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3">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3">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3">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3">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3">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3">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3">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3">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3">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3">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3">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3">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3">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3">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3">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3">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3">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3">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3">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3">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3">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3">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3">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3">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3">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3">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3">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3">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3">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3">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3">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3">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3">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3">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3">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3">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3">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3">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3">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3">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3">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3">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3">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3">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3">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3">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3">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3">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3">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3">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3">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3">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3">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3">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3">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3">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3">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3">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3">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3">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3">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3">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3">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3">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3">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3">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3">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3">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3">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3">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3">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3">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3">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3">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3">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3">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3">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3">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3">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3">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3">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3">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3">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3">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3">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3">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3">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3">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3">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3">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3">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3">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3">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3">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3">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3">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3">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3">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3">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3">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3">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3">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3">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3">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3">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3">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3">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3">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3">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3">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3">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3">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3">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3">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3">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3">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3">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3">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3">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3">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3">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3">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3">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3">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3">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3">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3">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3">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3">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3">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3">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3">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3">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3">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3">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3">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3">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3">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3">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3">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3">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3">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3">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3">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3">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3">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3">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3">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3">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3">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3">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3">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3">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3">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3">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3">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3">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3">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3">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3">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3">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3">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3">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3">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3">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3">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3">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3">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3">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3">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3">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3">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3">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3">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3">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3">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3">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3">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3">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3">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3">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3">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3">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3">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3">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3">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3">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3">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3">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3">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3">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3">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3">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3">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3">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3">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3">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3">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3">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3">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3">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3">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3">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3">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3">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3">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3">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3">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3">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3">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3">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3">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3">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3">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3">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3">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3">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3">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3">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3">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3">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3">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3">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3">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3">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3">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3">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3">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3">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3">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3">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3">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3">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3">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3">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3">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3">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3">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3">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3">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3">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3">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3">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3">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3">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3">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3">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3">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3">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3">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3">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3">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3">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3">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3">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3">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3">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3">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3">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3">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3">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3">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3">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3">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3">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3">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3">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3">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3">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3">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3">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3">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3">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3">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3">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3">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3">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3">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3">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3">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3">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3">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3">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3">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3">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3">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3">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3">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3">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3">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3">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3">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3">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3">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3">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3">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3">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3">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3">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3">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3">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3">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3">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3">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3">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3">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3">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3">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3">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3">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3">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3">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3">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3">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3">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3">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3">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3">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3">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3">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3">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3">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3">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3">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3">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3">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3">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3">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3">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3">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3">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3">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3">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3">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3">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3">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3">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3">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3">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3">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3">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3">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3">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3">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3">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3">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3">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3">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3">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3">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3">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3">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3">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3">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3">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3">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3">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3">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3">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3">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3">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3">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3">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3">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3">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3">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3">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3">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3">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3">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3">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3">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3">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3">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3">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3">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3">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3">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3">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3">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3">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3">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3">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3">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3">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3">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3">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3">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3">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3">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3">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3">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3">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3">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3">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3">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3">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3">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3">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3">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3">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3">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3">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3">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3">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3">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3">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3">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3">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3">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3">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3">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3">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3">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3">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3">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3">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3">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3">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3">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3">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3">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3">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3">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3">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3">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3">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3">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3">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3">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3">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3">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3">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3">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3">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3">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3">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3">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3">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3">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3">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3">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3">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3">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3">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3">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3">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3">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3">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3">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3">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3">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3">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3">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3">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3">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3">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3">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3">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3">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3">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3">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3">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3">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3">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3">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3">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3">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3">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3">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3">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3">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3">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3">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3">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3">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3">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3">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3">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3">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3">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3">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3">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3">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3">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3">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3">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3">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3">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3">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3">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3">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A29405-0ACD-44E7-9E7C-EC1AB06C75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acb6f5-a267-438f-a085-1cd1a6c988ea"/>
    <ds:schemaRef ds:uri="34c91bc0-47e8-459a-859a-0a8b02681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38A3E-35E4-46E1-9B01-46D1DFCD056E}">
  <ds:schemaRefs>
    <ds:schemaRef ds:uri="http://schemas.microsoft.com/office/2006/metadata/properties"/>
    <ds:schemaRef ds:uri="http://schemas.microsoft.com/office/infopath/2007/PartnerControls"/>
    <ds:schemaRef ds:uri="34c91bc0-47e8-459a-859a-0a8b02681609"/>
    <ds:schemaRef ds:uri="93acb6f5-a267-438f-a085-1cd1a6c988ea"/>
  </ds:schemaRefs>
</ds:datastoreItem>
</file>

<file path=customXml/itemProps3.xml><?xml version="1.0" encoding="utf-8"?>
<ds:datastoreItem xmlns:ds="http://schemas.openxmlformats.org/officeDocument/2006/customXml" ds:itemID="{9D6B7643-04C7-4823-A5EB-CFEADB3F34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0159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0159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Christian Bennett</cp:lastModifiedBy>
  <cp:lastPrinted>2024-02-28T13:36:32Z</cp:lastPrinted>
  <dcterms:created xsi:type="dcterms:W3CDTF">2023-03-08T17:19:33Z</dcterms:created>
  <dcterms:modified xsi:type="dcterms:W3CDTF">2025-02-26T18:23:26Z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3304300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