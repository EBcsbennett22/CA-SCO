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sconet\data\SARD\Users\slam\Data\Desktop\"/>
    </mc:Choice>
  </mc:AlternateContent>
  <xr:revisionPtr revIDLastSave="0" documentId="13_ncr:1_{60732C3E-4911-4651-977E-1CDF5FACA63B}" xr6:coauthVersionLast="47" xr6:coauthVersionMax="47" xr10:uidLastSave="{00000000-0000-0000-0000-000000000000}"/>
  <bookViews>
    <workbookView xWindow="39150" yWindow="-110" windowWidth="38620" windowHeight="21220" xr2:uid="{00000000-000D-0000-FFFF-FFFF00000000}"/>
  </bookViews>
  <sheets>
    <sheet name="Fund 020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0200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<sst xmlns="http://schemas.openxmlformats.org/spreadsheetml/2006/main" count="7551" uniqueCount="1643">
  <si>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</si>
  <si>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</si>
  <si>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</si>
  <si>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</si>
  <si>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</si>
  <si>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</si>
  <si>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</si>
  <si>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</si>
  <si>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</si>
  <si>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</si>
  <si>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</si>
  <si>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</si>
  <si>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</si>
  <si>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</si>
  <si>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</si>
  <si>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</si>
  <si>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</si>
  <si>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</si>
  <si>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</si>
  <si>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</si>
  <si>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</si>
  <si>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</si>
  <si>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</si>
  <si>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</si>
  <si>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</si>
  <si>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</si>
  <si>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</si>
  <si>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</si>
  <si>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</si>
  <si>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</si>
  <si>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</si>
  <si>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</si>
  <si>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</si>
  <si>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</si>
  <si>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</si>
  <si>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</si>
  <si>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</si>
  <si>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</si>
  <si>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</si>
  <si>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</si>
  <si>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</si>
  <si>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</si>
  <si>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</si>
  <si>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</si>
  <si>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</si>
  <si>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</si>
  <si>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</si>
  <si>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</si>
  <si>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</si>
  <si>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</si>
  <si>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</si>
  <si>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</si>
  <si>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</si>
  <si>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</si>
  <si>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</si>
  <si>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</si>
  <si>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</si>
  <si>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</si>
  <si>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</si>
  <si>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</si>
  <si>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</si>
  <si>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</si>
  <si>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</si>
  <si>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</si>
  <si>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</si>
  <si>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</si>
  <si>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</si>
  <si>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</si>
  <si>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</si>
  <si>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</si>
  <si>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</si>
  <si>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</si>
  <si>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</si>
  <si>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</si>
  <si>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</si>
  <si>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</si>
  <si>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</si>
  <si>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</si>
  <si>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</si>
  <si>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</si>
  <si>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</si>
  <si>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</si>
  <si>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</si>
  <si>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</si>
  <si>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</si>
  <si>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</si>
  <si>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</si>
  <si>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</si>
  <si>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</si>
  <si>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</si>
  <si>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</si>
  <si>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</si>
  <si>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</si>
  <si>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</si>
  <si>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</si>
  <si>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</si>
  <si>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</si>
  <si>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</si>
  <si>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</si>
  <si>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</si>
  <si>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</si>
  <si>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</si>
  <si>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</si>
  <si>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</si>
  <si>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</si>
  <si>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</si>
  <si>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</si>
  <si>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</si>
  <si>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</si>
  <si>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</si>
  <si>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</si>
  <si>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</si>
  <si>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</si>
  <si>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</si>
  <si>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</si>
  <si>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</si>
  <si>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</si>
  <si>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</si>
  <si>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</si>
  <si>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</si>
  <si>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</si>
  <si>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</si>
  <si>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</si>
  <si>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</si>
  <si>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</si>
  <si>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</si>
  <si>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</si>
  <si>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</si>
  <si>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</si>
  <si>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</si>
  <si>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</si>
  <si>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</si>
  <si>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</si>
  <si>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</si>
  <si>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</si>
  <si>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</si>
  <si>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</si>
  <si>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</si>
  <si>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</si>
  <si>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</si>
  <si>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</si>
  <si>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</si>
  <si>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</si>
  <si>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</si>
  <si>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</si>
  <si>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</si>
  <si>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</si>
  <si>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</si>
  <si>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</si>
  <si>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</si>
  <si>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</si>
  <si>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</si>
  <si>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</si>
  <si>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</si>
  <si>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</si>
  <si>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</si>
  <si>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</si>
  <si>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</si>
  <si>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</si>
  <si>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</si>
  <si>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</si>
  <si>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</si>
  <si>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</si>
  <si>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</si>
  <si>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</si>
  <si>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</si>
  <si>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</si>
  <si>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</si>
  <si>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</si>
  <si>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</si>
  <si>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</si>
  <si>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</si>
  <si>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</si>
  <si>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</si>
  <si>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</si>
  <si>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</si>
  <si>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</si>
  <si>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</si>
  <si>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</si>
  <si>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</si>
  <si>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</si>
  <si>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</si>
  <si>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</si>
  <si>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</si>
  <si>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</si>
  <si>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</si>
  <si>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</si>
  <si>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</si>
  <si>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</si>
  <si>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</si>
  <si>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</si>
  <si>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</si>
  <si>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</si>
  <si>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</si>
  <si>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</si>
  <si>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</si>
  <si>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</si>
  <si>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</si>
  <si>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</si>
  <si>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</si>
  <si>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</si>
  <si>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</si>
  <si>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</si>
  <si>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</si>
  <si>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</si>
  <si>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</si>
  <si>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</si>
  <si>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</si>
  <si>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</si>
  <si>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</si>
  <si>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</si>
  <si>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</si>
  <si>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</si>
  <si>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</si>
  <si>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</si>
  <si>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</si>
  <si>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</si>
  <si>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</si>
  <si>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</si>
  <si>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</si>
  <si>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</si>
  <si>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</si>
  <si>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</si>
  <si>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</si>
  <si>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</si>
  <si>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</si>
  <si>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</si>
  <si>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</si>
  <si>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</si>
  <si>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</si>
  <si>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</si>
  <si>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</si>
  <si>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</si>
  <si>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</si>
  <si>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</si>
  <si>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</si>
  <si>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</si>
  <si>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</si>
  <si>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</si>
  <si>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</si>
  <si>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</si>
  <si>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</si>
  <si>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</si>
  <si>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</si>
  <si>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</si>
  <si>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</si>
  <si>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</si>
  <si>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</si>
  <si>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</si>
  <si>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</si>
  <si>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</si>
  <si>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</si>
  <si>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</si>
  <si>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</si>
  <si>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</si>
  <si>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</si>
  <si>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</si>
  <si>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</si>
  <si>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</si>
  <si>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</si>
  <si>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</si>
  <si>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</si>
  <si>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</si>
  <si>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</si>
  <si>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</si>
  <si>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</si>
  <si>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</si>
  <si>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</si>
  <si>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</si>
  <si>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</si>
  <si>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</si>
  <si>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</si>
  <si>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</si>
  <si>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</si>
  <si>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</si>
  <si>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</si>
  <si>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</si>
  <si>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</si>
  <si>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</si>
  <si>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</si>
  <si>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</si>
  <si>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</si>
  <si>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</si>
  <si>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</si>
  <si>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</si>
  <si>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</si>
  <si>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</si>
  <si>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</si>
  <si>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</si>
  <si>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</si>
  <si>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</si>
  <si>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</si>
  <si>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</si>
  <si>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</si>
  <si>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</si>
  <si>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</si>
  <si>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</si>
  <si>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</si>
  <si>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</si>
  <si>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</si>
  <si>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</si>
  <si>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</si>
  <si>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</si>
  <si>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</si>
  <si>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</si>
  <si>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</si>
  <si>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</si>
  <si>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</si>
  <si>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</si>
  <si>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</si>
  <si>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</si>
  <si>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</si>
  <si>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</si>
  <si>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</si>
  <si>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</si>
  <si>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</si>
  <si>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</si>
  <si>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</si>
  <si>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</si>
  <si>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</si>
  <si>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</si>
  <si>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</si>
  <si>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</si>
  <si>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</si>
  <si>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</si>
  <si>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</si>
  <si>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</si>
  <si>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</si>
  <si>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</si>
  <si>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</si>
  <si>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</si>
  <si>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</si>
  <si>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</si>
  <si>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</si>
  <si>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</si>
  <si>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</si>
  <si>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</si>
  <si>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</si>
  <si>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</si>
  <si>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</si>
  <si>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</si>
  <si>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</si>
  <si>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</si>
  <si>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</si>
  <si>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</si>
  <si>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</si>
  <si>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</si>
  <si>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</si>
  <si>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</si>
  <si>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</si>
  <si>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</si>
  <si>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</si>
  <si>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</si>
  <si>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</si>
  <si>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</si>
  <si>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</si>
  <si>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</si>
  <si>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</si>
  <si>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</si>
  <si>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</si>
  <si>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</si>
  <si>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</si>
  <si>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</si>
  <si>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</si>
  <si>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</si>
  <si>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</si>
  <si>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</si>
  <si>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</si>
  <si>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</si>
  <si>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</si>
  <si>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</si>
  <si>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</si>
  <si>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</si>
  <si>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</si>
  <si>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</si>
  <si>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</si>
  <si>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</si>
  <si>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</si>
  <si>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</si>
  <si>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</si>
  <si>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</si>
  <si>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</si>
  <si>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</si>
  <si>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</si>
  <si>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</si>
  <si>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</si>
  <si>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</si>
  <si>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</si>
  <si>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</si>
  <si>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</si>
  <si>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</si>
  <si>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</si>
  <si>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</si>
  <si>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</si>
  <si>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</si>
  <si>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</si>
  <si>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</si>
  <si>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</si>
  <si>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</si>
  <si>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</si>
  <si>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</si>
  <si>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</si>
  <si>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</si>
  <si>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</si>
  <si>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</si>
  <si>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</si>
  <si>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</si>
  <si>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</si>
  <si>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</si>
  <si>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</si>
  <si>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</si>
  <si>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</si>
  <si>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</si>
  <si>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</si>
  <si>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</si>
  <si>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</si>
  <si>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</si>
  <si>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</si>
  <si>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</si>
  <si>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</si>
  <si>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</si>
  <si>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</si>
  <si>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</si>
  <si>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</si>
  <si>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</si>
  <si>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</si>
  <si>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</si>
  <si>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</si>
  <si>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</si>
  <si>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</si>
  <si>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</si>
  <si>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</si>
  <si>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</si>
  <si>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</si>
  <si>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</si>
  <si>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</si>
  <si>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</si>
  <si>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</si>
  <si>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</si>
  <si>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</si>
  <si>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</si>
  <si>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</si>
  <si>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</si>
  <si>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</si>
  <si>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</si>
  <si>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</si>
  <si>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</si>
  <si>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</si>
  <si>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</si>
  <si>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</si>
  <si>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</si>
  <si>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</si>
  <si>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</si>
  <si>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</si>
  <si>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</si>
  <si>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</si>
  <si>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</si>
  <si>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</si>
  <si>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</si>
  <si>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</si>
  <si>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</si>
  <si>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</si>
  <si>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</si>
  <si>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</si>
  <si>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</si>
  <si>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</si>
  <si>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</si>
  <si>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</si>
  <si>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</si>
  <si>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</si>
  <si>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</si>
  <si>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</si>
  <si>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</si>
  <si>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</si>
  <si>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</si>
  <si>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</si>
  <si>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</si>
  <si>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</si>
  <si>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</si>
  <si>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</si>
  <si>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</si>
  <si>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</si>
  <si>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</si>
  <si>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</si>
  <si>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</si>
  <si>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</si>
  <si>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</si>
  <si>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</si>
  <si>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</si>
  <si>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</si>
  <si>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</si>
  <si>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</si>
  <si>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</si>
  <si>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</si>
  <si>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</si>
  <si>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</si>
  <si>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</si>
  <si>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</si>
  <si>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</si>
  <si>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</si>
  <si>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</si>
  <si>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</si>
  <si>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</si>
  <si>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</si>
  <si>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</si>
  <si>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</si>
  <si>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</si>
  <si>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</si>
  <si>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</si>
  <si>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</si>
  <si>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</si>
  <si>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</si>
  <si>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</si>
  <si>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</si>
  <si>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</si>
  <si>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</si>
  <si>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</si>
  <si>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</si>
  <si>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</si>
  <si>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</si>
  <si>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</si>
  <si>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</si>
  <si>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</si>
  <si>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</si>
  <si>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</si>
  <si>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</si>
  <si>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</si>
  <si>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</si>
  <si>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</si>
  <si>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</si>
  <si>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</si>
  <si>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</si>
  <si>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</si>
  <si>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</si>
  <si>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</si>
  <si>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</si>
  <si>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</si>
  <si>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</si>
  <si>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</si>
  <si>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</si>
  <si>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</si>
  <si>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</si>
  <si>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</si>
  <si>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</si>
  <si>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</si>
  <si>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</si>
  <si>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</si>
  <si>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</si>
  <si>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</si>
  <si>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</si>
  <si>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</si>
  <si>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</si>
  <si>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</si>
  <si>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</si>
  <si>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</si>
  <si>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</si>
  <si>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</si>
  <si>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</si>
  <si>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</si>
  <si>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</si>
  <si>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</si>
  <si>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</si>
  <si>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</si>
  <si>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</si>
  <si>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</si>
  <si>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</si>
  <si>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</si>
  <si>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</si>
  <si>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</si>
  <si>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</si>
  <si>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</si>
  <si>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</si>
  <si>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</si>
  <si>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</si>
  <si>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</si>
  <si>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</si>
  <si>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</si>
  <si>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</si>
  <si>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</si>
  <si>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</si>
  <si>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</si>
  <si>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</si>
  <si>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</si>
  <si>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</si>
  <si>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</si>
  <si>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</si>
  <si>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</si>
  <si>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</si>
  <si>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</si>
  <si>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</si>
  <si>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</si>
  <si>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</si>
  <si>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</si>
  <si>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</si>
  <si>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</si>
  <si>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</si>
  <si>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</si>
  <si>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</si>
  <si>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</si>
  <si>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</si>
  <si>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</si>
  <si>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</si>
  <si>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</si>
  <si>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</si>
  <si>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</si>
  <si>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</si>
  <si>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</si>
  <si>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</si>
  <si>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</si>
  <si>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</si>
  <si>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</si>
  <si>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</si>
  <si>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</si>
  <si>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</si>
  <si>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</si>
  <si>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</si>
  <si>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</si>
  <si>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</si>
  <si>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</si>
  <si>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</si>
  <si>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</si>
  <si>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</si>
  <si>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</si>
  <si>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</si>
  <si>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</si>
  <si>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</si>
  <si>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</si>
  <si>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</si>
  <si>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</si>
  <si>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</si>
  <si>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</si>
  <si>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</si>
  <si>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</si>
  <si>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</si>
  <si>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</si>
  <si>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</si>
  <si>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</si>
  <si>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</si>
  <si>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</si>
  <si>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</si>
  <si>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</si>
  <si>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</si>
  <si>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</si>
  <si>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</si>
  <si>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</si>
  <si>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</si>
  <si>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</si>
  <si>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</si>
  <si>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</si>
  <si>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</si>
  <si>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</si>
  <si>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</si>
  <si>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</si>
  <si>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</si>
  <si>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</si>
  <si>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</si>
  <si>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</si>
  <si>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</si>
  <si>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</si>
  <si>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</si>
  <si>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</si>
  <si>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</si>
  <si>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</si>
  <si>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</si>
  <si>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</si>
  <si>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</si>
  <si>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</si>
  <si>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</si>
  <si>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</si>
  <si>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</si>
  <si>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</si>
  <si>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</si>
  <si>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</si>
  <si>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</si>
  <si>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</si>
  <si>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</si>
  <si>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</si>
  <si>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</si>
  <si>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</si>
  <si>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</si>
  <si>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</si>
  <si>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</si>
  <si>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</si>
  <si>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</si>
  <si>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</si>
  <si>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</si>
  <si>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</si>
  <si>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</si>
  <si>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</si>
  <si>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</si>
  <si>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</si>
  <si>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</si>
  <si>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</si>
  <si>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</si>
  <si>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</si>
  <si>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</si>
  <si>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</si>
  <si>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</si>
  <si>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</si>
  <si>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</si>
  <si>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</si>
  <si>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</si>
  <si>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</si>
  <si>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</si>
  <si>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</si>
  <si>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</si>
  <si>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</si>
  <si>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</si>
  <si>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</si>
  <si>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</si>
  <si>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</si>
  <si>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</si>
  <si>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</si>
  <si>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</si>
  <si>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</si>
  <si>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</si>
  <si>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</si>
  <si>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</si>
  <si>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</si>
  <si>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</si>
  <si>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</si>
  <si>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</si>
  <si>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</si>
  <si>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</si>
  <si>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</si>
  <si>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</si>
  <si>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</si>
  <si>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</si>
  <si>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</si>
  <si>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</si>
  <si>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</si>
  <si>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</si>
  <si>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</si>
  <si>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</si>
  <si>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</si>
  <si>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</si>
  <si>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</si>
  <si>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</si>
  <si>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</si>
  <si>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</si>
  <si>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</si>
  <si>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</si>
  <si>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</si>
  <si>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</si>
  <si>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</si>
  <si>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</si>
  <si>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</si>
  <si>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</si>
  <si>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</si>
  <si>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</si>
  <si>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</si>
  <si>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</si>
  <si>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</si>
  <si>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</si>
  <si>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</si>
  <si>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</si>
  <si>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</si>
  <si>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</si>
  <si>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</si>
  <si>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</si>
  <si>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</si>
  <si>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</si>
  <si>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</si>
  <si>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</si>
  <si>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</si>
  <si>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</si>
  <si>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</si>
  <si>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</si>
  <si>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</si>
  <si>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</si>
  <si>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</si>
  <si>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</si>
  <si>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</si>
  <si>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</si>
  <si>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</si>
  <si>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</si>
  <si>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</si>
  <si>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</si>
  <si>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</si>
  <si>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</si>
  <si>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</si>
  <si>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</si>
  <si>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</si>
  <si>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</si>
  <si>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</si>
  <si>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</si>
  <si>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</si>
  <si>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</si>
  <si>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</si>
  <si>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</si>
  <si>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</si>
  <si>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</si>
  <si>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</si>
  <si>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</si>
  <si>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</si>
  <si>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</si>
  <si>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</si>
  <si>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</si>
  <si>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</si>
  <si>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</si>
  <si>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</si>
  <si>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</si>
  <si>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</si>
  <si>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</si>
  <si>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</si>
  <si>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</si>
  <si>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</si>
  <si>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</si>
  <si>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</si>
  <si>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</si>
  <si>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</si>
  <si>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</si>
  <si>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</si>
  <si>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</si>
  <si>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</si>
  <si>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</si>
  <si>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</si>
  <si>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</si>
  <si>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</si>
  <si>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</si>
  <si>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</si>
  <si>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</si>
  <si>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</si>
  <si>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</si>
  <si>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</si>
  <si>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</si>
  <si>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</si>
  <si>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</si>
  <si>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</si>
  <si>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</si>
  <si>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</si>
  <si>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</si>
  <si>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</si>
  <si>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</si>
  <si>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</si>
  <si>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</si>
  <si>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</si>
  <si>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</si>
  <si>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</si>
  <si>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</si>
  <si>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</si>
  <si>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</si>
  <si>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</si>
  <si>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</si>
  <si>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</si>
  <si>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</si>
  <si>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</si>
  <si>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</si>
  <si>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</si>
  <si>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</si>
  <si>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</si>
  <si>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</si>
  <si>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</si>
  <si>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</si>
  <si>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</si>
  <si>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</si>
  <si>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</si>
  <si>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</si>
  <si>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</si>
  <si>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</si>
  <si>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</si>
  <si>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</si>
  <si>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</si>
  <si>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</si>
  <si>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</si>
  <si>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</si>
  <si>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</si>
  <si>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</si>
  <si>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</si>
  <si>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</si>
  <si>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</si>
  <si>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</si>
  <si>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</si>
  <si>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</si>
  <si>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</si>
  <si>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</si>
  <si>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</si>
  <si>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</si>
  <si>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</si>
  <si>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</si>
  <si>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</si>
  <si>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</si>
  <si>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</si>
  <si>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</si>
  <si>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</si>
  <si>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</si>
  <si>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</si>
  <si>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</si>
  <si>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</si>
  <si>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</si>
  <si>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</si>
  <si>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</si>
  <si>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</si>
  <si>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</si>
  <si>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</si>
  <si>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</si>
  <si>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</si>
  <si>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</si>
  <si>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</si>
  <si>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</si>
  <si>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</si>
  <si>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</si>
  <si>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</si>
  <si>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</si>
  <si>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</si>
  <si>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</si>
  <si>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</si>
  <si>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</si>
  <si>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</si>
  <si>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</si>
  <si>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</si>
  <si>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</si>
  <si>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</si>
  <si>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</si>
  <si>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</si>
  <si>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</si>
  <si>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</si>
  <si>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</si>
  <si>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</si>
  <si>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</si>
  <si>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</si>
  <si>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</si>
  <si>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</si>
  <si>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</si>
  <si>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</si>
  <si>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</si>
  <si>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</si>
  <si>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</si>
  <si>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</si>
  <si>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</si>
  <si>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</si>
  <si>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</si>
  <si>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</si>
  <si>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</si>
  <si>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</si>
  <si>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</si>
  <si>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</si>
  <si>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</si>
  <si>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</si>
  <si>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</si>
  <si>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</si>
  <si>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</si>
  <si>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</si>
  <si>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</si>
  <si>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</si>
  <si>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</si>
  <si>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</si>
  <si>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</si>
  <si>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</si>
  <si>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</si>
  <si>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</si>
  <si>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</si>
  <si>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</si>
  <si>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</si>
  <si>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</si>
  <si>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</si>
  <si>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</si>
  <si>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</si>
  <si>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</si>
  <si>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</si>
  <si>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</si>
  <si>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</si>
  <si>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</si>
  <si>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</si>
  <si>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</si>
  <si>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</si>
  <si>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</si>
  <si>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</si>
  <si>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</si>
  <si>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</si>
  <si>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</si>
  <si>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</si>
  <si>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</si>
  <si>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</si>
  <si>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</si>
  <si>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</si>
  <si>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</si>
  <si>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</si>
  <si>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</si>
  <si>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</si>
  <si>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</si>
  <si>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</si>
  <si>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</si>
  <si>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</si>
  <si>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</si>
  <si>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</si>
  <si>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</si>
  <si>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</si>
  <si>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</si>
  <si>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</si>
  <si>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</si>
  <si>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</si>
  <si>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</si>
  <si>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</si>
  <si>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</si>
  <si>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</si>
  <si>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</si>
  <si>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</si>
  <si>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</si>
  <si>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</si>
  <si>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</si>
  <si>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</si>
  <si>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</si>
  <si>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</si>
  <si>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</si>
  <si>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</si>
  <si>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</si>
  <si>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</si>
  <si>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</si>
  <si>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</si>
  <si>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</si>
  <si>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</si>
  <si>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</si>
  <si>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</si>
  <si>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</si>
  <si>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</si>
  <si>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</si>
  <si>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</si>
  <si>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</si>
  <si>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</si>
  <si>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</si>
  <si>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</si>
  <si>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</si>
  <si>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</si>
  <si>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</si>
  <si>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</si>
  <si>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</si>
  <si>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</si>
  <si>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</si>
  <si>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</si>
  <si>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</si>
  <si>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</si>
  <si>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</si>
  <si>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</si>
  <si>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</si>
  <si>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</si>
  <si>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</si>
  <si>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</si>
  <si>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</si>
  <si>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</si>
  <si>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</si>
  <si>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</si>
  <si>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</si>
  <si>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</si>
  <si>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</si>
  <si>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</si>
  <si>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</si>
  <si>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</si>
  <si>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</si>
  <si>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</si>
  <si>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</si>
  <si>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</si>
  <si>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</si>
  <si>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</si>
  <si>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</si>
  <si>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</si>
  <si>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</si>
  <si>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</si>
  <si>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</si>
  <si>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</si>
  <si>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</si>
  <si>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</si>
  <si>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</si>
  <si>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</si>
  <si>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</si>
  <si>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</si>
  <si>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</si>
  <si>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</si>
  <si>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</si>
  <si>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</si>
  <si>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</si>
  <si>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</si>
  <si>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</si>
  <si>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</si>
  <si>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</si>
  <si>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</si>
  <si>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</si>
  <si>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</si>
  <si>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</si>
  <si>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</si>
  <si>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</si>
  <si>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</si>
  <si>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</si>
  <si>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</si>
  <si>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</si>
  <si>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</si>
  <si>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</si>
  <si>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</si>
  <si>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</si>
  <si>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</si>
  <si>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</si>
  <si>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</si>
  <si>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</si>
  <si>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</si>
  <si>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</si>
  <si>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</si>
  <si>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</si>
  <si>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</si>
  <si>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</si>
  <si>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</si>
  <si>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</si>
  <si>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</si>
  <si>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</si>
  <si>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</si>
  <si>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</si>
  <si>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</si>
  <si>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</si>
  <si>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</si>
  <si>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</si>
  <si>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</si>
  <si>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</si>
  <si>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</si>
  <si>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</si>
  <si>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</si>
  <si>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</si>
  <si>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</si>
  <si>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</si>
  <si>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</si>
  <si>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</si>
  <si>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</si>
  <si>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</si>
  <si>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</si>
  <si>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</si>
  <si>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</si>
  <si>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</si>
  <si>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</si>
  <si>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</si>
  <si>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</si>
  <si>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</si>
  <si>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</si>
  <si>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</si>
  <si>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</si>
  <si>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</si>
  <si>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</si>
  <si>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</si>
  <si>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</si>
  <si>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</si>
  <si>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</si>
  <si>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</si>
  <si>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</si>
  <si>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</si>
  <si>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</si>
  <si>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</si>
  <si>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</si>
  <si>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</si>
  <si>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</si>
  <si>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</si>
  <si>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</si>
  <si>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</si>
  <si>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</si>
  <si>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</si>
  <si>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</si>
  <si>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</si>
  <si>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</si>
  <si>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</si>
  <si>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</si>
  <si>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</si>
  <si>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</si>
  <si>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</si>
  <si>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</si>
  <si>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</si>
  <si>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</si>
  <si>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</si>
  <si>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</si>
  <si>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</si>
  <si>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</si>
  <si>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</si>
  <si>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</si>
  <si>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</si>
  <si>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</si>
  <si>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</si>
  <si>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</si>
  <si>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</si>
  <si>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</si>
  <si>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</si>
  <si>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</si>
  <si>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</si>
  <si>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</si>
  <si>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</si>
  <si>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</si>
  <si>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</si>
  <si>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</si>
  <si>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</si>
  <si>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</si>
  <si>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</si>
  <si>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</si>
  <si>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</si>
  <si>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</si>
  <si>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</si>
  <si>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</si>
  <si>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</si>
  <si>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</si>
  <si>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</si>
  <si>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</si>
  <si>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</si>
  <si>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</si>
  <si>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</si>
  <si>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</si>
  <si>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</si>
  <si>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</si>
  <si>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</si>
  <si>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</si>
  <si>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</si>
  <si>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</si>
  <si>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</si>
  <si>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</si>
  <si>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</si>
  <si>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</si>
  <si>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</si>
  <si>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</si>
  <si>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</si>
  <si>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</si>
  <si>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</si>
  <si>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</si>
  <si>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</si>
  <si>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</si>
  <si>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</si>
  <si>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</si>
  <si>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</si>
  <si>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</si>
  <si>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</si>
  <si>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</si>
  <si>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</si>
  <si>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</si>
  <si>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</si>
  <si>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</si>
  <si>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</si>
  <si>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</si>
  <si>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</si>
  <si>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</si>
  <si>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</si>
  <si>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</si>
  <si>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</si>
  <si>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</si>
  <si>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</si>
  <si>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</si>
  <si>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</si>
  <si>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</si>
  <si>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</si>
  <si>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</si>
  <si>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</si>
  <si>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</si>
  <si>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</si>
  <si>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</si>
  <si>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</si>
  <si>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</si>
  <si>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</si>
  <si>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</si>
  <si>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</si>
  <si>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</si>
  <si>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</si>
  <si>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</si>
  <si>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</si>
  <si>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</si>
  <si>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</si>
  <si>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</si>
  <si>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</si>
  <si>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</si>
  <si>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</si>
  <si>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</si>
  <si>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</si>
  <si>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</si>
  <si>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</si>
  <si>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</si>
  <si>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</si>
  <si>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</si>
  <si>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</si>
  <si>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</si>
  <si>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</si>
  <si>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</si>
  <si>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</si>
  <si>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</si>
  <si>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</si>
  <si>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</si>
  <si>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</si>
  <si>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</si>
  <si>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</si>
  <si>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</si>
  <si>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</si>
  <si>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</si>
  <si>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</si>
  <si>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</si>
  <si>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</si>
  <si>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</si>
  <si>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</si>
  <si>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</si>
  <si>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</si>
  <si>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</si>
  <si>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</si>
  <si>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</si>
  <si>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</si>
  <si>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</si>
  <si>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</si>
  <si>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</si>
  <si>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</si>
  <si>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</si>
  <si>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</si>
  <si>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</si>
  <si>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</si>
  <si>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</si>
  <si>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</si>
  <si>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</si>
  <si>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</si>
  <si>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</si>
  <si>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</si>
  <si>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</si>
  <si>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</si>
  <si>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</si>
  <si>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</si>
  <si>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</si>
  <si>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</si>
  <si>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</si>
  <si>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</si>
  <si>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</si>
  <si>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</si>
  <si>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</si>
  <si>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</si>
  <si>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</si>
  <si>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</si>
  <si>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</si>
  <si>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</si>
  <si>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</si>
  <si>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</si>
  <si>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</si>
  <si>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</si>
  <si>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</si>
  <si>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</si>
  <si>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</si>
  <si>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</si>
  <si>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</si>
  <si>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</si>
  <si>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</si>
  <si>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</si>
  <si>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</si>
  <si>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</si>
  <si>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</si>
  <si>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</si>
  <si>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</si>
  <si>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</si>
  <si>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</si>
  <si>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</si>
  <si>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</si>
  <si>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</si>
  <si>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</si>
  <si>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</si>
  <si>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</si>
  <si>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</si>
  <si>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</si>
  <si>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</si>
  <si>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</si>
  <si>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</si>
  <si>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</si>
  <si>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</si>
  <si>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</si>
  <si>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</si>
  <si>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</si>
  <si>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</si>
  <si>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</si>
  <si>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</si>
  <si>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</si>
  <si>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</si>
  <si>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</si>
  <si>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</si>
  <si>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</si>
  <si>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</si>
  <si>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</si>
  <si>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</si>
  <si>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</si>
  <si>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</si>
  <si>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</si>
  <si>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</si>
  <si>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</si>
  <si>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</si>
  <si>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</si>
  <si>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</si>
  <si>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</si>
  <si>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</si>
  <si>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</si>
  <si>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</si>
  <si>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</si>
  <si>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</si>
  <si>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</si>
  <si>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</si>
  <si>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</si>
  <si>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</si>
  <si>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</si>
  <si>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</si>
  <si>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</si>
  <si>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</si>
  <si>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</si>
  <si>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</si>
  <si>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</si>
  <si>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</si>
  <si>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</si>
  <si>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</si>
  <si>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</si>
  <si>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</si>
  <si>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</si>
  <si>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</si>
  <si>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</si>
  <si>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</si>
  <si>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</si>
  <si>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</si>
  <si>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</si>
  <si>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</si>
  <si>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</si>
  <si>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</si>
  <si>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</si>
  <si>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</si>
  <si>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</si>
  <si>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</si>
  <si>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</si>
  <si>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</si>
  <si>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</si>
  <si>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</si>
  <si>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</si>
  <si>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</si>
  <si>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</si>
  <si>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</si>
  <si>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</si>
  <si>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</si>
  <si>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</si>
  <si>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</si>
  <si>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</si>
  <si>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</si>
  <si>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</si>
  <si>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</si>
  <si>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</si>
  <si>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</si>
  <si>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</si>
  <si>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</si>
  <si>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</si>
  <si>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</si>
  <si>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</si>
  <si>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</si>
  <si>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</si>
  <si>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</si>
  <si>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</si>
  <si>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</si>
  <si>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</si>
  <si>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</si>
  <si>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</si>
  <si>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</si>
  <si>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</si>
  <si>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</si>
  <si>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</si>
  <si>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</si>
  <si>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</si>
  <si>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</si>
  <si>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</si>
  <si>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</si>
  <si>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</si>
  <si>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</si>
  <si>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</si>
  <si>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</si>
  <si>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</si>
  <si>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</si>
  <si>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</si>
  <si>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</si>
  <si>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</si>
  <si>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</si>
  <si>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</si>
  <si>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</si>
  <si>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</si>
  <si>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</si>
  <si>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</si>
  <si>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</si>
  <si>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</si>
  <si>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</si>
  <si>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</si>
  <si>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</si>
  <si>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</si>
  <si>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</si>
  <si>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</si>
  <si>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</si>
  <si>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</si>
  <si>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</si>
  <si>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</si>
  <si>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</si>
  <si>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</si>
  <si>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</si>
  <si>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</si>
  <si>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</si>
  <si>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</si>
  <si>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</si>
  <si>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</si>
  <si>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</si>
  <si>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</si>
  <si>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</si>
  <si>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</si>
  <si>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</si>
  <si>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</si>
  <si>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</si>
  <si>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</si>
  <si>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</si>
  <si>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</si>
  <si>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</si>
  <si>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</si>
  <si>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</si>
  <si>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</si>
  <si>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</si>
  <si>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</si>
  <si>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</si>
  <si>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</si>
  <si>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</si>
  <si>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</si>
  <si>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</si>
  <si>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</si>
  <si>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</si>
  <si>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</si>
  <si>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</si>
  <si>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</si>
  <si>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</si>
  <si>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</si>
  <si>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</si>
  <si>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</si>
  <si>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</si>
  <si>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</si>
  <si>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</si>
  <si>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</si>
  <si>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</si>
  <si>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</si>
  <si>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</si>
  <si>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</si>
  <si>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</si>
  <si>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</si>
  <si>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</si>
  <si>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</si>
  <si>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</si>
  <si>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</si>
  <si>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</si>
  <si>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</si>
  <si>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</si>
  <si>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</si>
  <si>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</si>
  <si>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</si>
  <si>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</si>
  <si>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</si>
  <si>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</si>
  <si>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</si>
  <si>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</si>
  <si>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</si>
  <si>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</si>
  <si>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</si>
  <si>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</si>
  <si>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</si>
  <si>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</si>
  <si>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</si>
  <si>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</si>
  <si>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</si>
  <si>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</si>
  <si>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</si>
  <si>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</si>
  <si>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</si>
  <si>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</si>
  <si>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</si>
  <si>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</si>
  <si>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</si>
  <si>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</si>
  <si>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</si>
  <si>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</si>
  <si>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</si>
  <si>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</si>
  <si>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</si>
  <si>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</si>
  <si>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</si>
  <si>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</si>
  <si>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</si>
  <si>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</si>
  <si>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</si>
  <si>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</si>
  <si>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</si>
  <si>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</si>
  <si>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</si>
  <si>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</si>
  <si>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</si>
  <si>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</si>
  <si>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</si>
  <si>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</si>
  <si>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</si>
  <si>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</si>
  <si>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</si>
  <si>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</si>
  <si>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</si>
  <si>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</si>
  <si>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</si>
  <si>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</si>
  <si>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</si>
  <si>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</si>
  <si>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</si>
  <si>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</si>
  <si>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</si>
  <si>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</si>
  <si>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</si>
  <si>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</si>
  <si>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</si>
  <si>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</si>
  <si>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</si>
  <si>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</si>
  <si>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</si>
  <si>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</si>
  <si>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</si>
  <si>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</si>
  <si>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</si>
  <si>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</si>
  <si>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</si>
  <si>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</si>
  <si>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</si>
  <si>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</si>
  <si>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</si>
  <si>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</si>
  <si>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</si>
  <si>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</si>
  <si>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</si>
  <si>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</si>
  <si>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</si>
  <si>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</si>
  <si>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</si>
  <si>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</si>
  <si>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</si>
  <si>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</si>
  <si>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</si>
  <si>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</si>
  <si>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</si>
  <si>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</si>
  <si>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</si>
  <si>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</si>
  <si>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</si>
  <si>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</si>
  <si>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</si>
  <si>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</si>
  <si>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</si>
  <si>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</si>
  <si>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</si>
  <si>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</si>
  <si>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</si>
  <si>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</si>
  <si>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</si>
  <si>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</si>
  <si>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</si>
  <si>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</si>
  <si>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</si>
  <si>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Fish and Wildlife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</si>
</sst>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F7" sqref="F7:I7"/>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662</v>
      </c>
      <c r="G5" s="180"/>
      <c r="H5" s="180"/>
      <c r="I5" s="180"/>
      <c r="J5" s="47"/>
      <c r="K5" s="47"/>
      <c r="L5" s="48"/>
      <c r="M5" s="48"/>
      <c r="N5" s="48"/>
    </row>
    <row r="6" spans="1:17" ht="15.75" x14ac:dyDescent="0.2">
      <c r="A6" s="173" t="s">
        <v>1</v>
      </c>
      <c r="B6" s="173"/>
      <c r="C6" s="173"/>
      <c r="D6" s="173"/>
      <c r="E6" s="173"/>
      <c r="F6" s="181">
        <v>200</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RESOURCES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1437815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689814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748001</v>
      </c>
      <c r="Q21" s="28"/>
    </row>
    <row r="22" spans="1:17" ht="16.5" customHeight="1" x14ac:dyDescent="0.2">
      <c r="A22" s="56"/>
      <c r="B22" s="58"/>
      <c r="C22" s="58"/>
      <c r="D22" s="58"/>
      <c r="E22" s="58"/>
      <c r="F22" s="58"/>
      <c r="G22" s="58"/>
      <c r="H22" s="58"/>
      <c r="I22" s="58"/>
      <c r="J22" s="29">
        <f>ROUND(SUM(J15:J17),2)</f>
        <v>1437815</v>
      </c>
      <c r="K22" s="29">
        <f>ROUND(SUM(K18:K21),2)</f>
        <v>1437815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40422</v>
      </c>
      <c r="K45" s="33"/>
    </row>
    <row r="46" spans="1:12" ht="16.5" customHeight="1" x14ac:dyDescent="0.2">
      <c r="A46" s="56"/>
      <c r="B46" s="71"/>
      <c r="C46" s="165" t="s">
        <v>1587</v>
      </c>
      <c r="D46" s="165"/>
      <c r="E46" s="165"/>
      <c r="F46" s="165"/>
      <c r="G46" s="165"/>
      <c r="H46" s="165"/>
      <c r="I46" s="165"/>
      <c r="J46" s="36"/>
      <c r="K46" s="32">
        <f>J45</f>
        <v>40422</v>
      </c>
    </row>
    <row r="47" spans="1:12" ht="16.5" customHeight="1" x14ac:dyDescent="0.2">
      <c r="A47" s="68"/>
      <c r="B47" s="58"/>
      <c r="C47" s="58"/>
      <c r="D47" s="58"/>
      <c r="E47" s="58"/>
      <c r="F47" s="58"/>
      <c r="G47" s="58"/>
      <c r="H47" s="58"/>
      <c r="I47" s="58"/>
      <c r="J47" s="39">
        <f>ROUND(SUM(J45:J45),2)</f>
        <v>40422</v>
      </c>
      <c r="K47" s="39">
        <f>ROUND(SUM(K46),2)</f>
        <v>40422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689814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645</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690459</v>
      </c>
    </row>
    <row r="53" spans="1:12" ht="16.5" customHeight="1" x14ac:dyDescent="0.2">
      <c r="A53" s="68"/>
      <c r="B53" s="58"/>
      <c r="C53" s="58"/>
      <c r="D53" s="58"/>
      <c r="E53" s="58"/>
      <c r="F53" s="58"/>
      <c r="G53" s="58"/>
      <c r="H53" s="58"/>
      <c r="I53" s="58"/>
      <c r="J53" s="39">
        <f>ROUND(SUM(J50:J51),2)</f>
        <v>690459</v>
      </c>
      <c r="K53" s="39">
        <f>ROUND(SUM(K52,),2)</f>
        <v>690459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689814</v>
      </c>
      <c r="K56" s="36"/>
    </row>
    <row r="57" spans="1:12" ht="16.5" customHeight="1" x14ac:dyDescent="0.25">
      <c r="A57" s="56"/>
      <c r="B57" s="57"/>
      <c r="C57" s="165" t="s">
        <v>1613</v>
      </c>
      <c r="D57" s="165"/>
      <c r="E57" s="165"/>
      <c r="F57" s="165"/>
      <c r="G57" s="165"/>
      <c r="H57" s="165"/>
      <c r="I57" s="165"/>
      <c r="J57" s="36"/>
      <c r="K57" s="32">
        <f>J50</f>
        <v>689814</v>
      </c>
    </row>
    <row r="58" spans="1:12" ht="16.5" customHeight="1" x14ac:dyDescent="0.2">
      <c r="A58" s="68"/>
      <c r="B58" s="58"/>
      <c r="C58" s="58"/>
      <c r="D58" s="58"/>
      <c r="E58" s="58"/>
      <c r="F58" s="58"/>
      <c r="G58" s="58"/>
      <c r="H58" s="58"/>
      <c r="I58" s="58"/>
      <c r="J58" s="39">
        <f>ROUND(SUM(J56:J56),2)</f>
        <v>689814</v>
      </c>
      <c r="K58" s="39">
        <f>ROUND(SUM(K57),2)</f>
        <v>689814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66" t="s">
        <v>1622</v>
      </c>
      <c r="C63" s="166"/>
      <c r="D63" s="166"/>
      <c r="E63" s="166"/>
      <c r="F63" s="166"/>
      <c r="G63" s="166"/>
      <c r="H63" s="166"/>
      <c r="I63" s="166"/>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1437815</v>
      </c>
    </row>
    <row r="95" spans="1:12" ht="16.5" customHeight="1" x14ac:dyDescent="0.25">
      <c r="D95" s="57" t="s">
        <v>1641</v>
      </c>
      <c r="E95"/>
      <c r="F95"/>
      <c r="G95"/>
      <c r="H95" s="44"/>
      <c r="I95"/>
      <c r="J95"/>
      <c r="K95" s="162">
        <f>-K18-K46+J68+J77</f>
        <v>-40422</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41" sqref="B40:B4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3600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0</v>
      </c>
      <c r="C16" s="2">
        <v>0</v>
      </c>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3600</v>
      </c>
      <c r="C43" s="184"/>
    </row>
    <row r="44" spans="1:11" ht="15.75" x14ac:dyDescent="0.25">
      <c r="A44" s="92" t="s">
        <v>1600</v>
      </c>
      <c r="B44" s="183" t="str">
        <f>B13</f>
        <v>Department of Fish and Wildlife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3600</v>
      </c>
      <c r="C74" s="184"/>
    </row>
    <row r="75" spans="1:4" ht="15.75" x14ac:dyDescent="0.25">
      <c r="A75" s="92" t="s">
        <v>1600</v>
      </c>
      <c r="B75" s="183" t="str">
        <f>B13</f>
        <v>Department of Fish and Wildlife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u1H5/gCkd6U5n7fR0YDrInb2AOLFAgJbp3pAtyRqmHWnpJM4KNnVIMwdQY5lKbEyWondwjdmMxfhnQE1LETrqg==" saltValue="ktQMdJHAEWwPsx3/qXc7u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N10" sqref="N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0200 Journal Entries'!$F$5&amp;" "&amp;'Fund 0200 Journal Entries'!$F$4</f>
        <v>Business Unit 3600 Department of Fish and Wildlife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0200 Journal Entries'!$F$3,4)</f>
        <v>Balance
July 1, 2022</v>
      </c>
      <c r="G8" s="116"/>
      <c r="H8" s="117" t="s">
        <v>10</v>
      </c>
      <c r="I8" s="116"/>
      <c r="J8" s="117" t="s">
        <v>11</v>
      </c>
      <c r="K8" s="116"/>
      <c r="L8" s="115" t="str">
        <f>"Balance
June 30, "&amp;RIGHT('Fund 0200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0200 Journal Entries'!$F$7="Governmental Fund",'Fund 0200 Journal Entries'!$K$19,0)</f>
        <v>689814</v>
      </c>
      <c r="H10" s="3">
        <f>IF('Fund 0200 Journal Entries'!$F$7="Governmental Fund",'Fund 0200 Journal Entries'!$K$37,0)</f>
        <v>0</v>
      </c>
      <c r="J10" s="3">
        <f>IF('Fund 0200 Journal Entries'!$F$7="Governmental Fund",'Fund 0200 Journal Entries'!$J$56,0)</f>
        <v>689814</v>
      </c>
      <c r="L10" s="119">
        <f>SUM(F10+H10-J10)</f>
        <v>0</v>
      </c>
      <c r="N10" s="3">
        <f>IF('Fund 0200 Journal Entries'!$F$7="Governmental Fund",'Fund 0200 Journal Entries'!$J$61,0)</f>
        <v>0</v>
      </c>
      <c r="P10" s="119">
        <f>L10-N10</f>
        <v>0</v>
      </c>
      <c r="Q10" s="109"/>
    </row>
    <row r="11" spans="2:17" ht="19.5" thickTop="1" thickBot="1" x14ac:dyDescent="0.3">
      <c r="B11" s="107"/>
      <c r="C11" s="197" t="s">
        <v>15</v>
      </c>
      <c r="D11" s="197"/>
      <c r="F11" s="120">
        <f>SUM(F10:F10)</f>
        <v>689814</v>
      </c>
      <c r="H11" s="120">
        <f>SUM(H10:H10)</f>
        <v>0</v>
      </c>
      <c r="J11" s="120">
        <f>SUM(J10:J10)</f>
        <v>689814</v>
      </c>
      <c r="L11" s="120">
        <f>SUM(L10:L10)</f>
        <v>0</v>
      </c>
      <c r="N11" s="120">
        <f>SUM(N10:N10)</f>
        <v>0</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0200 Journal Entries'!$F$7="Proprietary - Internal Service Fund",'Fund 0200 Journal Entries'!$K$19,0)</f>
        <v>0</v>
      </c>
      <c r="H14" s="3">
        <f>IF('Fund 0200 Journal Entries'!$F$7="Proprietary - Internal Service Fund",'Fund 0200 Journal Entries'!$K$37,0)</f>
        <v>0</v>
      </c>
      <c r="J14" s="3">
        <f>IF('Fund 0200 Journal Entries'!$F$7="Proprietary - Internal Service Fund",'Fund 0200 Journal Entries'!$J$56,0)</f>
        <v>0</v>
      </c>
      <c r="L14" s="119">
        <f>SUM(F14+H14-J14)</f>
        <v>0</v>
      </c>
      <c r="N14" s="3">
        <f>IF('Fund 0200 Journal Entries'!$F$7="Proprietary - Internal Service Fund",'Fund 0200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0200 Journal Entries'!$F$7="Proprietary - Enterprise Fund",'Fund 0200 Journal Entries'!$K$19,0)</f>
        <v>0</v>
      </c>
      <c r="H18" s="3">
        <f>IF('Fund 0200 Journal Entries'!$F$7="Proprietary - Enterprise Fund",'Fund 0200 Journal Entries'!$K$37,0)</f>
        <v>0</v>
      </c>
      <c r="J18" s="3">
        <f>IF('Fund 0200 Journal Entries'!$F$7="Proprietary - Enterprise Fund",'Fund 0200 Journal Entries'!$J$56,0)</f>
        <v>0</v>
      </c>
      <c r="L18" s="119">
        <f>SUM(F18+H18-J18)</f>
        <v>0</v>
      </c>
      <c r="N18" s="3">
        <f>IF('Fund 0200 Journal Entries'!$F$7="Proprietary - Enterprise Fund",'Fund 0200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H52" sqref="G52:H52"/>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0200 Journal Entries'!$F$7="Governmental Fund",ROUND('Fund 0200 Journal Entries'!$K$19,0),0)</f>
        <v>689814</v>
      </c>
      <c r="C16" s="15" t="s">
        <v>1552</v>
      </c>
      <c r="D16" s="14">
        <f>IF('Fund 0200 Journal Entries'!$F$7="Governmental Fund",ROUND('Fund 0200 Journal Entries'!$K$37,0),0)</f>
        <v>0</v>
      </c>
      <c r="E16" s="16" t="s">
        <v>1554</v>
      </c>
      <c r="F16" s="14">
        <f>IF('Fund 0200 Journal Entries'!$F$7="Governmental Fund",ROUND('Fund 0200 Journal Entries'!$J$56,0),0)</f>
        <v>689814</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0200 Journal Entries'!$F$7="Proprietary - Internal Service Fund",ROUND('Fund 0200 Journal Entries'!$K$19,0),0)</f>
        <v>0</v>
      </c>
      <c r="C23" s="15" t="s">
        <v>1552</v>
      </c>
      <c r="D23" s="14">
        <f>IF('Fund 0200 Journal Entries'!$F$7="Proprietary - Internal Service Fund",ROUND('Fund 0200 Journal Entries'!$K$37,0),0)</f>
        <v>0</v>
      </c>
      <c r="E23" s="16" t="s">
        <v>1554</v>
      </c>
      <c r="F23" s="14">
        <f>IF('Fund 0200 Journal Entries'!$F$7="Proprietary - Internal Service Fund",ROUND('Fund 0200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0200 Journal Entries'!$F$7="Proprietary - Enterprise Fund",ROUND('Fund 0200 Journal Entries'!$K$19,0),0)</f>
        <v>0</v>
      </c>
      <c r="C31" s="15" t="s">
        <v>1552</v>
      </c>
      <c r="D31" s="14">
        <f>IF('Fund 0200 Journal Entries'!$F$7="Proprietary - Enterprise Fund",ROUND('Fund 0200 Journal Entries'!$K$37,0),0)</f>
        <v>0</v>
      </c>
      <c r="E31" s="16" t="s">
        <v>1554</v>
      </c>
      <c r="F31" s="14">
        <f>IF('Fund 0200 Journal Entries'!$F$7="Proprietary - Enterprise Fund",ROUND('Fund 0200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0200 Journal Entries'!$F$7="Governmental Fund",ROUND('Fund 0200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0200 Journal Entries'!$F$7="Proprietary - Internal Service Fund",ROUND('Fund 0200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0200 Journal Entries'!$F$7="Proprietary - Enterprise Fund",ROUND('Fund 0200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689814</v>
      </c>
      <c r="H61" s="154" t="str">
        <f>"Balance July 1, "&amp;LEFT('Fund 0200 Journal Entries'!$F$3,4)</f>
        <v>Balance July 1, 2022</v>
      </c>
      <c r="J61" s="22">
        <f>ROUND('SBITA Liabilities'!$F$10,0)</f>
        <v>689814</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689814</v>
      </c>
      <c r="H63" s="154" t="s">
        <v>11</v>
      </c>
      <c r="J63" s="22">
        <f>ROUND('SBITA Liabilities'!$J$10,0)</f>
        <v>689814</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0200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0200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9A77E3C-9E76-4E31-9D0B-6E0FCAED541D}"/>
</file>

<file path=customXml/itemProps2.xml><?xml version="1.0" encoding="utf-8"?>
<ds:datastoreItem xmlns:ds="http://schemas.openxmlformats.org/officeDocument/2006/customXml" ds:itemID="{8BDE6BD4-EB6F-40C8-8645-5896A30978AB}"/>
</file>

<file path=customXml/itemProps3.xml><?xml version="1.0" encoding="utf-8"?>
<ds:datastoreItem xmlns:ds="http://schemas.openxmlformats.org/officeDocument/2006/customXml" ds:itemID="{EAEBE75F-FC82-4410-B643-514761D6EA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0200 Journal Entries</vt:lpstr>
      <vt:lpstr>Department Note Disclosure</vt:lpstr>
      <vt:lpstr>SBITA Liabilities</vt:lpstr>
      <vt:lpstr>Check Figures </vt:lpstr>
      <vt:lpstr>Drop Down Menus</vt:lpstr>
      <vt:lpstr>GAAP02Aindex</vt:lpstr>
      <vt:lpstr>'Department Note Disclosure'!Print_Area</vt:lpstr>
      <vt:lpstr>'Fund 0200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2024-05-13T22:29:57Z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