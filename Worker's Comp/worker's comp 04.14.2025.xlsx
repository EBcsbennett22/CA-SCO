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https://eidebailly-my.sharepoint.com/personal/cbennett_eidebailly_com/Documents/Desktop/California SCO/Worker's Comp/"/>
    </mc:Choice>
  </mc:AlternateContent>
  <xr:revisionPtr revIDLastSave="0" documentId="8_{94690223-84D4-46F4-AF80-56741CF89B30}" xr6:coauthVersionLast="47" xr6:coauthVersionMax="47" xr10:uidLastSave="{00000000-0000-0000-0000-000000000000}"/>
  <bookViews>
    <workbookView xWindow="-120" yWindow="-16890" windowWidth="29040" windowHeight="15720" tabRatio="905" activeTab="1" xr2:uid="{00000000-000D-0000-FFFF-FFFF00000000}"/>
  </bookViews>
  <sheets>
    <sheet name="1. Summary 2324" sheetId="5" r:id="rId1"/>
    <sheet name="2. K0215-June 30, 2024" sheetId="4" r:id="rId2"/>
    <sheet name="3. K0215-REFERENCE" sheetId="58" r:id="rId3"/>
    <sheet name="4. Non Current Liab" sheetId="7" r:id="rId4"/>
    <sheet name="5. Gov Wide Entries Fund 9142" sheetId="6" r:id="rId5"/>
    <sheet name="6. CSU Breakdown" sheetId="34" r:id="rId6"/>
    <sheet name="7. Recon" sheetId="33" r:id="rId7"/>
    <sheet name="8. K0717_2024_Jun " sheetId="69" r:id="rId8"/>
    <sheet name="9. Proprietary Funds" sheetId="65" r:id="rId9"/>
    <sheet name="TC 35" sheetId="12" r:id="rId10"/>
    <sheet name="TC 35 (1)" sheetId="60" r:id="rId11"/>
    <sheet name="TC 35 (2)" sheetId="48" r:id="rId12"/>
    <sheet name="TC 35 (3)" sheetId="13" r:id="rId13"/>
    <sheet name="TC 35 (4)" sheetId="14" r:id="rId14"/>
    <sheet name="TC 35 (5)" sheetId="15" r:id="rId15"/>
    <sheet name="TC 35 (6)" sheetId="16" r:id="rId16"/>
    <sheet name="TC 35 (7)" sheetId="17" r:id="rId17"/>
    <sheet name="TC 35 (8)" sheetId="18" r:id="rId18"/>
    <sheet name="TC 35 (9)" sheetId="19" r:id="rId19"/>
    <sheet name="TC 35 (10)" sheetId="20" r:id="rId20"/>
    <sheet name="TC 35 0890 Entry" sheetId="40" r:id="rId21"/>
    <sheet name="9142" sheetId="29" r:id="rId22"/>
    <sheet name="9142 (2)" sheetId="31" r:id="rId23"/>
    <sheet name="Check for Rounding" sheetId="51" r:id="rId24"/>
  </sheets>
  <definedNames>
    <definedName name="\Z" localSheetId="22">#REF!</definedName>
    <definedName name="\Z" localSheetId="10">#REF!</definedName>
    <definedName name="\Z" localSheetId="11">#REF!</definedName>
    <definedName name="\Z" localSheetId="20">#REF!</definedName>
    <definedName name="\Z">#REF!</definedName>
    <definedName name="_xlnm._FilterDatabase" localSheetId="1" hidden="1">'2. K0215-June 30, 2024'!$A$1:$S$464</definedName>
    <definedName name="_xlnm._FilterDatabase" localSheetId="2" hidden="1">'3. K0215-REFERENCE'!$A$1:$I$285</definedName>
    <definedName name="CY_GAAP" localSheetId="8" hidden="1">'9. Proprietary Funds'!$A$4:$O$13</definedName>
    <definedName name="ExternalData_1" localSheetId="7" hidden="1">'8. K0717_2024_Jun '!$A$1:$A$331</definedName>
    <definedName name="_xlnm.Print_Area" localSheetId="0">'1. Summary 2324'!$A$1:$X$113</definedName>
    <definedName name="_xlnm.Print_Area" localSheetId="1">'2. K0215-June 30, 2024'!$A$2:$T$476</definedName>
    <definedName name="_xlnm.Print_Area" localSheetId="2">'3. K0215-REFERENCE'!$A$1:$E$287</definedName>
    <definedName name="_xlnm.Print_Area" localSheetId="3">'4. Non Current Liab'!$A$1:$H$25</definedName>
    <definedName name="_xlnm.Print_Area" localSheetId="4">'5. Gov Wide Entries Fund 9142'!$A$1:$G$21</definedName>
    <definedName name="_xlnm.Print_Area" localSheetId="6">'7. Recon'!$A$1:$N$145</definedName>
    <definedName name="_xlnm.Print_Area" localSheetId="21">'9142'!$A$1:$CC$36</definedName>
    <definedName name="_xlnm.Print_Area" localSheetId="22">'9142 (2)'!$A$1:$CC$36</definedName>
    <definedName name="_xlnm.Print_Area" localSheetId="9">'TC 35'!$A$1:$CC$36</definedName>
    <definedName name="_xlnm.Print_Area" localSheetId="19">'TC 35 (10)'!$A$1:$CC$36</definedName>
    <definedName name="_xlnm.Print_Area" localSheetId="12">'TC 35 (3)'!$A$1:$CC$36</definedName>
    <definedName name="_xlnm.Print_Area" localSheetId="13">'TC 35 (4)'!$A$1:$CC$36</definedName>
    <definedName name="_xlnm.Print_Area" localSheetId="14">'TC 35 (5)'!$A$1:$CC$36</definedName>
    <definedName name="_xlnm.Print_Area" localSheetId="15">'TC 35 (6)'!$A$1:$CC$36</definedName>
    <definedName name="_xlnm.Print_Area" localSheetId="16">'TC 35 (7)'!$A$1:$CC$36</definedName>
    <definedName name="_xlnm.Print_Area" localSheetId="17">'TC 35 (8)'!$A$1:$CC$36</definedName>
    <definedName name="_xlnm.Print_Area" localSheetId="18">'TC 35 (9)'!$A$1:$CC$36</definedName>
    <definedName name="_xlnm.Print_Titles" localSheetId="1">'2. K0215-June 30, 2024'!$1:$1</definedName>
    <definedName name="_xlnm.Print_Titles" localSheetId="2">'3. K0215-REFERENCE'!$1:$1</definedName>
    <definedName name="Table26" localSheetId="3">'4. Non Current Liab'!$H$1:$P$11</definedName>
    <definedName name="Table26" localSheetId="4">'5. Gov Wide Entries Fund 9142'!$J$1:$R$6</definedName>
    <definedName name="Table26">'1. Summary 2324'!$I$1:$Q$12</definedName>
    <definedName name="WC_LiabilityAllocation" localSheetId="3">'4. Non Current Liab'!$A$1:$E$50</definedName>
    <definedName name="WC_LiabilityAllocation" localSheetId="4">'5. Gov Wide Entries Fund 9142'!$A$1:$F$61</definedName>
    <definedName name="WC_LiabilityAllocation">'1. Summary 2324'!$A$1:$G$91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8" i="4" l="1"/>
  <c r="M69" i="4"/>
  <c r="M70" i="4"/>
  <c r="M67" i="4"/>
  <c r="L291" i="4" l="1"/>
  <c r="K45" i="4"/>
  <c r="L45" i="4"/>
  <c r="K63" i="4"/>
  <c r="L63" i="4"/>
  <c r="K111" i="4"/>
  <c r="L111" i="4"/>
  <c r="K132" i="4"/>
  <c r="L132" i="4"/>
  <c r="K135" i="4"/>
  <c r="L135" i="4"/>
  <c r="K291" i="4"/>
  <c r="K296" i="4"/>
  <c r="L296" i="4"/>
  <c r="K306" i="4"/>
  <c r="L306" i="4"/>
  <c r="L311" i="4" s="1"/>
  <c r="K313" i="4"/>
  <c r="K350" i="4" s="1"/>
  <c r="L313" i="4"/>
  <c r="L350" i="4" s="1"/>
  <c r="K349" i="4"/>
  <c r="L349" i="4"/>
  <c r="K356" i="4"/>
  <c r="L356" i="4"/>
  <c r="K358" i="4"/>
  <c r="L358" i="4"/>
  <c r="K360" i="4"/>
  <c r="L360" i="4"/>
  <c r="K362" i="4"/>
  <c r="L362" i="4"/>
  <c r="K372" i="4"/>
  <c r="L372" i="4"/>
  <c r="K375" i="4"/>
  <c r="K391" i="4" s="1"/>
  <c r="L375" i="4"/>
  <c r="L391" i="4" s="1"/>
  <c r="K390" i="4"/>
  <c r="L390" i="4"/>
  <c r="K393" i="4"/>
  <c r="L393" i="4"/>
  <c r="K394" i="4"/>
  <c r="L394" i="4"/>
  <c r="B5" i="5"/>
  <c r="I399" i="4"/>
  <c r="H399" i="4"/>
  <c r="I460" i="4"/>
  <c r="H460" i="4"/>
  <c r="I452" i="4"/>
  <c r="H452" i="4"/>
  <c r="I447" i="4"/>
  <c r="H447" i="4"/>
  <c r="I445" i="4"/>
  <c r="H445" i="4"/>
  <c r="I442" i="4"/>
  <c r="H442" i="4"/>
  <c r="I440" i="4"/>
  <c r="H440" i="4"/>
  <c r="I438" i="4"/>
  <c r="H438" i="4"/>
  <c r="I437" i="4"/>
  <c r="H437" i="4"/>
  <c r="I436" i="4"/>
  <c r="H436" i="4"/>
  <c r="I435" i="4"/>
  <c r="H435" i="4"/>
  <c r="I432" i="4"/>
  <c r="H432" i="4"/>
  <c r="I428" i="4"/>
  <c r="H428" i="4"/>
  <c r="I427" i="4"/>
  <c r="H427" i="4"/>
  <c r="I426" i="4"/>
  <c r="H426" i="4"/>
  <c r="I425" i="4"/>
  <c r="H425" i="4"/>
  <c r="I424" i="4"/>
  <c r="H424" i="4"/>
  <c r="I421" i="4"/>
  <c r="H421" i="4"/>
  <c r="I420" i="4"/>
  <c r="H420" i="4"/>
  <c r="I419" i="4"/>
  <c r="H419" i="4"/>
  <c r="I415" i="4"/>
  <c r="H415" i="4"/>
  <c r="I411" i="4"/>
  <c r="H411" i="4"/>
  <c r="I410" i="4"/>
  <c r="H410" i="4"/>
  <c r="I408" i="4"/>
  <c r="H408" i="4"/>
  <c r="I407" i="4"/>
  <c r="H407" i="4"/>
  <c r="K311" i="4" l="1"/>
  <c r="L292" i="4"/>
  <c r="K293" i="4"/>
  <c r="L293" i="4"/>
  <c r="L373" i="4"/>
  <c r="K373" i="4"/>
  <c r="K292" i="4"/>
  <c r="I389" i="4"/>
  <c r="H389" i="4"/>
  <c r="I386" i="4"/>
  <c r="H386" i="4"/>
  <c r="I385" i="4"/>
  <c r="H385" i="4"/>
  <c r="I384" i="4"/>
  <c r="H384" i="4"/>
  <c r="I381" i="4"/>
  <c r="H381" i="4"/>
  <c r="I380" i="4"/>
  <c r="H380" i="4"/>
  <c r="I379" i="4"/>
  <c r="H379" i="4"/>
  <c r="I378" i="4"/>
  <c r="H378" i="4"/>
  <c r="I376" i="4"/>
  <c r="H376" i="4"/>
  <c r="I370" i="4"/>
  <c r="H370" i="4"/>
  <c r="I369" i="4"/>
  <c r="H369" i="4"/>
  <c r="I367" i="4"/>
  <c r="H367" i="4"/>
  <c r="I366" i="4"/>
  <c r="H366" i="4"/>
  <c r="I364" i="4"/>
  <c r="H364" i="4"/>
  <c r="I359" i="4"/>
  <c r="H359" i="4"/>
  <c r="I354" i="4"/>
  <c r="H354" i="4"/>
  <c r="I352" i="4"/>
  <c r="H352" i="4"/>
  <c r="I351" i="4"/>
  <c r="H351" i="4"/>
  <c r="I348" i="4"/>
  <c r="H348" i="4"/>
  <c r="I344" i="4"/>
  <c r="H344" i="4"/>
  <c r="I342" i="4"/>
  <c r="H342" i="4"/>
  <c r="I341" i="4"/>
  <c r="H341" i="4"/>
  <c r="I340" i="4"/>
  <c r="H340" i="4"/>
  <c r="I339" i="4"/>
  <c r="H339" i="4"/>
  <c r="I338" i="4"/>
  <c r="H338" i="4"/>
  <c r="I337" i="4"/>
  <c r="H337" i="4"/>
  <c r="I336" i="4"/>
  <c r="H336" i="4"/>
  <c r="I335" i="4"/>
  <c r="H335"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4" i="4"/>
  <c r="H314" i="4"/>
  <c r="I312" i="4"/>
  <c r="H312" i="4"/>
  <c r="I304" i="4"/>
  <c r="H304" i="4"/>
  <c r="I302" i="4"/>
  <c r="H302" i="4"/>
  <c r="I301" i="4"/>
  <c r="H301" i="4"/>
  <c r="I298" i="4"/>
  <c r="H298" i="4"/>
  <c r="I297" i="4"/>
  <c r="H297" i="4"/>
  <c r="I294" i="4"/>
  <c r="H294" i="4"/>
  <c r="I288" i="4"/>
  <c r="H288" i="4"/>
  <c r="I285" i="4"/>
  <c r="H285"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7" i="4"/>
  <c r="H267" i="4"/>
  <c r="I264" i="4"/>
  <c r="H264" i="4"/>
  <c r="I263" i="4"/>
  <c r="H263" i="4"/>
  <c r="I262" i="4"/>
  <c r="H262" i="4"/>
  <c r="I261" i="4"/>
  <c r="H261" i="4"/>
  <c r="I258" i="4"/>
  <c r="H258" i="4"/>
  <c r="I257" i="4"/>
  <c r="H257" i="4"/>
  <c r="I256" i="4"/>
  <c r="H256" i="4"/>
  <c r="I255" i="4"/>
  <c r="H255" i="4"/>
  <c r="I254" i="4"/>
  <c r="H254" i="4"/>
  <c r="I253" i="4"/>
  <c r="H253" i="4"/>
  <c r="I251" i="4"/>
  <c r="H251" i="4"/>
  <c r="I250" i="4"/>
  <c r="H250" i="4"/>
  <c r="I249" i="4"/>
  <c r="H249" i="4"/>
  <c r="I248" i="4"/>
  <c r="H248" i="4"/>
  <c r="I246" i="4"/>
  <c r="H246" i="4"/>
  <c r="I245" i="4"/>
  <c r="H245" i="4"/>
  <c r="I244" i="4"/>
  <c r="H244" i="4"/>
  <c r="I243" i="4"/>
  <c r="H243" i="4"/>
  <c r="I242" i="4"/>
  <c r="H242" i="4"/>
  <c r="I240" i="4"/>
  <c r="H240" i="4"/>
  <c r="I239" i="4"/>
  <c r="H239" i="4"/>
  <c r="I238" i="4"/>
  <c r="H238" i="4"/>
  <c r="I237" i="4"/>
  <c r="H237" i="4"/>
  <c r="I236" i="4"/>
  <c r="H236" i="4"/>
  <c r="I235" i="4"/>
  <c r="H235" i="4"/>
  <c r="I234" i="4"/>
  <c r="H234" i="4"/>
  <c r="I233" i="4"/>
  <c r="H233" i="4"/>
  <c r="I232" i="4"/>
  <c r="H232" i="4"/>
  <c r="I230" i="4"/>
  <c r="H230" i="4"/>
  <c r="I229" i="4"/>
  <c r="H229" i="4"/>
  <c r="I228" i="4"/>
  <c r="H228" i="4"/>
  <c r="I226" i="4"/>
  <c r="H226" i="4"/>
  <c r="I225" i="4"/>
  <c r="H225" i="4"/>
  <c r="I224" i="4"/>
  <c r="H224" i="4"/>
  <c r="I223" i="4"/>
  <c r="H223" i="4"/>
  <c r="I222" i="4"/>
  <c r="H222" i="4"/>
  <c r="I221" i="4"/>
  <c r="H221" i="4"/>
  <c r="I220" i="4"/>
  <c r="H220" i="4"/>
  <c r="I219" i="4"/>
  <c r="H219" i="4"/>
  <c r="I216" i="4"/>
  <c r="H216" i="4"/>
  <c r="I215" i="4"/>
  <c r="H215" i="4"/>
  <c r="I214" i="4"/>
  <c r="H214" i="4"/>
  <c r="I213" i="4"/>
  <c r="H213" i="4"/>
  <c r="I212" i="4"/>
  <c r="H212" i="4"/>
  <c r="I211" i="4"/>
  <c r="H211" i="4"/>
  <c r="I210" i="4"/>
  <c r="H210" i="4"/>
  <c r="I209" i="4"/>
  <c r="H209" i="4"/>
  <c r="I208" i="4"/>
  <c r="H208" i="4"/>
  <c r="I207" i="4"/>
  <c r="H207" i="4"/>
  <c r="I205" i="4"/>
  <c r="H205" i="4"/>
  <c r="I204" i="4"/>
  <c r="H204" i="4"/>
  <c r="I203" i="4"/>
  <c r="H203" i="4"/>
  <c r="I200" i="4"/>
  <c r="H200" i="4"/>
  <c r="I199" i="4"/>
  <c r="H199" i="4"/>
  <c r="I198" i="4"/>
  <c r="H198" i="4"/>
  <c r="I197" i="4"/>
  <c r="H197" i="4"/>
  <c r="I196" i="4"/>
  <c r="H196" i="4"/>
  <c r="I195" i="4"/>
  <c r="H195" i="4"/>
  <c r="I194" i="4"/>
  <c r="H194" i="4"/>
  <c r="I193" i="4"/>
  <c r="H193" i="4"/>
  <c r="I192" i="4"/>
  <c r="H192" i="4"/>
  <c r="I191" i="4"/>
  <c r="H191" i="4"/>
  <c r="I190" i="4"/>
  <c r="H190" i="4"/>
  <c r="I189" i="4"/>
  <c r="H189" i="4"/>
  <c r="I187" i="4"/>
  <c r="H187" i="4"/>
  <c r="I186" i="4"/>
  <c r="H186" i="4"/>
  <c r="I183" i="4"/>
  <c r="H183" i="4"/>
  <c r="I182" i="4"/>
  <c r="H182" i="4"/>
  <c r="I181" i="4"/>
  <c r="H181" i="4"/>
  <c r="I180" i="4"/>
  <c r="H180" i="4"/>
  <c r="I179" i="4"/>
  <c r="H179" i="4"/>
  <c r="I178" i="4"/>
  <c r="H178" i="4"/>
  <c r="I177" i="4"/>
  <c r="H177" i="4"/>
  <c r="I176" i="4"/>
  <c r="H176" i="4"/>
  <c r="I174" i="4"/>
  <c r="H174" i="4"/>
  <c r="I172" i="4"/>
  <c r="H172" i="4"/>
  <c r="I171" i="4"/>
  <c r="H171" i="4"/>
  <c r="I170" i="4"/>
  <c r="H170" i="4"/>
  <c r="I169" i="4"/>
  <c r="H169" i="4"/>
  <c r="I168" i="4"/>
  <c r="H168" i="4"/>
  <c r="I167" i="4"/>
  <c r="H167" i="4"/>
  <c r="I162" i="4"/>
  <c r="H162" i="4"/>
  <c r="I161" i="4"/>
  <c r="H161" i="4"/>
  <c r="I160" i="4"/>
  <c r="H160" i="4"/>
  <c r="I158" i="4"/>
  <c r="H158" i="4"/>
  <c r="I157" i="4"/>
  <c r="H157" i="4"/>
  <c r="I156" i="4"/>
  <c r="H156" i="4"/>
  <c r="I154" i="4"/>
  <c r="H154" i="4"/>
  <c r="I152" i="4"/>
  <c r="H152" i="4"/>
  <c r="I150" i="4"/>
  <c r="H150" i="4"/>
  <c r="I149" i="4"/>
  <c r="H149" i="4"/>
  <c r="I147" i="4"/>
  <c r="H147" i="4"/>
  <c r="I145" i="4"/>
  <c r="H145" i="4"/>
  <c r="I144" i="4"/>
  <c r="H144" i="4"/>
  <c r="I143" i="4"/>
  <c r="H143" i="4"/>
  <c r="I142" i="4"/>
  <c r="H142" i="4"/>
  <c r="I141" i="4"/>
  <c r="H141" i="4"/>
  <c r="I140" i="4"/>
  <c r="H140" i="4"/>
  <c r="I139" i="4"/>
  <c r="H139" i="4"/>
  <c r="I138" i="4"/>
  <c r="H138" i="4"/>
  <c r="I137" i="4"/>
  <c r="H137" i="4"/>
  <c r="I136" i="4"/>
  <c r="H136" i="4"/>
  <c r="I133" i="4"/>
  <c r="H133" i="4"/>
  <c r="I131" i="4"/>
  <c r="H131" i="4"/>
  <c r="I130" i="4"/>
  <c r="H130" i="4"/>
  <c r="I129" i="4"/>
  <c r="H129" i="4"/>
  <c r="I127" i="4"/>
  <c r="H127" i="4"/>
  <c r="I126" i="4"/>
  <c r="H126" i="4"/>
  <c r="I124" i="4"/>
  <c r="H124" i="4"/>
  <c r="I121" i="4"/>
  <c r="H121" i="4"/>
  <c r="I119" i="4"/>
  <c r="H119" i="4"/>
  <c r="I118" i="4"/>
  <c r="H118" i="4"/>
  <c r="I117" i="4"/>
  <c r="H117" i="4"/>
  <c r="I116" i="4"/>
  <c r="H116" i="4"/>
  <c r="I114" i="4"/>
  <c r="H114" i="4"/>
  <c r="I113" i="4"/>
  <c r="H113" i="4"/>
  <c r="I112" i="4"/>
  <c r="H112" i="4"/>
  <c r="I110" i="4"/>
  <c r="H110" i="4"/>
  <c r="I109" i="4"/>
  <c r="H109" i="4"/>
  <c r="I105" i="4"/>
  <c r="H105" i="4"/>
  <c r="I104" i="4"/>
  <c r="H104" i="4"/>
  <c r="I103" i="4"/>
  <c r="H103" i="4"/>
  <c r="I101" i="4"/>
  <c r="H101" i="4"/>
  <c r="I99" i="4"/>
  <c r="H99" i="4"/>
  <c r="I98" i="4"/>
  <c r="H98" i="4"/>
  <c r="I97" i="4"/>
  <c r="H97" i="4"/>
  <c r="I96" i="4"/>
  <c r="H96" i="4"/>
  <c r="I94" i="4"/>
  <c r="H94" i="4"/>
  <c r="I93" i="4"/>
  <c r="H93" i="4"/>
  <c r="I91" i="4"/>
  <c r="H91" i="4"/>
  <c r="I90" i="4"/>
  <c r="H90" i="4"/>
  <c r="I89" i="4"/>
  <c r="H89" i="4"/>
  <c r="I88" i="4"/>
  <c r="H88" i="4"/>
  <c r="I87" i="4"/>
  <c r="H87" i="4"/>
  <c r="I86" i="4"/>
  <c r="H86" i="4"/>
  <c r="I85" i="4"/>
  <c r="H85" i="4"/>
  <c r="I83" i="4"/>
  <c r="H83" i="4"/>
  <c r="I81" i="4"/>
  <c r="H81" i="4"/>
  <c r="I79" i="4"/>
  <c r="H79" i="4"/>
  <c r="I78" i="4"/>
  <c r="H78" i="4"/>
  <c r="I75" i="4"/>
  <c r="H75" i="4"/>
  <c r="I74" i="4"/>
  <c r="H74" i="4"/>
  <c r="I71" i="4"/>
  <c r="H71" i="4"/>
  <c r="I70" i="4"/>
  <c r="H70" i="4"/>
  <c r="I69" i="4"/>
  <c r="H69" i="4"/>
  <c r="I68" i="4"/>
  <c r="H68" i="4"/>
  <c r="I67" i="4"/>
  <c r="H67" i="4"/>
  <c r="I65" i="4"/>
  <c r="H65" i="4"/>
  <c r="I64" i="4"/>
  <c r="H64" i="4"/>
  <c r="I62" i="4"/>
  <c r="H62" i="4"/>
  <c r="I61" i="4"/>
  <c r="H61" i="4"/>
  <c r="I60" i="4"/>
  <c r="H60" i="4"/>
  <c r="I52" i="4"/>
  <c r="H52" i="4"/>
  <c r="I51" i="4"/>
  <c r="H51" i="4"/>
  <c r="I50" i="4"/>
  <c r="H50" i="4"/>
  <c r="I49" i="4"/>
  <c r="H49" i="4"/>
  <c r="I48" i="4"/>
  <c r="H48" i="4"/>
  <c r="I47" i="4"/>
  <c r="H47" i="4"/>
  <c r="I46" i="4"/>
  <c r="H46" i="4"/>
  <c r="H41" i="4"/>
  <c r="I41" i="4"/>
  <c r="H42" i="4"/>
  <c r="I42" i="4"/>
  <c r="H30" i="4"/>
  <c r="I30" i="4"/>
  <c r="H31" i="4"/>
  <c r="I31" i="4"/>
  <c r="H32" i="4"/>
  <c r="I32" i="4"/>
  <c r="H33" i="4"/>
  <c r="I33" i="4"/>
  <c r="H34" i="4"/>
  <c r="I34" i="4"/>
  <c r="H35" i="4"/>
  <c r="I35" i="4"/>
  <c r="H36" i="4"/>
  <c r="I36" i="4"/>
  <c r="H37" i="4"/>
  <c r="I37" i="4"/>
  <c r="H38" i="4"/>
  <c r="I38" i="4"/>
  <c r="H39" i="4"/>
  <c r="I39" i="4"/>
  <c r="H40" i="4"/>
  <c r="I40" i="4"/>
  <c r="H6" i="4"/>
  <c r="I6" i="4"/>
  <c r="H9" i="4"/>
  <c r="I9" i="4"/>
  <c r="H12" i="4"/>
  <c r="I12" i="4"/>
  <c r="H14" i="4"/>
  <c r="I14" i="4"/>
  <c r="H15" i="4"/>
  <c r="I15" i="4"/>
  <c r="H16" i="4"/>
  <c r="I16" i="4"/>
  <c r="H17" i="4"/>
  <c r="I17" i="4"/>
  <c r="H18" i="4"/>
  <c r="I18" i="4"/>
  <c r="H20" i="4"/>
  <c r="I20" i="4"/>
  <c r="H21" i="4"/>
  <c r="I21" i="4"/>
  <c r="H23" i="4"/>
  <c r="I23" i="4"/>
  <c r="H24" i="4"/>
  <c r="I24" i="4"/>
  <c r="H25" i="4"/>
  <c r="I25" i="4"/>
  <c r="H27" i="4"/>
  <c r="I27" i="4"/>
  <c r="H28" i="4"/>
  <c r="I28" i="4"/>
  <c r="H29" i="4"/>
  <c r="I29" i="4"/>
  <c r="H4" i="4"/>
  <c r="I4" i="4"/>
  <c r="E3" i="58"/>
  <c r="E4" i="58"/>
  <c r="E5" i="58"/>
  <c r="E6" i="58"/>
  <c r="E7" i="58"/>
  <c r="E8" i="58"/>
  <c r="E9" i="58"/>
  <c r="E10" i="58"/>
  <c r="E11" i="58"/>
  <c r="E12" i="58"/>
  <c r="E13" i="58"/>
  <c r="E14" i="58"/>
  <c r="E15" i="58"/>
  <c r="E16" i="58"/>
  <c r="E17" i="58"/>
  <c r="E18" i="58"/>
  <c r="E19" i="58"/>
  <c r="E20" i="58"/>
  <c r="E21" i="58"/>
  <c r="E22" i="58"/>
  <c r="E23" i="58"/>
  <c r="E24" i="58"/>
  <c r="E25" i="58"/>
  <c r="E26" i="58"/>
  <c r="E27" i="58"/>
  <c r="E28" i="58"/>
  <c r="E29" i="58"/>
  <c r="E30" i="58"/>
  <c r="E31" i="58"/>
  <c r="E32" i="58"/>
  <c r="E33" i="58"/>
  <c r="E34" i="58"/>
  <c r="E35" i="58"/>
  <c r="E36" i="58"/>
  <c r="E37" i="58"/>
  <c r="E38" i="58"/>
  <c r="E39" i="58"/>
  <c r="E40" i="58"/>
  <c r="E41" i="58"/>
  <c r="E42" i="58"/>
  <c r="E43" i="58"/>
  <c r="E44" i="58"/>
  <c r="E45" i="58"/>
  <c r="E46" i="58"/>
  <c r="E47" i="58"/>
  <c r="E48" i="58"/>
  <c r="E49" i="58"/>
  <c r="E50" i="58"/>
  <c r="E51" i="58"/>
  <c r="E52" i="58"/>
  <c r="E53" i="58"/>
  <c r="E54" i="58"/>
  <c r="E55" i="58"/>
  <c r="E56" i="58"/>
  <c r="E57" i="58"/>
  <c r="E58" i="58"/>
  <c r="E59" i="58"/>
  <c r="E60" i="58"/>
  <c r="E61" i="58"/>
  <c r="E62" i="58"/>
  <c r="E63" i="58"/>
  <c r="E64" i="58"/>
  <c r="E65" i="58"/>
  <c r="E66" i="58"/>
  <c r="E67" i="58"/>
  <c r="E68" i="58"/>
  <c r="E69" i="58"/>
  <c r="E70" i="58"/>
  <c r="E71" i="58"/>
  <c r="E72" i="58"/>
  <c r="E73" i="58"/>
  <c r="E74" i="58"/>
  <c r="E75" i="58"/>
  <c r="E76" i="58"/>
  <c r="E77" i="58"/>
  <c r="E78" i="58"/>
  <c r="E79" i="58"/>
  <c r="E80" i="58"/>
  <c r="E81" i="58"/>
  <c r="E82" i="58"/>
  <c r="E83" i="58"/>
  <c r="E84" i="58"/>
  <c r="E85" i="58"/>
  <c r="E86" i="58"/>
  <c r="E87" i="58"/>
  <c r="E88" i="58"/>
  <c r="E89" i="58"/>
  <c r="E90" i="58"/>
  <c r="E91" i="58"/>
  <c r="E92" i="58"/>
  <c r="E93" i="58"/>
  <c r="E94" i="58"/>
  <c r="E95" i="58"/>
  <c r="E96" i="58"/>
  <c r="E97" i="58"/>
  <c r="E98" i="58"/>
  <c r="E99" i="58"/>
  <c r="E100" i="58"/>
  <c r="E101" i="58"/>
  <c r="E102" i="58"/>
  <c r="E103" i="58"/>
  <c r="E104" i="58"/>
  <c r="E105" i="58"/>
  <c r="E106" i="58"/>
  <c r="E107" i="58"/>
  <c r="E108" i="58"/>
  <c r="E109" i="58"/>
  <c r="E110" i="58"/>
  <c r="E111" i="58"/>
  <c r="E112" i="58"/>
  <c r="E113" i="58"/>
  <c r="E114" i="58"/>
  <c r="E115" i="58"/>
  <c r="E116" i="58"/>
  <c r="E117" i="58"/>
  <c r="E118" i="58"/>
  <c r="E119" i="58"/>
  <c r="E120" i="58"/>
  <c r="E121" i="58"/>
  <c r="E122" i="58"/>
  <c r="E123" i="58"/>
  <c r="E124" i="58"/>
  <c r="E125" i="58"/>
  <c r="E126" i="58"/>
  <c r="E127" i="58"/>
  <c r="E128" i="58"/>
  <c r="E129" i="58"/>
  <c r="E130" i="58"/>
  <c r="E131" i="58"/>
  <c r="E132" i="58"/>
  <c r="E133" i="58"/>
  <c r="E134" i="58"/>
  <c r="E135" i="58"/>
  <c r="E136" i="58"/>
  <c r="E137" i="58"/>
  <c r="E138" i="58"/>
  <c r="E139" i="58"/>
  <c r="E140" i="58"/>
  <c r="E141" i="58"/>
  <c r="E142" i="58"/>
  <c r="E143" i="58"/>
  <c r="E144" i="58"/>
  <c r="E145" i="58"/>
  <c r="E146" i="58"/>
  <c r="E147" i="58"/>
  <c r="E148" i="58"/>
  <c r="E149" i="58"/>
  <c r="E150" i="58"/>
  <c r="E151" i="58"/>
  <c r="E152" i="58"/>
  <c r="E153" i="58"/>
  <c r="E154" i="58"/>
  <c r="E155" i="58"/>
  <c r="E156" i="58"/>
  <c r="E157" i="58"/>
  <c r="E158" i="58"/>
  <c r="E159" i="58"/>
  <c r="E160" i="58"/>
  <c r="E161" i="58"/>
  <c r="E162" i="58"/>
  <c r="E163" i="58"/>
  <c r="E164" i="58"/>
  <c r="E165" i="58"/>
  <c r="E166" i="58"/>
  <c r="E167" i="58"/>
  <c r="E168" i="58"/>
  <c r="E169" i="58"/>
  <c r="E170" i="58"/>
  <c r="E171" i="58"/>
  <c r="E172" i="58"/>
  <c r="E173" i="58"/>
  <c r="E174" i="58"/>
  <c r="E175" i="58"/>
  <c r="E176" i="58"/>
  <c r="E177" i="58"/>
  <c r="E178" i="58"/>
  <c r="E179" i="58"/>
  <c r="E180" i="58"/>
  <c r="E181" i="58"/>
  <c r="E182" i="58"/>
  <c r="E183" i="58"/>
  <c r="E184" i="58"/>
  <c r="E185" i="58"/>
  <c r="E186" i="58"/>
  <c r="E187" i="58"/>
  <c r="E188" i="58"/>
  <c r="E189" i="58"/>
  <c r="E190" i="58"/>
  <c r="E191" i="58"/>
  <c r="E192" i="58"/>
  <c r="E193" i="58"/>
  <c r="E194" i="58"/>
  <c r="E195" i="58"/>
  <c r="E196" i="58"/>
  <c r="E197" i="58"/>
  <c r="E198" i="58"/>
  <c r="E199" i="58"/>
  <c r="E200" i="58"/>
  <c r="E201" i="58"/>
  <c r="E202" i="58"/>
  <c r="E203" i="58"/>
  <c r="E204" i="58"/>
  <c r="E205" i="58"/>
  <c r="E206" i="58"/>
  <c r="E207" i="58"/>
  <c r="E208" i="58"/>
  <c r="E209" i="58"/>
  <c r="E210" i="58"/>
  <c r="E211" i="58"/>
  <c r="E212" i="58"/>
  <c r="E213" i="58"/>
  <c r="E214" i="58"/>
  <c r="E215" i="58"/>
  <c r="E216" i="58"/>
  <c r="E217" i="58"/>
  <c r="E218" i="58"/>
  <c r="E219" i="58"/>
  <c r="E220" i="58"/>
  <c r="E221" i="58"/>
  <c r="E222" i="58"/>
  <c r="E223" i="58"/>
  <c r="E224" i="58"/>
  <c r="E225" i="58"/>
  <c r="E226" i="58"/>
  <c r="E227" i="58"/>
  <c r="E228" i="58"/>
  <c r="E229" i="58"/>
  <c r="E230" i="58"/>
  <c r="E231" i="58"/>
  <c r="E232" i="58"/>
  <c r="E233" i="58"/>
  <c r="E234" i="58"/>
  <c r="E235" i="58"/>
  <c r="E236" i="58"/>
  <c r="E237" i="58"/>
  <c r="E238" i="58"/>
  <c r="E239" i="58"/>
  <c r="E240" i="58"/>
  <c r="E241" i="58"/>
  <c r="E242" i="58"/>
  <c r="E243" i="58"/>
  <c r="E244" i="58"/>
  <c r="E245" i="58"/>
  <c r="E246" i="58"/>
  <c r="E247" i="58"/>
  <c r="E248" i="58"/>
  <c r="E249" i="58"/>
  <c r="E250" i="58"/>
  <c r="E251" i="58"/>
  <c r="E252" i="58"/>
  <c r="E253" i="58"/>
  <c r="E254" i="58"/>
  <c r="E255" i="58"/>
  <c r="E256" i="58"/>
  <c r="E257" i="58"/>
  <c r="E258" i="58"/>
  <c r="E259" i="58"/>
  <c r="E260" i="58"/>
  <c r="E261" i="58"/>
  <c r="E262" i="58"/>
  <c r="E263" i="58"/>
  <c r="E264" i="58"/>
  <c r="E265" i="58"/>
  <c r="E266" i="58"/>
  <c r="E267" i="58"/>
  <c r="E268" i="58"/>
  <c r="E269" i="58"/>
  <c r="E270" i="58"/>
  <c r="E271" i="58"/>
  <c r="E272" i="58"/>
  <c r="E273" i="58"/>
  <c r="E274" i="58"/>
  <c r="E275" i="58"/>
  <c r="E276" i="58"/>
  <c r="E277" i="58"/>
  <c r="E278" i="58"/>
  <c r="E279" i="58"/>
  <c r="E280" i="58"/>
  <c r="E281" i="58"/>
  <c r="E282" i="58"/>
  <c r="E283" i="58"/>
  <c r="E284" i="58"/>
  <c r="E2" i="58"/>
  <c r="F5" i="5" l="1"/>
  <c r="G5" i="5" s="1"/>
  <c r="B6" i="5"/>
  <c r="V19" i="5" l="1"/>
  <c r="H5" i="65" l="1"/>
  <c r="H6" i="65"/>
  <c r="H7" i="65"/>
  <c r="H8" i="65"/>
  <c r="H9" i="65"/>
  <c r="H10" i="65"/>
  <c r="H11" i="65"/>
  <c r="H12" i="65"/>
  <c r="H13" i="65"/>
  <c r="I9" i="33" l="1"/>
  <c r="F83" i="5"/>
  <c r="J109" i="5"/>
  <c r="K13" i="33" l="1"/>
  <c r="E39" i="51"/>
  <c r="F72" i="5" l="1"/>
  <c r="F78" i="5"/>
  <c r="F82" i="5" l="1"/>
  <c r="F81" i="5"/>
  <c r="F80" i="5"/>
  <c r="F77" i="5"/>
  <c r="F73" i="5"/>
  <c r="F84" i="5" l="1"/>
  <c r="M74" i="4"/>
  <c r="M139" i="4"/>
  <c r="M138" i="4"/>
  <c r="M137" i="4"/>
  <c r="J74" i="4" l="1"/>
  <c r="N74" i="4" s="1"/>
  <c r="O74" i="4" s="1"/>
  <c r="J138" i="4"/>
  <c r="N138" i="4" s="1"/>
  <c r="O138" i="4" s="1"/>
  <c r="J139" i="4"/>
  <c r="N139" i="4" s="1"/>
  <c r="O139" i="4" s="1"/>
  <c r="I3" i="65" l="1"/>
  <c r="D80" i="5" l="1"/>
  <c r="D81" i="5"/>
  <c r="D82" i="5"/>
  <c r="D78" i="5"/>
  <c r="D73" i="5"/>
  <c r="D83" i="5"/>
  <c r="D77" i="5"/>
  <c r="D72" i="5"/>
  <c r="J137" i="4" l="1"/>
  <c r="C287" i="58"/>
  <c r="C290" i="58" s="1"/>
  <c r="N137" i="4" l="1"/>
  <c r="O137" i="4" s="1"/>
  <c r="T21" i="5" l="1"/>
  <c r="U21" i="5" l="1"/>
  <c r="U24" i="5" s="1"/>
  <c r="V20" i="5"/>
  <c r="L19" i="5" l="1"/>
  <c r="M287" i="4"/>
  <c r="M286" i="4"/>
  <c r="M284" i="4"/>
  <c r="M269" i="4"/>
  <c r="M268" i="4"/>
  <c r="M267" i="4"/>
  <c r="M265" i="4"/>
  <c r="M264" i="4"/>
  <c r="M260" i="4"/>
  <c r="M259" i="4"/>
  <c r="M247" i="4"/>
  <c r="M241" i="4"/>
  <c r="M227" i="4"/>
  <c r="M222" i="4"/>
  <c r="M217" i="4"/>
  <c r="M206" i="4"/>
  <c r="M202" i="4"/>
  <c r="M201" i="4"/>
  <c r="M195" i="4"/>
  <c r="M188" i="4"/>
  <c r="M185" i="4"/>
  <c r="M184" i="4"/>
  <c r="M175" i="4"/>
  <c r="M173" i="4"/>
  <c r="M164" i="4"/>
  <c r="M163" i="4"/>
  <c r="M159" i="4"/>
  <c r="M156" i="4"/>
  <c r="M155" i="4"/>
  <c r="M153" i="4"/>
  <c r="M151" i="4"/>
  <c r="M146" i="4"/>
  <c r="M142" i="4"/>
  <c r="M134" i="4"/>
  <c r="M130" i="4"/>
  <c r="M128" i="4"/>
  <c r="M122" i="4"/>
  <c r="M121" i="4"/>
  <c r="M120" i="4"/>
  <c r="M112" i="4"/>
  <c r="M109" i="4"/>
  <c r="M108" i="4"/>
  <c r="M107" i="4"/>
  <c r="M106" i="4"/>
  <c r="M100" i="4"/>
  <c r="M95" i="4"/>
  <c r="M92" i="4"/>
  <c r="M84" i="4"/>
  <c r="M82" i="4"/>
  <c r="M80" i="4"/>
  <c r="M77" i="4"/>
  <c r="M73" i="4"/>
  <c r="M66" i="4"/>
  <c r="M59" i="4"/>
  <c r="M58" i="4"/>
  <c r="M57" i="4"/>
  <c r="M56" i="4"/>
  <c r="M55" i="4"/>
  <c r="M54" i="4"/>
  <c r="M53" i="4"/>
  <c r="M44" i="4"/>
  <c r="M27" i="4"/>
  <c r="M26" i="4"/>
  <c r="M25" i="4"/>
  <c r="M24" i="4"/>
  <c r="M23" i="4"/>
  <c r="M22" i="4"/>
  <c r="M20" i="4"/>
  <c r="M19" i="4"/>
  <c r="M13" i="4"/>
  <c r="M12" i="4"/>
  <c r="M11" i="4"/>
  <c r="M10" i="4"/>
  <c r="M9" i="4"/>
  <c r="M8" i="4"/>
  <c r="M7" i="4"/>
  <c r="M6" i="4"/>
  <c r="M5" i="4"/>
  <c r="M4" i="4"/>
  <c r="M3" i="4"/>
  <c r="M2" i="4" l="1"/>
  <c r="M35" i="33" l="1"/>
  <c r="E83" i="51" l="1"/>
  <c r="E68" i="51"/>
  <c r="E29" i="51"/>
  <c r="BS2" i="60" l="1"/>
  <c r="J286" i="4" l="1"/>
  <c r="J287" i="4"/>
  <c r="J289" i="4"/>
  <c r="J290" i="4"/>
  <c r="J267" i="4"/>
  <c r="J268" i="4"/>
  <c r="J269" i="4"/>
  <c r="J284" i="4"/>
  <c r="J259" i="4"/>
  <c r="J260" i="4"/>
  <c r="J264" i="4"/>
  <c r="J265" i="4"/>
  <c r="J227" i="4"/>
  <c r="J241" i="4"/>
  <c r="J247" i="4"/>
  <c r="J217" i="4"/>
  <c r="J222" i="4"/>
  <c r="J184" i="4"/>
  <c r="J185" i="4"/>
  <c r="J188" i="4"/>
  <c r="J195" i="4"/>
  <c r="J201" i="4"/>
  <c r="J202" i="4"/>
  <c r="J206" i="4"/>
  <c r="J173" i="4"/>
  <c r="J175" i="4"/>
  <c r="J142" i="4"/>
  <c r="J146" i="4"/>
  <c r="J151" i="4"/>
  <c r="J153" i="4"/>
  <c r="J155" i="4"/>
  <c r="J156" i="4"/>
  <c r="J159" i="4"/>
  <c r="J163" i="4"/>
  <c r="J164" i="4"/>
  <c r="J120" i="4"/>
  <c r="J121" i="4"/>
  <c r="J122" i="4"/>
  <c r="J125" i="4"/>
  <c r="J128" i="4"/>
  <c r="J95" i="4"/>
  <c r="J100" i="4"/>
  <c r="J102" i="4"/>
  <c r="J106" i="4"/>
  <c r="J107" i="4"/>
  <c r="J108" i="4"/>
  <c r="J66" i="4"/>
  <c r="J73" i="4"/>
  <c r="J77" i="4"/>
  <c r="J80" i="4"/>
  <c r="J82" i="4"/>
  <c r="J84" i="4"/>
  <c r="J53" i="4"/>
  <c r="J54" i="4"/>
  <c r="J55" i="4"/>
  <c r="J56" i="4"/>
  <c r="J57" i="4"/>
  <c r="J58" i="4"/>
  <c r="J44" i="4"/>
  <c r="J7" i="4"/>
  <c r="J10" i="4"/>
  <c r="J13" i="4"/>
  <c r="J19" i="4"/>
  <c r="J22" i="4"/>
  <c r="J27" i="4"/>
  <c r="J342" i="4" l="1"/>
  <c r="O342" i="4" s="1"/>
  <c r="N12" i="5" l="1"/>
  <c r="J3" i="4" l="1"/>
  <c r="N3" i="4" s="1"/>
  <c r="N7" i="4"/>
  <c r="N10" i="4"/>
  <c r="N13" i="4"/>
  <c r="N19" i="4"/>
  <c r="N22" i="4"/>
  <c r="N27" i="4"/>
  <c r="N44" i="4"/>
  <c r="J92" i="4"/>
  <c r="J112" i="4"/>
  <c r="J134" i="4"/>
  <c r="J299" i="4"/>
  <c r="O299" i="4" s="1"/>
  <c r="J300" i="4"/>
  <c r="O300" i="4" s="1"/>
  <c r="J303" i="4"/>
  <c r="O303" i="4" s="1"/>
  <c r="J315" i="4"/>
  <c r="J332" i="4"/>
  <c r="J333" i="4"/>
  <c r="J334" i="4"/>
  <c r="J343" i="4"/>
  <c r="J345" i="4"/>
  <c r="J346" i="4"/>
  <c r="J347" i="4"/>
  <c r="J353" i="4"/>
  <c r="J355" i="4"/>
  <c r="J361" i="4"/>
  <c r="J362" i="4" s="1"/>
  <c r="J363" i="4"/>
  <c r="O363" i="4" s="1"/>
  <c r="J365" i="4"/>
  <c r="J368" i="4"/>
  <c r="J369" i="4"/>
  <c r="J371" i="4"/>
  <c r="J374" i="4"/>
  <c r="J375" i="4" s="1"/>
  <c r="J376" i="4"/>
  <c r="J377" i="4"/>
  <c r="J382" i="4"/>
  <c r="J383" i="4"/>
  <c r="J387" i="4"/>
  <c r="J388" i="4"/>
  <c r="J392" i="4"/>
  <c r="J394" i="4" s="1"/>
  <c r="J395" i="4"/>
  <c r="J396" i="4" s="1"/>
  <c r="J397" i="4"/>
  <c r="J398" i="4" s="1"/>
  <c r="J402" i="4"/>
  <c r="J404" i="4" s="1"/>
  <c r="J405" i="4"/>
  <c r="J406" i="4" s="1"/>
  <c r="J423" i="4"/>
  <c r="J441" i="4"/>
  <c r="J446" i="4"/>
  <c r="J449" i="4"/>
  <c r="J450" i="4" s="1"/>
  <c r="M273" i="4"/>
  <c r="M34" i="4"/>
  <c r="M131" i="4"/>
  <c r="M65" i="4"/>
  <c r="M43" i="4"/>
  <c r="J38" i="4" l="1"/>
  <c r="J273" i="4"/>
  <c r="J68" i="4"/>
  <c r="J36" i="4"/>
  <c r="J32" i="4"/>
  <c r="J28" i="4"/>
  <c r="J23" i="4"/>
  <c r="J17" i="4"/>
  <c r="J75" i="4"/>
  <c r="J69" i="4"/>
  <c r="J59" i="4"/>
  <c r="J72" i="4"/>
  <c r="J62" i="4"/>
  <c r="J48" i="4"/>
  <c r="J42" i="4"/>
  <c r="J34" i="4"/>
  <c r="N34" i="4" s="1"/>
  <c r="J25" i="4"/>
  <c r="J20" i="4"/>
  <c r="J15" i="4"/>
  <c r="J71" i="4"/>
  <c r="J61" i="4"/>
  <c r="J41" i="4"/>
  <c r="J24" i="4"/>
  <c r="J8" i="4"/>
  <c r="J29" i="4"/>
  <c r="J14" i="4"/>
  <c r="J76" i="4"/>
  <c r="J70" i="4"/>
  <c r="J65" i="4"/>
  <c r="J60" i="4"/>
  <c r="J50" i="4"/>
  <c r="J40" i="4"/>
  <c r="J51" i="4"/>
  <c r="J37" i="4"/>
  <c r="J18" i="4"/>
  <c r="J78" i="4"/>
  <c r="J67" i="4"/>
  <c r="J49" i="4"/>
  <c r="J43" i="4"/>
  <c r="J39" i="4"/>
  <c r="J35" i="4"/>
  <c r="J31" i="4"/>
  <c r="J26" i="4"/>
  <c r="J21" i="4"/>
  <c r="J16" i="4"/>
  <c r="J47" i="4"/>
  <c r="J33" i="4"/>
  <c r="J79" i="4"/>
  <c r="J12" i="4"/>
  <c r="J6" i="4"/>
  <c r="J11" i="4"/>
  <c r="N11" i="4" s="1"/>
  <c r="J5" i="4"/>
  <c r="J52" i="4"/>
  <c r="J30" i="4"/>
  <c r="J9" i="4"/>
  <c r="N57" i="4"/>
  <c r="O57" i="4" s="1"/>
  <c r="N122" i="4"/>
  <c r="O122" i="4" s="1"/>
  <c r="N121" i="4"/>
  <c r="O121" i="4" s="1"/>
  <c r="N58" i="4"/>
  <c r="O58" i="4" s="1"/>
  <c r="N56" i="4"/>
  <c r="O56" i="4" s="1"/>
  <c r="N55" i="4"/>
  <c r="O55" i="4" s="1"/>
  <c r="N54" i="4"/>
  <c r="O54" i="4" s="1"/>
  <c r="N53" i="4"/>
  <c r="O53" i="4" s="1"/>
  <c r="N120" i="4"/>
  <c r="O120" i="4" s="1"/>
  <c r="J403" i="4"/>
  <c r="J393" i="4"/>
  <c r="J431" i="4"/>
  <c r="O431" i="4" s="1"/>
  <c r="M262" i="4"/>
  <c r="M207" i="4"/>
  <c r="M199" i="4"/>
  <c r="N59" i="4" l="1"/>
  <c r="O59" i="4" s="1"/>
  <c r="N273" i="4"/>
  <c r="O273" i="4" s="1"/>
  <c r="O34" i="4"/>
  <c r="M61" i="4"/>
  <c r="M50" i="4"/>
  <c r="M60" i="4" l="1"/>
  <c r="J148" i="4" l="1"/>
  <c r="I433" i="4"/>
  <c r="H433" i="4"/>
  <c r="J46" i="4"/>
  <c r="N26" i="4"/>
  <c r="J83" i="4" l="1"/>
  <c r="J88" i="4"/>
  <c r="J98" i="4"/>
  <c r="J104" i="4"/>
  <c r="J113" i="4"/>
  <c r="J124" i="4"/>
  <c r="J140" i="4"/>
  <c r="J145" i="4"/>
  <c r="J152" i="4"/>
  <c r="J160" i="4"/>
  <c r="J166" i="4"/>
  <c r="J170" i="4"/>
  <c r="J176" i="4"/>
  <c r="J180" i="4"/>
  <c r="J186" i="4"/>
  <c r="J191" i="4"/>
  <c r="J196" i="4"/>
  <c r="J200" i="4"/>
  <c r="J207" i="4"/>
  <c r="J211" i="4"/>
  <c r="J215" i="4"/>
  <c r="J225" i="4"/>
  <c r="J230" i="4"/>
  <c r="J234" i="4"/>
  <c r="J238" i="4"/>
  <c r="J243" i="4"/>
  <c r="J248" i="4"/>
  <c r="J252" i="4"/>
  <c r="J256" i="4"/>
  <c r="J262" i="4"/>
  <c r="J271" i="4"/>
  <c r="J117" i="4"/>
  <c r="J85" i="4"/>
  <c r="J89" i="4"/>
  <c r="J94" i="4"/>
  <c r="J99" i="4"/>
  <c r="J105" i="4"/>
  <c r="J114" i="4"/>
  <c r="J118" i="4"/>
  <c r="J126" i="4"/>
  <c r="J131" i="4"/>
  <c r="J141" i="4"/>
  <c r="J147" i="4"/>
  <c r="J154" i="4"/>
  <c r="J161" i="4"/>
  <c r="J167" i="4"/>
  <c r="J171" i="4"/>
  <c r="J177" i="4"/>
  <c r="J181" i="4"/>
  <c r="J187" i="4"/>
  <c r="J192" i="4"/>
  <c r="J197" i="4"/>
  <c r="J203" i="4"/>
  <c r="J208" i="4"/>
  <c r="J212" i="4"/>
  <c r="J216" i="4"/>
  <c r="J221" i="4"/>
  <c r="J226" i="4"/>
  <c r="J231" i="4"/>
  <c r="J235" i="4"/>
  <c r="J239" i="4"/>
  <c r="J244" i="4"/>
  <c r="J249" i="4"/>
  <c r="J253" i="4"/>
  <c r="J257" i="4"/>
  <c r="J263" i="4"/>
  <c r="J272" i="4"/>
  <c r="J277" i="4"/>
  <c r="J281" i="4"/>
  <c r="J288" i="4"/>
  <c r="J81" i="4"/>
  <c r="J87" i="4"/>
  <c r="J91" i="4"/>
  <c r="J97" i="4"/>
  <c r="J103" i="4"/>
  <c r="J110" i="4"/>
  <c r="J116" i="4"/>
  <c r="J123" i="4"/>
  <c r="J129" i="4"/>
  <c r="J144" i="4"/>
  <c r="J150" i="4"/>
  <c r="J158" i="4"/>
  <c r="J165" i="4"/>
  <c r="J169" i="4"/>
  <c r="J174" i="4"/>
  <c r="J179" i="4"/>
  <c r="J183" i="4"/>
  <c r="J190" i="4"/>
  <c r="J194" i="4"/>
  <c r="J199" i="4"/>
  <c r="J205" i="4"/>
  <c r="J210" i="4"/>
  <c r="J214" i="4"/>
  <c r="J219" i="4"/>
  <c r="J224" i="4"/>
  <c r="J229" i="4"/>
  <c r="J233" i="4"/>
  <c r="J237" i="4"/>
  <c r="J242" i="4"/>
  <c r="J246" i="4"/>
  <c r="J251" i="4"/>
  <c r="J255" i="4"/>
  <c r="J261" i="4"/>
  <c r="J270" i="4"/>
  <c r="J275" i="4"/>
  <c r="J279" i="4"/>
  <c r="J283" i="4"/>
  <c r="J86" i="4"/>
  <c r="J90" i="4"/>
  <c r="J96" i="4"/>
  <c r="J101" i="4"/>
  <c r="J109" i="4"/>
  <c r="J115" i="4"/>
  <c r="J119" i="4"/>
  <c r="J127" i="4"/>
  <c r="J143" i="4"/>
  <c r="J149" i="4"/>
  <c r="J157" i="4"/>
  <c r="J162" i="4"/>
  <c r="J168" i="4"/>
  <c r="J172" i="4"/>
  <c r="J178" i="4"/>
  <c r="J182" i="4"/>
  <c r="J189" i="4"/>
  <c r="J193" i="4"/>
  <c r="J198" i="4"/>
  <c r="J204" i="4"/>
  <c r="J209" i="4"/>
  <c r="J213" i="4"/>
  <c r="J218" i="4"/>
  <c r="J223" i="4"/>
  <c r="J228" i="4"/>
  <c r="J232" i="4"/>
  <c r="J236" i="4"/>
  <c r="J240" i="4"/>
  <c r="J245" i="4"/>
  <c r="J250" i="4"/>
  <c r="J254" i="4"/>
  <c r="J258" i="4"/>
  <c r="J266" i="4"/>
  <c r="J130" i="4"/>
  <c r="J220" i="4"/>
  <c r="J276" i="4"/>
  <c r="J280" i="4"/>
  <c r="J285" i="4"/>
  <c r="J274" i="4"/>
  <c r="J278" i="4"/>
  <c r="J282" i="4"/>
  <c r="N61" i="4"/>
  <c r="O61" i="4" s="1"/>
  <c r="N50" i="4"/>
  <c r="O50" i="4" s="1"/>
  <c r="J366" i="4"/>
  <c r="J379" i="4"/>
  <c r="J385" i="4"/>
  <c r="J407" i="4"/>
  <c r="J422" i="4"/>
  <c r="J427" i="4"/>
  <c r="J436" i="4"/>
  <c r="J440" i="4"/>
  <c r="J452" i="4"/>
  <c r="J454" i="4" s="1"/>
  <c r="H111" i="4"/>
  <c r="J301" i="4"/>
  <c r="O301" i="4" s="1"/>
  <c r="J314" i="4"/>
  <c r="J319" i="4"/>
  <c r="J327" i="4"/>
  <c r="J331" i="4"/>
  <c r="J338" i="4"/>
  <c r="J344" i="4"/>
  <c r="J354" i="4"/>
  <c r="J323" i="4"/>
  <c r="J352" i="4"/>
  <c r="J364" i="4"/>
  <c r="J378" i="4"/>
  <c r="J384" i="4"/>
  <c r="J399" i="4"/>
  <c r="J401" i="4" s="1"/>
  <c r="J411" i="4"/>
  <c r="J421" i="4"/>
  <c r="J426" i="4"/>
  <c r="J435" i="4"/>
  <c r="J439" i="4"/>
  <c r="J447" i="4"/>
  <c r="N8" i="4"/>
  <c r="J425" i="4"/>
  <c r="J432" i="4"/>
  <c r="J434" i="4" s="1"/>
  <c r="J438" i="4"/>
  <c r="J445" i="4"/>
  <c r="J4" i="4"/>
  <c r="N43" i="4"/>
  <c r="J93" i="4"/>
  <c r="J298" i="4"/>
  <c r="O298" i="4" s="1"/>
  <c r="J312" i="4"/>
  <c r="J318" i="4"/>
  <c r="J322" i="4"/>
  <c r="J326" i="4"/>
  <c r="J330" i="4"/>
  <c r="J337" i="4"/>
  <c r="J341" i="4"/>
  <c r="J415" i="4"/>
  <c r="N23" i="4"/>
  <c r="N41" i="4"/>
  <c r="J133" i="4"/>
  <c r="J135" i="4" s="1"/>
  <c r="J294" i="4"/>
  <c r="J302" i="4"/>
  <c r="O302" i="4" s="1"/>
  <c r="J316" i="4"/>
  <c r="J320" i="4"/>
  <c r="J324" i="4"/>
  <c r="J328" i="4"/>
  <c r="J335" i="4"/>
  <c r="J339" i="4"/>
  <c r="J348" i="4"/>
  <c r="J357" i="4"/>
  <c r="J358" i="4" s="1"/>
  <c r="J367" i="4"/>
  <c r="J380" i="4"/>
  <c r="J386" i="4"/>
  <c r="J408" i="4"/>
  <c r="J419" i="4"/>
  <c r="J424" i="4"/>
  <c r="J428" i="4"/>
  <c r="J437" i="4"/>
  <c r="J442" i="4"/>
  <c r="J64" i="4"/>
  <c r="J136" i="4"/>
  <c r="J297" i="4"/>
  <c r="J304" i="4"/>
  <c r="O304" i="4" s="1"/>
  <c r="J317" i="4"/>
  <c r="J321" i="4"/>
  <c r="J325" i="4"/>
  <c r="J329" i="4"/>
  <c r="J336" i="4"/>
  <c r="J340" i="4"/>
  <c r="J351" i="4"/>
  <c r="J359" i="4"/>
  <c r="J360" i="4" s="1"/>
  <c r="J370" i="4"/>
  <c r="J381" i="4"/>
  <c r="J389" i="4"/>
  <c r="J410" i="4"/>
  <c r="J420" i="4"/>
  <c r="N148" i="4"/>
  <c r="O148" i="4" s="1"/>
  <c r="J416" i="4" l="1"/>
  <c r="O415" i="4"/>
  <c r="J448" i="4"/>
  <c r="J451" i="4" s="1"/>
  <c r="N60" i="4"/>
  <c r="O60" i="4" s="1"/>
  <c r="J453" i="4"/>
  <c r="J433" i="4"/>
  <c r="J400" i="4"/>
  <c r="J412" i="4"/>
  <c r="J356" i="4"/>
  <c r="J373" i="4" s="1"/>
  <c r="J349" i="4"/>
  <c r="J390" i="4"/>
  <c r="J63" i="4"/>
  <c r="J306" i="4"/>
  <c r="J111" i="4"/>
  <c r="J313" i="4"/>
  <c r="J350" i="4" s="1"/>
  <c r="J296" i="4"/>
  <c r="J443" i="4"/>
  <c r="J372" i="4"/>
  <c r="J132" i="4"/>
  <c r="J291" i="4"/>
  <c r="J444" i="4"/>
  <c r="J418" i="4"/>
  <c r="J409" i="4"/>
  <c r="J417" i="4"/>
  <c r="J430" i="4"/>
  <c r="J429" i="4"/>
  <c r="N290" i="4"/>
  <c r="O290" i="4" s="1"/>
  <c r="N66" i="4"/>
  <c r="O66" i="4" s="1"/>
  <c r="J391" i="4" l="1"/>
  <c r="J311" i="4"/>
  <c r="J455" i="4"/>
  <c r="J413" i="4"/>
  <c r="J414" i="4" l="1"/>
  <c r="H313" i="4"/>
  <c r="I450" i="4"/>
  <c r="H450" i="4"/>
  <c r="I398" i="4"/>
  <c r="H398" i="4"/>
  <c r="I375" i="4"/>
  <c r="H375" i="4"/>
  <c r="I362" i="4"/>
  <c r="H362" i="4"/>
  <c r="I360" i="4" l="1"/>
  <c r="H360" i="4"/>
  <c r="I358" i="4"/>
  <c r="H358" i="4"/>
  <c r="I135" i="4"/>
  <c r="H135" i="4"/>
  <c r="D287" i="58"/>
  <c r="D290" i="58" s="1"/>
  <c r="H471" i="4"/>
  <c r="I471" i="4" l="1"/>
  <c r="E287" i="58"/>
  <c r="H412" i="4"/>
  <c r="I412" i="4"/>
  <c r="H132" i="4"/>
  <c r="H45" i="4"/>
  <c r="I132" i="4"/>
  <c r="H434" i="4"/>
  <c r="H448" i="4"/>
  <c r="I349" i="4"/>
  <c r="H400" i="4"/>
  <c r="I434" i="4"/>
  <c r="I448" i="4"/>
  <c r="I451" i="4" s="1"/>
  <c r="I45" i="4"/>
  <c r="I400" i="4"/>
  <c r="H296" i="4"/>
  <c r="H356" i="4"/>
  <c r="H443" i="4"/>
  <c r="H444" i="4"/>
  <c r="H458" i="4"/>
  <c r="H457" i="4"/>
  <c r="H459" i="4"/>
  <c r="I296" i="4"/>
  <c r="I356" i="4"/>
  <c r="I373" i="4" s="1"/>
  <c r="I444" i="4"/>
  <c r="I443" i="4"/>
  <c r="I429" i="4"/>
  <c r="I430" i="4"/>
  <c r="I458" i="4"/>
  <c r="I457" i="4"/>
  <c r="I459" i="4"/>
  <c r="H306" i="4"/>
  <c r="H372" i="4"/>
  <c r="H390" i="4"/>
  <c r="H417" i="4"/>
  <c r="H416" i="4"/>
  <c r="H418" i="4"/>
  <c r="H454" i="4"/>
  <c r="H453" i="4"/>
  <c r="H291" i="4"/>
  <c r="I306" i="4"/>
  <c r="I372" i="4"/>
  <c r="I390" i="4"/>
  <c r="I416" i="4"/>
  <c r="I418" i="4"/>
  <c r="I417" i="4"/>
  <c r="I453" i="4"/>
  <c r="I454" i="4"/>
  <c r="I291" i="4"/>
  <c r="H349" i="4"/>
  <c r="H350" i="4"/>
  <c r="H430" i="4"/>
  <c r="H429" i="4"/>
  <c r="H63" i="4"/>
  <c r="I111" i="4"/>
  <c r="I63" i="4"/>
  <c r="J471" i="4" l="1"/>
  <c r="E290" i="58"/>
  <c r="H373" i="4"/>
  <c r="H451" i="4"/>
  <c r="H455" i="4" s="1"/>
  <c r="R1" i="4"/>
  <c r="I391" i="4"/>
  <c r="I293" i="4"/>
  <c r="H292" i="4"/>
  <c r="I455" i="4"/>
  <c r="H293" i="4"/>
  <c r="I292" i="4"/>
  <c r="R2" i="4" l="1"/>
  <c r="P74" i="4" s="1"/>
  <c r="Q74" i="4" s="1"/>
  <c r="H391" i="4"/>
  <c r="P138" i="4" l="1"/>
  <c r="Q138" i="4" s="1"/>
  <c r="P139" i="4"/>
  <c r="Q139" i="4" s="1"/>
  <c r="P137" i="4"/>
  <c r="Q137" i="4" s="1"/>
  <c r="P55" i="4"/>
  <c r="P54" i="4"/>
  <c r="P120" i="4"/>
  <c r="Q120" i="4" s="1"/>
  <c r="P56" i="4"/>
  <c r="P121" i="4"/>
  <c r="Q121" i="4" s="1"/>
  <c r="P58" i="4"/>
  <c r="P122" i="4"/>
  <c r="Q122" i="4" s="1"/>
  <c r="P57" i="4"/>
  <c r="P53" i="4"/>
  <c r="P34" i="4"/>
  <c r="Q34" i="4" s="1"/>
  <c r="P273" i="4"/>
  <c r="Q273" i="4" s="1"/>
  <c r="P59" i="4"/>
  <c r="Q59" i="4" s="1"/>
  <c r="R59" i="4" s="1"/>
  <c r="D23" i="5" s="1"/>
  <c r="BD9" i="60" s="1"/>
  <c r="P148" i="4"/>
  <c r="Q148" i="4" s="1"/>
  <c r="P50" i="4"/>
  <c r="P61" i="4"/>
  <c r="P60" i="4"/>
  <c r="P66" i="4"/>
  <c r="P290" i="4"/>
  <c r="P342" i="4"/>
  <c r="Q342" i="4" s="1"/>
  <c r="D42" i="5" s="1"/>
  <c r="P363" i="4"/>
  <c r="P431" i="4"/>
  <c r="Q431" i="4" s="1"/>
  <c r="BD12" i="60" l="1"/>
  <c r="D18" i="6" l="1"/>
  <c r="F16" i="6" s="1"/>
  <c r="BS2" i="48" l="1"/>
  <c r="M248" i="4" l="1"/>
  <c r="M261" i="4"/>
  <c r="M257" i="4" l="1"/>
  <c r="M255" i="4"/>
  <c r="M285" i="4"/>
  <c r="M228" i="4"/>
  <c r="M150" i="4" l="1"/>
  <c r="M118" i="4" l="1"/>
  <c r="N5" i="4"/>
  <c r="M256" i="4"/>
  <c r="N256" i="4" l="1"/>
  <c r="O256" i="4" s="1"/>
  <c r="P256" i="4" s="1"/>
  <c r="O5" i="4" l="1"/>
  <c r="P5" i="4" s="1"/>
  <c r="J112" i="5" l="1"/>
  <c r="K19" i="5"/>
  <c r="K9" i="5" l="1"/>
  <c r="C21" i="20" l="1"/>
  <c r="C15" i="20"/>
  <c r="C12" i="19"/>
  <c r="C33" i="18"/>
  <c r="C27" i="18"/>
  <c r="C21" i="18"/>
  <c r="C15" i="18"/>
  <c r="C30" i="17"/>
  <c r="C24" i="17"/>
  <c r="C18" i="17"/>
  <c r="C12" i="17"/>
  <c r="C33" i="16"/>
  <c r="C27" i="16"/>
  <c r="C21" i="16"/>
  <c r="C15" i="16"/>
  <c r="L104" i="5" l="1"/>
  <c r="C16" i="34" l="1"/>
  <c r="Q5" i="4" l="1"/>
  <c r="Q256" i="4"/>
  <c r="N4" i="4" l="1"/>
  <c r="M288" i="4"/>
  <c r="M283" i="4"/>
  <c r="M282" i="4"/>
  <c r="M281" i="4"/>
  <c r="M280" i="4"/>
  <c r="M279" i="4"/>
  <c r="M278" i="4"/>
  <c r="M277" i="4"/>
  <c r="M276" i="4"/>
  <c r="M275" i="4"/>
  <c r="M274" i="4"/>
  <c r="M272" i="4"/>
  <c r="M271" i="4"/>
  <c r="M270" i="4"/>
  <c r="M266" i="4"/>
  <c r="M263" i="4"/>
  <c r="M258" i="4"/>
  <c r="M254" i="4"/>
  <c r="M253" i="4"/>
  <c r="M251" i="4"/>
  <c r="M250" i="4"/>
  <c r="M249" i="4"/>
  <c r="M246" i="4"/>
  <c r="M245" i="4"/>
  <c r="M244" i="4"/>
  <c r="M243" i="4"/>
  <c r="M242" i="4"/>
  <c r="M240" i="4"/>
  <c r="M239" i="4"/>
  <c r="M238" i="4"/>
  <c r="M237" i="4"/>
  <c r="M236" i="4"/>
  <c r="M235" i="4"/>
  <c r="M234" i="4"/>
  <c r="M233" i="4"/>
  <c r="M232" i="4"/>
  <c r="M230" i="4"/>
  <c r="M229" i="4"/>
  <c r="M226" i="4"/>
  <c r="M225" i="4"/>
  <c r="M224" i="4"/>
  <c r="M223" i="4"/>
  <c r="M221" i="4"/>
  <c r="M220" i="4"/>
  <c r="M219" i="4"/>
  <c r="M216" i="4"/>
  <c r="M215" i="4"/>
  <c r="M214" i="4"/>
  <c r="M213" i="4"/>
  <c r="M212" i="4"/>
  <c r="M211" i="4"/>
  <c r="M210" i="4"/>
  <c r="M209" i="4"/>
  <c r="M208" i="4"/>
  <c r="M205" i="4"/>
  <c r="M204" i="4"/>
  <c r="M203" i="4"/>
  <c r="M200" i="4"/>
  <c r="M198" i="4"/>
  <c r="M197" i="4"/>
  <c r="M196" i="4"/>
  <c r="M194" i="4"/>
  <c r="M193" i="4"/>
  <c r="M192" i="4"/>
  <c r="M191" i="4"/>
  <c r="M190" i="4"/>
  <c r="M189" i="4"/>
  <c r="M187" i="4"/>
  <c r="M186" i="4"/>
  <c r="M183" i="4"/>
  <c r="M182" i="4"/>
  <c r="M181" i="4"/>
  <c r="M180" i="4"/>
  <c r="M179" i="4"/>
  <c r="M178" i="4"/>
  <c r="M177" i="4"/>
  <c r="M176" i="4"/>
  <c r="M174" i="4"/>
  <c r="M172" i="4"/>
  <c r="M171" i="4"/>
  <c r="M170" i="4"/>
  <c r="M169" i="4"/>
  <c r="M168" i="4"/>
  <c r="M167" i="4"/>
  <c r="M166" i="4"/>
  <c r="M162" i="4"/>
  <c r="M161" i="4"/>
  <c r="M160" i="4"/>
  <c r="M158" i="4"/>
  <c r="M157" i="4"/>
  <c r="M154" i="4"/>
  <c r="M152" i="4"/>
  <c r="M149" i="4"/>
  <c r="M147" i="4"/>
  <c r="M145" i="4"/>
  <c r="M144" i="4"/>
  <c r="M143" i="4"/>
  <c r="M141" i="4"/>
  <c r="M140" i="4"/>
  <c r="M136" i="4"/>
  <c r="M133" i="4"/>
  <c r="M129" i="4"/>
  <c r="M127" i="4"/>
  <c r="M126" i="4"/>
  <c r="M124" i="4"/>
  <c r="M119" i="4"/>
  <c r="M117" i="4"/>
  <c r="M116" i="4"/>
  <c r="M114" i="4"/>
  <c r="M113" i="4"/>
  <c r="M110" i="4"/>
  <c r="M105" i="4"/>
  <c r="M104" i="4"/>
  <c r="M103" i="4"/>
  <c r="M101" i="4"/>
  <c r="M99" i="4"/>
  <c r="M98" i="4"/>
  <c r="M97" i="4"/>
  <c r="M96" i="4"/>
  <c r="M94" i="4"/>
  <c r="M93" i="4"/>
  <c r="M91" i="4"/>
  <c r="M90" i="4"/>
  <c r="M89" i="4"/>
  <c r="M88" i="4"/>
  <c r="M87" i="4"/>
  <c r="M86" i="4"/>
  <c r="M85" i="4"/>
  <c r="M83" i="4"/>
  <c r="M81" i="4"/>
  <c r="M79" i="4"/>
  <c r="M78" i="4"/>
  <c r="M75" i="4"/>
  <c r="M72" i="4"/>
  <c r="M71" i="4"/>
  <c r="M64" i="4"/>
  <c r="M62" i="4"/>
  <c r="N62" i="4" s="1"/>
  <c r="O62" i="4" s="1"/>
  <c r="P62" i="4" s="1"/>
  <c r="M52" i="4"/>
  <c r="N52" i="4" s="1"/>
  <c r="O52" i="4" s="1"/>
  <c r="P52" i="4" s="1"/>
  <c r="M51" i="4"/>
  <c r="N51" i="4" s="1"/>
  <c r="O51" i="4" s="1"/>
  <c r="P51" i="4" s="1"/>
  <c r="M49" i="4"/>
  <c r="N49" i="4" s="1"/>
  <c r="O49" i="4" s="1"/>
  <c r="P49" i="4" s="1"/>
  <c r="M48" i="4"/>
  <c r="N48" i="4" s="1"/>
  <c r="O48" i="4" s="1"/>
  <c r="P48" i="4" s="1"/>
  <c r="M47" i="4"/>
  <c r="N47" i="4" s="1"/>
  <c r="O47" i="4" s="1"/>
  <c r="P47" i="4" s="1"/>
  <c r="M46" i="4"/>
  <c r="M42" i="4"/>
  <c r="N42" i="4" s="1"/>
  <c r="M40" i="4"/>
  <c r="N40" i="4" s="1"/>
  <c r="M39" i="4"/>
  <c r="N39" i="4" s="1"/>
  <c r="M38" i="4"/>
  <c r="N38" i="4" s="1"/>
  <c r="M37" i="4"/>
  <c r="N37" i="4" s="1"/>
  <c r="M36" i="4"/>
  <c r="N36" i="4" s="1"/>
  <c r="M35" i="4"/>
  <c r="N35" i="4" s="1"/>
  <c r="M33" i="4"/>
  <c r="N33" i="4" s="1"/>
  <c r="M32" i="4"/>
  <c r="N32" i="4" s="1"/>
  <c r="M31" i="4"/>
  <c r="N31" i="4" s="1"/>
  <c r="M30" i="4"/>
  <c r="N30" i="4" s="1"/>
  <c r="M29" i="4"/>
  <c r="N29" i="4" s="1"/>
  <c r="M28" i="4"/>
  <c r="N28" i="4" s="1"/>
  <c r="N25" i="4"/>
  <c r="N24" i="4"/>
  <c r="M21" i="4"/>
  <c r="N21" i="4" s="1"/>
  <c r="N20" i="4"/>
  <c r="N9" i="4"/>
  <c r="N12" i="4"/>
  <c r="M14" i="4"/>
  <c r="N14" i="4" s="1"/>
  <c r="M15" i="4"/>
  <c r="N15" i="4" s="1"/>
  <c r="M16" i="4"/>
  <c r="N16" i="4" s="1"/>
  <c r="M17" i="4"/>
  <c r="N17" i="4" s="1"/>
  <c r="M18" i="4"/>
  <c r="N18" i="4" s="1"/>
  <c r="N6" i="4"/>
  <c r="N434" i="4" l="1"/>
  <c r="M434" i="4"/>
  <c r="L434" i="4"/>
  <c r="K434" i="4"/>
  <c r="N433" i="4"/>
  <c r="M433" i="4"/>
  <c r="L433" i="4"/>
  <c r="K433" i="4"/>
  <c r="O361" i="4"/>
  <c r="O28" i="4" l="1"/>
  <c r="P28" i="4" s="1"/>
  <c r="O27" i="4"/>
  <c r="P27" i="4" s="1"/>
  <c r="O432" i="4" l="1"/>
  <c r="O433" i="4" s="1"/>
  <c r="O434" i="4" l="1"/>
  <c r="P432" i="4"/>
  <c r="P433" i="4" s="1"/>
  <c r="N156" i="4"/>
  <c r="O156" i="4" s="1"/>
  <c r="P156" i="4" s="1"/>
  <c r="Q432" i="4" l="1"/>
  <c r="Q433" i="4" s="1"/>
  <c r="P434" i="4"/>
  <c r="Q434" i="4" l="1"/>
  <c r="C80" i="33" l="1"/>
  <c r="C79" i="33"/>
  <c r="C75" i="33"/>
  <c r="C76" i="33"/>
  <c r="C77" i="33"/>
  <c r="K10" i="33" l="1"/>
  <c r="I10" i="33"/>
  <c r="K9" i="33"/>
  <c r="I13" i="33"/>
  <c r="K12" i="33"/>
  <c r="I12" i="33"/>
  <c r="M13" i="33" l="1"/>
  <c r="M77" i="33" s="1"/>
  <c r="M12" i="33"/>
  <c r="M76" i="33" s="1"/>
  <c r="G82" i="5" l="1"/>
  <c r="N108" i="4" l="1"/>
  <c r="O108" i="4" s="1"/>
  <c r="P108" i="4" s="1"/>
  <c r="A82" i="51" l="1"/>
  <c r="B82" i="51" s="1"/>
  <c r="BR12" i="31"/>
  <c r="BD12" i="31"/>
  <c r="C82" i="51" l="1"/>
  <c r="F82" i="51" s="1"/>
  <c r="D82" i="51" l="1"/>
  <c r="G83" i="5" l="1"/>
  <c r="O368" i="4" l="1"/>
  <c r="O367" i="4"/>
  <c r="N125" i="4" l="1"/>
  <c r="O125" i="4" s="1"/>
  <c r="P125" i="4" s="1"/>
  <c r="N126" i="4"/>
  <c r="O126" i="4" s="1"/>
  <c r="P126" i="4" s="1"/>
  <c r="N129" i="4"/>
  <c r="O129" i="4" s="1"/>
  <c r="P129" i="4" s="1"/>
  <c r="N127" i="4"/>
  <c r="O127" i="4" s="1"/>
  <c r="P127" i="4" s="1"/>
  <c r="N128" i="4"/>
  <c r="O128" i="4" s="1"/>
  <c r="P128" i="4" s="1"/>
  <c r="O408" i="4"/>
  <c r="N114" i="4" l="1"/>
  <c r="O114" i="4" s="1"/>
  <c r="P114" i="4" s="1"/>
  <c r="O7" i="4" l="1"/>
  <c r="P7" i="4" s="1"/>
  <c r="O366" i="4" l="1"/>
  <c r="N260" i="4" l="1"/>
  <c r="O260" i="4" s="1"/>
  <c r="P260" i="4" s="1"/>
  <c r="G137" i="33"/>
  <c r="I137" i="33"/>
  <c r="O39" i="4" l="1"/>
  <c r="P39" i="4" s="1"/>
  <c r="G79" i="5" l="1"/>
  <c r="O354" i="4" l="1"/>
  <c r="O42" i="4" l="1"/>
  <c r="P42" i="4" s="1"/>
  <c r="O359" i="4"/>
  <c r="N360" i="4"/>
  <c r="M360" i="4"/>
  <c r="N450" i="4"/>
  <c r="M450" i="4"/>
  <c r="L450" i="4"/>
  <c r="K450" i="4"/>
  <c r="O449" i="4" l="1"/>
  <c r="O450" i="4" s="1"/>
  <c r="O40" i="4"/>
  <c r="P40" i="4" s="1"/>
  <c r="O41" i="4"/>
  <c r="P41" i="4" s="1"/>
  <c r="O360" i="4"/>
  <c r="I403" i="4"/>
  <c r="H403" i="4"/>
  <c r="H461" i="4"/>
  <c r="O38" i="4" l="1"/>
  <c r="P38" i="4" s="1"/>
  <c r="M16" i="34"/>
  <c r="K16" i="34"/>
  <c r="M14" i="34"/>
  <c r="K14" i="34"/>
  <c r="O44" i="4" l="1"/>
  <c r="P44" i="4" s="1"/>
  <c r="N285" i="4" l="1"/>
  <c r="O285" i="4" s="1"/>
  <c r="P285" i="4" s="1"/>
  <c r="N123" i="4"/>
  <c r="O123" i="4" s="1"/>
  <c r="P123" i="4" s="1"/>
  <c r="N69" i="4" l="1"/>
  <c r="O69" i="4" s="1"/>
  <c r="P69" i="4" s="1"/>
  <c r="N68" i="4"/>
  <c r="O68" i="4" s="1"/>
  <c r="P68" i="4" s="1"/>
  <c r="O369" i="4"/>
  <c r="Q285" i="4"/>
  <c r="N124" i="4" l="1"/>
  <c r="O124" i="4" s="1"/>
  <c r="P124" i="4" s="1"/>
  <c r="Q68" i="4"/>
  <c r="Q69" i="4"/>
  <c r="N70" i="4"/>
  <c r="O70" i="4" s="1"/>
  <c r="P70" i="4" s="1"/>
  <c r="O36" i="4"/>
  <c r="P36" i="4" s="1"/>
  <c r="Q28" i="4"/>
  <c r="Q27" i="4"/>
  <c r="Q156" i="4"/>
  <c r="Q108" i="4"/>
  <c r="Q126" i="4"/>
  <c r="Q128" i="4"/>
  <c r="Q125" i="4"/>
  <c r="Q127" i="4"/>
  <c r="Q60" i="4"/>
  <c r="Q129" i="4"/>
  <c r="Q114" i="4"/>
  <c r="Q7" i="4"/>
  <c r="Q260" i="4"/>
  <c r="Q39" i="4"/>
  <c r="Q42" i="4"/>
  <c r="Q40" i="4"/>
  <c r="Q41" i="4"/>
  <c r="Q38" i="4"/>
  <c r="Q44" i="4"/>
  <c r="Q123" i="4"/>
  <c r="N130" i="4"/>
  <c r="O130" i="4" s="1"/>
  <c r="P130" i="4" s="1"/>
  <c r="P361" i="4"/>
  <c r="Q361" i="4" s="1"/>
  <c r="P300" i="4"/>
  <c r="Q300" i="4" s="1"/>
  <c r="P301" i="4"/>
  <c r="Q301" i="4" s="1"/>
  <c r="P368" i="4"/>
  <c r="Q368" i="4" s="1"/>
  <c r="P408" i="4"/>
  <c r="Q408" i="4" s="1"/>
  <c r="D65" i="5" s="1"/>
  <c r="P367" i="4"/>
  <c r="P366" i="4"/>
  <c r="Q366" i="4" s="1"/>
  <c r="D50" i="5" s="1"/>
  <c r="P354" i="4"/>
  <c r="Q354" i="4" s="1"/>
  <c r="D46" i="5" s="1"/>
  <c r="P359" i="4"/>
  <c r="Q359" i="4" s="1"/>
  <c r="D48" i="5" s="1"/>
  <c r="P449" i="4"/>
  <c r="Q449" i="4" s="1"/>
  <c r="P369" i="4"/>
  <c r="Q369" i="4" s="1"/>
  <c r="D51" i="5" s="1"/>
  <c r="Q124" i="4" l="1"/>
  <c r="Q130" i="4"/>
  <c r="Q70" i="4"/>
  <c r="Q36" i="4"/>
  <c r="Q367" i="4"/>
  <c r="Q360" i="4"/>
  <c r="P360" i="4"/>
  <c r="Q450" i="4"/>
  <c r="P450" i="4"/>
  <c r="R368" i="4" l="1"/>
  <c r="D52" i="5"/>
  <c r="G91" i="5"/>
  <c r="G14" i="34"/>
  <c r="E14" i="34"/>
  <c r="C14" i="34"/>
  <c r="E16" i="34"/>
  <c r="G16" i="34"/>
  <c r="I16" i="34" l="1"/>
  <c r="I14" i="34"/>
  <c r="J106" i="5" l="1"/>
  <c r="F94" i="5" s="1"/>
  <c r="F95" i="5" s="1"/>
  <c r="F96" i="5" s="1"/>
  <c r="K103" i="5"/>
  <c r="N109" i="5" s="1"/>
  <c r="H109" i="5" s="1"/>
  <c r="N19" i="5" l="1"/>
  <c r="N13" i="5" s="1"/>
  <c r="G121" i="33"/>
  <c r="G22" i="34" l="1"/>
  <c r="BS2" i="31" l="1"/>
  <c r="E22" i="34" l="1"/>
  <c r="K104" i="5" l="1"/>
  <c r="N110" i="5" s="1"/>
  <c r="F74" i="5" l="1"/>
  <c r="D74" i="5"/>
  <c r="L23" i="5" s="1"/>
  <c r="F86" i="5" l="1"/>
  <c r="J72" i="5" s="1"/>
  <c r="C138" i="33" l="1"/>
  <c r="D8" i="5" l="1"/>
  <c r="G73" i="5"/>
  <c r="G72" i="5"/>
  <c r="D9" i="5" l="1"/>
  <c r="O26" i="4" l="1"/>
  <c r="P26" i="4" s="1"/>
  <c r="N224" i="4"/>
  <c r="O224" i="4" s="1"/>
  <c r="P224" i="4" s="1"/>
  <c r="N225" i="4"/>
  <c r="O225" i="4" s="1"/>
  <c r="P225" i="4" s="1"/>
  <c r="N226" i="4"/>
  <c r="O226" i="4" s="1"/>
  <c r="P226" i="4" s="1"/>
  <c r="Q226" i="4" l="1"/>
  <c r="Q225" i="4"/>
  <c r="Q224" i="4"/>
  <c r="Q26" i="4"/>
  <c r="O21" i="4"/>
  <c r="P21" i="4" s="1"/>
  <c r="N261" i="4"/>
  <c r="O261" i="4" s="1"/>
  <c r="P261" i="4" s="1"/>
  <c r="N262" i="4"/>
  <c r="O262" i="4" s="1"/>
  <c r="P262" i="4" s="1"/>
  <c r="Q262" i="4" l="1"/>
  <c r="Q261" i="4"/>
  <c r="Q21" i="4"/>
  <c r="Q54" i="4"/>
  <c r="N65" i="4" l="1"/>
  <c r="O65" i="4" s="1"/>
  <c r="P65" i="4" s="1"/>
  <c r="N158" i="4"/>
  <c r="O158" i="4" s="1"/>
  <c r="P158" i="4" s="1"/>
  <c r="N197" i="4"/>
  <c r="O197" i="4" s="1"/>
  <c r="P197" i="4" s="1"/>
  <c r="N220" i="4"/>
  <c r="O220" i="4" s="1"/>
  <c r="P220" i="4" s="1"/>
  <c r="Q220" i="4" l="1"/>
  <c r="Q197" i="4"/>
  <c r="Q158" i="4"/>
  <c r="Q65" i="4"/>
  <c r="N404" i="4"/>
  <c r="M404" i="4"/>
  <c r="L404" i="4"/>
  <c r="K404" i="4"/>
  <c r="N398" i="4"/>
  <c r="M398" i="4"/>
  <c r="L398" i="4"/>
  <c r="K398" i="4"/>
  <c r="N372" i="4"/>
  <c r="M372" i="4"/>
  <c r="K11" i="33"/>
  <c r="I11" i="33"/>
  <c r="M11" i="33" l="1"/>
  <c r="M75" i="33" s="1"/>
  <c r="G81" i="5"/>
  <c r="O371" i="4" l="1"/>
  <c r="O370" i="4" l="1"/>
  <c r="O397" i="4"/>
  <c r="O398" i="4" s="1"/>
  <c r="I404" i="4" l="1"/>
  <c r="O384" i="4"/>
  <c r="P384" i="4" s="1"/>
  <c r="O22" i="4" l="1"/>
  <c r="P22" i="4" s="1"/>
  <c r="N228" i="4"/>
  <c r="O228" i="4" s="1"/>
  <c r="P228" i="4" s="1"/>
  <c r="N259" i="4"/>
  <c r="O259" i="4" s="1"/>
  <c r="P259" i="4" s="1"/>
  <c r="N227" i="4"/>
  <c r="O227" i="4" s="1"/>
  <c r="P227" i="4" s="1"/>
  <c r="N229" i="4"/>
  <c r="O229" i="4" s="1"/>
  <c r="P229" i="4" s="1"/>
  <c r="N258" i="4"/>
  <c r="O258" i="4" s="1"/>
  <c r="P258" i="4" s="1"/>
  <c r="N231" i="4"/>
  <c r="O231" i="4" s="1"/>
  <c r="P231" i="4" s="1"/>
  <c r="N230" i="4"/>
  <c r="O230" i="4" s="1"/>
  <c r="P230" i="4" s="1"/>
  <c r="I313" i="4"/>
  <c r="I350" i="4" l="1"/>
  <c r="Q229" i="4"/>
  <c r="Q228" i="4"/>
  <c r="Q230" i="4"/>
  <c r="Q231" i="4"/>
  <c r="Q258" i="4"/>
  <c r="Q227" i="4"/>
  <c r="Q259" i="4"/>
  <c r="Q22" i="4"/>
  <c r="N206" i="4" l="1"/>
  <c r="O206" i="4" s="1"/>
  <c r="P206" i="4" s="1"/>
  <c r="N205" i="4"/>
  <c r="O205" i="4" s="1"/>
  <c r="P205" i="4" s="1"/>
  <c r="P371" i="4"/>
  <c r="Q371" i="4" s="1"/>
  <c r="P370" i="4"/>
  <c r="Q370" i="4" s="1"/>
  <c r="P397" i="4"/>
  <c r="P304" i="4"/>
  <c r="Q304" i="4" s="1"/>
  <c r="Q384" i="4"/>
  <c r="Q205" i="4" l="1"/>
  <c r="D53" i="5"/>
  <c r="R371" i="4"/>
  <c r="Q397" i="4"/>
  <c r="P398" i="4"/>
  <c r="D61" i="5" l="1"/>
  <c r="Q398" i="4"/>
  <c r="N94" i="4" l="1"/>
  <c r="O94" i="4" s="1"/>
  <c r="P94" i="4" s="1"/>
  <c r="N93" i="4"/>
  <c r="O93" i="4" s="1"/>
  <c r="P93" i="4" s="1"/>
  <c r="N100" i="4"/>
  <c r="O100" i="4" s="1"/>
  <c r="P100" i="4" s="1"/>
  <c r="N92" i="4"/>
  <c r="O92" i="4" s="1"/>
  <c r="P92" i="4" s="1"/>
  <c r="N91" i="4"/>
  <c r="O91" i="4" s="1"/>
  <c r="P91" i="4" s="1"/>
  <c r="N97" i="4"/>
  <c r="O97" i="4" s="1"/>
  <c r="P97" i="4" s="1"/>
  <c r="N102" i="4"/>
  <c r="O102" i="4" s="1"/>
  <c r="P102" i="4" s="1"/>
  <c r="N105" i="4"/>
  <c r="O105" i="4" s="1"/>
  <c r="P105" i="4" s="1"/>
  <c r="N89" i="4"/>
  <c r="O89" i="4" s="1"/>
  <c r="P89" i="4" s="1"/>
  <c r="N104" i="4"/>
  <c r="O104" i="4" s="1"/>
  <c r="P104" i="4" s="1"/>
  <c r="N96" i="4"/>
  <c r="O96" i="4" s="1"/>
  <c r="P96" i="4" s="1"/>
  <c r="N88" i="4"/>
  <c r="O88" i="4" s="1"/>
  <c r="P88" i="4" s="1"/>
  <c r="N110" i="4"/>
  <c r="O110" i="4" s="1"/>
  <c r="P110" i="4" s="1"/>
  <c r="N101" i="4"/>
  <c r="O101" i="4" s="1"/>
  <c r="P101" i="4" s="1"/>
  <c r="N109" i="4"/>
  <c r="O109" i="4" s="1"/>
  <c r="P109" i="4" s="1"/>
  <c r="N99" i="4"/>
  <c r="O99" i="4" s="1"/>
  <c r="P99" i="4" s="1"/>
  <c r="N98" i="4"/>
  <c r="O98" i="4" s="1"/>
  <c r="P98" i="4" s="1"/>
  <c r="N90" i="4"/>
  <c r="O90" i="4" s="1"/>
  <c r="P90" i="4" s="1"/>
  <c r="N103" i="4"/>
  <c r="O103" i="4" s="1"/>
  <c r="P103" i="4" s="1"/>
  <c r="N95" i="4"/>
  <c r="O95" i="4" s="1"/>
  <c r="P95" i="4" s="1"/>
  <c r="N107" i="4"/>
  <c r="O107" i="4" s="1"/>
  <c r="P107" i="4" s="1"/>
  <c r="N106" i="4"/>
  <c r="O106" i="4" s="1"/>
  <c r="P106" i="4" s="1"/>
  <c r="N141" i="4"/>
  <c r="O141" i="4" s="1"/>
  <c r="P141" i="4" s="1"/>
  <c r="Q141" i="4" l="1"/>
  <c r="Q105" i="4"/>
  <c r="Q110" i="4"/>
  <c r="Q88" i="4"/>
  <c r="Q89" i="4"/>
  <c r="Q100" i="4"/>
  <c r="Q93" i="4"/>
  <c r="Q103" i="4"/>
  <c r="Q92" i="4"/>
  <c r="Q96" i="4"/>
  <c r="Q106" i="4"/>
  <c r="Q104" i="4"/>
  <c r="Q97" i="4"/>
  <c r="Q95" i="4"/>
  <c r="Q99" i="4"/>
  <c r="Q91" i="4"/>
  <c r="Q94" i="4"/>
  <c r="Q107" i="4"/>
  <c r="Q109" i="4"/>
  <c r="Q90" i="4"/>
  <c r="Q102" i="4"/>
  <c r="Q101" i="4"/>
  <c r="Q98" i="4"/>
  <c r="N164" i="4" l="1"/>
  <c r="O164" i="4" s="1"/>
  <c r="P164" i="4" s="1"/>
  <c r="N253" i="4"/>
  <c r="O253" i="4" s="1"/>
  <c r="P253" i="4" s="1"/>
  <c r="N162" i="4"/>
  <c r="O162" i="4" s="1"/>
  <c r="P162" i="4" s="1"/>
  <c r="N165" i="4"/>
  <c r="O165" i="4" s="1"/>
  <c r="P165" i="4" s="1"/>
  <c r="N166" i="4"/>
  <c r="O166" i="4" s="1"/>
  <c r="P166" i="4" s="1"/>
  <c r="N255" i="4"/>
  <c r="O255" i="4" s="1"/>
  <c r="P255" i="4" s="1"/>
  <c r="N167" i="4"/>
  <c r="O167" i="4" s="1"/>
  <c r="P167" i="4" s="1"/>
  <c r="N254" i="4"/>
  <c r="O254" i="4" s="1"/>
  <c r="P254" i="4" s="1"/>
  <c r="N163" i="4"/>
  <c r="O163" i="4" s="1"/>
  <c r="P163" i="4" s="1"/>
  <c r="N264" i="4"/>
  <c r="O264" i="4" s="1"/>
  <c r="P264" i="4" s="1"/>
  <c r="N263" i="4"/>
  <c r="O263" i="4" s="1"/>
  <c r="P263" i="4" s="1"/>
  <c r="N257" i="4"/>
  <c r="O257" i="4" s="1"/>
  <c r="P257" i="4" s="1"/>
  <c r="N155" i="4"/>
  <c r="O155" i="4" s="1"/>
  <c r="P155" i="4" s="1"/>
  <c r="N168" i="4"/>
  <c r="O168" i="4" s="1"/>
  <c r="P168" i="4" s="1"/>
  <c r="N170" i="4"/>
  <c r="O170" i="4" s="1"/>
  <c r="P170" i="4" s="1"/>
  <c r="N169" i="4"/>
  <c r="O169" i="4" s="1"/>
  <c r="P169" i="4" s="1"/>
  <c r="Q169" i="4" l="1"/>
  <c r="Q254" i="4"/>
  <c r="Q167" i="4"/>
  <c r="Q168" i="4"/>
  <c r="Q155" i="4"/>
  <c r="Q162" i="4"/>
  <c r="Q170" i="4"/>
  <c r="Q255" i="4"/>
  <c r="Q166" i="4"/>
  <c r="Q164" i="4"/>
  <c r="Q253" i="4"/>
  <c r="Q165" i="4"/>
  <c r="Q257" i="4"/>
  <c r="Q263" i="4"/>
  <c r="Q163" i="4"/>
  <c r="Q264" i="4"/>
  <c r="M29" i="33" l="1"/>
  <c r="M30" i="33"/>
  <c r="M31" i="33"/>
  <c r="M32" i="33"/>
  <c r="M33" i="33"/>
  <c r="M34" i="33"/>
  <c r="M36" i="33"/>
  <c r="M37" i="33"/>
  <c r="M38" i="33"/>
  <c r="M39" i="33"/>
  <c r="M40" i="33"/>
  <c r="M41" i="33"/>
  <c r="M42" i="33"/>
  <c r="M43" i="33"/>
  <c r="M44" i="33"/>
  <c r="M45" i="33"/>
  <c r="M46" i="33"/>
  <c r="M47" i="33"/>
  <c r="M48" i="33"/>
  <c r="M49" i="33"/>
  <c r="M50" i="33"/>
  <c r="I23" i="33" l="1"/>
  <c r="K23" i="33"/>
  <c r="M23" i="33" l="1"/>
  <c r="M80" i="33" s="1"/>
  <c r="O383" i="4" l="1"/>
  <c r="P383" i="4" s="1"/>
  <c r="O387" i="4"/>
  <c r="P387" i="4" s="1"/>
  <c r="N64" i="4" l="1"/>
  <c r="O64" i="4" s="1"/>
  <c r="P64" i="4" l="1"/>
  <c r="Q64" i="4" s="1"/>
  <c r="O32" i="4"/>
  <c r="P32" i="4" s="1"/>
  <c r="N200" i="4"/>
  <c r="O200" i="4" s="1"/>
  <c r="P200" i="4" s="1"/>
  <c r="N242" i="4"/>
  <c r="O242" i="4" s="1"/>
  <c r="P242" i="4" s="1"/>
  <c r="N217" i="4"/>
  <c r="O217" i="4" s="1"/>
  <c r="P217" i="4" s="1"/>
  <c r="N201" i="4"/>
  <c r="O201" i="4" s="1"/>
  <c r="P201" i="4" s="1"/>
  <c r="N219" i="4"/>
  <c r="O219" i="4" s="1"/>
  <c r="P219" i="4" s="1"/>
  <c r="N252" i="4"/>
  <c r="O252" i="4" s="1"/>
  <c r="P252" i="4" s="1"/>
  <c r="Q217" i="4" l="1"/>
  <c r="Q252" i="4"/>
  <c r="Q219" i="4"/>
  <c r="Q201" i="4"/>
  <c r="Q242" i="4"/>
  <c r="Q200" i="4"/>
  <c r="Q32" i="4"/>
  <c r="N144" i="4"/>
  <c r="O144" i="4" s="1"/>
  <c r="P144" i="4" s="1"/>
  <c r="N150" i="4"/>
  <c r="O150" i="4" s="1"/>
  <c r="P150" i="4" s="1"/>
  <c r="N195" i="4"/>
  <c r="O195" i="4" s="1"/>
  <c r="P195" i="4" s="1"/>
  <c r="Q144" i="4" l="1"/>
  <c r="Q195" i="4"/>
  <c r="Q150" i="4"/>
  <c r="O353" i="4"/>
  <c r="E139" i="33" l="1"/>
  <c r="E140" i="33"/>
  <c r="E138" i="33"/>
  <c r="Q383" i="4" l="1"/>
  <c r="Q387" i="4"/>
  <c r="P302" i="4"/>
  <c r="Q302" i="4" s="1"/>
  <c r="P353" i="4"/>
  <c r="Q353" i="4" s="1"/>
  <c r="O343" i="4" l="1"/>
  <c r="O447" i="4"/>
  <c r="O33" i="4" l="1"/>
  <c r="P33" i="4" s="1"/>
  <c r="N198" i="4"/>
  <c r="O198" i="4" s="1"/>
  <c r="P198" i="4" s="1"/>
  <c r="N221" i="4"/>
  <c r="O221" i="4" s="1"/>
  <c r="P221" i="4" s="1"/>
  <c r="N222" i="4"/>
  <c r="O222" i="4" s="1"/>
  <c r="P222" i="4" s="1"/>
  <c r="N223" i="4"/>
  <c r="O223" i="4" s="1"/>
  <c r="P223" i="4" s="1"/>
  <c r="N182" i="4"/>
  <c r="O182" i="4" s="1"/>
  <c r="P182" i="4" s="1"/>
  <c r="N216" i="4"/>
  <c r="O216" i="4" s="1"/>
  <c r="P216" i="4" s="1"/>
  <c r="P447" i="4"/>
  <c r="Q447" i="4" s="1"/>
  <c r="Q216" i="4" l="1"/>
  <c r="Q223" i="4"/>
  <c r="Q222" i="4"/>
  <c r="Q182" i="4"/>
  <c r="Q33" i="4"/>
  <c r="Q198" i="4"/>
  <c r="Q221" i="4"/>
  <c r="I396" i="4"/>
  <c r="I401" i="4" s="1"/>
  <c r="H406" i="4"/>
  <c r="G74" i="5" l="1"/>
  <c r="D95" i="5" l="1"/>
  <c r="O341" i="4" l="1"/>
  <c r="N178" i="4" l="1"/>
  <c r="O178" i="4" s="1"/>
  <c r="P178" i="4" s="1"/>
  <c r="N177" i="4"/>
  <c r="O177" i="4" s="1"/>
  <c r="P177" i="4" s="1"/>
  <c r="N176" i="4"/>
  <c r="O176" i="4" s="1"/>
  <c r="P176" i="4" s="1"/>
  <c r="N218" i="4"/>
  <c r="O218" i="4" s="1"/>
  <c r="P218" i="4" s="1"/>
  <c r="Q176" i="4" l="1"/>
  <c r="Q177" i="4"/>
  <c r="Q178" i="4"/>
  <c r="Q218" i="4"/>
  <c r="Q57" i="4"/>
  <c r="O19" i="4"/>
  <c r="P19" i="4" s="1"/>
  <c r="N142" i="4"/>
  <c r="O142" i="4" s="1"/>
  <c r="P142" i="4" s="1"/>
  <c r="O385" i="4"/>
  <c r="P385" i="4" s="1"/>
  <c r="O386" i="4"/>
  <c r="P386" i="4" s="1"/>
  <c r="Q142" i="4" l="1"/>
  <c r="Q19" i="4"/>
  <c r="N72" i="4"/>
  <c r="O72" i="4" s="1"/>
  <c r="P72" i="4" s="1"/>
  <c r="O13" i="4"/>
  <c r="P13" i="4" s="1"/>
  <c r="N71" i="4"/>
  <c r="O71" i="4" s="1"/>
  <c r="P71" i="4" s="1"/>
  <c r="N73" i="4"/>
  <c r="O73" i="4" s="1"/>
  <c r="P73" i="4" s="1"/>
  <c r="N208" i="4"/>
  <c r="O208" i="4" s="1"/>
  <c r="P208" i="4" s="1"/>
  <c r="N207" i="4"/>
  <c r="O207" i="4" s="1"/>
  <c r="P207" i="4" s="1"/>
  <c r="Q13" i="4" l="1"/>
  <c r="Q207" i="4"/>
  <c r="Q73" i="4"/>
  <c r="Q208" i="4"/>
  <c r="Q72" i="4"/>
  <c r="Q71" i="4"/>
  <c r="O459" i="4" l="1"/>
  <c r="I121" i="33"/>
  <c r="G80" i="5" l="1"/>
  <c r="G78" i="5"/>
  <c r="G77" i="5"/>
  <c r="G84" i="5" l="1"/>
  <c r="G86" i="5" s="1"/>
  <c r="L106" i="5" l="1"/>
  <c r="K106" i="5" s="1"/>
  <c r="N112" i="5" s="1"/>
  <c r="H112" i="5" s="1"/>
  <c r="P343" i="4" l="1"/>
  <c r="Q343" i="4" s="1"/>
  <c r="P341" i="4"/>
  <c r="Q341" i="4" s="1"/>
  <c r="N67" i="4"/>
  <c r="O67" i="4" s="1"/>
  <c r="P67" i="4" s="1"/>
  <c r="Q67" i="4" l="1"/>
  <c r="N191" i="4"/>
  <c r="O191" i="4" s="1"/>
  <c r="P191" i="4" s="1"/>
  <c r="Q459" i="4"/>
  <c r="Q191" i="4" l="1"/>
  <c r="N133" i="4" l="1"/>
  <c r="O133" i="4" s="1"/>
  <c r="P133" i="4" l="1"/>
  <c r="Q133" i="4" s="1"/>
  <c r="I138" i="33"/>
  <c r="I140" i="33"/>
  <c r="I139" i="33"/>
  <c r="G138" i="33"/>
  <c r="G140" i="33"/>
  <c r="G139" i="33"/>
  <c r="M91" i="33"/>
  <c r="M88" i="33"/>
  <c r="M116" i="33"/>
  <c r="M115" i="33"/>
  <c r="M114" i="33"/>
  <c r="M113" i="33"/>
  <c r="M112" i="33"/>
  <c r="M111" i="33"/>
  <c r="M110" i="33"/>
  <c r="M109" i="33"/>
  <c r="M108" i="33"/>
  <c r="M107" i="33"/>
  <c r="M106" i="33"/>
  <c r="M105" i="33"/>
  <c r="M104" i="33"/>
  <c r="M103" i="33"/>
  <c r="M102" i="33"/>
  <c r="M101" i="33"/>
  <c r="M100" i="33"/>
  <c r="M99" i="33"/>
  <c r="M98" i="33"/>
  <c r="M97" i="33"/>
  <c r="M96" i="33"/>
  <c r="M95" i="33"/>
  <c r="I141" i="33" l="1"/>
  <c r="G141" i="33"/>
  <c r="E121" i="33"/>
  <c r="M53" i="33"/>
  <c r="K22" i="33"/>
  <c r="I22" i="33"/>
  <c r="I24" i="33" s="1"/>
  <c r="K24" i="33" l="1"/>
  <c r="M22" i="33"/>
  <c r="M79" i="33" s="1"/>
  <c r="E141" i="33"/>
  <c r="K141" i="33"/>
  <c r="M141" i="33"/>
  <c r="C71" i="33"/>
  <c r="C74" i="33"/>
  <c r="C73" i="33"/>
  <c r="C72" i="33"/>
  <c r="M64" i="33"/>
  <c r="M24" i="33" l="1"/>
  <c r="K8" i="33"/>
  <c r="I8" i="33"/>
  <c r="K7" i="33"/>
  <c r="I7" i="33"/>
  <c r="M7" i="33" l="1"/>
  <c r="M71" i="33" s="1"/>
  <c r="M8" i="33"/>
  <c r="M72" i="33" s="1"/>
  <c r="M10" i="33"/>
  <c r="M74" i="33" s="1"/>
  <c r="M68" i="33"/>
  <c r="D45" i="5" l="1"/>
  <c r="N270" i="4" l="1"/>
  <c r="O270" i="4" s="1"/>
  <c r="P270" i="4" s="1"/>
  <c r="N151" i="4"/>
  <c r="O151" i="4" s="1"/>
  <c r="P151" i="4" s="1"/>
  <c r="Q151" i="4" l="1"/>
  <c r="Q270" i="4"/>
  <c r="N143" i="4"/>
  <c r="O143" i="4" s="1"/>
  <c r="P143" i="4" s="1"/>
  <c r="Q143" i="4" l="1"/>
  <c r="Q55" i="4" l="1"/>
  <c r="O338" i="4"/>
  <c r="M296" i="4"/>
  <c r="N296" i="4"/>
  <c r="N306" i="4"/>
  <c r="M306" i="4"/>
  <c r="N400" i="4"/>
  <c r="M400" i="4"/>
  <c r="L400" i="4"/>
  <c r="K400" i="4"/>
  <c r="H404" i="4"/>
  <c r="N409" i="4"/>
  <c r="M409" i="4"/>
  <c r="L409" i="4"/>
  <c r="K409" i="4"/>
  <c r="N453" i="4"/>
  <c r="M453" i="4"/>
  <c r="L453" i="4"/>
  <c r="K453" i="4"/>
  <c r="N454" i="4"/>
  <c r="M454" i="4"/>
  <c r="L454" i="4"/>
  <c r="K454" i="4"/>
  <c r="H463" i="4"/>
  <c r="I409" i="4"/>
  <c r="I406" i="4"/>
  <c r="I393" i="4"/>
  <c r="I394" i="4"/>
  <c r="J2" i="4"/>
  <c r="O346" i="4"/>
  <c r="O355" i="4"/>
  <c r="O405" i="4"/>
  <c r="P405" i="4" s="1"/>
  <c r="Q405" i="4" s="1"/>
  <c r="P298" i="4"/>
  <c r="Q298" i="4" s="1"/>
  <c r="O314" i="4"/>
  <c r="P314" i="4" s="1"/>
  <c r="Q314" i="4" s="1"/>
  <c r="O317" i="4"/>
  <c r="O319" i="4"/>
  <c r="O320" i="4"/>
  <c r="O322" i="4"/>
  <c r="O325" i="4"/>
  <c r="O326" i="4"/>
  <c r="O329" i="4"/>
  <c r="O330" i="4"/>
  <c r="O333" i="4"/>
  <c r="O334" i="4"/>
  <c r="O337" i="4"/>
  <c r="O339" i="4"/>
  <c r="O340" i="4"/>
  <c r="O344" i="4"/>
  <c r="O345" i="4"/>
  <c r="O348" i="4"/>
  <c r="O357" i="4"/>
  <c r="O365" i="4"/>
  <c r="P365" i="4" s="1"/>
  <c r="Q365" i="4" s="1"/>
  <c r="O374" i="4"/>
  <c r="O376" i="4"/>
  <c r="O389" i="4"/>
  <c r="O379" i="4"/>
  <c r="P379" i="4" s="1"/>
  <c r="O381" i="4"/>
  <c r="P381" i="4" s="1"/>
  <c r="O377" i="4"/>
  <c r="P377" i="4" s="1"/>
  <c r="Q386" i="4"/>
  <c r="O388" i="4"/>
  <c r="P388" i="4" s="1"/>
  <c r="O382" i="4"/>
  <c r="P382" i="4" s="1"/>
  <c r="O395" i="4"/>
  <c r="O399" i="4"/>
  <c r="O410" i="4"/>
  <c r="O411" i="4"/>
  <c r="P411" i="4" s="1"/>
  <c r="Q411" i="4" s="1"/>
  <c r="O420" i="4"/>
  <c r="P420" i="4" s="1"/>
  <c r="O421" i="4"/>
  <c r="P421" i="4" s="1"/>
  <c r="Q421" i="4" s="1"/>
  <c r="O422" i="4"/>
  <c r="P422" i="4" s="1"/>
  <c r="Q422" i="4" s="1"/>
  <c r="O423" i="4"/>
  <c r="P423" i="4" s="1"/>
  <c r="Q423" i="4" s="1"/>
  <c r="O424" i="4"/>
  <c r="P424" i="4" s="1"/>
  <c r="O425" i="4"/>
  <c r="P425" i="4" s="1"/>
  <c r="Q425" i="4" s="1"/>
  <c r="O426" i="4"/>
  <c r="P426" i="4" s="1"/>
  <c r="O427" i="4"/>
  <c r="O428" i="4"/>
  <c r="P428" i="4" s="1"/>
  <c r="O436" i="4"/>
  <c r="P436" i="4" s="1"/>
  <c r="Q436" i="4" s="1"/>
  <c r="O438" i="4"/>
  <c r="P438" i="4" s="1"/>
  <c r="Q438" i="4" s="1"/>
  <c r="O439" i="4"/>
  <c r="P439" i="4" s="1"/>
  <c r="Q439" i="4" s="1"/>
  <c r="O440" i="4"/>
  <c r="P440" i="4" s="1"/>
  <c r="Q440" i="4" s="1"/>
  <c r="O441" i="4"/>
  <c r="O442" i="4"/>
  <c r="P442" i="4" s="1"/>
  <c r="Q442" i="4" s="1"/>
  <c r="M313" i="4"/>
  <c r="M350" i="4" s="1"/>
  <c r="N313" i="4"/>
  <c r="N350" i="4" s="1"/>
  <c r="N349" i="4"/>
  <c r="M349" i="4"/>
  <c r="D84" i="5"/>
  <c r="J460" i="4"/>
  <c r="O460" i="4" s="1"/>
  <c r="H393" i="4"/>
  <c r="H394" i="4"/>
  <c r="H396" i="4"/>
  <c r="H409" i="4"/>
  <c r="N396" i="4"/>
  <c r="N401" i="4" s="1"/>
  <c r="N403" i="4"/>
  <c r="M396" i="4"/>
  <c r="M401" i="4" s="1"/>
  <c r="M403" i="4"/>
  <c r="L396" i="4"/>
  <c r="L401" i="4" s="1"/>
  <c r="L403" i="4"/>
  <c r="K396" i="4"/>
  <c r="K401" i="4" s="1"/>
  <c r="K403" i="4"/>
  <c r="N429" i="4"/>
  <c r="N430" i="4"/>
  <c r="N443" i="4"/>
  <c r="N444" i="4"/>
  <c r="N448" i="4"/>
  <c r="N451" i="4" s="1"/>
  <c r="M429" i="4"/>
  <c r="M430" i="4"/>
  <c r="M443" i="4"/>
  <c r="M444" i="4"/>
  <c r="M448" i="4"/>
  <c r="M451" i="4" s="1"/>
  <c r="L429" i="4"/>
  <c r="L430" i="4"/>
  <c r="L443" i="4"/>
  <c r="L444" i="4"/>
  <c r="L448" i="4"/>
  <c r="L451" i="4" s="1"/>
  <c r="K429" i="4"/>
  <c r="K430" i="4"/>
  <c r="K443" i="4"/>
  <c r="K444" i="4"/>
  <c r="K448" i="4"/>
  <c r="K451" i="4" s="1"/>
  <c r="J459" i="4"/>
  <c r="N418" i="4"/>
  <c r="M418" i="4"/>
  <c r="L418" i="4"/>
  <c r="K418" i="4"/>
  <c r="N356" i="4"/>
  <c r="N358" i="4"/>
  <c r="N362" i="4"/>
  <c r="N375" i="4"/>
  <c r="N391" i="4" s="1"/>
  <c r="N390" i="4"/>
  <c r="N393" i="4"/>
  <c r="N406" i="4"/>
  <c r="N412" i="4"/>
  <c r="N394" i="4"/>
  <c r="N416" i="4"/>
  <c r="N417" i="4"/>
  <c r="N457" i="4"/>
  <c r="N458" i="4"/>
  <c r="N459" i="4"/>
  <c r="M356" i="4"/>
  <c r="M358" i="4"/>
  <c r="M362" i="4"/>
  <c r="M375" i="4"/>
  <c r="M391" i="4" s="1"/>
  <c r="M390" i="4"/>
  <c r="M393" i="4"/>
  <c r="M406" i="4"/>
  <c r="M412" i="4"/>
  <c r="M394" i="4"/>
  <c r="M416" i="4"/>
  <c r="M417" i="4"/>
  <c r="M457" i="4"/>
  <c r="M458" i="4"/>
  <c r="M459" i="4"/>
  <c r="L406" i="4"/>
  <c r="L412" i="4"/>
  <c r="L416" i="4"/>
  <c r="L417" i="4"/>
  <c r="L457" i="4"/>
  <c r="L458" i="4"/>
  <c r="L459" i="4"/>
  <c r="K406" i="4"/>
  <c r="K412" i="4"/>
  <c r="K416" i="4"/>
  <c r="K417" i="4"/>
  <c r="K457" i="4"/>
  <c r="K458" i="4"/>
  <c r="K459" i="4"/>
  <c r="N461" i="4"/>
  <c r="M461" i="4"/>
  <c r="L461" i="4"/>
  <c r="K461" i="4"/>
  <c r="I461" i="4"/>
  <c r="N462" i="4"/>
  <c r="M462" i="4"/>
  <c r="L462" i="4"/>
  <c r="K462" i="4"/>
  <c r="I462" i="4"/>
  <c r="H462" i="4"/>
  <c r="N463" i="4"/>
  <c r="M463" i="4"/>
  <c r="L463" i="4"/>
  <c r="K463" i="4"/>
  <c r="I463" i="4"/>
  <c r="G73" i="7"/>
  <c r="G67" i="7"/>
  <c r="I67" i="7"/>
  <c r="H65" i="7"/>
  <c r="J65" i="7" s="1"/>
  <c r="H64" i="7"/>
  <c r="J64" i="7" s="1"/>
  <c r="C60" i="7"/>
  <c r="H464" i="4" l="1"/>
  <c r="I464" i="4"/>
  <c r="I465" i="4" s="1"/>
  <c r="I473" i="4" s="1"/>
  <c r="J45" i="4"/>
  <c r="H413" i="4"/>
  <c r="H401" i="4"/>
  <c r="O392" i="4"/>
  <c r="P392" i="4" s="1"/>
  <c r="P393" i="4" s="1"/>
  <c r="I413" i="4"/>
  <c r="O294" i="4"/>
  <c r="Q66" i="4"/>
  <c r="R69" i="4" s="1"/>
  <c r="N2" i="4"/>
  <c r="O2" i="4" s="1"/>
  <c r="P2" i="4" s="1"/>
  <c r="L455" i="4"/>
  <c r="N455" i="4"/>
  <c r="K455" i="4"/>
  <c r="M455" i="4"/>
  <c r="P427" i="4"/>
  <c r="O452" i="4"/>
  <c r="P452" i="4" s="1"/>
  <c r="P453" i="4" s="1"/>
  <c r="O43" i="4"/>
  <c r="P43" i="4" s="1"/>
  <c r="N85" i="4"/>
  <c r="O85" i="4" s="1"/>
  <c r="P85" i="4" s="1"/>
  <c r="O37" i="4"/>
  <c r="P37" i="4" s="1"/>
  <c r="O18" i="4"/>
  <c r="P18" i="4" s="1"/>
  <c r="O10" i="4"/>
  <c r="P10" i="4" s="1"/>
  <c r="N86" i="4"/>
  <c r="O86" i="4" s="1"/>
  <c r="P86" i="4" s="1"/>
  <c r="N84" i="4"/>
  <c r="O84" i="4" s="1"/>
  <c r="P84" i="4" s="1"/>
  <c r="N76" i="4"/>
  <c r="O76" i="4" s="1"/>
  <c r="P76" i="4" s="1"/>
  <c r="N46" i="4"/>
  <c r="O46" i="4" s="1"/>
  <c r="O63" i="4" s="1"/>
  <c r="O35" i="4"/>
  <c r="P35" i="4" s="1"/>
  <c r="O16" i="4"/>
  <c r="P16" i="4" s="1"/>
  <c r="O9" i="4"/>
  <c r="P9" i="4" s="1"/>
  <c r="N117" i="4"/>
  <c r="O117" i="4" s="1"/>
  <c r="P117" i="4" s="1"/>
  <c r="N83" i="4"/>
  <c r="O83" i="4" s="1"/>
  <c r="P83" i="4" s="1"/>
  <c r="N75" i="4"/>
  <c r="O75" i="4" s="1"/>
  <c r="P75" i="4" s="1"/>
  <c r="O30" i="4"/>
  <c r="P30" i="4" s="1"/>
  <c r="O15" i="4"/>
  <c r="P15" i="4" s="1"/>
  <c r="N112" i="4"/>
  <c r="O112" i="4" s="1"/>
  <c r="Q290" i="4"/>
  <c r="N116" i="4"/>
  <c r="O116" i="4" s="1"/>
  <c r="P116" i="4" s="1"/>
  <c r="N82" i="4"/>
  <c r="O82" i="4" s="1"/>
  <c r="P82" i="4" s="1"/>
  <c r="O14" i="4"/>
  <c r="P14" i="4" s="1"/>
  <c r="O6" i="4"/>
  <c r="P6" i="4" s="1"/>
  <c r="O20" i="4"/>
  <c r="P20" i="4" s="1"/>
  <c r="O17" i="4"/>
  <c r="P17" i="4" s="1"/>
  <c r="N119" i="4"/>
  <c r="O119" i="4" s="1"/>
  <c r="P119" i="4" s="1"/>
  <c r="N115" i="4"/>
  <c r="O115" i="4" s="1"/>
  <c r="P115" i="4" s="1"/>
  <c r="N81" i="4"/>
  <c r="O81" i="4" s="1"/>
  <c r="P81" i="4" s="1"/>
  <c r="O25" i="4"/>
  <c r="P25" i="4" s="1"/>
  <c r="O31" i="4"/>
  <c r="P31" i="4" s="1"/>
  <c r="N78" i="4"/>
  <c r="O78" i="4" s="1"/>
  <c r="P78" i="4" s="1"/>
  <c r="N113" i="4"/>
  <c r="O113" i="4" s="1"/>
  <c r="P113" i="4" s="1"/>
  <c r="N80" i="4"/>
  <c r="O80" i="4" s="1"/>
  <c r="P80" i="4" s="1"/>
  <c r="O24" i="4"/>
  <c r="P24" i="4" s="1"/>
  <c r="O12" i="4"/>
  <c r="P12" i="4" s="1"/>
  <c r="N87" i="4"/>
  <c r="O87" i="4" s="1"/>
  <c r="P87" i="4" s="1"/>
  <c r="N79" i="4"/>
  <c r="O79" i="4" s="1"/>
  <c r="P79" i="4" s="1"/>
  <c r="N152" i="4"/>
  <c r="O152" i="4" s="1"/>
  <c r="P152" i="4" s="1"/>
  <c r="N269" i="4"/>
  <c r="O269" i="4" s="1"/>
  <c r="P269" i="4" s="1"/>
  <c r="N215" i="4"/>
  <c r="O215" i="4" s="1"/>
  <c r="P215" i="4" s="1"/>
  <c r="N189" i="4"/>
  <c r="O189" i="4" s="1"/>
  <c r="P189" i="4" s="1"/>
  <c r="N154" i="4"/>
  <c r="O154" i="4" s="1"/>
  <c r="P154" i="4" s="1"/>
  <c r="O3" i="4"/>
  <c r="P3" i="4" s="1"/>
  <c r="N238" i="4"/>
  <c r="O238" i="4" s="1"/>
  <c r="P238" i="4" s="1"/>
  <c r="N188" i="4"/>
  <c r="O188" i="4" s="1"/>
  <c r="P188" i="4" s="1"/>
  <c r="N277" i="4"/>
  <c r="O277" i="4" s="1"/>
  <c r="P277" i="4" s="1"/>
  <c r="N246" i="4"/>
  <c r="O246" i="4" s="1"/>
  <c r="P246" i="4" s="1"/>
  <c r="N199" i="4"/>
  <c r="O199" i="4" s="1"/>
  <c r="P199" i="4" s="1"/>
  <c r="N131" i="4"/>
  <c r="O131" i="4" s="1"/>
  <c r="P131" i="4" s="1"/>
  <c r="N284" i="4"/>
  <c r="O284" i="4" s="1"/>
  <c r="P284" i="4" s="1"/>
  <c r="N276" i="4"/>
  <c r="O276" i="4" s="1"/>
  <c r="P276" i="4" s="1"/>
  <c r="N266" i="4"/>
  <c r="O266" i="4" s="1"/>
  <c r="P266" i="4" s="1"/>
  <c r="N245" i="4"/>
  <c r="O245" i="4" s="1"/>
  <c r="P245" i="4" s="1"/>
  <c r="N236" i="4"/>
  <c r="O236" i="4" s="1"/>
  <c r="P236" i="4" s="1"/>
  <c r="N212" i="4"/>
  <c r="O212" i="4" s="1"/>
  <c r="P212" i="4" s="1"/>
  <c r="N196" i="4"/>
  <c r="O196" i="4" s="1"/>
  <c r="P196" i="4" s="1"/>
  <c r="N186" i="4"/>
  <c r="O186" i="4" s="1"/>
  <c r="P186" i="4" s="1"/>
  <c r="N174" i="4"/>
  <c r="O174" i="4" s="1"/>
  <c r="P174" i="4" s="1"/>
  <c r="N149" i="4"/>
  <c r="O149" i="4" s="1"/>
  <c r="P149" i="4" s="1"/>
  <c r="N77" i="4"/>
  <c r="O77" i="4" s="1"/>
  <c r="P77" i="4" s="1"/>
  <c r="N288" i="4"/>
  <c r="O288" i="4" s="1"/>
  <c r="P288" i="4" s="1"/>
  <c r="N180" i="4"/>
  <c r="O180" i="4" s="1"/>
  <c r="P180" i="4" s="1"/>
  <c r="N287" i="4"/>
  <c r="O287" i="4" s="1"/>
  <c r="P287" i="4" s="1"/>
  <c r="N267" i="4"/>
  <c r="O267" i="4" s="1"/>
  <c r="P267" i="4" s="1"/>
  <c r="N283" i="4"/>
  <c r="O283" i="4" s="1"/>
  <c r="P283" i="4" s="1"/>
  <c r="N275" i="4"/>
  <c r="O275" i="4" s="1"/>
  <c r="P275" i="4" s="1"/>
  <c r="N265" i="4"/>
  <c r="O265" i="4" s="1"/>
  <c r="P265" i="4" s="1"/>
  <c r="N244" i="4"/>
  <c r="O244" i="4" s="1"/>
  <c r="P244" i="4" s="1"/>
  <c r="N235" i="4"/>
  <c r="O235" i="4" s="1"/>
  <c r="P235" i="4" s="1"/>
  <c r="N211" i="4"/>
  <c r="O211" i="4" s="1"/>
  <c r="P211" i="4" s="1"/>
  <c r="N194" i="4"/>
  <c r="O194" i="4" s="1"/>
  <c r="P194" i="4" s="1"/>
  <c r="N185" i="4"/>
  <c r="O185" i="4" s="1"/>
  <c r="P185" i="4" s="1"/>
  <c r="N161" i="4"/>
  <c r="O161" i="4" s="1"/>
  <c r="P161" i="4" s="1"/>
  <c r="N147" i="4"/>
  <c r="O147" i="4" s="1"/>
  <c r="P147" i="4" s="1"/>
  <c r="N118" i="4"/>
  <c r="O118" i="4" s="1"/>
  <c r="P118" i="4" s="1"/>
  <c r="N171" i="4"/>
  <c r="O171" i="4" s="1"/>
  <c r="P171" i="4" s="1"/>
  <c r="N278" i="4"/>
  <c r="O278" i="4" s="1"/>
  <c r="P278" i="4" s="1"/>
  <c r="N213" i="4"/>
  <c r="O213" i="4" s="1"/>
  <c r="P213" i="4" s="1"/>
  <c r="N282" i="4"/>
  <c r="O282" i="4" s="1"/>
  <c r="P282" i="4" s="1"/>
  <c r="N274" i="4"/>
  <c r="O274" i="4" s="1"/>
  <c r="P274" i="4" s="1"/>
  <c r="N251" i="4"/>
  <c r="O251" i="4" s="1"/>
  <c r="P251" i="4" s="1"/>
  <c r="N243" i="4"/>
  <c r="O243" i="4" s="1"/>
  <c r="P243" i="4" s="1"/>
  <c r="N234" i="4"/>
  <c r="O234" i="4" s="1"/>
  <c r="P234" i="4" s="1"/>
  <c r="N210" i="4"/>
  <c r="O210" i="4" s="1"/>
  <c r="P210" i="4" s="1"/>
  <c r="N193" i="4"/>
  <c r="O193" i="4" s="1"/>
  <c r="P193" i="4" s="1"/>
  <c r="N184" i="4"/>
  <c r="O184" i="4" s="1"/>
  <c r="P184" i="4" s="1"/>
  <c r="N160" i="4"/>
  <c r="O160" i="4" s="1"/>
  <c r="P160" i="4" s="1"/>
  <c r="N146" i="4"/>
  <c r="O146" i="4" s="1"/>
  <c r="P146" i="4" s="1"/>
  <c r="O8" i="4"/>
  <c r="P8" i="4" s="1"/>
  <c r="N279" i="4"/>
  <c r="O279" i="4" s="1"/>
  <c r="P279" i="4" s="1"/>
  <c r="N239" i="4"/>
  <c r="O239" i="4" s="1"/>
  <c r="P239" i="4" s="1"/>
  <c r="N203" i="4"/>
  <c r="O203" i="4" s="1"/>
  <c r="P203" i="4" s="1"/>
  <c r="N136" i="4"/>
  <c r="O136" i="4" s="1"/>
  <c r="N247" i="4"/>
  <c r="O247" i="4" s="1"/>
  <c r="P247" i="4" s="1"/>
  <c r="N214" i="4"/>
  <c r="O214" i="4" s="1"/>
  <c r="P214" i="4" s="1"/>
  <c r="N179" i="4"/>
  <c r="O179" i="4" s="1"/>
  <c r="P179" i="4" s="1"/>
  <c r="N134" i="4"/>
  <c r="O134" i="4" s="1"/>
  <c r="N286" i="4"/>
  <c r="O286" i="4" s="1"/>
  <c r="P286" i="4" s="1"/>
  <c r="N237" i="4"/>
  <c r="O237" i="4" s="1"/>
  <c r="P237" i="4" s="1"/>
  <c r="N175" i="4"/>
  <c r="O175" i="4" s="1"/>
  <c r="P175" i="4" s="1"/>
  <c r="O11" i="4"/>
  <c r="P11" i="4" s="1"/>
  <c r="N281" i="4"/>
  <c r="O281" i="4" s="1"/>
  <c r="P281" i="4" s="1"/>
  <c r="N272" i="4"/>
  <c r="O272" i="4" s="1"/>
  <c r="P272" i="4" s="1"/>
  <c r="N250" i="4"/>
  <c r="O250" i="4" s="1"/>
  <c r="P250" i="4" s="1"/>
  <c r="N241" i="4"/>
  <c r="O241" i="4" s="1"/>
  <c r="P241" i="4" s="1"/>
  <c r="N233" i="4"/>
  <c r="O233" i="4" s="1"/>
  <c r="P233" i="4" s="1"/>
  <c r="N209" i="4"/>
  <c r="O209" i="4" s="1"/>
  <c r="P209" i="4" s="1"/>
  <c r="N192" i="4"/>
  <c r="O192" i="4" s="1"/>
  <c r="P192" i="4" s="1"/>
  <c r="N183" i="4"/>
  <c r="O183" i="4" s="1"/>
  <c r="P183" i="4" s="1"/>
  <c r="N159" i="4"/>
  <c r="O159" i="4" s="1"/>
  <c r="P159" i="4" s="1"/>
  <c r="N145" i="4"/>
  <c r="O145" i="4" s="1"/>
  <c r="P145" i="4" s="1"/>
  <c r="O29" i="4"/>
  <c r="P29" i="4" s="1"/>
  <c r="N172" i="4"/>
  <c r="O172" i="4" s="1"/>
  <c r="P172" i="4" s="1"/>
  <c r="N173" i="4"/>
  <c r="O173" i="4" s="1"/>
  <c r="P173" i="4" s="1"/>
  <c r="N248" i="4"/>
  <c r="O248" i="4" s="1"/>
  <c r="P248" i="4" s="1"/>
  <c r="N268" i="4"/>
  <c r="O268" i="4" s="1"/>
  <c r="P268" i="4" s="1"/>
  <c r="N202" i="4"/>
  <c r="O202" i="4" s="1"/>
  <c r="P202" i="4" s="1"/>
  <c r="N153" i="4"/>
  <c r="O153" i="4" s="1"/>
  <c r="P153" i="4" s="1"/>
  <c r="O23" i="4"/>
  <c r="P23" i="4" s="1"/>
  <c r="N187" i="4"/>
  <c r="O187" i="4" s="1"/>
  <c r="P187" i="4" s="1"/>
  <c r="N289" i="4"/>
  <c r="O289" i="4" s="1"/>
  <c r="P289" i="4" s="1"/>
  <c r="N280" i="4"/>
  <c r="O280" i="4" s="1"/>
  <c r="P280" i="4" s="1"/>
  <c r="N271" i="4"/>
  <c r="O271" i="4" s="1"/>
  <c r="P271" i="4" s="1"/>
  <c r="N249" i="4"/>
  <c r="O249" i="4" s="1"/>
  <c r="P249" i="4" s="1"/>
  <c r="N240" i="4"/>
  <c r="O240" i="4" s="1"/>
  <c r="P240" i="4" s="1"/>
  <c r="N232" i="4"/>
  <c r="O232" i="4" s="1"/>
  <c r="P232" i="4" s="1"/>
  <c r="N204" i="4"/>
  <c r="O204" i="4" s="1"/>
  <c r="P204" i="4" s="1"/>
  <c r="N190" i="4"/>
  <c r="O190" i="4" s="1"/>
  <c r="P190" i="4" s="1"/>
  <c r="N181" i="4"/>
  <c r="O181" i="4" s="1"/>
  <c r="P181" i="4" s="1"/>
  <c r="N157" i="4"/>
  <c r="O157" i="4" s="1"/>
  <c r="P157" i="4" s="1"/>
  <c r="N140" i="4"/>
  <c r="O140" i="4" s="1"/>
  <c r="P140" i="4" s="1"/>
  <c r="O380" i="4"/>
  <c r="P380" i="4" s="1"/>
  <c r="P389" i="4"/>
  <c r="Q389" i="4" s="1"/>
  <c r="O378" i="4"/>
  <c r="P378" i="4" s="1"/>
  <c r="D86" i="5"/>
  <c r="O445" i="4"/>
  <c r="P445" i="4" s="1"/>
  <c r="O419" i="4"/>
  <c r="O429" i="4" s="1"/>
  <c r="O312" i="4"/>
  <c r="O313" i="4" s="1"/>
  <c r="O463" i="4"/>
  <c r="P441" i="4"/>
  <c r="Q441" i="4" s="1"/>
  <c r="P357" i="4"/>
  <c r="Q357" i="4" s="1"/>
  <c r="Q358" i="4" s="1"/>
  <c r="D47" i="5" s="1"/>
  <c r="P348" i="4"/>
  <c r="Q348" i="4" s="1"/>
  <c r="O4" i="4"/>
  <c r="P4" i="4" s="1"/>
  <c r="M373" i="4"/>
  <c r="N373" i="4"/>
  <c r="O364" i="4"/>
  <c r="P364" i="4" s="1"/>
  <c r="O435" i="4"/>
  <c r="P435" i="4" s="1"/>
  <c r="O437" i="4"/>
  <c r="M135" i="4"/>
  <c r="H67" i="7"/>
  <c r="J67" i="7" s="1"/>
  <c r="M45" i="4"/>
  <c r="O347" i="4"/>
  <c r="O335" i="4"/>
  <c r="P335" i="4" s="1"/>
  <c r="Q335" i="4" s="1"/>
  <c r="O331" i="4"/>
  <c r="P331" i="4" s="1"/>
  <c r="Q331" i="4" s="1"/>
  <c r="O327" i="4"/>
  <c r="P327" i="4" s="1"/>
  <c r="Q327" i="4" s="1"/>
  <c r="O323" i="4"/>
  <c r="P323" i="4" s="1"/>
  <c r="Q323" i="4" s="1"/>
  <c r="O321" i="4"/>
  <c r="P321" i="4" s="1"/>
  <c r="Q321" i="4" s="1"/>
  <c r="O315" i="4"/>
  <c r="P315" i="4" s="1"/>
  <c r="Q315" i="4" s="1"/>
  <c r="O400" i="4"/>
  <c r="O336" i="4"/>
  <c r="P336" i="4" s="1"/>
  <c r="Q336" i="4" s="1"/>
  <c r="O332" i="4"/>
  <c r="P332" i="4" s="1"/>
  <c r="Q332" i="4" s="1"/>
  <c r="O328" i="4"/>
  <c r="P328" i="4" s="1"/>
  <c r="Q328" i="4" s="1"/>
  <c r="O324" i="4"/>
  <c r="P324" i="4" s="1"/>
  <c r="Q324" i="4" s="1"/>
  <c r="O318" i="4"/>
  <c r="P318" i="4" s="1"/>
  <c r="Q318" i="4" s="1"/>
  <c r="O316" i="4"/>
  <c r="P316" i="4" s="1"/>
  <c r="P303" i="4"/>
  <c r="Q303" i="4" s="1"/>
  <c r="P299" i="4"/>
  <c r="Q299" i="4" s="1"/>
  <c r="O352" i="4"/>
  <c r="P352" i="4" s="1"/>
  <c r="Q352" i="4" s="1"/>
  <c r="D43" i="5" s="1"/>
  <c r="G125" i="33"/>
  <c r="M311" i="4"/>
  <c r="Q377" i="4"/>
  <c r="O351" i="4"/>
  <c r="P340" i="4"/>
  <c r="Q340" i="4" s="1"/>
  <c r="M291" i="4"/>
  <c r="P355" i="4"/>
  <c r="Q355" i="4" s="1"/>
  <c r="M63" i="4"/>
  <c r="J457" i="4"/>
  <c r="J462" i="4"/>
  <c r="N311" i="4"/>
  <c r="M132" i="4"/>
  <c r="Q206" i="4"/>
  <c r="N413" i="4"/>
  <c r="M111" i="4"/>
  <c r="O297" i="4"/>
  <c r="P297" i="4" s="1"/>
  <c r="Q297" i="4" s="1"/>
  <c r="I311" i="4"/>
  <c r="H311" i="4"/>
  <c r="O412" i="4"/>
  <c r="P410" i="4"/>
  <c r="Q410" i="4" s="1"/>
  <c r="Q412" i="4" s="1"/>
  <c r="D66" i="5" s="1"/>
  <c r="O406" i="4"/>
  <c r="O358" i="4"/>
  <c r="P320" i="4"/>
  <c r="Q320" i="4" s="1"/>
  <c r="P374" i="4"/>
  <c r="P375" i="4" s="1"/>
  <c r="O375" i="4"/>
  <c r="Q428" i="4"/>
  <c r="Q426" i="4"/>
  <c r="Q424" i="4"/>
  <c r="Q382" i="4"/>
  <c r="Q420" i="4"/>
  <c r="P395" i="4"/>
  <c r="Q395" i="4" s="1"/>
  <c r="O396" i="4"/>
  <c r="P319" i="4"/>
  <c r="Q319" i="4" s="1"/>
  <c r="L413" i="4"/>
  <c r="J463" i="4"/>
  <c r="K413" i="4"/>
  <c r="M413" i="4"/>
  <c r="J458" i="4"/>
  <c r="O461" i="4"/>
  <c r="P460" i="4"/>
  <c r="P463" i="4" s="1"/>
  <c r="O462" i="4"/>
  <c r="O416" i="4"/>
  <c r="O418" i="4"/>
  <c r="P415" i="4"/>
  <c r="Q415" i="4" s="1"/>
  <c r="O417" i="4"/>
  <c r="Q388" i="4"/>
  <c r="D60" i="5" s="1"/>
  <c r="Q379" i="4"/>
  <c r="D55" i="5" s="1"/>
  <c r="O362" i="4"/>
  <c r="P345" i="4"/>
  <c r="Q345" i="4" s="1"/>
  <c r="P339" i="4"/>
  <c r="Q339" i="4" s="1"/>
  <c r="P334" i="4"/>
  <c r="Q334" i="4" s="1"/>
  <c r="P330" i="4"/>
  <c r="Q330" i="4" s="1"/>
  <c r="P326" i="4"/>
  <c r="Q326" i="4" s="1"/>
  <c r="P322" i="4"/>
  <c r="Q322" i="4" s="1"/>
  <c r="Q381" i="4"/>
  <c r="P376" i="4"/>
  <c r="O458" i="4"/>
  <c r="O457" i="4"/>
  <c r="P344" i="4"/>
  <c r="Q344" i="4" s="1"/>
  <c r="P337" i="4"/>
  <c r="Q337" i="4" s="1"/>
  <c r="P333" i="4"/>
  <c r="Q333" i="4" s="1"/>
  <c r="P329" i="4"/>
  <c r="Q329" i="4" s="1"/>
  <c r="P325" i="4"/>
  <c r="Q325" i="4" s="1"/>
  <c r="P346" i="4"/>
  <c r="Q346" i="4" s="1"/>
  <c r="J461" i="4"/>
  <c r="O407" i="4"/>
  <c r="O402" i="4"/>
  <c r="O404" i="4" s="1"/>
  <c r="P317" i="4"/>
  <c r="P338" i="4"/>
  <c r="Q338" i="4" s="1"/>
  <c r="R388" i="4" l="1"/>
  <c r="K43" i="5"/>
  <c r="M292" i="4"/>
  <c r="I414" i="4"/>
  <c r="H465" i="4"/>
  <c r="H473" i="4" s="1"/>
  <c r="J292" i="4"/>
  <c r="J293" i="4"/>
  <c r="H414" i="4"/>
  <c r="O394" i="4"/>
  <c r="O393" i="4"/>
  <c r="O454" i="4"/>
  <c r="P454" i="4"/>
  <c r="O453" i="4"/>
  <c r="Q452" i="4"/>
  <c r="Q454" i="4" s="1"/>
  <c r="Q427" i="4"/>
  <c r="J78" i="5"/>
  <c r="J86" i="5" s="1"/>
  <c r="Q159" i="4"/>
  <c r="Q185" i="4"/>
  <c r="Q52" i="4"/>
  <c r="Q183" i="4"/>
  <c r="Q160" i="4"/>
  <c r="Q199" i="4"/>
  <c r="Q215" i="4"/>
  <c r="Q80" i="4"/>
  <c r="Q76" i="4"/>
  <c r="Q281" i="4"/>
  <c r="Q189" i="4"/>
  <c r="Q4" i="4"/>
  <c r="Q192" i="4"/>
  <c r="Q184" i="4"/>
  <c r="Q269" i="4"/>
  <c r="Q17" i="4"/>
  <c r="Q16" i="4"/>
  <c r="Q179" i="4"/>
  <c r="Q131" i="4"/>
  <c r="Q240" i="4"/>
  <c r="Q287" i="4"/>
  <c r="Q249" i="4"/>
  <c r="Q247" i="4"/>
  <c r="Q140" i="4"/>
  <c r="Q271" i="4"/>
  <c r="Q209" i="4"/>
  <c r="Q61" i="4"/>
  <c r="P136" i="4"/>
  <c r="Q193" i="4"/>
  <c r="Q278" i="4"/>
  <c r="Q235" i="4"/>
  <c r="Q288" i="4"/>
  <c r="Q236" i="4"/>
  <c r="Q277" i="4"/>
  <c r="Q152" i="4"/>
  <c r="Q20" i="4"/>
  <c r="Q82" i="4"/>
  <c r="Q274" i="4"/>
  <c r="Q202" i="4"/>
  <c r="Q194" i="4"/>
  <c r="Q11" i="4"/>
  <c r="Q173" i="4"/>
  <c r="Q175" i="4"/>
  <c r="Q203" i="4"/>
  <c r="Q210" i="4"/>
  <c r="Q171" i="4"/>
  <c r="Q244" i="4"/>
  <c r="Q77" i="4"/>
  <c r="Q245" i="4"/>
  <c r="Q188" i="4"/>
  <c r="Q49" i="4"/>
  <c r="Q25" i="4"/>
  <c r="Q48" i="4"/>
  <c r="Q232" i="4"/>
  <c r="Q186" i="4"/>
  <c r="Q180" i="4"/>
  <c r="Q172" i="4"/>
  <c r="Q234" i="4"/>
  <c r="Q265" i="4"/>
  <c r="Q79" i="4"/>
  <c r="Q6" i="4"/>
  <c r="Q117" i="4"/>
  <c r="Q86" i="4"/>
  <c r="Q47" i="4"/>
  <c r="Q153" i="4"/>
  <c r="Q267" i="4"/>
  <c r="Q196" i="4"/>
  <c r="Q213" i="4"/>
  <c r="Q118" i="4"/>
  <c r="Q266" i="4"/>
  <c r="Q187" i="4"/>
  <c r="Q29" i="4"/>
  <c r="Q250" i="4"/>
  <c r="Q286" i="4"/>
  <c r="Q147" i="4"/>
  <c r="Q275" i="4"/>
  <c r="Q30" i="4"/>
  <c r="Q146" i="4"/>
  <c r="Q78" i="4"/>
  <c r="Q282" i="4"/>
  <c r="Q268" i="4"/>
  <c r="Q212" i="4"/>
  <c r="Q204" i="4"/>
  <c r="Q23" i="4"/>
  <c r="Q145" i="4"/>
  <c r="Q272" i="4"/>
  <c r="P134" i="4"/>
  <c r="Q134" i="4" s="1"/>
  <c r="Q8" i="4"/>
  <c r="Q161" i="4"/>
  <c r="Q283" i="4"/>
  <c r="Q154" i="4"/>
  <c r="Q62" i="4"/>
  <c r="Q3" i="4"/>
  <c r="Q157" i="4"/>
  <c r="Q280" i="4"/>
  <c r="Q243" i="4"/>
  <c r="Q149" i="4"/>
  <c r="Q276" i="4"/>
  <c r="P112" i="4"/>
  <c r="Q112" i="4" s="1"/>
  <c r="Q87" i="4"/>
  <c r="Q238" i="4"/>
  <c r="Q248" i="4"/>
  <c r="Q246" i="4"/>
  <c r="Q190" i="4"/>
  <c r="Q119" i="4"/>
  <c r="Q116" i="4"/>
  <c r="Q241" i="4"/>
  <c r="Q53" i="4"/>
  <c r="Q35" i="4"/>
  <c r="Q84" i="4"/>
  <c r="Q10" i="4"/>
  <c r="Q58" i="4"/>
  <c r="Q12" i="4"/>
  <c r="Q51" i="4"/>
  <c r="Q14" i="4"/>
  <c r="Q174" i="4"/>
  <c r="Q24" i="4"/>
  <c r="Q31" i="4"/>
  <c r="Q81" i="4"/>
  <c r="Q43" i="4"/>
  <c r="Q237" i="4"/>
  <c r="Q279" i="4"/>
  <c r="Q75" i="4"/>
  <c r="P46" i="4"/>
  <c r="Q46" i="4" s="1"/>
  <c r="Q18" i="4"/>
  <c r="Q113" i="4"/>
  <c r="Q181" i="4"/>
  <c r="Q233" i="4"/>
  <c r="Q251" i="4"/>
  <c r="Q284" i="4"/>
  <c r="Q50" i="4"/>
  <c r="Q115" i="4"/>
  <c r="Q85" i="4"/>
  <c r="Q2" i="4"/>
  <c r="Q214" i="4"/>
  <c r="Q211" i="4"/>
  <c r="Q15" i="4"/>
  <c r="Q83" i="4"/>
  <c r="Q9" i="4"/>
  <c r="Q56" i="4"/>
  <c r="Q37" i="4"/>
  <c r="Q239" i="4"/>
  <c r="Q289" i="4"/>
  <c r="O390" i="4"/>
  <c r="O391" i="4"/>
  <c r="Q378" i="4"/>
  <c r="D58" i="5" s="1"/>
  <c r="Q380" i="4"/>
  <c r="D25" i="5"/>
  <c r="Q363" i="4"/>
  <c r="O430" i="4"/>
  <c r="P419" i="4"/>
  <c r="P429" i="4" s="1"/>
  <c r="Q460" i="4"/>
  <c r="N45" i="4"/>
  <c r="N132" i="4"/>
  <c r="O308" i="4" s="1"/>
  <c r="N63" i="4"/>
  <c r="O307" i="4" s="1"/>
  <c r="P362" i="4"/>
  <c r="P347" i="4"/>
  <c r="Q347" i="4" s="1"/>
  <c r="D41" i="5" s="1"/>
  <c r="P312" i="4"/>
  <c r="O372" i="4"/>
  <c r="O443" i="4"/>
  <c r="O444" i="4"/>
  <c r="P437" i="4"/>
  <c r="Q437" i="4" s="1"/>
  <c r="N135" i="4"/>
  <c r="O309" i="4" s="1"/>
  <c r="P294" i="4"/>
  <c r="Q294" i="4" s="1"/>
  <c r="P399" i="4"/>
  <c r="P400" i="4" s="1"/>
  <c r="L414" i="4"/>
  <c r="L464" i="4" s="1"/>
  <c r="M414" i="4"/>
  <c r="N414" i="4"/>
  <c r="K414" i="4"/>
  <c r="K465" i="4" s="1"/>
  <c r="P358" i="4"/>
  <c r="O356" i="4"/>
  <c r="O373" i="4" s="1"/>
  <c r="P396" i="4"/>
  <c r="P351" i="4"/>
  <c r="O448" i="4"/>
  <c r="O451" i="4" s="1"/>
  <c r="O350" i="4"/>
  <c r="O349" i="4"/>
  <c r="O401" i="4"/>
  <c r="Q316" i="4"/>
  <c r="Q392" i="4"/>
  <c r="Q393" i="4" s="1"/>
  <c r="D54" i="5"/>
  <c r="Q385" i="4"/>
  <c r="D59" i="5" s="1"/>
  <c r="Q374" i="4"/>
  <c r="P394" i="4"/>
  <c r="M293" i="4"/>
  <c r="Q435" i="4"/>
  <c r="P412" i="4"/>
  <c r="P390" i="4"/>
  <c r="N111" i="4"/>
  <c r="Q445" i="4"/>
  <c r="P402" i="4"/>
  <c r="O403" i="4"/>
  <c r="O409" i="4"/>
  <c r="O413" i="4" s="1"/>
  <c r="P407" i="4"/>
  <c r="P409" i="4" s="1"/>
  <c r="P406" i="4"/>
  <c r="P457" i="4"/>
  <c r="P459" i="4"/>
  <c r="P458" i="4"/>
  <c r="Q416" i="4"/>
  <c r="Q418" i="4"/>
  <c r="Q417" i="4"/>
  <c r="P417" i="4"/>
  <c r="P416" i="4"/>
  <c r="P418" i="4"/>
  <c r="P462" i="4"/>
  <c r="P461" i="4"/>
  <c r="N291" i="4"/>
  <c r="O310" i="4" s="1"/>
  <c r="Q317" i="4"/>
  <c r="Q376" i="4"/>
  <c r="R384" i="4" s="1"/>
  <c r="Q406" i="4"/>
  <c r="Q396" i="4"/>
  <c r="P391" i="4"/>
  <c r="R341" i="4" l="1"/>
  <c r="D57" i="5"/>
  <c r="R381" i="4"/>
  <c r="R348" i="4"/>
  <c r="D40" i="5"/>
  <c r="Q136" i="4"/>
  <c r="P291" i="4"/>
  <c r="O305" i="4"/>
  <c r="P305" i="4" s="1"/>
  <c r="Q305" i="4" s="1"/>
  <c r="Q306" i="4" s="1"/>
  <c r="R62" i="4"/>
  <c r="D22" i="5" s="1"/>
  <c r="C291" i="58"/>
  <c r="C292" i="58" s="1"/>
  <c r="J465" i="4"/>
  <c r="J473" i="4" s="1"/>
  <c r="Q453" i="4"/>
  <c r="B8" i="5"/>
  <c r="F8" i="5" s="1"/>
  <c r="O455" i="4"/>
  <c r="P349" i="4"/>
  <c r="M465" i="4"/>
  <c r="D56" i="5"/>
  <c r="R378" i="4"/>
  <c r="O295" i="4"/>
  <c r="P295" i="4" s="1"/>
  <c r="Q295" i="4" s="1"/>
  <c r="P430" i="4"/>
  <c r="Q419" i="4"/>
  <c r="Q430" i="4" s="1"/>
  <c r="K464" i="4"/>
  <c r="O45" i="4"/>
  <c r="Q390" i="4"/>
  <c r="P313" i="4"/>
  <c r="P350" i="4" s="1"/>
  <c r="Q312" i="4"/>
  <c r="D39" i="5" s="1"/>
  <c r="P403" i="4"/>
  <c r="P404" i="4"/>
  <c r="Q364" i="4"/>
  <c r="D49" i="5" s="1"/>
  <c r="P372" i="4"/>
  <c r="Q351" i="4"/>
  <c r="D44" i="5" s="1"/>
  <c r="P443" i="4"/>
  <c r="L465" i="4"/>
  <c r="P444" i="4"/>
  <c r="P448" i="4"/>
  <c r="P451" i="4" s="1"/>
  <c r="O291" i="4"/>
  <c r="O135" i="4"/>
  <c r="D291" i="58"/>
  <c r="D292" i="58" s="1"/>
  <c r="P401" i="4"/>
  <c r="Q399" i="4"/>
  <c r="Q400" i="4" s="1"/>
  <c r="D62" i="5" s="1"/>
  <c r="P356" i="4"/>
  <c r="P373" i="4" s="1"/>
  <c r="O111" i="4"/>
  <c r="O132" i="4"/>
  <c r="Q394" i="4"/>
  <c r="Q375" i="4"/>
  <c r="Q391" i="4" s="1"/>
  <c r="Q349" i="4"/>
  <c r="P309" i="4"/>
  <c r="M464" i="4"/>
  <c r="Q362" i="4"/>
  <c r="Q443" i="4"/>
  <c r="Q444" i="4"/>
  <c r="N293" i="4"/>
  <c r="N292" i="4"/>
  <c r="P413" i="4"/>
  <c r="Q407" i="4"/>
  <c r="Q409" i="4" s="1"/>
  <c r="P308" i="4"/>
  <c r="Q448" i="4"/>
  <c r="Q451" i="4" s="1"/>
  <c r="P307" i="4"/>
  <c r="Q307" i="4" s="1"/>
  <c r="Q461" i="4"/>
  <c r="Q463" i="4"/>
  <c r="Q462" i="4"/>
  <c r="Q457" i="4"/>
  <c r="Q458" i="4"/>
  <c r="Q402" i="4"/>
  <c r="D63" i="5" s="1"/>
  <c r="P310" i="4"/>
  <c r="Q310" i="4" s="1"/>
  <c r="O306" i="4" l="1"/>
  <c r="E291" i="58"/>
  <c r="E292" i="58" s="1"/>
  <c r="P455" i="4"/>
  <c r="J464" i="4"/>
  <c r="R110" i="4"/>
  <c r="P63" i="4"/>
  <c r="Q111" i="4"/>
  <c r="P111" i="4"/>
  <c r="P132" i="4"/>
  <c r="Q45" i="4"/>
  <c r="Q291" i="4"/>
  <c r="O293" i="4"/>
  <c r="Q296" i="4"/>
  <c r="D33" i="5" s="1"/>
  <c r="Q308" i="4"/>
  <c r="D36" i="5" s="1"/>
  <c r="Q309" i="4"/>
  <c r="D37" i="5" s="1"/>
  <c r="O296" i="4"/>
  <c r="Q429" i="4"/>
  <c r="Q455" i="4" s="1"/>
  <c r="R365" i="4"/>
  <c r="D24" i="5"/>
  <c r="Q413" i="4"/>
  <c r="Q313" i="4"/>
  <c r="Q350" i="4" s="1"/>
  <c r="Q403" i="4"/>
  <c r="Q404" i="4"/>
  <c r="P45" i="4"/>
  <c r="Q372" i="4"/>
  <c r="Q356" i="4"/>
  <c r="Q373" i="4" s="1"/>
  <c r="Q401" i="4"/>
  <c r="P135" i="4"/>
  <c r="Q135" i="4"/>
  <c r="O292" i="4"/>
  <c r="D64" i="5"/>
  <c r="D34" i="5"/>
  <c r="N465" i="4"/>
  <c r="N464" i="4"/>
  <c r="P306" i="4"/>
  <c r="P296" i="4"/>
  <c r="Q63" i="4"/>
  <c r="O311" i="4" l="1"/>
  <c r="O414" i="4" s="1"/>
  <c r="O465" i="4" s="1"/>
  <c r="O468" i="4" s="1"/>
  <c r="B9" i="5"/>
  <c r="D21" i="5"/>
  <c r="D27" i="5"/>
  <c r="P311" i="4"/>
  <c r="P414" i="4" s="1"/>
  <c r="P293" i="4"/>
  <c r="Q132" i="4"/>
  <c r="D26" i="5" s="1"/>
  <c r="O464" i="4"/>
  <c r="P292" i="4"/>
  <c r="D38" i="5"/>
  <c r="F9" i="5" l="1"/>
  <c r="F10" i="5" s="1"/>
  <c r="I16" i="33" s="1"/>
  <c r="P465" i="4"/>
  <c r="P468" i="4" s="1"/>
  <c r="Q293" i="4"/>
  <c r="B14" i="5" s="1"/>
  <c r="Q292" i="4"/>
  <c r="D35" i="5"/>
  <c r="D67" i="5" s="1"/>
  <c r="Q311" i="4"/>
  <c r="Q414" i="4" s="1"/>
  <c r="B15" i="5" s="1"/>
  <c r="D29" i="5"/>
  <c r="P464" i="4"/>
  <c r="B16" i="5" l="1"/>
  <c r="B17" i="5" s="1"/>
  <c r="D15" i="5" s="1"/>
  <c r="F15" i="5" s="1"/>
  <c r="C67" i="5"/>
  <c r="D30" i="5"/>
  <c r="F23" i="5" s="1"/>
  <c r="Q465" i="4"/>
  <c r="Q468" i="4" s="1"/>
  <c r="Q464" i="4"/>
  <c r="D14" i="5" l="1"/>
  <c r="F14" i="5" s="1"/>
  <c r="G16" i="5" s="1"/>
  <c r="C30" i="5"/>
  <c r="B11" i="7"/>
  <c r="F28" i="5"/>
  <c r="F25" i="5"/>
  <c r="F24" i="5"/>
  <c r="F27" i="5"/>
  <c r="F26" i="5"/>
  <c r="F22" i="5"/>
  <c r="F21" i="5"/>
  <c r="F29" i="5"/>
  <c r="B12" i="7"/>
  <c r="F40" i="5"/>
  <c r="F39" i="5"/>
  <c r="F53" i="5"/>
  <c r="F65" i="5"/>
  <c r="F46" i="5"/>
  <c r="F52" i="5"/>
  <c r="F55" i="5"/>
  <c r="F50" i="5"/>
  <c r="F33" i="5"/>
  <c r="F63" i="5"/>
  <c r="F51" i="5"/>
  <c r="F34" i="5"/>
  <c r="F37" i="5"/>
  <c r="F62" i="5"/>
  <c r="F64" i="5"/>
  <c r="F41" i="5"/>
  <c r="F38" i="5"/>
  <c r="F54" i="5"/>
  <c r="F44" i="5"/>
  <c r="F59" i="5"/>
  <c r="F58" i="5"/>
  <c r="F42" i="5"/>
  <c r="F66" i="5"/>
  <c r="F48" i="5"/>
  <c r="F43" i="5"/>
  <c r="F61" i="5"/>
  <c r="F36" i="5"/>
  <c r="F49" i="5"/>
  <c r="F56" i="5"/>
  <c r="F35" i="5"/>
  <c r="F47" i="5"/>
  <c r="F57" i="5"/>
  <c r="F45" i="5"/>
  <c r="F60" i="5"/>
  <c r="F67" i="5" l="1"/>
  <c r="F30" i="5"/>
  <c r="G23" i="5"/>
  <c r="B13" i="7"/>
  <c r="B10" i="7"/>
  <c r="B14" i="7"/>
  <c r="B15" i="7"/>
  <c r="B16" i="7"/>
  <c r="A27" i="51" l="1"/>
  <c r="G33" i="5"/>
  <c r="A33" i="51" s="1"/>
  <c r="G40" i="5"/>
  <c r="BD24" i="14" s="1"/>
  <c r="BD27" i="14" s="1"/>
  <c r="G52" i="5"/>
  <c r="BD15" i="17" s="1"/>
  <c r="BD18" i="17" s="1"/>
  <c r="G39" i="5"/>
  <c r="A40" i="51" s="1"/>
  <c r="C40" i="51" s="1"/>
  <c r="G50" i="5"/>
  <c r="BD30" i="16" s="1"/>
  <c r="G55" i="5"/>
  <c r="BD33" i="17" s="1"/>
  <c r="BD9" i="18" s="1"/>
  <c r="G46" i="5"/>
  <c r="BD33" i="15" s="1"/>
  <c r="G65" i="5"/>
  <c r="G53" i="5"/>
  <c r="BD21" i="17" s="1"/>
  <c r="D17" i="5"/>
  <c r="B17" i="7"/>
  <c r="G51" i="5"/>
  <c r="BD9" i="17" s="1"/>
  <c r="G56" i="5"/>
  <c r="BD12" i="18" s="1"/>
  <c r="G61" i="5"/>
  <c r="G42" i="5"/>
  <c r="BD24" i="20" s="1"/>
  <c r="BD27" i="20" s="1"/>
  <c r="G48" i="5"/>
  <c r="BD18" i="16" s="1"/>
  <c r="G54" i="5"/>
  <c r="BD27" i="17" s="1"/>
  <c r="BD30" i="17" s="1"/>
  <c r="G59" i="5"/>
  <c r="BD30" i="18" s="1"/>
  <c r="BD33" i="18" s="1"/>
  <c r="G57" i="5"/>
  <c r="BD18" i="18" s="1"/>
  <c r="G45" i="5"/>
  <c r="G37" i="5"/>
  <c r="G44" i="5"/>
  <c r="G34" i="5"/>
  <c r="G64" i="5"/>
  <c r="BD33" i="19" s="1"/>
  <c r="BD9" i="20" s="1"/>
  <c r="G38" i="5"/>
  <c r="BD12" i="14" s="1"/>
  <c r="G60" i="5"/>
  <c r="BD9" i="19" s="1"/>
  <c r="G62" i="5"/>
  <c r="G63" i="5"/>
  <c r="G36" i="5"/>
  <c r="G43" i="5"/>
  <c r="G66" i="5"/>
  <c r="G35" i="5"/>
  <c r="G47" i="5"/>
  <c r="BD12" i="16" s="1"/>
  <c r="G41" i="5"/>
  <c r="G58" i="5"/>
  <c r="BD24" i="18" s="1"/>
  <c r="G49" i="5"/>
  <c r="BD24" i="16" s="1"/>
  <c r="BD27" i="16" s="1"/>
  <c r="C27" i="51" l="1"/>
  <c r="B27" i="51"/>
  <c r="BD12" i="20"/>
  <c r="BD15" i="20" s="1"/>
  <c r="G67" i="5"/>
  <c r="C33" i="51"/>
  <c r="F33" i="51" s="1"/>
  <c r="B33" i="51"/>
  <c r="BD12" i="17"/>
  <c r="B40" i="51"/>
  <c r="D40" i="51" s="1"/>
  <c r="A53" i="51"/>
  <c r="C53" i="51" s="1"/>
  <c r="F53" i="51" s="1"/>
  <c r="A47" i="51"/>
  <c r="B47" i="51" s="1"/>
  <c r="G21" i="5"/>
  <c r="A56" i="51"/>
  <c r="B56" i="51" s="1"/>
  <c r="BD18" i="14"/>
  <c r="BD21" i="14" s="1"/>
  <c r="A51" i="51"/>
  <c r="B51" i="51" s="1"/>
  <c r="G27" i="5"/>
  <c r="A22" i="51" s="1"/>
  <c r="C22" i="51" s="1"/>
  <c r="F22" i="51" s="1"/>
  <c r="A41" i="51"/>
  <c r="C41" i="51" s="1"/>
  <c r="G22" i="5"/>
  <c r="BD12" i="12" s="1"/>
  <c r="F16" i="5"/>
  <c r="F17" i="5" s="1"/>
  <c r="F6" i="6" s="1"/>
  <c r="G28" i="5"/>
  <c r="A23" i="51" s="1"/>
  <c r="G29" i="5"/>
  <c r="A24" i="51" s="1"/>
  <c r="C24" i="51" s="1"/>
  <c r="F24" i="51" s="1"/>
  <c r="G26" i="5"/>
  <c r="A66" i="51"/>
  <c r="C66" i="51" s="1"/>
  <c r="F66" i="51" s="1"/>
  <c r="G24" i="5"/>
  <c r="BD15" i="12" s="1"/>
  <c r="G25" i="5"/>
  <c r="BD9" i="48" s="1"/>
  <c r="A54" i="51"/>
  <c r="C54" i="51" s="1"/>
  <c r="F54" i="51" s="1"/>
  <c r="A67" i="51"/>
  <c r="B67" i="51" s="1"/>
  <c r="BD18" i="20"/>
  <c r="BD21" i="20" s="1"/>
  <c r="A58" i="51"/>
  <c r="BD27" i="13"/>
  <c r="BD30" i="13" s="1"/>
  <c r="A36" i="51"/>
  <c r="BD15" i="15"/>
  <c r="BD18" i="15" s="1"/>
  <c r="A44" i="51"/>
  <c r="BD21" i="18"/>
  <c r="A60" i="51"/>
  <c r="BD9" i="16"/>
  <c r="A48" i="51"/>
  <c r="BD21" i="19"/>
  <c r="BD24" i="19" s="1"/>
  <c r="A63" i="51"/>
  <c r="BD24" i="17"/>
  <c r="A55" i="51"/>
  <c r="BD27" i="18"/>
  <c r="A61" i="51"/>
  <c r="BD21" i="15"/>
  <c r="BD24" i="15" s="1"/>
  <c r="A45" i="51"/>
  <c r="BD33" i="16"/>
  <c r="A49" i="51"/>
  <c r="F40" i="51"/>
  <c r="BD30" i="14"/>
  <c r="BD33" i="14" s="1"/>
  <c r="A42" i="51"/>
  <c r="BD27" i="19"/>
  <c r="BD30" i="19" s="1"/>
  <c r="A64" i="51"/>
  <c r="BD21" i="13"/>
  <c r="BD24" i="13" s="1"/>
  <c r="A35" i="51"/>
  <c r="BD15" i="14"/>
  <c r="A38" i="51"/>
  <c r="A43" i="51"/>
  <c r="BD15" i="13"/>
  <c r="BD18" i="13" s="1"/>
  <c r="A34" i="51"/>
  <c r="BD21" i="16"/>
  <c r="A50" i="51"/>
  <c r="A65" i="51"/>
  <c r="BD15" i="19"/>
  <c r="BD18" i="19" s="1"/>
  <c r="A62" i="51"/>
  <c r="A52" i="51"/>
  <c r="BD33" i="13"/>
  <c r="BD9" i="14" s="1"/>
  <c r="A37" i="51"/>
  <c r="BD15" i="18"/>
  <c r="A59" i="51"/>
  <c r="BD27" i="15"/>
  <c r="BD30" i="15" s="1"/>
  <c r="A46" i="51"/>
  <c r="BD12" i="19"/>
  <c r="A57" i="51"/>
  <c r="BD15" i="16"/>
  <c r="BD9" i="13"/>
  <c r="G30" i="5" l="1"/>
  <c r="G89" i="5" s="1"/>
  <c r="F27" i="51"/>
  <c r="D27" i="51"/>
  <c r="BD9" i="40"/>
  <c r="BD12" i="40" s="1"/>
  <c r="A39" i="51"/>
  <c r="B39" i="51" s="1"/>
  <c r="BD12" i="48"/>
  <c r="D33" i="51"/>
  <c r="A19" i="51"/>
  <c r="C19" i="51" s="1"/>
  <c r="F19" i="51" s="1"/>
  <c r="BD12" i="13"/>
  <c r="A21" i="51"/>
  <c r="C21" i="51" s="1"/>
  <c r="F21" i="51" s="1"/>
  <c r="BD18" i="12"/>
  <c r="C47" i="51"/>
  <c r="F47" i="51" s="1"/>
  <c r="C56" i="51"/>
  <c r="F56" i="51" s="1"/>
  <c r="C51" i="51"/>
  <c r="F51" i="51" s="1"/>
  <c r="B53" i="51"/>
  <c r="D53" i="51" s="1"/>
  <c r="B41" i="51"/>
  <c r="D41" i="51" s="1"/>
  <c r="B24" i="51"/>
  <c r="D24" i="51" s="1"/>
  <c r="A18" i="51"/>
  <c r="B18" i="51" s="1"/>
  <c r="B66" i="51"/>
  <c r="D66" i="51" s="1"/>
  <c r="B22" i="51"/>
  <c r="D22" i="51" s="1"/>
  <c r="BD9" i="12"/>
  <c r="A20" i="51"/>
  <c r="BD21" i="12"/>
  <c r="BD24" i="12"/>
  <c r="C23" i="51"/>
  <c r="B23" i="51"/>
  <c r="A28" i="51"/>
  <c r="C28" i="51" s="1"/>
  <c r="B54" i="51"/>
  <c r="D54" i="51" s="1"/>
  <c r="C67" i="51"/>
  <c r="F67" i="51" s="1"/>
  <c r="F7" i="6"/>
  <c r="A73" i="51" s="1"/>
  <c r="A72" i="51"/>
  <c r="C46" i="51"/>
  <c r="F46" i="51" s="1"/>
  <c r="B46" i="51"/>
  <c r="F41" i="51"/>
  <c r="C45" i="51"/>
  <c r="F45" i="51" s="1"/>
  <c r="B45" i="51"/>
  <c r="C48" i="51"/>
  <c r="F48" i="51" s="1"/>
  <c r="B48" i="51"/>
  <c r="B50" i="51"/>
  <c r="C50" i="51"/>
  <c r="C63" i="51"/>
  <c r="F63" i="51" s="1"/>
  <c r="B63" i="51"/>
  <c r="K42" i="5"/>
  <c r="A68" i="51"/>
  <c r="C44" i="51"/>
  <c r="F44" i="51" s="1"/>
  <c r="B44" i="51"/>
  <c r="C42" i="51"/>
  <c r="B42" i="51"/>
  <c r="C59" i="51"/>
  <c r="F59" i="51" s="1"/>
  <c r="B59" i="51"/>
  <c r="C62" i="51"/>
  <c r="F62" i="51" s="1"/>
  <c r="B62" i="51"/>
  <c r="C34" i="51"/>
  <c r="B34" i="51"/>
  <c r="C43" i="51"/>
  <c r="F43" i="51" s="1"/>
  <c r="B43" i="51"/>
  <c r="C61" i="51"/>
  <c r="F61" i="51" s="1"/>
  <c r="B61" i="51"/>
  <c r="C60" i="51"/>
  <c r="F60" i="51" s="1"/>
  <c r="B60" i="51"/>
  <c r="C36" i="51"/>
  <c r="F36" i="51" s="1"/>
  <c r="B36" i="51"/>
  <c r="C52" i="51"/>
  <c r="F52" i="51" s="1"/>
  <c r="B52" i="51"/>
  <c r="C38" i="51"/>
  <c r="F38" i="51" s="1"/>
  <c r="B38" i="51"/>
  <c r="B49" i="51"/>
  <c r="C49" i="51"/>
  <c r="C35" i="51"/>
  <c r="F35" i="51" s="1"/>
  <c r="B35" i="51"/>
  <c r="C64" i="51"/>
  <c r="F64" i="51" s="1"/>
  <c r="B64" i="51"/>
  <c r="B57" i="51"/>
  <c r="C57" i="51"/>
  <c r="C37" i="51"/>
  <c r="F37" i="51" s="1"/>
  <c r="B37" i="51"/>
  <c r="B65" i="51"/>
  <c r="C65" i="51"/>
  <c r="C55" i="51"/>
  <c r="F55" i="51" s="1"/>
  <c r="B55" i="51"/>
  <c r="B58" i="51"/>
  <c r="C58" i="51"/>
  <c r="BD9" i="29"/>
  <c r="BR9" i="29"/>
  <c r="BR12" i="29" s="1"/>
  <c r="BD30" i="12" l="1"/>
  <c r="A25" i="51"/>
  <c r="B25" i="51" s="1"/>
  <c r="B72" i="51"/>
  <c r="F28" i="51"/>
  <c r="B19" i="51"/>
  <c r="D19" i="51" s="1"/>
  <c r="K23" i="5"/>
  <c r="B21" i="51"/>
  <c r="D21" i="51" s="1"/>
  <c r="BD12" i="29"/>
  <c r="D47" i="51"/>
  <c r="D56" i="51"/>
  <c r="D51" i="51"/>
  <c r="C18" i="51"/>
  <c r="F18" i="51" s="1"/>
  <c r="B20" i="51"/>
  <c r="C20" i="51"/>
  <c r="K41" i="5"/>
  <c r="K44" i="5" s="1"/>
  <c r="A29" i="51"/>
  <c r="B28" i="51"/>
  <c r="F23" i="51"/>
  <c r="D23" i="51"/>
  <c r="C39" i="51"/>
  <c r="D39" i="51" s="1"/>
  <c r="D67" i="51"/>
  <c r="B73" i="51"/>
  <c r="C73" i="51"/>
  <c r="F73" i="51" s="1"/>
  <c r="B68" i="51"/>
  <c r="C72" i="51"/>
  <c r="F72" i="51" s="1"/>
  <c r="D55" i="51"/>
  <c r="D38" i="51"/>
  <c r="D52" i="51"/>
  <c r="D43" i="51"/>
  <c r="D37" i="51"/>
  <c r="D35" i="51"/>
  <c r="D60" i="51"/>
  <c r="D44" i="51"/>
  <c r="D46" i="51"/>
  <c r="D34" i="51"/>
  <c r="D59" i="51"/>
  <c r="D36" i="51"/>
  <c r="D45" i="51"/>
  <c r="F50" i="51"/>
  <c r="D50" i="51"/>
  <c r="F65" i="51"/>
  <c r="D65" i="51"/>
  <c r="F34" i="51"/>
  <c r="F39" i="51" s="1"/>
  <c r="G41" i="51" s="1"/>
  <c r="F42" i="51"/>
  <c r="D42" i="51"/>
  <c r="D62" i="51"/>
  <c r="D48" i="51"/>
  <c r="F57" i="51"/>
  <c r="D57" i="51"/>
  <c r="D61" i="51"/>
  <c r="F58" i="51"/>
  <c r="D58" i="51"/>
  <c r="D64" i="51"/>
  <c r="D49" i="51"/>
  <c r="F49" i="51"/>
  <c r="D63" i="51"/>
  <c r="C10" i="7" l="1"/>
  <c r="C16" i="7"/>
  <c r="C15" i="7"/>
  <c r="C14" i="7"/>
  <c r="C13" i="7"/>
  <c r="C12" i="7"/>
  <c r="C11" i="7"/>
  <c r="D28" i="51"/>
  <c r="B29" i="51"/>
  <c r="C68" i="51"/>
  <c r="D68" i="51" s="1"/>
  <c r="C25" i="51"/>
  <c r="D18" i="51"/>
  <c r="J70" i="5"/>
  <c r="J73" i="5" s="1"/>
  <c r="K16" i="33" s="1"/>
  <c r="N23" i="5"/>
  <c r="I125" i="33" s="1"/>
  <c r="A26" i="51"/>
  <c r="E125" i="33"/>
  <c r="F20" i="51"/>
  <c r="D20" i="51"/>
  <c r="J77" i="5"/>
  <c r="J79" i="5" s="1"/>
  <c r="K46" i="5"/>
  <c r="K47" i="5" s="1"/>
  <c r="F68" i="51"/>
  <c r="G69" i="51" s="1"/>
  <c r="G40" i="51"/>
  <c r="D73" i="51"/>
  <c r="D72" i="51"/>
  <c r="B26" i="51"/>
  <c r="C29" i="51" l="1"/>
  <c r="D29" i="51" s="1"/>
  <c r="F25" i="51"/>
  <c r="F29" i="51" s="1"/>
  <c r="G30" i="51" s="1"/>
  <c r="D14" i="7"/>
  <c r="B13" i="6" s="1"/>
  <c r="F13" i="6" s="1"/>
  <c r="D10" i="7"/>
  <c r="B9" i="6" s="1"/>
  <c r="F9" i="6" s="1"/>
  <c r="D13" i="7"/>
  <c r="B12" i="6" s="1"/>
  <c r="F12" i="6" s="1"/>
  <c r="BD27" i="29" s="1"/>
  <c r="D15" i="7"/>
  <c r="B14" i="6" s="1"/>
  <c r="F14" i="6" s="1"/>
  <c r="D11" i="7"/>
  <c r="B10" i="6" s="1"/>
  <c r="F10" i="6" s="1"/>
  <c r="D16" i="7"/>
  <c r="B15" i="6" s="1"/>
  <c r="F15" i="6" s="1"/>
  <c r="A81" i="51" s="1"/>
  <c r="C81" i="51" s="1"/>
  <c r="F81" i="51" s="1"/>
  <c r="D12" i="7"/>
  <c r="B11" i="6" s="1"/>
  <c r="F11" i="6" s="1"/>
  <c r="D25" i="51"/>
  <c r="C26" i="51"/>
  <c r="J85" i="5"/>
  <c r="J87" i="5"/>
  <c r="M16" i="33"/>
  <c r="BD24" i="29" l="1"/>
  <c r="G73" i="51"/>
  <c r="A78" i="51"/>
  <c r="C78" i="51" s="1"/>
  <c r="F78" i="51" s="1"/>
  <c r="BR27" i="29"/>
  <c r="D17" i="7"/>
  <c r="F8" i="6" s="1"/>
  <c r="BD15" i="29" s="1"/>
  <c r="F26" i="51"/>
  <c r="BR18" i="29"/>
  <c r="B18" i="6"/>
  <c r="BD9" i="31"/>
  <c r="BR9" i="31"/>
  <c r="B81" i="51"/>
  <c r="D81" i="51" s="1"/>
  <c r="BR21" i="29"/>
  <c r="BD21" i="29"/>
  <c r="A79" i="51"/>
  <c r="B79" i="51" s="1"/>
  <c r="BR30" i="29"/>
  <c r="BD30" i="29"/>
  <c r="A80" i="51"/>
  <c r="C80" i="51" s="1"/>
  <c r="F80" i="51" s="1"/>
  <c r="BD33" i="29"/>
  <c r="BR33" i="29"/>
  <c r="A76" i="51"/>
  <c r="K19" i="33"/>
  <c r="K26" i="33" s="1"/>
  <c r="A77" i="51" l="1"/>
  <c r="C77" i="51" s="1"/>
  <c r="F77" i="51" s="1"/>
  <c r="BR24" i="29"/>
  <c r="B78" i="51"/>
  <c r="D78" i="51" s="1"/>
  <c r="A74" i="51"/>
  <c r="BR15" i="29"/>
  <c r="F18" i="6"/>
  <c r="BD18" i="29"/>
  <c r="B80" i="51"/>
  <c r="D80" i="51" s="1"/>
  <c r="C76" i="51"/>
  <c r="F76" i="51" s="1"/>
  <c r="B76" i="51"/>
  <c r="C79" i="51"/>
  <c r="F79" i="51" s="1"/>
  <c r="A75" i="51"/>
  <c r="B77" i="51" l="1"/>
  <c r="D77" i="51" s="1"/>
  <c r="B74" i="51"/>
  <c r="A83" i="51"/>
  <c r="B83" i="51" s="1"/>
  <c r="C74" i="51"/>
  <c r="F74" i="51" s="1"/>
  <c r="D79" i="51"/>
  <c r="D76" i="51"/>
  <c r="C75" i="51"/>
  <c r="B75" i="51"/>
  <c r="C83" i="51" l="1"/>
  <c r="D74" i="51"/>
  <c r="F75" i="51"/>
  <c r="F83" i="51" s="1"/>
  <c r="D75" i="51"/>
  <c r="D83" i="51" l="1"/>
  <c r="V21" i="5" l="1"/>
  <c r="L21" i="5" s="1"/>
  <c r="K11" i="5" l="1"/>
  <c r="G123" i="33"/>
  <c r="L22" i="5"/>
  <c r="G122" i="33"/>
  <c r="K21" i="5" l="1"/>
  <c r="C140" i="33"/>
  <c r="K22" i="5"/>
  <c r="G124" i="33"/>
  <c r="C143" i="33" s="1"/>
  <c r="L24" i="5"/>
  <c r="G126" i="33" s="1"/>
  <c r="L25" i="5"/>
  <c r="N21" i="5" l="1"/>
  <c r="I123" i="33" s="1"/>
  <c r="E123" i="33"/>
  <c r="N22" i="5"/>
  <c r="K24" i="5"/>
  <c r="K20" i="5"/>
  <c r="E124" i="33"/>
  <c r="E122" i="33" l="1"/>
  <c r="N20" i="5"/>
  <c r="I122" i="33" s="1"/>
  <c r="N24" i="5"/>
  <c r="E126" i="33"/>
  <c r="K12" i="5"/>
  <c r="K10" i="5" s="1"/>
  <c r="C139" i="33" s="1"/>
  <c r="C141" i="33" s="1"/>
  <c r="I124" i="33"/>
  <c r="N25" i="5" l="1"/>
  <c r="I126" i="33"/>
  <c r="I19" i="33"/>
  <c r="I26" i="33" s="1"/>
  <c r="M9" i="33"/>
  <c r="M19" i="33" s="1"/>
  <c r="M26" i="33" s="1"/>
  <c r="O27" i="33" s="1"/>
  <c r="M73" i="33" l="1"/>
  <c r="M82" i="33" s="1"/>
  <c r="O17" i="33" s="1"/>
  <c r="M55"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Golez, Devon</author>
    <author>Phan, Randy</author>
    <author>Caccam, Nicole</author>
    <author>Randy Phan</author>
    <author>Angela Dickison</author>
    <author>ADavis</author>
  </authors>
  <commentList>
    <comment ref="A16" authorId="0" shapeId="0" xr:uid="{00000000-0006-0000-0000-000001000000}">
      <text>
        <r>
          <rPr>
            <b/>
            <sz val="9"/>
            <color indexed="81"/>
            <rFont val="Tahoma"/>
            <family val="2"/>
          </rPr>
          <t>Golez, Devon:</t>
        </r>
        <r>
          <rPr>
            <sz val="9"/>
            <color indexed="81"/>
            <rFont val="Tahoma"/>
            <family val="2"/>
          </rPr>
          <t xml:space="preserve">
Note: The sum of (Enterprise Funds (400) cell B8, Internal Services Funds (500) cell B9, General Fund (100) cell B14, and Special Revenue Funds  cell B15) should agree to the (total of the K0215 in column Q) - (Component Unit Funds (900)) on the K0215 tab. Component units are not part of this calculation.</t>
        </r>
      </text>
    </comment>
    <comment ref="K19" authorId="1" shapeId="0" xr:uid="{00000000-0006-0000-0000-000002000000}">
      <text>
        <r>
          <rPr>
            <b/>
            <sz val="9"/>
            <color indexed="81"/>
            <rFont val="Tahoma"/>
            <family val="2"/>
          </rPr>
          <t>PY Ending bal. from Primary Government less PY Ending Bal. in Enterprise Funds.</t>
        </r>
      </text>
    </comment>
    <comment ref="G33" authorId="1" shapeId="0" xr:uid="{00000000-0006-0000-0000-000003000000}">
      <text>
        <r>
          <rPr>
            <b/>
            <sz val="9"/>
            <color indexed="81"/>
            <rFont val="Tahoma"/>
            <family val="2"/>
          </rPr>
          <t>NOTE: NEED TO PUT ENTRY FOR FUND 0890 EACH YEAR.  
This year 22-23:
0025  DR 8,7997,708.36
   0719   CR  8,7997,708.36</t>
        </r>
      </text>
    </comment>
    <comment ref="G42" authorId="2" shapeId="0" xr:uid="{00000000-0006-0000-0000-000004000000}">
      <text>
        <r>
          <rPr>
            <b/>
            <sz val="9"/>
            <color indexed="81"/>
            <rFont val="Tahoma"/>
            <family val="2"/>
          </rPr>
          <t>Caccam, Nicole:</t>
        </r>
        <r>
          <rPr>
            <sz val="9"/>
            <color indexed="81"/>
            <rFont val="Tahoma"/>
            <family val="2"/>
          </rPr>
          <t xml:space="preserve">
2x 
F0044
F0064
</t>
        </r>
      </text>
    </comment>
    <comment ref="D67" authorId="3" shapeId="0" xr:uid="{00000000-0006-0000-0000-000005000000}">
      <text>
        <r>
          <rPr>
            <sz val="9"/>
            <color indexed="81"/>
            <rFont val="Tahoma"/>
            <family val="2"/>
          </rPr>
          <t xml:space="preserve">This AMT should match B15
</t>
        </r>
        <r>
          <rPr>
            <b/>
            <sz val="9"/>
            <color indexed="81"/>
            <rFont val="Tahoma"/>
            <family val="2"/>
          </rPr>
          <t>Also, each year there may be new funds. Funds may need to be added to the rows above based on new funds added when inputting data for the K0215. If new funds are added in the K0215 tab, make sure they are also added in a new row above or included in formulas above here in the 'Special Revenue Funds' section.</t>
        </r>
      </text>
    </comment>
    <comment ref="K72" authorId="4" shapeId="0" xr:uid="{00000000-0006-0000-0000-000006000000}">
      <text>
        <r>
          <rPr>
            <b/>
            <sz val="9"/>
            <color indexed="81"/>
            <rFont val="Tahoma"/>
            <family val="2"/>
          </rPr>
          <t>Angela Dickison:</t>
        </r>
        <r>
          <rPr>
            <sz val="9"/>
            <color indexed="81"/>
            <rFont val="Tahoma"/>
            <family val="2"/>
          </rPr>
          <t xml:space="preserve">
This is proprietary and internal service funds non current liability. </t>
        </r>
      </text>
    </comment>
    <comment ref="K78" authorId="4" shapeId="0" xr:uid="{00000000-0006-0000-0000-000007000000}">
      <text>
        <r>
          <rPr>
            <b/>
            <sz val="9"/>
            <color indexed="81"/>
            <rFont val="Tahoma"/>
            <family val="2"/>
          </rPr>
          <t>Angela Dickison:</t>
        </r>
        <r>
          <rPr>
            <sz val="9"/>
            <color indexed="81"/>
            <rFont val="Tahoma"/>
            <family val="2"/>
          </rPr>
          <t xml:space="preserve">
this is only internal service funds.</t>
        </r>
      </text>
    </comment>
    <comment ref="D79" authorId="2" shapeId="0" xr:uid="{00000000-0006-0000-0000-000008000000}">
      <text>
        <r>
          <rPr>
            <b/>
            <sz val="9"/>
            <color indexed="81"/>
            <rFont val="Tahoma"/>
            <family val="2"/>
          </rPr>
          <t>Caccam, Nicole:</t>
        </r>
        <r>
          <rPr>
            <sz val="9"/>
            <color indexed="81"/>
            <rFont val="Tahoma"/>
            <family val="2"/>
          </rPr>
          <t xml:space="preserve">
from Audit</t>
        </r>
      </text>
    </comment>
    <comment ref="F79" authorId="2" shapeId="0" xr:uid="{00000000-0006-0000-0000-000009000000}">
      <text>
        <r>
          <rPr>
            <b/>
            <sz val="9"/>
            <color indexed="81"/>
            <rFont val="Tahoma"/>
            <family val="2"/>
          </rPr>
          <t>Caccam, Nicole:</t>
        </r>
        <r>
          <rPr>
            <sz val="9"/>
            <color indexed="81"/>
            <rFont val="Tahoma"/>
            <family val="2"/>
          </rPr>
          <t xml:space="preserve">
from audit
</t>
        </r>
      </text>
    </comment>
    <comment ref="K86" authorId="4" shapeId="0" xr:uid="{00000000-0006-0000-0000-00000A000000}">
      <text>
        <r>
          <rPr>
            <b/>
            <sz val="9"/>
            <color indexed="81"/>
            <rFont val="Tahoma"/>
            <family val="2"/>
          </rPr>
          <t>Angela Dickison:</t>
        </r>
        <r>
          <rPr>
            <sz val="9"/>
            <color indexed="81"/>
            <rFont val="Tahoma"/>
            <family val="2"/>
          </rPr>
          <t xml:space="preserve">
this is proprietary and internal service funds non- current liability.</t>
        </r>
      </text>
    </comment>
    <comment ref="F94" authorId="5" shapeId="0" xr:uid="{00000000-0006-0000-0000-00000B000000}">
      <text>
        <r>
          <rPr>
            <b/>
            <sz val="9"/>
            <color indexed="81"/>
            <rFont val="Tahoma"/>
            <family val="2"/>
          </rPr>
          <t>This is the sum of the Entries made in cells J103 &amp; J104 below.  
DO NOT ENTER DATA IN THIS CELL as it is linked to the total in cell J106. 
(Actuarial Review)</t>
        </r>
      </text>
    </comment>
    <comment ref="G110" authorId="1" shapeId="0" xr:uid="{00000000-0006-0000-0000-00000C000000}">
      <text>
        <r>
          <rPr>
            <b/>
            <sz val="10"/>
            <color indexed="81"/>
            <rFont val="Tahoma"/>
            <family val="2"/>
          </rPr>
          <t>Workers' Comp Current and Noncurrent Liability for CSU booked directly from audit statement, but needed for calculation of total liability.</t>
        </r>
        <r>
          <rPr>
            <sz val="9"/>
            <color indexed="81"/>
            <rFont val="Tahoma"/>
            <family val="2"/>
          </rPr>
          <t xml:space="preserve">
</t>
        </r>
      </text>
    </comment>
    <comment ref="J110" authorId="0" shapeId="0" xr:uid="{00000000-0006-0000-0000-00000D000000}">
      <text>
        <r>
          <rPr>
            <b/>
            <sz val="9"/>
            <color indexed="81"/>
            <rFont val="Tahoma"/>
            <family val="2"/>
          </rPr>
          <t>Starting FY 12/13 we no longer allocate a current portion of CSU Workers' Comp to the General Fund.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Golez, Devon</author>
    <author>Randy Phan</author>
    <author>Hatai, Meredith</author>
    <author>Caccam, Nicole</author>
    <author>ADavis</author>
    <author>Phan, Randy</author>
  </authors>
  <commentList>
    <comment ref="Q1" authorId="0" shapeId="0" xr:uid="{00000000-0006-0000-0100-000001000000}">
      <text>
        <r>
          <rPr>
            <b/>
            <sz val="9"/>
            <color indexed="81"/>
            <rFont val="Tahoma"/>
            <family val="2"/>
          </rPr>
          <t>Golez, Devon:</t>
        </r>
        <r>
          <rPr>
            <sz val="9"/>
            <color indexed="81"/>
            <rFont val="Tahoma"/>
            <family val="2"/>
          </rPr>
          <t xml:space="preserve">
The calculations in Column Q : Total By Fund Hierarchy are linked to the Summary tab and used in the allocation of WC. Red notes in Column R indicate the number is found on the Summary tab.</t>
        </r>
      </text>
    </comment>
    <comment ref="R1" authorId="1" shapeId="0" xr:uid="{00000000-0006-0000-0100-000002000000}">
      <text>
        <r>
          <rPr>
            <b/>
            <sz val="12"/>
            <color indexed="10"/>
            <rFont val="Tahoma"/>
            <family val="2"/>
          </rPr>
          <t>Need to input this amount. (the total of K0215 Report)</t>
        </r>
      </text>
    </comment>
    <comment ref="R11" authorId="1" shapeId="0" xr:uid="{00000000-0006-0000-0100-000003000000}">
      <text>
        <r>
          <rPr>
            <b/>
            <sz val="12"/>
            <color indexed="10"/>
            <rFont val="Tahoma"/>
            <family val="2"/>
          </rPr>
          <t>Need to input this amount from  SCIF Letter. This is not an actuarial valuation of estimated future payments.</t>
        </r>
      </text>
    </comment>
    <comment ref="B37" authorId="2" shapeId="0" xr:uid="{00000000-0006-0000-0100-000004000000}">
      <text>
        <r>
          <rPr>
            <b/>
            <sz val="9"/>
            <color indexed="81"/>
            <rFont val="Tahoma"/>
            <family val="2"/>
          </rPr>
          <t>Hatai, Meredith:</t>
        </r>
        <r>
          <rPr>
            <sz val="9"/>
            <color indexed="81"/>
            <rFont val="Tahoma"/>
            <family val="2"/>
          </rPr>
          <t xml:space="preserve">
</t>
        </r>
        <r>
          <rPr>
            <sz val="11"/>
            <color indexed="81"/>
            <rFont val="Tahoma"/>
            <family val="2"/>
          </rPr>
          <t>UCM renum FY13/14= California Victim Compensation Board) (SCIF rpt still has old name)</t>
        </r>
      </text>
    </comment>
    <comment ref="A112" authorId="2" shapeId="0" xr:uid="{00000000-0006-0000-0100-000005000000}">
      <text>
        <r>
          <rPr>
            <b/>
            <sz val="9"/>
            <color indexed="81"/>
            <rFont val="Tahoma"/>
            <family val="2"/>
          </rPr>
          <t>Hatai, Meredith:</t>
        </r>
        <r>
          <rPr>
            <sz val="9"/>
            <color indexed="81"/>
            <rFont val="Tahoma"/>
            <family val="2"/>
          </rPr>
          <t xml:space="preserve">
</t>
        </r>
        <r>
          <rPr>
            <b/>
            <sz val="9"/>
            <color indexed="81"/>
            <rFont val="Tahoma"/>
            <family val="2"/>
          </rPr>
          <t>FY 20-21:</t>
        </r>
        <r>
          <rPr>
            <sz val="9"/>
            <color indexed="81"/>
            <rFont val="Tahoma"/>
            <family val="2"/>
          </rPr>
          <t xml:space="preserve"> 
Per agy, valid Agy code change per K0215 sheet from SCIF change from 03-036 to </t>
        </r>
        <r>
          <rPr>
            <b/>
            <sz val="9"/>
            <color indexed="81"/>
            <rFont val="Tahoma"/>
            <family val="2"/>
          </rPr>
          <t>74-036</t>
        </r>
      </text>
    </comment>
    <comment ref="B133" authorId="3" shapeId="0" xr:uid="{00000000-0006-0000-0100-000006000000}">
      <text>
        <r>
          <rPr>
            <b/>
            <sz val="9"/>
            <color indexed="81"/>
            <rFont val="Tahoma"/>
            <family val="2"/>
          </rPr>
          <t>Caccam, Nicole:</t>
        </r>
        <r>
          <rPr>
            <sz val="9"/>
            <color indexed="81"/>
            <rFont val="Tahoma"/>
            <family val="2"/>
          </rPr>
          <t xml:space="preserve">
Agency retitled from Dept of Fair Employment &amp; Housing to Civil Rights Department in FY21/22, per UCM</t>
        </r>
      </text>
    </comment>
    <comment ref="B363" authorId="3" shapeId="0" xr:uid="{00000000-0006-0000-0100-000007000000}">
      <text>
        <r>
          <rPr>
            <b/>
            <sz val="9"/>
            <color indexed="81"/>
            <rFont val="Tahoma"/>
            <family val="2"/>
          </rPr>
          <t xml:space="preserve">Caccam, Nicole:
</t>
        </r>
        <r>
          <rPr>
            <sz val="9"/>
            <color indexed="81"/>
            <rFont val="Tahoma"/>
            <family val="2"/>
          </rPr>
          <t>Retitled from Departmetn of Business Oversight to Departmetn of Financial Protection and Innovation in FY20/21, per UCM</t>
        </r>
      </text>
    </comment>
    <comment ref="B460" authorId="4" shapeId="0" xr:uid="{00000000-0006-0000-0100-000008000000}">
      <text>
        <r>
          <rPr>
            <b/>
            <sz val="10"/>
            <color indexed="81"/>
            <rFont val="Tahoma"/>
            <family val="2"/>
          </rPr>
          <t>This is an audited component unit.  We will ignore this amount in our calculations and post no additional expenditures to it.</t>
        </r>
      </text>
    </comment>
    <comment ref="O468" authorId="5" shapeId="0" xr:uid="{00000000-0006-0000-0100-000009000000}">
      <text>
        <r>
          <rPr>
            <b/>
            <sz val="12"/>
            <color indexed="81"/>
            <rFont val="Tahoma"/>
            <family val="2"/>
          </rPr>
          <t xml:space="preserve">ALL THREE TOTALS FOR THE O, P, &amp; Q COLUMNS SHOULD BE ZERO. </t>
        </r>
        <r>
          <rPr>
            <sz val="9"/>
            <color indexed="81"/>
            <rFont val="Tahoma"/>
            <family val="2"/>
          </rPr>
          <t xml:space="preserve">
</t>
        </r>
      </text>
    </comment>
    <comment ref="P468" authorId="1" shapeId="0" xr:uid="{00000000-0006-0000-0100-00000A000000}">
      <text>
        <r>
          <rPr>
            <sz val="12"/>
            <color indexed="10"/>
            <rFont val="Tahoma"/>
            <family val="2"/>
          </rPr>
          <t xml:space="preserve">CELLS P451 AND Q451 CAN'T BE ZERO UNLESS THE AMOUNTS IN CELLS R1 AND R10 ARE INPUT FIRST. </t>
        </r>
        <r>
          <rPr>
            <sz val="8"/>
            <color indexed="81"/>
            <rFont val="Tahoma"/>
            <family val="2"/>
          </rPr>
          <t xml:space="preserve">
</t>
        </r>
      </text>
    </comment>
    <comment ref="B473" authorId="0" shapeId="0" xr:uid="{00000000-0006-0000-0100-00000B000000}">
      <text>
        <r>
          <rPr>
            <b/>
            <sz val="9"/>
            <color indexed="81"/>
            <rFont val="Tahoma"/>
            <family val="2"/>
          </rPr>
          <t>Remove PY red highlights from agencies, and highlight new agencies in CY 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 Alice</author>
    <author>Phan, Randy</author>
  </authors>
  <commentList>
    <comment ref="E5" authorId="0" shapeId="0" xr:uid="{00000000-0006-0000-0500-000001000000}">
      <text>
        <r>
          <rPr>
            <b/>
            <sz val="9"/>
            <color indexed="81"/>
            <rFont val="Tahoma"/>
            <family val="2"/>
          </rPr>
          <t>Kim, Alice:</t>
        </r>
        <r>
          <rPr>
            <sz val="9"/>
            <color indexed="81"/>
            <rFont val="Tahoma"/>
            <family val="2"/>
          </rPr>
          <t xml:space="preserve">
Total incurred claims and claim adj expenses</t>
        </r>
      </text>
    </comment>
    <comment ref="G5" authorId="0" shapeId="0" xr:uid="{00000000-0006-0000-0500-000002000000}">
      <text>
        <r>
          <rPr>
            <b/>
            <sz val="9"/>
            <color indexed="81"/>
            <rFont val="Tahoma"/>
            <family val="2"/>
          </rPr>
          <t>Kim, Alice:</t>
        </r>
        <r>
          <rPr>
            <sz val="9"/>
            <color indexed="81"/>
            <rFont val="Tahoma"/>
            <family val="2"/>
          </rPr>
          <t xml:space="preserve">
Total payments</t>
        </r>
      </text>
    </comment>
    <comment ref="E21" authorId="1" shapeId="0" xr:uid="{00000000-0006-0000-0500-000003000000}">
      <text>
        <r>
          <rPr>
            <sz val="9"/>
            <color indexed="81"/>
            <rFont val="Tahoma"/>
            <family val="2"/>
          </rPr>
          <t xml:space="preserve">This Amt is the change in balance between PY and CY Workers' Compensation from Fund 0562. An increase from PY to CY will be included in Addition.  
</t>
        </r>
      </text>
    </comment>
    <comment ref="G21" authorId="1" shapeId="0" xr:uid="{00000000-0006-0000-0500-000004000000}">
      <text>
        <r>
          <rPr>
            <sz val="9"/>
            <color indexed="81"/>
            <rFont val="Tahoma"/>
            <family val="2"/>
          </rPr>
          <t xml:space="preserve">This Amt is the change in balance between PY and CY Workers' Compensation from Fund 0562. A decrease from PY to CY will be included in Deduction.
No deductions reported in FY 21/22.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 Pierre, Karyl</author>
  </authors>
  <commentList>
    <comment ref="B27" authorId="0" shapeId="0" xr:uid="{00000000-0006-0000-0600-000001000000}">
      <text>
        <r>
          <rPr>
            <b/>
            <sz val="12"/>
            <color indexed="81"/>
            <rFont val="Tahoma"/>
            <family val="2"/>
          </rPr>
          <t xml:space="preserve">*Need to confirm this list is updated each year*
</t>
        </r>
        <r>
          <rPr>
            <sz val="12"/>
            <color indexed="81"/>
            <rFont val="Tahoma"/>
            <family val="2"/>
          </rPr>
          <t xml:space="preserve">
UNHIDE ROWS </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Y GAAP" type="1" refreshedVersion="6" background="1" saveData="1">
    <dbPr connection="DSN=MS Access Database;DBQ=G:\State_Gov_Reporting\DF_Indexes\GAAP_Databases\GAAP_CY.accdb;DefaultDir=G:\State_Gov_Reporting\DF_Indexes\GAAP_Databases;DriverId=25;FIL=MS Access;MaxBufferSize=2048;PageTimeout=5;" command="SELECT DetailsFB.Fund, DetailsFB.t2, DetailsFB.T3, DetailsFB.T4, DetailsFB.Title, DetailsFB.GenCode, DetailsFB.GLAccount, DetailsFB.Amount, DetailsFB.FundName, DetailsFB.FundClass, DetailsFB.Hier1, DetailsFB.MajorMinor, DetailsFB.Hier2, DetailsFB.Color_x000d__x000a_FROM `G:\State_Gov_Reporting\DF_Indexes\GAAP_Databases\GAAP_CY.accdb`.DetailsFB DetailsFB_x000d__x000a_WHERE (DetailsFB.GLAccount='06920000000') AND (DetailsFB.Hier1='400') OR (DetailsFB.GLAccount='06550000000') AND (DetailsFB.Hier1='400') OR (DetailsFB.GLAccount='06920000000') AND (DetailsFB.Hier1='500') OR (DetailsFB.GLAccount='06550000000') AND (DetailsFB.Hier1='500')"/>
  </connection>
  <connection id="2" xr16:uid="{00000000-0015-0000-FFFF-FFFF02000000}" name="PAGE0" type="6" refreshedVersion="4" background="1" saveData="1">
    <textPr codePage="437" sourceFile="G:\State_Gov_Reporting\2010-11\GAAP\WORKER'S COMPENSATION\K0717 063011txt.txt\PAGE0.TXT" delimited="0">
      <textFields count="11">
        <textField type="text"/>
        <textField type="text" position="7"/>
        <textField type="text" position="13"/>
        <textField type="text" position="23"/>
        <textField type="text" position="37"/>
        <textField type="text" position="54"/>
        <textField type="text" position="65"/>
        <textField type="text" position="79"/>
        <textField type="text" position="93"/>
        <textField type="text" position="105"/>
        <textField type="text" position="119"/>
      </textFields>
    </textPr>
  </connection>
  <connection id="3" xr16:uid="{027C7CF7-8390-4106-9B30-BF5983DD1ECA}" keepAlive="1" name="Query - K0717_2024_Jun" description="Connection to the 'K0717_2024_Jun' query in the workbook." type="5" refreshedVersion="0" background="1">
    <dbPr connection="Provider=Microsoft.Mashup.OleDb.1;Data Source=$Workbook$;Location=K0717_2024_Jun;Extended Properties=&quot;&quot;" command="SELECT * FROM [K0717_2024_Jun]"/>
  </connection>
  <connection id="4" xr16:uid="{D21E020B-6750-4519-B4C3-9664B52540FD}" keepAlive="1" name="Query - K0717_2024_Jun (2)" description="Connection to the 'K0717_2024_Jun (2)' query in the workbook." type="5" refreshedVersion="0" background="1">
    <dbPr connection="Provider=Microsoft.Mashup.OleDb.1;Data Source=$Workbook$;Location=&quot;K0717_2024_Jun (2)&quot;;Extended Properties=&quot;&quot;" command="SELECT * FROM [K0717_2024_Jun (2)]"/>
  </connection>
  <connection id="5" xr16:uid="{FC93B2BD-1925-4A68-8E57-83D462BFF629}" keepAlive="1" name="Query - K0717_2024_Jun (3)" description="Connection to the 'K0717_2024_Jun (3)' query in the workbook." type="5" refreshedVersion="8" background="1" saveData="1">
    <dbPr connection="Provider=Microsoft.Mashup.OleDb.1;Data Source=$Workbook$;Location=&quot;K0717_2024_Jun (3)&quot;;Extended Properties=&quot;&quot;" command="SELECT * FROM [K0717_2024_Jun (3)]"/>
  </connection>
</connections>
</file>

<file path=xl/sharedStrings.xml><?xml version="1.0" encoding="utf-8"?>
<sst xmlns="http://schemas.openxmlformats.org/spreadsheetml/2006/main" count="5780" uniqueCount="1802">
  <si>
    <t>#820 - fund 0014</t>
  </si>
  <si>
    <t>#820 - fund 0200</t>
  </si>
  <si>
    <t>#820 - fund 0387</t>
  </si>
  <si>
    <t>#820 - fund 0439</t>
  </si>
  <si>
    <t>#815 - fund 0121</t>
  </si>
  <si>
    <t>#820 - fund 0318</t>
  </si>
  <si>
    <t>3560</t>
  </si>
  <si>
    <t>3940</t>
  </si>
  <si>
    <t>3640</t>
  </si>
  <si>
    <t>825</t>
  </si>
  <si>
    <t>820</t>
  </si>
  <si>
    <t>500</t>
  </si>
  <si>
    <t>0666</t>
  </si>
  <si>
    <t>0830</t>
  </si>
  <si>
    <t>0835</t>
  </si>
  <si>
    <t>3036</t>
  </si>
  <si>
    <t>0067</t>
  </si>
  <si>
    <t>0929</t>
  </si>
  <si>
    <t>0501</t>
  </si>
  <si>
    <t>0933</t>
  </si>
  <si>
    <t>0042</t>
  </si>
  <si>
    <t>0044</t>
  </si>
  <si>
    <t>0064</t>
  </si>
  <si>
    <t>0200</t>
  </si>
  <si>
    <t>0387</t>
  </si>
  <si>
    <t>0439</t>
  </si>
  <si>
    <t>0014</t>
  </si>
  <si>
    <t>0121</t>
  </si>
  <si>
    <t>0217</t>
  </si>
  <si>
    <t>8570</t>
  </si>
  <si>
    <t>0111</t>
  </si>
  <si>
    <t>AGENCY</t>
  </si>
  <si>
    <t>Current Liability</t>
  </si>
  <si>
    <t>Non-Current Liability</t>
  </si>
  <si>
    <t>0691</t>
  </si>
  <si>
    <t>UNMATCHED RECS</t>
  </si>
  <si>
    <t>4700</t>
  </si>
  <si>
    <t>ELECTRICITY OVERSIGHT BOARD</t>
  </si>
  <si>
    <t>8770</t>
  </si>
  <si>
    <t>0462</t>
  </si>
  <si>
    <t>0531</t>
  </si>
  <si>
    <t>9732</t>
  </si>
  <si>
    <t>LEGISLATIVE BUDGET COMMITTEE</t>
  </si>
  <si>
    <t>COLORADO RIVER BOARD</t>
  </si>
  <si>
    <t>YOUTH &amp; ADULT CORRECTIONAL</t>
  </si>
  <si>
    <t>0870</t>
  </si>
  <si>
    <t>350</t>
  </si>
  <si>
    <t>350 Total</t>
  </si>
  <si>
    <t>#825 - (500.100)</t>
  </si>
  <si>
    <t>#830 - (500.600)</t>
  </si>
  <si>
    <t>OFFICE OF ADMINISTRATION LAW</t>
  </si>
  <si>
    <t>STATE LAND COMMISSION</t>
  </si>
  <si>
    <t>GOVERNOR'S OFFICE</t>
  </si>
  <si>
    <t>LEGISLATIVE COUNSEL BUREAU</t>
  </si>
  <si>
    <t>STATE COASTAL CONSERVANCY</t>
  </si>
  <si>
    <t>STATE  PERSONNEL BOARD</t>
  </si>
  <si>
    <t>0602</t>
  </si>
  <si>
    <t>#808 - (500.500)</t>
  </si>
  <si>
    <t>AIR RESOURCES BOARD</t>
  </si>
  <si>
    <t>CA DEPT OF FOOD &amp; AGRICULTURE</t>
  </si>
  <si>
    <t>STATE CONTROLLER'S OFFICE</t>
  </si>
  <si>
    <t>DEPT OF CORRECTIONS</t>
  </si>
  <si>
    <t>PRISON INDUSTRY AUTHORITY</t>
  </si>
  <si>
    <t>DEPT  OF CORRECTIONS</t>
  </si>
  <si>
    <t>CTF - SOLEDAD</t>
  </si>
  <si>
    <t>SUBSTANCE ABUSE TREATMENT</t>
  </si>
  <si>
    <t>CALIF STATE PRISON-SOLANO</t>
  </si>
  <si>
    <t>ATTN: ACCOUNTING OFFICER</t>
  </si>
  <si>
    <t>VALLEY STATE PRISON</t>
  </si>
  <si>
    <t>HIGH DESERT STATE PRISON</t>
  </si>
  <si>
    <t>DEPARTMENT OF CORRECTIONS</t>
  </si>
  <si>
    <t>BOARD OF CORRECTIONS</t>
  </si>
  <si>
    <t>MOUNT BULLION YOUTH CONS</t>
  </si>
  <si>
    <t>NO. CALIF. RECEPTION CENTER</t>
  </si>
  <si>
    <t>FENNER CANYON YOUTH CONS</t>
  </si>
  <si>
    <t>BEN LOMOND YOUTH CONS CAMP</t>
  </si>
  <si>
    <t>DEPT OF EDUCATION</t>
  </si>
  <si>
    <t>DIAGNOSTIC SCHOOL FOR NHC</t>
  </si>
  <si>
    <t>DEPT OF GENERAL SERVICES</t>
  </si>
  <si>
    <t>DEPT DEV'T SERVICE</t>
  </si>
  <si>
    <t>SONOMA DEVELOPMENTAL CTR</t>
  </si>
  <si>
    <t>DEPT OF PARKS &amp; RECREATION</t>
  </si>
  <si>
    <t>DEPT OF CONSERVATION</t>
  </si>
  <si>
    <t>FRANCHISE TAX BOARD</t>
  </si>
  <si>
    <t>CALIFORNIA STATE LOTTERY</t>
  </si>
  <si>
    <t>DEPT OF SOCIAL SERVICES</t>
  </si>
  <si>
    <t>DEPARTMENT OF CHILD</t>
  </si>
  <si>
    <t>CSU, CHANCELLOR'S OFFICE</t>
  </si>
  <si>
    <t>CSU, LONG BEACH</t>
  </si>
  <si>
    <t>DEPT OF VETERANS AFFAIRS</t>
  </si>
  <si>
    <t>EMPLOYMENT DEVELOPMENT</t>
  </si>
  <si>
    <t>DEPT OF HIGHWAY PATROL</t>
  </si>
  <si>
    <t>DEPT OF TRANSPORTATION</t>
  </si>
  <si>
    <t>CALIFORNIA STATE LIBRARY</t>
  </si>
  <si>
    <t>COMISSION ON TEACHER</t>
  </si>
  <si>
    <t>CALIF. COMMISSION ON AGING</t>
  </si>
  <si>
    <t>DEPT OF BOATING</t>
  </si>
  <si>
    <t>#808 -  (400.600)</t>
  </si>
  <si>
    <t>STATE WATER QUALITY CTRL</t>
  </si>
  <si>
    <t>815</t>
  </si>
  <si>
    <t>835</t>
  </si>
  <si>
    <t>100</t>
  </si>
  <si>
    <t>0678</t>
  </si>
  <si>
    <t>#835 - (500.200)</t>
  </si>
  <si>
    <t>300</t>
  </si>
  <si>
    <t>400</t>
  </si>
  <si>
    <t>808</t>
  </si>
  <si>
    <t>810</t>
  </si>
  <si>
    <t>830</t>
  </si>
  <si>
    <t>900</t>
  </si>
  <si>
    <t>Chap-Agy #</t>
  </si>
  <si>
    <t>O/S COMP</t>
  </si>
  <si>
    <t>O/S MED</t>
  </si>
  <si>
    <t>TOTAL</t>
  </si>
  <si>
    <t xml:space="preserve">CSU SAN MARCOS </t>
  </si>
  <si>
    <t>WILDLIFE CONSERVATION BRD</t>
  </si>
  <si>
    <t>Agency ID</t>
  </si>
  <si>
    <t>Exp Code</t>
  </si>
  <si>
    <t>Fund#</t>
  </si>
  <si>
    <t>Hier1</t>
  </si>
  <si>
    <t>Hier2</t>
  </si>
  <si>
    <t>0001</t>
  </si>
  <si>
    <t>0110</t>
  </si>
  <si>
    <t>0840</t>
  </si>
  <si>
    <t>0160</t>
  </si>
  <si>
    <t>8855</t>
  </si>
  <si>
    <t>0690</t>
  </si>
  <si>
    <t>0890</t>
  </si>
  <si>
    <t>200</t>
  </si>
  <si>
    <t>3460</t>
  </si>
  <si>
    <t>0552</t>
  </si>
  <si>
    <t>3900</t>
  </si>
  <si>
    <t>8260</t>
  </si>
  <si>
    <t>6870</t>
  </si>
  <si>
    <t>3720</t>
  </si>
  <si>
    <t>3540</t>
  </si>
  <si>
    <t>0820</t>
  </si>
  <si>
    <t>4180</t>
  </si>
  <si>
    <t>3340</t>
  </si>
  <si>
    <t>6120</t>
  </si>
  <si>
    <t>3125</t>
  </si>
  <si>
    <t>0850</t>
  </si>
  <si>
    <t>6360</t>
  </si>
  <si>
    <t>6840</t>
  </si>
  <si>
    <t>6740</t>
  </si>
  <si>
    <t>5175</t>
  </si>
  <si>
    <t>4170</t>
  </si>
  <si>
    <t>2100</t>
  </si>
  <si>
    <t>3480</t>
  </si>
  <si>
    <t>1700</t>
  </si>
  <si>
    <t>8660</t>
  </si>
  <si>
    <t>3600</t>
  </si>
  <si>
    <t>4260</t>
  </si>
  <si>
    <t>2720</t>
  </si>
  <si>
    <t>2240</t>
  </si>
  <si>
    <t>7350</t>
  </si>
  <si>
    <t>0845</t>
  </si>
  <si>
    <t>4440</t>
  </si>
  <si>
    <t>2740</t>
  </si>
  <si>
    <t>3790</t>
  </si>
  <si>
    <t>5160</t>
  </si>
  <si>
    <t>5180</t>
  </si>
  <si>
    <t>3960</t>
  </si>
  <si>
    <t>2660</t>
  </si>
  <si>
    <t>3860</t>
  </si>
  <si>
    <t>7100</t>
  </si>
  <si>
    <t>3980</t>
  </si>
  <si>
    <t>8620</t>
  </si>
  <si>
    <t>0500</t>
  </si>
  <si>
    <t>8940</t>
  </si>
  <si>
    <t>4140</t>
  </si>
  <si>
    <t>5420</t>
  </si>
  <si>
    <t>3360</t>
  </si>
  <si>
    <t>3820</t>
  </si>
  <si>
    <t>0860</t>
  </si>
  <si>
    <t>To Balance</t>
  </si>
  <si>
    <t>Total By Fund Hierarchy</t>
  </si>
  <si>
    <t>250</t>
  </si>
  <si>
    <t>0562</t>
  </si>
  <si>
    <t>600</t>
  </si>
  <si>
    <t>950</t>
  </si>
  <si>
    <t>450</t>
  </si>
  <si>
    <t>0318</t>
  </si>
  <si>
    <t>150</t>
  </si>
  <si>
    <t>0555</t>
  </si>
  <si>
    <t>4100</t>
  </si>
  <si>
    <t>0407</t>
  </si>
  <si>
    <t>% Reimb by (or to) Fed. Trust Fund
[L/(K+L)]</t>
  </si>
  <si>
    <t>Balance</t>
  </si>
  <si>
    <t>Workers' Compensation Liability</t>
  </si>
  <si>
    <t>Prior Yr.% from</t>
  </si>
  <si>
    <t>Short-term</t>
  </si>
  <si>
    <t xml:space="preserve">% of Total </t>
  </si>
  <si>
    <t>KO717 Total</t>
  </si>
  <si>
    <t xml:space="preserve"> SCIF letter</t>
  </si>
  <si>
    <t>Liability</t>
  </si>
  <si>
    <t>Outstanding</t>
  </si>
  <si>
    <t>(Total billed)</t>
  </si>
  <si>
    <t>(related to py)</t>
  </si>
  <si>
    <t>B5*C5</t>
  </si>
  <si>
    <t>S-T %</t>
  </si>
  <si>
    <t>Total paid</t>
  </si>
  <si>
    <t>Total O/S</t>
  </si>
  <si>
    <t>% of Total O/S</t>
  </si>
  <si>
    <t>Enterprise Funds</t>
  </si>
  <si>
    <t>Allocated to GF &amp; SR</t>
  </si>
  <si>
    <t xml:space="preserve">Total </t>
  </si>
  <si>
    <t>General Fund</t>
  </si>
  <si>
    <t>Special Revenue Funds</t>
  </si>
  <si>
    <t>Workers'</t>
  </si>
  <si>
    <t>Comp</t>
  </si>
  <si>
    <t>Expend. Code</t>
  </si>
  <si>
    <t>WC Liability</t>
  </si>
  <si>
    <t>Discounted</t>
  </si>
  <si>
    <t>%</t>
  </si>
  <si>
    <t>*  State of California's Self-Insured Employee Workers' Compensation Program (SCIF)</t>
  </si>
  <si>
    <t>Discounts</t>
  </si>
  <si>
    <t>Discount</t>
  </si>
  <si>
    <t>PricewaterhouseCoopers in 1,000s</t>
  </si>
  <si>
    <t>=</t>
  </si>
  <si>
    <t>Basic Financial Statements and Supplementary Information</t>
  </si>
  <si>
    <t>#810 - fund 0890</t>
  </si>
  <si>
    <t>#820 - fund 0890</t>
  </si>
  <si>
    <t>#825 - fund 0890</t>
  </si>
  <si>
    <t>#835 - fund 0890</t>
  </si>
  <si>
    <t>Total unpaid claims and claims adjustment at June 30, 2003</t>
  </si>
  <si>
    <t>Total Estimated Outstanding Workers' Compensation Liability</t>
  </si>
  <si>
    <t>(amounts in 1,000's)</t>
  </si>
  <si>
    <t>Total General Fund</t>
  </si>
  <si>
    <t>200-100</t>
  </si>
  <si>
    <t>#815 - fund 0890</t>
  </si>
  <si>
    <t>200-150</t>
  </si>
  <si>
    <t>#830 - fund 0042</t>
  </si>
  <si>
    <t>#830 - fund 0044</t>
  </si>
  <si>
    <t>200-250</t>
  </si>
  <si>
    <t>#810 - fund 0407</t>
  </si>
  <si>
    <t>200-300</t>
  </si>
  <si>
    <t>200-450</t>
  </si>
  <si>
    <t>200-950</t>
  </si>
  <si>
    <t>Total Special Revenue Funds</t>
  </si>
  <si>
    <t>Total Enterprise Funds</t>
  </si>
  <si>
    <t>Internal Service Funds</t>
  </si>
  <si>
    <t>Total Internal Service Funds</t>
  </si>
  <si>
    <t>Total Proprietary Funds</t>
  </si>
  <si>
    <t xml:space="preserve">Grand Total </t>
  </si>
  <si>
    <t>Actuarial Review as of June 30, 2003</t>
  </si>
  <si>
    <t>SCIF Discounted Workers' Compensation Liability (@ 20.5%)</t>
  </si>
  <si>
    <t>CSUS Discounted WC Liability (9%)</t>
  </si>
  <si>
    <t>9730</t>
  </si>
  <si>
    <t>Distributed</t>
  </si>
  <si>
    <t>Wrkrs Comp</t>
  </si>
  <si>
    <t>Expenditure</t>
  </si>
  <si>
    <t>Expense</t>
  </si>
  <si>
    <t>Codes</t>
  </si>
  <si>
    <t>100 Total</t>
  </si>
  <si>
    <t>200 Total</t>
  </si>
  <si>
    <t>400 Total</t>
  </si>
  <si>
    <t>500 Total</t>
  </si>
  <si>
    <t>600 Total</t>
  </si>
  <si>
    <t>800 Total</t>
  </si>
  <si>
    <t>900 Total</t>
  </si>
  <si>
    <t>Grand Total</t>
  </si>
  <si>
    <t>150 Total</t>
  </si>
  <si>
    <t>250 Total</t>
  </si>
  <si>
    <t>300 Total</t>
  </si>
  <si>
    <t>450 Total</t>
  </si>
  <si>
    <t>950 Total</t>
  </si>
  <si>
    <t>808 Total</t>
  </si>
  <si>
    <t>810 Total</t>
  </si>
  <si>
    <t>815 Total</t>
  </si>
  <si>
    <t>820 Total</t>
  </si>
  <si>
    <t>825 Total</t>
  </si>
  <si>
    <t>835 Total</t>
  </si>
  <si>
    <t>830 Total</t>
  </si>
  <si>
    <t>#808 - fund 0890</t>
  </si>
  <si>
    <t>#820 - fund 0044</t>
  </si>
  <si>
    <t>#808 - fund 0111</t>
  </si>
  <si>
    <t>#808 - fund 0217</t>
  </si>
  <si>
    <t>0655</t>
  </si>
  <si>
    <t>0692</t>
  </si>
  <si>
    <t>0808</t>
  </si>
  <si>
    <t>0810</t>
  </si>
  <si>
    <t>0815</t>
  </si>
  <si>
    <t>0825</t>
  </si>
  <si>
    <t>0950</t>
  </si>
  <si>
    <t>GF Total</t>
  </si>
  <si>
    <t>SUBTOTAL - K0215 (w/o Hiers 400, 500, or 900)</t>
  </si>
  <si>
    <t>DEPT OF YOUTH AUTHORITY</t>
  </si>
  <si>
    <t>STATE COUNCIL ON DEV</t>
  </si>
  <si>
    <t>4110</t>
  </si>
  <si>
    <t>CALIFORNIA SENIOR LEGISLATIURE</t>
  </si>
  <si>
    <t>4185</t>
  </si>
  <si>
    <t>0140</t>
  </si>
  <si>
    <t>4250</t>
  </si>
  <si>
    <t>0639</t>
  </si>
  <si>
    <t>550</t>
  </si>
  <si>
    <t>550 Total</t>
  </si>
  <si>
    <t>Subtract the Proprietary Funds</t>
  </si>
  <si>
    <t>DEPT OF TECHNOLOGY (Teale Data Center)</t>
  </si>
  <si>
    <t>GOVERNOR'S COMMITTEE ON EMPOYMENT OF PEOPLE WITH DISABILITIES</t>
  </si>
  <si>
    <t>1955</t>
  </si>
  <si>
    <t>200-550</t>
  </si>
  <si>
    <t>#815 - fund 0639</t>
  </si>
  <si>
    <t>HEALTH &amp; WELFARE DATA CENTER</t>
  </si>
  <si>
    <t>KERN VALLEY STATE PRISON</t>
  </si>
  <si>
    <t>4265</t>
  </si>
  <si>
    <t>STATE CONTROLLER'S USE ONLY</t>
  </si>
  <si>
    <t>DOCUMENT NO.</t>
  </si>
  <si>
    <t>DATE</t>
  </si>
  <si>
    <t>MSG Code</t>
  </si>
  <si>
    <t>STATE OF CALIFORNIA</t>
  </si>
  <si>
    <t>TC  Code</t>
  </si>
  <si>
    <t>PREPARED BY:</t>
  </si>
  <si>
    <t>OFFICE OF THE STATE CONTROLLER</t>
  </si>
  <si>
    <t>A</t>
  </si>
  <si>
    <t>35</t>
  </si>
  <si>
    <t>1</t>
  </si>
  <si>
    <t>of</t>
  </si>
  <si>
    <t>DC</t>
  </si>
  <si>
    <t>SCO USE</t>
  </si>
  <si>
    <t>SOURCE</t>
  </si>
  <si>
    <t>FUND</t>
  </si>
  <si>
    <t>AGY</t>
  </si>
  <si>
    <t>FY</t>
  </si>
  <si>
    <t>M</t>
  </si>
  <si>
    <t>REF/ITEM</t>
  </si>
  <si>
    <t>RED CAT</t>
  </si>
  <si>
    <t>P/N</t>
  </si>
  <si>
    <t>C</t>
  </si>
  <si>
    <t>CAT</t>
  </si>
  <si>
    <t>PGM</t>
  </si>
  <si>
    <t>ELE</t>
  </si>
  <si>
    <t>COMP</t>
  </si>
  <si>
    <t>TASK</t>
  </si>
  <si>
    <t>ACCT</t>
  </si>
  <si>
    <t>SCO</t>
  </si>
  <si>
    <t>REV/OBJ</t>
  </si>
  <si>
    <t>AMOUNT</t>
  </si>
  <si>
    <t>T</t>
  </si>
  <si>
    <t>O</t>
  </si>
  <si>
    <t>B</t>
  </si>
  <si>
    <t>G</t>
  </si>
  <si>
    <t xml:space="preserve"> </t>
  </si>
  <si>
    <t>DESCRIPTION</t>
  </si>
  <si>
    <t>CA503 PC VERSION (7/99)</t>
  </si>
  <si>
    <t/>
  </si>
  <si>
    <t>S</t>
  </si>
  <si>
    <t>D</t>
  </si>
  <si>
    <t>9142</t>
  </si>
  <si>
    <t>RECORD LT W/C LIAB</t>
  </si>
  <si>
    <t>RECORD CHANGE IN W/C LIAB</t>
  </si>
  <si>
    <t>9</t>
  </si>
  <si>
    <t>2</t>
  </si>
  <si>
    <t>3</t>
  </si>
  <si>
    <t>4</t>
  </si>
  <si>
    <t>5</t>
  </si>
  <si>
    <t>6</t>
  </si>
  <si>
    <t>7</t>
  </si>
  <si>
    <t>8</t>
  </si>
  <si>
    <t>Federal Trust Fund Allocation for General Fund Agencies</t>
  </si>
  <si>
    <t>Total Liability</t>
  </si>
  <si>
    <t>RELASS CY PORTION OF W/C</t>
  </si>
  <si>
    <t xml:space="preserve">CSU, NORTHRIDGE </t>
  </si>
  <si>
    <t>BOARD OF CHIRO EXAMINERS</t>
  </si>
  <si>
    <t>Gov. Activities</t>
  </si>
  <si>
    <t>Beginning</t>
  </si>
  <si>
    <t>Addition</t>
  </si>
  <si>
    <t>Deduction</t>
  </si>
  <si>
    <t>Total</t>
  </si>
  <si>
    <t>Current</t>
  </si>
  <si>
    <t>NonCurrent</t>
  </si>
  <si>
    <t>Total Primary Gov.</t>
  </si>
  <si>
    <t>Service Revolving Fund</t>
  </si>
  <si>
    <t>Current Liab</t>
  </si>
  <si>
    <t>Noncurrent Liab</t>
  </si>
  <si>
    <t>Architecture Revolving Fund</t>
  </si>
  <si>
    <t>Acct 655</t>
  </si>
  <si>
    <t>Acct 692</t>
  </si>
  <si>
    <t>0510</t>
  </si>
  <si>
    <t>Fund Class 1 Total - Governmental Activities</t>
  </si>
  <si>
    <t>Internal Service Funds:</t>
  </si>
  <si>
    <t>Enterprise Funds:</t>
  </si>
  <si>
    <t>Other Government Activities:</t>
  </si>
  <si>
    <t>(Audited Statement)</t>
  </si>
  <si>
    <t>Fund Class 2 Total - Enterprise Activities</t>
  </si>
  <si>
    <t>(Summary)</t>
  </si>
  <si>
    <t>State of California's Total Self-Insured Employee Workers' Compensation Programs, Discounted for Present Value:</t>
  </si>
  <si>
    <t>Prison Industries Revolving Fund</t>
  </si>
  <si>
    <t>Fund</t>
  </si>
  <si>
    <t>TOTAL GOVERNMENT WIDE</t>
  </si>
  <si>
    <t>Enterprise</t>
  </si>
  <si>
    <t>Noncurrent:</t>
  </si>
  <si>
    <t>Current:</t>
  </si>
  <si>
    <t>Total Current</t>
  </si>
  <si>
    <t>Agency</t>
  </si>
  <si>
    <t>State of Ca Discounted Workers' Compensation Liability (SCIF Workers Compensation Program) from Actuarial Review</t>
  </si>
  <si>
    <t>Total Workers' Compensation Liability From All State Programs</t>
  </si>
  <si>
    <t>CALCULATION OF PRIMARY GOVERNMENT ADJUSTMENT:</t>
  </si>
  <si>
    <t>9865</t>
  </si>
  <si>
    <t>6440</t>
  </si>
  <si>
    <t>Government Wide Adjustment</t>
  </si>
  <si>
    <t>CA Housing Finance Fund (CPA)</t>
  </si>
  <si>
    <t>0649 &amp;9328)</t>
  </si>
  <si>
    <t>CA School Finance Authority (CPA)</t>
  </si>
  <si>
    <t>State Compensation Insurance Fund (CPA)</t>
  </si>
  <si>
    <t>CA Alternative Energy Source Finance Authority</t>
  </si>
  <si>
    <t>Calif Infrastructure &amp; Economic Development Bank (CPA)</t>
  </si>
  <si>
    <t xml:space="preserve">Federal Student Loan Reserve Fund </t>
  </si>
  <si>
    <t xml:space="preserve">Student Loan Operating Fund </t>
  </si>
  <si>
    <t>CA Health Facilities Finance Authority - no audit; look into loans</t>
  </si>
  <si>
    <t>Education Facilities Authority Fund (CPA) - INPUT WITH 0954</t>
  </si>
  <si>
    <t>Student Loan Authority Fund(CPA) - INPUT WITH 0911</t>
  </si>
  <si>
    <t>EDFUND (CPA 9/30/xx year-end))</t>
  </si>
  <si>
    <t xml:space="preserve">Del Mar Race Track Authority (CPA) </t>
  </si>
  <si>
    <t>CA Expo &amp; State Fair (CPA)</t>
  </si>
  <si>
    <t>CA Pollution Control Finance Authority</t>
  </si>
  <si>
    <t>CA Urban Waterfront Area Restoration Fund</t>
  </si>
  <si>
    <t>Race Track Leasing Commission (CPA)</t>
  </si>
  <si>
    <t>California Health Trust Fund</t>
  </si>
  <si>
    <t>SAFE-BIDCO</t>
  </si>
  <si>
    <t>District Agriculture Association</t>
  </si>
  <si>
    <t>CSU Auxilliary Organizations (From CSU Audit)</t>
  </si>
  <si>
    <t>UC Hastings School of Law (CPA)</t>
  </si>
  <si>
    <t>University of CA (CPA)</t>
  </si>
  <si>
    <t>0526</t>
  </si>
  <si>
    <t>0512</t>
  </si>
  <si>
    <t>0528</t>
  </si>
  <si>
    <t>0783</t>
  </si>
  <si>
    <t>0784</t>
  </si>
  <si>
    <t>0795</t>
  </si>
  <si>
    <t>0904</t>
  </si>
  <si>
    <t>0911</t>
  </si>
  <si>
    <t>0954</t>
  </si>
  <si>
    <t>0930</t>
  </si>
  <si>
    <t>0982</t>
  </si>
  <si>
    <t>0989</t>
  </si>
  <si>
    <t>0999</t>
  </si>
  <si>
    <t>Schedule of Changes in Self-Insurance Claims</t>
  </si>
  <si>
    <t>Years Ended June 30</t>
  </si>
  <si>
    <t>(amounts in thousands)</t>
  </si>
  <si>
    <t>for business-type activities.</t>
  </si>
  <si>
    <t>Primary Government</t>
  </si>
  <si>
    <t>University of California</t>
  </si>
  <si>
    <t>Discretely Presented Component Units</t>
  </si>
  <si>
    <t>*</t>
  </si>
  <si>
    <t>*Includes</t>
  </si>
  <si>
    <t xml:space="preserve">     Total</t>
  </si>
  <si>
    <t>Discretely Presented ComponentS:</t>
  </si>
  <si>
    <t>Noncurrent</t>
  </si>
  <si>
    <t>rounding included as needed</t>
  </si>
  <si>
    <t>Other Self-Insurance Liabilities</t>
  </si>
  <si>
    <t>Reduction from Totals for Audit Statement Entries Already Posted</t>
  </si>
  <si>
    <t>Discretely Presented Component:</t>
  </si>
  <si>
    <t>Other Self-Insurance Claims Liability</t>
  </si>
  <si>
    <t>Workers' Compensation</t>
  </si>
  <si>
    <t>Auxiliary</t>
  </si>
  <si>
    <t>University</t>
  </si>
  <si>
    <t>Self-Insurance Claims Liability</t>
  </si>
  <si>
    <t>NEED TO ADD ALL "OTHER SELF-INSURANCE" INFORMATION TO TASK FOR 2011/2012.  Table 46 for Note 20 not to include other self-insurance per BSA unless risk increases</t>
  </si>
  <si>
    <t>Proprietary funds  (Internal Service &amp; Enterprise)</t>
  </si>
  <si>
    <t>Public Employee's Benefits</t>
  </si>
  <si>
    <t>0855</t>
  </si>
  <si>
    <t>0567</t>
  </si>
  <si>
    <t>8820</t>
  </si>
  <si>
    <t>MHSOAC</t>
  </si>
  <si>
    <t>4560</t>
  </si>
  <si>
    <t>5225</t>
  </si>
  <si>
    <t>#808 - fund 0567</t>
  </si>
  <si>
    <t>CURRENT WORKERS COMP AMT</t>
  </si>
  <si>
    <t>Additions and Deductions, Enterprise</t>
  </si>
  <si>
    <t>Ending Balance</t>
  </si>
  <si>
    <t>Less Proprietary</t>
  </si>
  <si>
    <t xml:space="preserve">  </t>
  </si>
  <si>
    <t xml:space="preserve">Totals </t>
  </si>
  <si>
    <t>Gov Wide Adj</t>
  </si>
  <si>
    <t>8880</t>
  </si>
  <si>
    <t>POMONA STATE POLY UNIVERSITY</t>
  </si>
  <si>
    <t>6770</t>
  </si>
  <si>
    <t>2665</t>
  </si>
  <si>
    <t>CDCR-CHCF-STOCKTON</t>
  </si>
  <si>
    <t>CCHCS-SOUTHERN REGION</t>
  </si>
  <si>
    <t>CCHCS-AVENAL STATE PRISON</t>
  </si>
  <si>
    <t>CCHCS-CHCF-STOCKTON</t>
  </si>
  <si>
    <t>PRISON INDUSTRY AUTHORITY - VSPW</t>
  </si>
  <si>
    <t>DEPT STATE HOSPITAL - STOCKTON</t>
  </si>
  <si>
    <t>CA DEPT OF TECHNOLOGY</t>
  </si>
  <si>
    <t>CA STATE TRANSP AGENCY</t>
  </si>
  <si>
    <t>6980</t>
  </si>
  <si>
    <t>WC Record Asset DFOG</t>
  </si>
  <si>
    <t>0025</t>
  </si>
  <si>
    <t>0719</t>
  </si>
  <si>
    <t>CA STATE AUDITOR'S OFFICE</t>
  </si>
  <si>
    <t>CDCR-BOARD OF PRISON TERMS</t>
  </si>
  <si>
    <t>VICTIM COMP &amp; GOV CLMS BD</t>
  </si>
  <si>
    <t>CA AFRICAN AMERICAN MUSEUM</t>
  </si>
  <si>
    <t>CALIFORNIA ARTS COUNCIL</t>
  </si>
  <si>
    <t>CA DEPT OF HUMAN RESOURCES</t>
  </si>
  <si>
    <t>BOARD GOV CA COMM COLLEGE</t>
  </si>
  <si>
    <t>DEPT OF MANAGED CARE</t>
  </si>
  <si>
    <t>SECRETARY RESOURCES AGENCY</t>
  </si>
  <si>
    <t>CDCR-RJ DONOVAN CORR FAC</t>
  </si>
  <si>
    <t>CDCR-N. CA WOMEN FACILITY</t>
  </si>
  <si>
    <t>CDCR-INMATE ACCTNG BRANCH</t>
  </si>
  <si>
    <t>CDCR-RICHARD MCGEE CTC</t>
  </si>
  <si>
    <t>CDCR-CCI TEHACHAPI</t>
  </si>
  <si>
    <t>CDCR-CA MEN'S COLONY</t>
  </si>
  <si>
    <t>CDCR-PAROLES &amp; COMMUNITY</t>
  </si>
  <si>
    <t>CDCR-FOLSOM STATE PRISON</t>
  </si>
  <si>
    <t>CDCR-CA MEDICAL FACILITY</t>
  </si>
  <si>
    <t>CDCR-CA REHAB CENTER</t>
  </si>
  <si>
    <t>CDCR-CA INST FOR MEN</t>
  </si>
  <si>
    <t>CDCR-IWF-CA INST FOR MEN</t>
  </si>
  <si>
    <t>CDCR-CORCORAN STATE PRISON</t>
  </si>
  <si>
    <t>CDCR-CA INST FOR WOMEN</t>
  </si>
  <si>
    <t>CDCR-SAN QUENTIN ST PRISON</t>
  </si>
  <si>
    <t>CDCR-SIERRA CONSERV CTR</t>
  </si>
  <si>
    <t>CDCR-SOLEDAD CTF</t>
  </si>
  <si>
    <t>CDCR-DEUEL VOCATIONAL INST</t>
  </si>
  <si>
    <t>CDCR-IWF-DEUEL VOC INST</t>
  </si>
  <si>
    <t>CDCR-CA CITY CORRECTIONAL</t>
  </si>
  <si>
    <t>CDCR-CALIPATRIA ST PRISON</t>
  </si>
  <si>
    <t>CDCR-WASCO STATE PRISON</t>
  </si>
  <si>
    <t>CDCR-NO KERN STATE PRISON</t>
  </si>
  <si>
    <t>CDCR-IWF-CALIPATRIA STATE</t>
  </si>
  <si>
    <t>CDCR-CSP SACRAMENTO COUNTY</t>
  </si>
  <si>
    <t>CDCR-CENTRAL CA WOMEN FAC</t>
  </si>
  <si>
    <t>CDCR-PELICAN BAY STATE PRI</t>
  </si>
  <si>
    <t>CDCR-CENTINELA STATE PRI</t>
  </si>
  <si>
    <t>CDCR-PLEASANT VALLEY SP</t>
  </si>
  <si>
    <t>CDCR-IRONWOOD STATE PRISON</t>
  </si>
  <si>
    <t>CDCR-IWF-IRONWOOD SP</t>
  </si>
  <si>
    <t>CDCR-CA SUBSTANCE ABUSE &amp;</t>
  </si>
  <si>
    <t>CDCR-JJ-WASHINGTON RIDGE</t>
  </si>
  <si>
    <t>CDCR-JJ-ADMIN &amp; PAROLE</t>
  </si>
  <si>
    <t>CDCR-JJ-NO CA YOUTH</t>
  </si>
  <si>
    <t>CDCR-JJ-SO CA YOUTH</t>
  </si>
  <si>
    <t>CDCR-JJ-FRED C NELLES</t>
  </si>
  <si>
    <t>CDCR-JJ-KARL HOLTON</t>
  </si>
  <si>
    <t>CDCR-JJ-EL PASO DE ROBLES</t>
  </si>
  <si>
    <t>CDCR-JJ-DEWITT NELSON</t>
  </si>
  <si>
    <t>CDCR-JJ-PRESTON SCHOOL</t>
  </si>
  <si>
    <t>CDCR-JJ-PINE GROVE YOUTH</t>
  </si>
  <si>
    <t>CDCR-JJ-VENTURA SCHOOL</t>
  </si>
  <si>
    <t>CDCR-JJ-HENAN G STARK</t>
  </si>
  <si>
    <t>CDCR-JJ-NO CA YOUTH CTR</t>
  </si>
  <si>
    <t>CDCR-JJ-SO CA YOUTH CTR</t>
  </si>
  <si>
    <t>CDCR-JJ-O H CLOSE SCHOOL</t>
  </si>
  <si>
    <t>CDCR-JJ-CHADERJIAN SCHOOL</t>
  </si>
  <si>
    <t>DOJ-LAW ENFORCEMENT</t>
  </si>
  <si>
    <t>DOJ-FEDERAL GRANTS</t>
  </si>
  <si>
    <t>DSH-COALINGA</t>
  </si>
  <si>
    <t>DSH-ATASCADERO</t>
  </si>
  <si>
    <t>DSH-NAPA</t>
  </si>
  <si>
    <t>DSH-VACAVILLE</t>
  </si>
  <si>
    <t>DSH-METROPOLITAN</t>
  </si>
  <si>
    <t>DSH-SALINAS</t>
  </si>
  <si>
    <t>DSH-PATTON</t>
  </si>
  <si>
    <t>DDS-AGNEWS</t>
  </si>
  <si>
    <t>DDS-CAMARILLO</t>
  </si>
  <si>
    <t>DDS-ADMINISTRATION</t>
  </si>
  <si>
    <t>DDS-LANTERMAN</t>
  </si>
  <si>
    <t>DDS-CANYON SPRINGS</t>
  </si>
  <si>
    <t>DDS-SIERRA VISTA</t>
  </si>
  <si>
    <t>DDS-SONOMA</t>
  </si>
  <si>
    <t>DDS-STOCKTON</t>
  </si>
  <si>
    <t>DDS-PORTERVILLE</t>
  </si>
  <si>
    <t>DDS-FAIRVIEW</t>
  </si>
  <si>
    <t>PUBLIC UTILITIES COMMISSION</t>
  </si>
  <si>
    <t>CA DEPT OF PUBLIC HEALTH</t>
  </si>
  <si>
    <t>DVA-VETERANS' HOME OF CA</t>
  </si>
  <si>
    <t>DVA-BARSTOW VETERANS HOME</t>
  </si>
  <si>
    <t>DVA-CHULA VISTA VETERANS</t>
  </si>
  <si>
    <t>DVA-GLAVC</t>
  </si>
  <si>
    <t>DVA-REDDING VETERANS HOME</t>
  </si>
  <si>
    <t>DEPT OF FISH &amp; WILDLIFE</t>
  </si>
  <si>
    <t>FISH &amp; WILDLIFE WARDENS</t>
  </si>
  <si>
    <t>CALPERS</t>
  </si>
  <si>
    <t>CA GAMBLING CONTROL COMMI</t>
  </si>
  <si>
    <t>OFFICE OF ENVIRONMENTAL HEALTH HAZARD</t>
  </si>
  <si>
    <t>OFFICE OF ENVIRONMENTAL PROTECTION AGENCY</t>
  </si>
  <si>
    <t>STATE CONTROLLER'S OFFICE-FI$CAL</t>
  </si>
  <si>
    <t>CDCR-IWF-PLEASANT VLY SP</t>
  </si>
  <si>
    <t>CDCR-IWF-R.J. DONOVAN CF</t>
  </si>
  <si>
    <t>CDCR INMATE ACCTNG BRANCH</t>
  </si>
  <si>
    <t>SALINAS VALLEY STATE</t>
  </si>
  <si>
    <t>CCHCS-NORTHERN REGION</t>
  </si>
  <si>
    <t>DVA-FRESNO VETERANS HOME</t>
  </si>
  <si>
    <t>SAN DIEGO RIV CONSERVANCY</t>
  </si>
  <si>
    <t>DEPT CHILD SUPPORT SERVCS</t>
  </si>
  <si>
    <t>RIVERS &amp; MOUNTAINS CONSERV</t>
  </si>
  <si>
    <t>(Agency prepared statement)</t>
  </si>
  <si>
    <t>0917</t>
  </si>
  <si>
    <t>#808 -  (400.900)</t>
  </si>
  <si>
    <t>7760</t>
  </si>
  <si>
    <t>7502</t>
  </si>
  <si>
    <t>FI$CAL</t>
  </si>
  <si>
    <t>BOARD OF STATE &amp; COMMUNITY</t>
  </si>
  <si>
    <t>CDCR-IWF-CORCORAN SP</t>
  </si>
  <si>
    <t>CDCR-IWF-CA INST FOR WOMEN</t>
  </si>
  <si>
    <t>CDCR - IWF - LANCASTER SP</t>
  </si>
  <si>
    <t>PIA - SUBSTANCE ABUSE</t>
  </si>
  <si>
    <t>PIA - SALINAS VALLEY STATE</t>
  </si>
  <si>
    <t>NATIVE AMERICAN HERITAGE</t>
  </si>
  <si>
    <t>#825 - fund 3036</t>
  </si>
  <si>
    <t>825  Total</t>
  </si>
  <si>
    <t>#825 - fund 0929</t>
  </si>
  <si>
    <t>#825 - fund 0067</t>
  </si>
  <si>
    <t xml:space="preserve"> 808  Total</t>
  </si>
  <si>
    <t>0521</t>
  </si>
  <si>
    <t>PIA - HIGH DESERT STATE</t>
  </si>
  <si>
    <t>CDCR-IWF-CCI-TEHACHAPI</t>
  </si>
  <si>
    <t>DSH-SACRAMENTO</t>
  </si>
  <si>
    <t>DEPT OF ALCOHOLIC BEVERAGE</t>
  </si>
  <si>
    <t>STATE PUBLIC DEFENDER</t>
  </si>
  <si>
    <t>CDCR INMATE ACCTING BRANCH</t>
  </si>
  <si>
    <t>CDCR-IWF-CTF SOLEDAD</t>
  </si>
  <si>
    <t>CDCR-IWF-WASCO ST PRISON</t>
  </si>
  <si>
    <t>CDCR-IWF-CENTINELA SP</t>
  </si>
  <si>
    <t>CDCR-IWF-KERN VALLEY SP</t>
  </si>
  <si>
    <t>PIA-KERN VALLEY ST PRISON</t>
  </si>
  <si>
    <t>PIA-IRONWOOD ST PRISON</t>
  </si>
  <si>
    <t>SIERRA NEVADA CONSERVANCY</t>
  </si>
  <si>
    <t>CA HEALTH BENEFIT EXCHANGE</t>
  </si>
  <si>
    <t>8140</t>
  </si>
  <si>
    <t>3760</t>
  </si>
  <si>
    <t>0565</t>
  </si>
  <si>
    <t>3855</t>
  </si>
  <si>
    <t>4800</t>
  </si>
  <si>
    <t>3845</t>
  </si>
  <si>
    <t>9751</t>
  </si>
  <si>
    <t>#808 - (500.900)</t>
  </si>
  <si>
    <t>#820 - fund 0140</t>
  </si>
  <si>
    <t>#820 - fund 0565</t>
  </si>
  <si>
    <t>10</t>
  </si>
  <si>
    <t>7870</t>
  </si>
  <si>
    <t>1111</t>
  </si>
  <si>
    <t>0565001</t>
  </si>
  <si>
    <t>Fund Class 3 Total - Discretely Presented Component</t>
  </si>
  <si>
    <t>Public Safety Comm. Revolving Fund</t>
  </si>
  <si>
    <t>Note:</t>
  </si>
  <si>
    <t>STATE SENATE EMPLOYEE</t>
  </si>
  <si>
    <t>STATE ASSEMBLY</t>
  </si>
  <si>
    <t>CDCR-IWF-SACRAMENTO SP</t>
  </si>
  <si>
    <t>LABOR &amp; WORKFORCE DEV AGY</t>
  </si>
  <si>
    <t>CA DEPT OF CORRECTIONS AND REHAB</t>
  </si>
  <si>
    <t>CDCR-CHCF-PSYCHIATRIC</t>
  </si>
  <si>
    <t>CDCR-CMF-PSYCHIATRIC</t>
  </si>
  <si>
    <t>CDCR-SVSP-PSYCHIATRIC</t>
  </si>
  <si>
    <t>PIA-CALIPATRIA</t>
  </si>
  <si>
    <t>PIA-CA MEDICAL FACILITY</t>
  </si>
  <si>
    <t>CA DEPT. OF TAX AND FEE</t>
  </si>
  <si>
    <t>7600</t>
  </si>
  <si>
    <t>CSU,CALIF MARITIME ACADEMY</t>
  </si>
  <si>
    <t>6752</t>
  </si>
  <si>
    <t>OFFICE OF TAX APPEALS</t>
  </si>
  <si>
    <t>GOV OFFC PLANNING/RESEARCH</t>
  </si>
  <si>
    <t>DEPT OF RESOURCES</t>
  </si>
  <si>
    <t>CDCR-MULE CREEK ST PRISON</t>
  </si>
  <si>
    <t>5227</t>
  </si>
  <si>
    <t>OFFICE EMERGENCY SERVICES</t>
  </si>
  <si>
    <t>CA STUDENT AID COMMISSION</t>
  </si>
  <si>
    <t>UNEMPLOYMENT INS APPS BD</t>
  </si>
  <si>
    <t>OFFC OF THE INSPECTOR GENERAL</t>
  </si>
  <si>
    <t>PUBLIC EMPLMT RELATION BD</t>
  </si>
  <si>
    <t>FAIR POLITICAL PRACT COMM</t>
  </si>
  <si>
    <t>DEPT FAIR EMPLMT &amp; HOUSING</t>
  </si>
  <si>
    <t>CA COASTAL COMMISSION</t>
  </si>
  <si>
    <t>CA TAHOE CONSERVANCY</t>
  </si>
  <si>
    <t>DEPT OF HOUSING &amp; COM DEV</t>
  </si>
  <si>
    <t>OFFICE OF STATEWIDE</t>
  </si>
  <si>
    <t>ENERGY RESOURCES COMM</t>
  </si>
  <si>
    <t>SAN FRANCISCO BAY CONSERV.</t>
  </si>
  <si>
    <t>OFFICE OF SYSTEMS</t>
  </si>
  <si>
    <t>DEPARTMENT OF AGING</t>
  </si>
  <si>
    <t>CA STATE TEACHER'S RETIREMENT SYSTEM</t>
  </si>
  <si>
    <t>WATER RESOURCES CONTROL</t>
  </si>
  <si>
    <t>DEPT ALCOHOLIC BEVER CTRL</t>
  </si>
  <si>
    <t>CDCR-AVENAL STATE PRISON</t>
  </si>
  <si>
    <t>CDCR-LANCASTER ST PRISON</t>
  </si>
  <si>
    <t>CDCR-CHUCKAWALLA VALLEY</t>
  </si>
  <si>
    <t>CDCR-INMATE WC CLAIMS</t>
  </si>
  <si>
    <t>CA DEPT OF CORR &amp; REHAB</t>
  </si>
  <si>
    <t>CDCR-CA CORRECTIONAL CTR</t>
  </si>
  <si>
    <t>CDCR-IWF-SAN QUENTIN</t>
  </si>
  <si>
    <t>CDCR-IWF-NORTH KERN SP</t>
  </si>
  <si>
    <t>CDCR-IWF-PELICAN BAY SP</t>
  </si>
  <si>
    <t>CDCR-IWF-CA SUBS ABUSE</t>
  </si>
  <si>
    <t>CALIFORNIA STATE PRISON</t>
  </si>
  <si>
    <t>SALINAS VALLEY ST.PRISON</t>
  </si>
  <si>
    <t>CCHCS-SIERRA CONSERVATION</t>
  </si>
  <si>
    <t>PIA-MULE CREEK ST PRISON</t>
  </si>
  <si>
    <t>PIA-AVENAL STATE PRISON</t>
  </si>
  <si>
    <t>PIA-CCI TEHACHAPI</t>
  </si>
  <si>
    <t>PIA-CA MEN'S COLONY</t>
  </si>
  <si>
    <t>PIA-CENTRAL OFFICE</t>
  </si>
  <si>
    <t>PIA-CORCORAN</t>
  </si>
  <si>
    <t>PIA-SACRAMENTO</t>
  </si>
  <si>
    <t>PIA-SOLANO</t>
  </si>
  <si>
    <t>PIA-CA INST FOR MEN</t>
  </si>
  <si>
    <t>PIA-SAN QUENTIN</t>
  </si>
  <si>
    <t>PIA-SOLEDAD CTF</t>
  </si>
  <si>
    <t>PIA-DEUEL VOCATIONAL INST</t>
  </si>
  <si>
    <t>PIA-FOLSOM</t>
  </si>
  <si>
    <t>PIA-CENTRAL CA WOMENS FAC</t>
  </si>
  <si>
    <t>PIA-R.J. DONOVAN CORR FAC</t>
  </si>
  <si>
    <t>PIA-PELICAN BAY STATE PRI</t>
  </si>
  <si>
    <t>DEPT. OF REHABILITATION</t>
  </si>
  <si>
    <t>DOE-SCHOOL FOR THE BLIND</t>
  </si>
  <si>
    <t>DOE-CENTRAL CA DIAGNOSTIC</t>
  </si>
  <si>
    <t>DOE-NORTHERN CA DIAGNOSTIC</t>
  </si>
  <si>
    <t>DOE-FREMONT DEAF SCHOOL</t>
  </si>
  <si>
    <t>DOE-RIVERSIDE DEAF SCHOOL</t>
  </si>
  <si>
    <t>STATE BRD OF EQUALIZATION</t>
  </si>
  <si>
    <t>DEPARTMENT OF FINANCE</t>
  </si>
  <si>
    <t>DGS-ADMINISTRATION</t>
  </si>
  <si>
    <t>DGS-OFC STATE PUBLISHING</t>
  </si>
  <si>
    <t>DGS-BUILDING GROUNDS</t>
  </si>
  <si>
    <t>DGS-OFFC STATE PUBLISHING</t>
  </si>
  <si>
    <t>DEPT. OF GENERAL SERVICES</t>
  </si>
  <si>
    <t>DEPT OF MOTOR VEHICLES</t>
  </si>
  <si>
    <t>DEPT OF INDUSTRL RELATIONS</t>
  </si>
  <si>
    <t>DEPT OF JUSTICE</t>
  </si>
  <si>
    <t>ACCOUNTING</t>
  </si>
  <si>
    <t>DEPT OF HEALTH CARE SVCS</t>
  </si>
  <si>
    <t>DEPARTMENT OF TOXIC</t>
  </si>
  <si>
    <t>MILITARY DEPARTMENT</t>
  </si>
  <si>
    <t>DEPT OF FORESTRY &amp; FIRE</t>
  </si>
  <si>
    <t>DEPARTMENT OF CONSUMER AFFAIRS</t>
  </si>
  <si>
    <t>CA DEPT OF WATER RESOURCES</t>
  </si>
  <si>
    <t>DIV RES DEV-RIGHT OF WAY</t>
  </si>
  <si>
    <t>DIV OPERATIONS AND MAIN</t>
  </si>
  <si>
    <t>DIV DESIGN AND CONST</t>
  </si>
  <si>
    <t>NORTHERN DISTRICT</t>
  </si>
  <si>
    <t>CENTRAL DISTRICT</t>
  </si>
  <si>
    <t>SAN JOAQUIN DISTRICT</t>
  </si>
  <si>
    <t>SOUTHERN DISTRICT</t>
  </si>
  <si>
    <t>CA CONSERVATION CORPS</t>
  </si>
  <si>
    <t>CA-CONSERVATION CORPS</t>
  </si>
  <si>
    <t>EDD-EMPYMT TRAINING PANEL</t>
  </si>
  <si>
    <t>DEPT OF CA HIGHWAY PATROL</t>
  </si>
  <si>
    <t>CDCR-YOUTHFUL OFFENDER</t>
  </si>
  <si>
    <t>CA HORSE RACING BOARD</t>
  </si>
  <si>
    <t>CA HOUSING FINANCE AGENCY</t>
  </si>
  <si>
    <t>AREA DEV DISABILITIES BOARD VII</t>
  </si>
  <si>
    <t>Claim payments</t>
  </si>
  <si>
    <t>Liabilities Beg. Bal.</t>
  </si>
  <si>
    <t>Liabilities End. Bal.</t>
  </si>
  <si>
    <t>CSUS Discounted WC Liability</t>
  </si>
  <si>
    <t>Breakdown of Workers' Compensation by Exp Code</t>
  </si>
  <si>
    <t>Sum of Exp 830 - fund 0042</t>
  </si>
  <si>
    <t>Sum of Exp 830 - fund 0044</t>
  </si>
  <si>
    <t>Exp 820 - fund 0044</t>
  </si>
  <si>
    <t>Exp 830 - fund 0064</t>
  </si>
  <si>
    <t>Exp 808 - fund 0111</t>
  </si>
  <si>
    <t>Exp 808 - fund 0567</t>
  </si>
  <si>
    <t>Exp 810 - fund 0407</t>
  </si>
  <si>
    <t>Exp 808 - fund 0217</t>
  </si>
  <si>
    <t>Exp 820 - fund 0387</t>
  </si>
  <si>
    <t>Exp 820 - fund 0014</t>
  </si>
  <si>
    <t>Exp 820 - fund 0565</t>
  </si>
  <si>
    <t>Exp 825 - fund 0929</t>
  </si>
  <si>
    <t>Exp 815 - fund 0639</t>
  </si>
  <si>
    <t>Exp 815 - fund 0121</t>
  </si>
  <si>
    <t>Sum of Exp 820 - fund 0439</t>
  </si>
  <si>
    <t>Sum of Exp 820 - fund 0200</t>
  </si>
  <si>
    <t>3825</t>
  </si>
  <si>
    <t>Sum of Exp 825 - fund 3036</t>
  </si>
  <si>
    <t>7320</t>
  </si>
  <si>
    <t>7501</t>
  </si>
  <si>
    <t>8955</t>
  </si>
  <si>
    <t>6100</t>
  </si>
  <si>
    <t>3100</t>
  </si>
  <si>
    <t>3105</t>
  </si>
  <si>
    <t>3780</t>
  </si>
  <si>
    <t>7730</t>
  </si>
  <si>
    <t>7900</t>
  </si>
  <si>
    <t>7920</t>
  </si>
  <si>
    <t>1701</t>
  </si>
  <si>
    <t>4150</t>
  </si>
  <si>
    <t>3970</t>
  </si>
  <si>
    <t>1750</t>
  </si>
  <si>
    <t>Information for Note 17 Risk Management</t>
  </si>
  <si>
    <t>Incurred claims</t>
  </si>
  <si>
    <t>NOTE 17: RISK MANAGEMENT</t>
  </si>
  <si>
    <t>GL Account</t>
  </si>
  <si>
    <t>Sum</t>
  </si>
  <si>
    <t xml:space="preserve">* Not part of Table 40 in Note 17; provided for Note </t>
  </si>
  <si>
    <t>TABLE 40</t>
  </si>
  <si>
    <t>See Summary tab, 'Current/Non-Current Workers' Comp Liability for Enterprise and Internal Service Funds' section</t>
  </si>
  <si>
    <t>8860</t>
  </si>
  <si>
    <t>Lottery Additions/Deductions</t>
  </si>
  <si>
    <t xml:space="preserve">Add Claim Pmts from audit </t>
  </si>
  <si>
    <t>0559</t>
  </si>
  <si>
    <t>4300</t>
  </si>
  <si>
    <t>Gov Wide Entries for Fund 9142</t>
  </si>
  <si>
    <t>3153</t>
  </si>
  <si>
    <t>Exp 825 - fund 3153</t>
  </si>
  <si>
    <t>#825 - fund 3153</t>
  </si>
  <si>
    <t>CSU Auxiliary Organizations (From CSU Audit)</t>
  </si>
  <si>
    <t>Total Discounted Workers' Compensation Liability (20.2%)</t>
  </si>
  <si>
    <t>Less</t>
  </si>
  <si>
    <t>Current Portions</t>
  </si>
  <si>
    <t>Portion</t>
  </si>
  <si>
    <t>Sum of Exp 820 - fund 0318</t>
  </si>
  <si>
    <t>Workers' Comp</t>
  </si>
  <si>
    <t>Discounted Liability</t>
  </si>
  <si>
    <t>Current/Non-Current Workers' Comp Liab for Enterprise and Internal Service Funds from Audit Reports/Agency Submitted Adjustments</t>
  </si>
  <si>
    <t>6760</t>
  </si>
  <si>
    <t>6610</t>
  </si>
  <si>
    <t>Actuarial Review</t>
  </si>
  <si>
    <t>Exp 815 - fund 0933</t>
  </si>
  <si>
    <t>#815 - fund 0933</t>
  </si>
  <si>
    <t>Fund 0870</t>
  </si>
  <si>
    <t>Sum of Exp 815 - Fund 0870</t>
  </si>
  <si>
    <t>Sum of Exp 815 - Fund 0001</t>
  </si>
  <si>
    <t>Exp 808 - fund 0462</t>
  </si>
  <si>
    <t>#808 - fund 0462</t>
  </si>
  <si>
    <t>CSURMA (California State University Risk Management Authority)</t>
  </si>
  <si>
    <t>Primary Government - Gov. Activities &amp; Enterprise fund 
(amounts in thousands)</t>
  </si>
  <si>
    <t xml:space="preserve"> Breakdown of Primary Government (amounts in thousands)</t>
  </si>
  <si>
    <t>Red = New Agencies on K0215 Report</t>
  </si>
  <si>
    <t xml:space="preserve">Total Outstanding Workers' Compensation Liability  </t>
  </si>
  <si>
    <t xml:space="preserve">Discounted Liability Workers' Compensation Liability  </t>
  </si>
  <si>
    <t>RECONCILIATION OF WORKERS' COMPENSATION FROM STATEMENTS &amp; GOVERNMENT WIDE ADJUSTMENT TO GL FINAL BALANCE</t>
  </si>
  <si>
    <t>TOTAL PRIMARY GOVERNMENT WORKERS' COMPENSATION</t>
  </si>
  <si>
    <t>Should match Total Workers' Comp Liability From All State Programs</t>
  </si>
  <si>
    <t>Should match Government Wide Ledger for Workers' Comp</t>
  </si>
  <si>
    <t>CSU WC Liability (CSURMA Workers' Compensation Program) from audited statements</t>
  </si>
  <si>
    <t>Adjustment to State Workers' Comp Liability for Primary Government</t>
  </si>
  <si>
    <t>New Workers' Comp above</t>
  </si>
  <si>
    <t xml:space="preserve">Workers' Compensation Discount Amount  </t>
  </si>
  <si>
    <t>7503</t>
  </si>
  <si>
    <t>General Fund
(in thousands)</t>
  </si>
  <si>
    <t>Federal Funds
(in thousands)</t>
  </si>
  <si>
    <t>DEPT COMMUNITY SVCS &amp; DEV</t>
  </si>
  <si>
    <t>DEPARTMENT OF INSURANCE</t>
  </si>
  <si>
    <t>CALPIA</t>
  </si>
  <si>
    <t>DEPARTMENT OF REAL ESTATE</t>
  </si>
  <si>
    <t>0317</t>
  </si>
  <si>
    <t>Exp 825 - fund 0317</t>
  </si>
  <si>
    <t>#825 - fund 0317</t>
  </si>
  <si>
    <t>7910</t>
  </si>
  <si>
    <t>Sum of Exp 825 - fund 0067</t>
  </si>
  <si>
    <t>0223</t>
  </si>
  <si>
    <t>Exp 815 - fund 0223</t>
  </si>
  <si>
    <t>0702</t>
  </si>
  <si>
    <t>Sum of Exp 825 - fund 0702</t>
  </si>
  <si>
    <t>3211</t>
  </si>
  <si>
    <t>Sum of Exp 820 - fund 3211</t>
  </si>
  <si>
    <t>3046</t>
  </si>
  <si>
    <t>Exp 820 - fund 3046</t>
  </si>
  <si>
    <t>HIGH SPEED RAIL AUTHORITY</t>
  </si>
  <si>
    <t>COMMISSION STATUS OF WOMEN</t>
  </si>
  <si>
    <t>0120</t>
  </si>
  <si>
    <t>0026</t>
  </si>
  <si>
    <t>03-475</t>
  </si>
  <si>
    <t>30-000</t>
  </si>
  <si>
    <t>99-999</t>
  </si>
  <si>
    <t>03-002</t>
  </si>
  <si>
    <t>03-004</t>
  </si>
  <si>
    <t>03-007</t>
  </si>
  <si>
    <t>03-008</t>
  </si>
  <si>
    <t>03-430</t>
  </si>
  <si>
    <t>03-368</t>
  </si>
  <si>
    <t>03-370</t>
  </si>
  <si>
    <t>03-297</t>
  </si>
  <si>
    <t>03-329</t>
  </si>
  <si>
    <t>03-163</t>
  </si>
  <si>
    <t>30-419</t>
  </si>
  <si>
    <t>30-420</t>
  </si>
  <si>
    <t>30-423</t>
  </si>
  <si>
    <t>11-051</t>
  </si>
  <si>
    <t>33-333</t>
  </si>
  <si>
    <t>21-290</t>
  </si>
  <si>
    <t>21-291</t>
  </si>
  <si>
    <t>03-426</t>
  </si>
  <si>
    <t>03-352</t>
  </si>
  <si>
    <t>03-363</t>
  </si>
  <si>
    <t>03-325</t>
  </si>
  <si>
    <t>99-292</t>
  </si>
  <si>
    <t>57-573</t>
  </si>
  <si>
    <t>57-574</t>
  </si>
  <si>
    <t>57-575</t>
  </si>
  <si>
    <t>57-576</t>
  </si>
  <si>
    <t>57-577</t>
  </si>
  <si>
    <t>57-578</t>
  </si>
  <si>
    <t>57-830</t>
  </si>
  <si>
    <t>42-564</t>
  </si>
  <si>
    <t>03-040</t>
  </si>
  <si>
    <t>03-333</t>
  </si>
  <si>
    <t>03-590</t>
  </si>
  <si>
    <t>99-275</t>
  </si>
  <si>
    <t>03-815</t>
  </si>
  <si>
    <t>24-300</t>
  </si>
  <si>
    <t>03-009</t>
  </si>
  <si>
    <t>03-305</t>
  </si>
  <si>
    <t>18-174</t>
  </si>
  <si>
    <t>18-184</t>
  </si>
  <si>
    <t>18-193</t>
  </si>
  <si>
    <t>18-199</t>
  </si>
  <si>
    <t>18-202</t>
  </si>
  <si>
    <t>18-204</t>
  </si>
  <si>
    <t>18-205</t>
  </si>
  <si>
    <t>56-650</t>
  </si>
  <si>
    <t>55-240</t>
  </si>
  <si>
    <t>55-253</t>
  </si>
  <si>
    <t>56-653</t>
  </si>
  <si>
    <t>55-196</t>
  </si>
  <si>
    <t>33-670</t>
  </si>
  <si>
    <t>99-175</t>
  </si>
  <si>
    <t>03-364</t>
  </si>
  <si>
    <t>03-270</t>
  </si>
  <si>
    <t>03-797</t>
  </si>
  <si>
    <t>03-397</t>
  </si>
  <si>
    <t>99-795</t>
  </si>
  <si>
    <t>03-279</t>
  </si>
  <si>
    <t>74-280</t>
  </si>
  <si>
    <t>74-281</t>
  </si>
  <si>
    <t>03-315</t>
  </si>
  <si>
    <t>17-000</t>
  </si>
  <si>
    <t>17-813</t>
  </si>
  <si>
    <t>52-580</t>
  </si>
  <si>
    <t>52-581</t>
  </si>
  <si>
    <t>34-802</t>
  </si>
  <si>
    <t>34-803</t>
  </si>
  <si>
    <t>34-804</t>
  </si>
  <si>
    <t>34-805</t>
  </si>
  <si>
    <t>34-806</t>
  </si>
  <si>
    <t>34-807</t>
  </si>
  <si>
    <t>34-808</t>
  </si>
  <si>
    <t>34-809</t>
  </si>
  <si>
    <t>33-505</t>
  </si>
  <si>
    <t>33-468</t>
  </si>
  <si>
    <t>33-473</t>
  </si>
  <si>
    <t>33-453</t>
  </si>
  <si>
    <t>33-518</t>
  </si>
  <si>
    <t>33-497</t>
  </si>
  <si>
    <t>33-504</t>
  </si>
  <si>
    <t>33-515</t>
  </si>
  <si>
    <t>32-437</t>
  </si>
  <si>
    <t>33-506</t>
  </si>
  <si>
    <t>33-507</t>
  </si>
  <si>
    <t>32-461</t>
  </si>
  <si>
    <t>32-463</t>
  </si>
  <si>
    <t>32-455</t>
  </si>
  <si>
    <t>33-457</t>
  </si>
  <si>
    <t>32-487</t>
  </si>
  <si>
    <t>32-480</t>
  </si>
  <si>
    <t>32-482</t>
  </si>
  <si>
    <t>32-502</t>
  </si>
  <si>
    <t>33-511</t>
  </si>
  <si>
    <t>33-512</t>
  </si>
  <si>
    <t>12-936</t>
  </si>
  <si>
    <t>12-937</t>
  </si>
  <si>
    <t>32-486</t>
  </si>
  <si>
    <t>32-488</t>
  </si>
  <si>
    <t>03-016</t>
  </si>
  <si>
    <t>54-800</t>
  </si>
  <si>
    <t>40-541</t>
  </si>
  <si>
    <t>40-542</t>
  </si>
  <si>
    <t>40-543</t>
  </si>
  <si>
    <t>40-544</t>
  </si>
  <si>
    <t>40-545</t>
  </si>
  <si>
    <t>40-546</t>
  </si>
  <si>
    <t>03-340</t>
  </si>
  <si>
    <t>99-812</t>
  </si>
  <si>
    <t>03-348</t>
  </si>
  <si>
    <t>03-722</t>
  </si>
  <si>
    <t>99-361</t>
  </si>
  <si>
    <t>03-314</t>
  </si>
  <si>
    <t>99-556</t>
  </si>
  <si>
    <t>38-548</t>
  </si>
  <si>
    <t>38-549</t>
  </si>
  <si>
    <t>38-551</t>
  </si>
  <si>
    <t>03-355</t>
  </si>
  <si>
    <t>03-317</t>
  </si>
  <si>
    <t>99-811</t>
  </si>
  <si>
    <t>03-326</t>
  </si>
  <si>
    <t>03-328</t>
  </si>
  <si>
    <t>03-037</t>
  </si>
  <si>
    <t>12-025</t>
  </si>
  <si>
    <t>12-027</t>
  </si>
  <si>
    <t>12-072</t>
  </si>
  <si>
    <t>12-031</t>
  </si>
  <si>
    <t>12-032</t>
  </si>
  <si>
    <t>12-042</t>
  </si>
  <si>
    <t>12-044</t>
  </si>
  <si>
    <t>12-048</t>
  </si>
  <si>
    <t>12-054</t>
  </si>
  <si>
    <t>12-055</t>
  </si>
  <si>
    <t>12-059</t>
  </si>
  <si>
    <t>12-061</t>
  </si>
  <si>
    <t>12-062</t>
  </si>
  <si>
    <t>12-065</t>
  </si>
  <si>
    <t>12-066</t>
  </si>
  <si>
    <t>12-068</t>
  </si>
  <si>
    <t>12-069</t>
  </si>
  <si>
    <t>12-070</t>
  </si>
  <si>
    <t>12-079</t>
  </si>
  <si>
    <t>12-080</t>
  </si>
  <si>
    <t>12-085</t>
  </si>
  <si>
    <t>12-088</t>
  </si>
  <si>
    <t>12-097</t>
  </si>
  <si>
    <t>12-183</t>
  </si>
  <si>
    <t>12-382</t>
  </si>
  <si>
    <t>12-390</t>
  </si>
  <si>
    <t>12-398</t>
  </si>
  <si>
    <t>12-588</t>
  </si>
  <si>
    <t>12-086</t>
  </si>
  <si>
    <t>12-098</t>
  </si>
  <si>
    <t>12-099</t>
  </si>
  <si>
    <t>12-105</t>
  </si>
  <si>
    <t>12-106</t>
  </si>
  <si>
    <t>12-939</t>
  </si>
  <si>
    <t>12-082</t>
  </si>
  <si>
    <t>12-108</t>
  </si>
  <si>
    <t>12-191</t>
  </si>
  <si>
    <t>12-039</t>
  </si>
  <si>
    <t>12-915</t>
  </si>
  <si>
    <t>15-110</t>
  </si>
  <si>
    <t>12-116</t>
  </si>
  <si>
    <t>12-919</t>
  </si>
  <si>
    <t>12-921</t>
  </si>
  <si>
    <t>12-100</t>
  </si>
  <si>
    <t>12-101</t>
  </si>
  <si>
    <t>12-934</t>
  </si>
  <si>
    <t>12-935</t>
  </si>
  <si>
    <t>12-056</t>
  </si>
  <si>
    <t>12-076</t>
  </si>
  <si>
    <t>12-284</t>
  </si>
  <si>
    <t>12-084</t>
  </si>
  <si>
    <t>12-674</t>
  </si>
  <si>
    <t>12-435</t>
  </si>
  <si>
    <t>12-436</t>
  </si>
  <si>
    <t>12-403</t>
  </si>
  <si>
    <t>12-285</t>
  </si>
  <si>
    <t>12-587</t>
  </si>
  <si>
    <t>12-597</t>
  </si>
  <si>
    <t>12-675</t>
  </si>
  <si>
    <t>12-676</t>
  </si>
  <si>
    <t>12-038</t>
  </si>
  <si>
    <t>12-026</t>
  </si>
  <si>
    <t>12-028</t>
  </si>
  <si>
    <t>12-444</t>
  </si>
  <si>
    <t>03-123</t>
  </si>
  <si>
    <t>12-445</t>
  </si>
  <si>
    <t>12-030</t>
  </si>
  <si>
    <t>12-394</t>
  </si>
  <si>
    <t>12-381</t>
  </si>
  <si>
    <t>12-178</t>
  </si>
  <si>
    <t>12-180</t>
  </si>
  <si>
    <t>12-182</t>
  </si>
  <si>
    <t>12-071</t>
  </si>
  <si>
    <t>12-095</t>
  </si>
  <si>
    <t>12-190</t>
  </si>
  <si>
    <t>13-382</t>
  </si>
  <si>
    <t>14-188</t>
  </si>
  <si>
    <t>14-064</t>
  </si>
  <si>
    <t>14-083</t>
  </si>
  <si>
    <t>14-091</t>
  </si>
  <si>
    <t>14-129</t>
  </si>
  <si>
    <t>14-140</t>
  </si>
  <si>
    <t>14-463</t>
  </si>
  <si>
    <t>14-486</t>
  </si>
  <si>
    <t>14-488</t>
  </si>
  <si>
    <t>12-057</t>
  </si>
  <si>
    <t>12-103</t>
  </si>
  <si>
    <t>12-181</t>
  </si>
  <si>
    <t>12-404</t>
  </si>
  <si>
    <t>12-916</t>
  </si>
  <si>
    <t>16-045</t>
  </si>
  <si>
    <t>16-047</t>
  </si>
  <si>
    <t>16-052</t>
  </si>
  <si>
    <t>16-058</t>
  </si>
  <si>
    <t>16-063</t>
  </si>
  <si>
    <t>16-073</t>
  </si>
  <si>
    <t>16-074</t>
  </si>
  <si>
    <t>16-075</t>
  </si>
  <si>
    <t>16-081</t>
  </si>
  <si>
    <t>16-083</t>
  </si>
  <si>
    <t>16-087</t>
  </si>
  <si>
    <t>16-921</t>
  </si>
  <si>
    <t>16-104</t>
  </si>
  <si>
    <t>16-107</t>
  </si>
  <si>
    <t>16-939</t>
  </si>
  <si>
    <t>16-179</t>
  </si>
  <si>
    <t>16-189</t>
  </si>
  <si>
    <t>16-287</t>
  </si>
  <si>
    <t>16-383</t>
  </si>
  <si>
    <t>16-391</t>
  </si>
  <si>
    <t>16-392</t>
  </si>
  <si>
    <t>16-096</t>
  </si>
  <si>
    <t>16-589</t>
  </si>
  <si>
    <t>16-933</t>
  </si>
  <si>
    <t>16-968</t>
  </si>
  <si>
    <t>16-918</t>
  </si>
  <si>
    <t>16-969</t>
  </si>
  <si>
    <t>16-970</t>
  </si>
  <si>
    <t>16-177</t>
  </si>
  <si>
    <t>16-966</t>
  </si>
  <si>
    <t>16-393</t>
  </si>
  <si>
    <t>16-399</t>
  </si>
  <si>
    <t>15-041</t>
  </si>
  <si>
    <t>99-112</t>
  </si>
  <si>
    <t>15-137</t>
  </si>
  <si>
    <t>15-134</t>
  </si>
  <si>
    <t>15-142</t>
  </si>
  <si>
    <t>15-145</t>
  </si>
  <si>
    <t>15-143</t>
  </si>
  <si>
    <t>15-111</t>
  </si>
  <si>
    <t>15-113</t>
  </si>
  <si>
    <t>15-127</t>
  </si>
  <si>
    <t>15-115</t>
  </si>
  <si>
    <t>15-128</t>
  </si>
  <si>
    <t>15-194</t>
  </si>
  <si>
    <t>15-125</t>
  </si>
  <si>
    <t>15-146</t>
  </si>
  <si>
    <t>15-131</t>
  </si>
  <si>
    <t>15-135</t>
  </si>
  <si>
    <t>15-138</t>
  </si>
  <si>
    <t>15-140</t>
  </si>
  <si>
    <t>03-917</t>
  </si>
  <si>
    <t>15-116</t>
  </si>
  <si>
    <t>15-120</t>
  </si>
  <si>
    <t>15-133</t>
  </si>
  <si>
    <t>15-109</t>
  </si>
  <si>
    <t>15-121</t>
  </si>
  <si>
    <t>36-006</t>
  </si>
  <si>
    <t>99-792</t>
  </si>
  <si>
    <t>99-793</t>
  </si>
  <si>
    <t>99-316</t>
  </si>
  <si>
    <t>99-817</t>
  </si>
  <si>
    <t>54-817</t>
  </si>
  <si>
    <t>99-801</t>
  </si>
  <si>
    <t>03-673</t>
  </si>
  <si>
    <t>80-559</t>
  </si>
  <si>
    <t>80-700</t>
  </si>
  <si>
    <t>80-701</t>
  </si>
  <si>
    <t>80-702</t>
  </si>
  <si>
    <t>80-900</t>
  </si>
  <si>
    <t>80-901</t>
  </si>
  <si>
    <t>80-902</t>
  </si>
  <si>
    <t>80-903</t>
  </si>
  <si>
    <t>80-904</t>
  </si>
  <si>
    <t>80-905</t>
  </si>
  <si>
    <t>80-906</t>
  </si>
  <si>
    <t>80-907</t>
  </si>
  <si>
    <t>80-908</t>
  </si>
  <si>
    <t>80-909</t>
  </si>
  <si>
    <t>80-910</t>
  </si>
  <si>
    <t>80-911</t>
  </si>
  <si>
    <t>80-912</t>
  </si>
  <si>
    <t>80-913</t>
  </si>
  <si>
    <t>80-914</t>
  </si>
  <si>
    <t>80-923</t>
  </si>
  <si>
    <t>80-925</t>
  </si>
  <si>
    <t>80-927</t>
  </si>
  <si>
    <t>80-928</t>
  </si>
  <si>
    <t>80-929</t>
  </si>
  <si>
    <t>80-930</t>
  </si>
  <si>
    <t>80-931</t>
  </si>
  <si>
    <t>80-932</t>
  </si>
  <si>
    <t>99-311</t>
  </si>
  <si>
    <t>99-703</t>
  </si>
  <si>
    <t>77-388</t>
  </si>
  <si>
    <t>80-694</t>
  </si>
  <si>
    <t>99-699</t>
  </si>
  <si>
    <t>78-386</t>
  </si>
  <si>
    <t>78-389</t>
  </si>
  <si>
    <t>99-413</t>
  </si>
  <si>
    <t>09-014</t>
  </si>
  <si>
    <t>99-293</t>
  </si>
  <si>
    <t>48-680</t>
  </si>
  <si>
    <t>03-537</t>
  </si>
  <si>
    <t>99-192</t>
  </si>
  <si>
    <t>03-409</t>
  </si>
  <si>
    <t>03-407</t>
  </si>
  <si>
    <t>03-410</t>
  </si>
  <si>
    <t>03-417</t>
  </si>
  <si>
    <t>03-414</t>
  </si>
  <si>
    <t>44-996</t>
  </si>
  <si>
    <t>03-620</t>
  </si>
  <si>
    <t>99-395</t>
  </si>
  <si>
    <t>06-024</t>
  </si>
  <si>
    <t>03-022</t>
  </si>
  <si>
    <t>03-357</t>
  </si>
  <si>
    <t>03-534</t>
  </si>
  <si>
    <t>03-535</t>
  </si>
  <si>
    <t>39-538</t>
  </si>
  <si>
    <t>83-565</t>
  </si>
  <si>
    <t>83-566</t>
  </si>
  <si>
    <t>83-567</t>
  </si>
  <si>
    <t>03-570</t>
  </si>
  <si>
    <t>99-415</t>
  </si>
  <si>
    <t>03-835</t>
  </si>
  <si>
    <t>03-880</t>
  </si>
  <si>
    <t>99-347</t>
  </si>
  <si>
    <t>99-998</t>
  </si>
  <si>
    <t>03-536</t>
  </si>
  <si>
    <t>03-401</t>
  </si>
  <si>
    <t>35-810</t>
  </si>
  <si>
    <t>03-319</t>
  </si>
  <si>
    <t>03-441</t>
  </si>
  <si>
    <t>27-400</t>
  </si>
  <si>
    <t>99-796</t>
  </si>
  <si>
    <t>68-532</t>
  </si>
  <si>
    <t>68-533</t>
  </si>
  <si>
    <t>46-358</t>
  </si>
  <si>
    <t>25-306</t>
  </si>
  <si>
    <t>25-307</t>
  </si>
  <si>
    <t>25-308</t>
  </si>
  <si>
    <t>25-720</t>
  </si>
  <si>
    <t>25-716</t>
  </si>
  <si>
    <t>25-717</t>
  </si>
  <si>
    <t>25-718</t>
  </si>
  <si>
    <t>25-719</t>
  </si>
  <si>
    <t>99-330</t>
  </si>
  <si>
    <t>25-331</t>
  </si>
  <si>
    <t>03-791</t>
  </si>
  <si>
    <t>60-840</t>
  </si>
  <si>
    <t>60-841</t>
  </si>
  <si>
    <t>60-842</t>
  </si>
  <si>
    <t>60-843</t>
  </si>
  <si>
    <t>60-844</t>
  </si>
  <si>
    <t>60-846</t>
  </si>
  <si>
    <t>60-847</t>
  </si>
  <si>
    <t>60-848</t>
  </si>
  <si>
    <t>99-690</t>
  </si>
  <si>
    <t>99-697</t>
  </si>
  <si>
    <t>99-695</t>
  </si>
  <si>
    <t>03-790</t>
  </si>
  <si>
    <t>26-525</t>
  </si>
  <si>
    <t>99-693</t>
  </si>
  <si>
    <t>Total from SCIF Letter to SARD</t>
  </si>
  <si>
    <t>Federal Trust Fund (200-100) Amount
(J*M)</t>
  </si>
  <si>
    <t>General Fund or Applicable Fund Total
(J-N)</t>
  </si>
  <si>
    <t>#825 - fund 0702</t>
  </si>
  <si>
    <t>#820 - fund 3211</t>
  </si>
  <si>
    <t>#820 - fund 3046</t>
  </si>
  <si>
    <t>#815 - fund 0223</t>
  </si>
  <si>
    <t>Sum of Exp 820 - fund 0140</t>
  </si>
  <si>
    <t>Rounding
Adjustment</t>
  </si>
  <si>
    <t>Summary tab
(Actuals)</t>
  </si>
  <si>
    <t>Special Funds</t>
  </si>
  <si>
    <t>Total Special Funds 0890</t>
  </si>
  <si>
    <t>Total Special Funds</t>
  </si>
  <si>
    <t>Rounded
(Input)</t>
  </si>
  <si>
    <t>Difference
(C-B)</t>
  </si>
  <si>
    <t>TC 35 tabs
(Actuals)</t>
  </si>
  <si>
    <t>Purpose:</t>
  </si>
  <si>
    <t>To check for rounding adjustments that need to be made for the TC 35 entries.</t>
  </si>
  <si>
    <t>Procedure:</t>
  </si>
  <si>
    <t>TC 35
(Adjusted Input)</t>
  </si>
  <si>
    <t>Gov Wide Entries</t>
  </si>
  <si>
    <t>Gov Wide tab
(Actuals)</t>
  </si>
  <si>
    <t>Total Gov Wide Entries</t>
  </si>
  <si>
    <t>Discount %</t>
  </si>
  <si>
    <t>SCIF Discounted Workers' Compensation Liability</t>
  </si>
  <si>
    <t>Total Discounted Workers' Compensation Liability</t>
  </si>
  <si>
    <t>EXPOSITION PARK (RETITLED FROM CALIFORNIA SCIENCE CENTER TO EXPOSITION PARK)</t>
  </si>
  <si>
    <t>SECRETARY FOR TRANSPORTATION AGENCY (RETITLED FROM BUSINESS, TRANSPORTATION AND HOUSING AGENCY TO SECRETARY FOR TRANSPORTATION AGENCY)</t>
  </si>
  <si>
    <t>SECRETARY FOR TRANSPORTATION AGENCY (RETITLED FROM OFFICE OF TRAFFIC SAFETY TO SECRETARY FOR TRANSPORTATION AGENCY)</t>
  </si>
  <si>
    <t>CALIFORNIA CHILDREN AND FAMILIES COMMISSION (FIRST FIVE CALIFORNIA IS NOT THE OFFICIAL NAME PER UCM)</t>
  </si>
  <si>
    <t>DEPT OF TECHNOLOGY (Was Trade and Commerce)</t>
  </si>
  <si>
    <t>Enterprise Funds (Hier 400)</t>
  </si>
  <si>
    <t>Internal Services Funds (Hier 500)</t>
  </si>
  <si>
    <t>Percentage *</t>
  </si>
  <si>
    <t>Current WC Allocation*</t>
  </si>
  <si>
    <t>Outstanding*</t>
  </si>
  <si>
    <t>Percentage*</t>
  </si>
  <si>
    <t xml:space="preserve"> Allocation*</t>
  </si>
  <si>
    <t>Non Curr. WC Benefits Payable (Grand Total less Current W/C Allocation -GF-SR-PF)*</t>
  </si>
  <si>
    <t>*Totals may not foot due to rounding.</t>
  </si>
  <si>
    <t>9746</t>
  </si>
  <si>
    <t>Govn</t>
  </si>
  <si>
    <t>Governmental Non Current Liability</t>
  </si>
  <si>
    <t>Non Current</t>
  </si>
  <si>
    <t>% of Current</t>
  </si>
  <si>
    <t>Govn WC</t>
  </si>
  <si>
    <t>Technology Services Revolving Fund</t>
  </si>
  <si>
    <t>Natural Gas Services Program Fund</t>
  </si>
  <si>
    <t>State Motor Vehicle Insurance Account</t>
  </si>
  <si>
    <t>State Lottery Fund</t>
  </si>
  <si>
    <t>Inmate Welfare Fund</t>
  </si>
  <si>
    <t>Unpaid claims, beginning</t>
  </si>
  <si>
    <t>Unpaid claims, ending</t>
  </si>
  <si>
    <t>Include in note under table, if not included in Note 9</t>
  </si>
  <si>
    <t>Expenditure*</t>
  </si>
  <si>
    <t>*Total may not foot due to rounding.</t>
  </si>
  <si>
    <t>Current Year Exp
Codes*</t>
  </si>
  <si>
    <t>Prior Year Exp Codes*</t>
  </si>
  <si>
    <t>12-067</t>
  </si>
  <si>
    <t>CDCR-IWF-CA CORRECTIONAL</t>
  </si>
  <si>
    <t>16-405</t>
  </si>
  <si>
    <t>PIA-CENTINELA STATE PRISON</t>
  </si>
  <si>
    <t>99-356</t>
  </si>
  <si>
    <t>COMMISSION ON STATE MANDATES</t>
  </si>
  <si>
    <t>8885</t>
  </si>
  <si>
    <t>DEPT OF BUSINESS OVERSIGHT</t>
  </si>
  <si>
    <t>16-967</t>
  </si>
  <si>
    <t>CALPIA-NORTH KERN STATE PRISON</t>
  </si>
  <si>
    <t>03-001</t>
  </si>
  <si>
    <t>STATE ASSEMBLY ASSEMBLY MEMBERS-ONLY</t>
  </si>
  <si>
    <t>74-036</t>
  </si>
  <si>
    <t>0952</t>
  </si>
  <si>
    <t>OFFICE OF ENVIRONMENTAL HEALTH HAZARD ASSESSMENT</t>
  </si>
  <si>
    <t>DEPT OF TECHNOLOGY</t>
  </si>
  <si>
    <t>CA INST FOR REGENERATIVE MEDICINE</t>
  </si>
  <si>
    <t>99-162</t>
  </si>
  <si>
    <t>CA DEPT OF VETERAN'S AFFAIRS - HOME AND FARM</t>
  </si>
  <si>
    <t>57-831</t>
  </si>
  <si>
    <t>PUBLIC UTILITIES COMMISSIO</t>
  </si>
  <si>
    <t>DOE-SOUTHERN CA DIAGNOSTIC CENTER</t>
  </si>
  <si>
    <t>PIA-SALINAS VALLEY STATE PRISON</t>
  </si>
  <si>
    <t>PIA - CA MEDICAL FACILITY</t>
  </si>
  <si>
    <t>CALPIA-CALIFORNIA HEALTH CARE FACILITY</t>
  </si>
  <si>
    <t>16-963</t>
  </si>
  <si>
    <t>PIA-HIGH DESERT STATE PRISON</t>
  </si>
  <si>
    <t>PIA-SUBSTANCE ABUSE</t>
  </si>
  <si>
    <t>PIA-SIERRA CONSERVATION</t>
  </si>
  <si>
    <t>VENTURA YOUTH CORRECTIONAL FACILITY</t>
  </si>
  <si>
    <t>15-136</t>
  </si>
  <si>
    <t>SUBSTANCE ABUSE TREATMENT FACILITY AND PRISON</t>
  </si>
  <si>
    <t>CDCR-IWF-LANCASTER SP</t>
  </si>
  <si>
    <t>SIERRA CONSERVATION CENTER</t>
  </si>
  <si>
    <t>12-049</t>
  </si>
  <si>
    <t>BOARD OF GOVERNORS CA COMM COLLEGE</t>
  </si>
  <si>
    <t>CALIFORNIA SCIENCE CENTER</t>
  </si>
  <si>
    <t>Agency Name</t>
  </si>
  <si>
    <t>AGENCY #</t>
  </si>
  <si>
    <t xml:space="preserve">Labeled DOF Package </t>
  </si>
  <si>
    <t>Subject: Workers' Compensation Costs</t>
  </si>
  <si>
    <t>6445</t>
  </si>
  <si>
    <t>Governmental Non Current WC Liability as of 06/30/22</t>
  </si>
  <si>
    <t>NCACCAM</t>
  </si>
  <si>
    <t>CIVIL RIGHTS DEPT</t>
  </si>
  <si>
    <t>DEPT OF FINANCIAL PROTECT &amp; INNOVATION</t>
  </si>
  <si>
    <t>Check Federal Trust Fund Allocation</t>
  </si>
  <si>
    <t>Check True-Up Allocation</t>
  </si>
  <si>
    <t>Check Total Liability</t>
  </si>
  <si>
    <t>1031</t>
  </si>
  <si>
    <t>per TAB 3</t>
  </si>
  <si>
    <t>#830 - fund 0064</t>
  </si>
  <si>
    <t>to Tab 1</t>
  </si>
  <si>
    <t>Sum of Exp 810 - Fund 1031</t>
  </si>
  <si>
    <t>Sum of Exp 810 - Fund 0001</t>
  </si>
  <si>
    <t>ref</t>
  </si>
  <si>
    <t>tab 8</t>
  </si>
  <si>
    <t>E</t>
  </si>
  <si>
    <t>tab 2</t>
  </si>
  <si>
    <t>TO TAB 1</t>
  </si>
  <si>
    <t>Source</t>
  </si>
  <si>
    <t>SCIF</t>
  </si>
  <si>
    <t>FROM TAB 1</t>
  </si>
  <si>
    <t>REF</t>
  </si>
  <si>
    <t>tab 4</t>
  </si>
  <si>
    <t>from tab 4</t>
  </si>
  <si>
    <t>To tab 1 - Actuarial Review</t>
  </si>
  <si>
    <t>tab 6</t>
  </si>
  <si>
    <t>F</t>
  </si>
  <si>
    <t>to tab 1</t>
  </si>
  <si>
    <t>See Support Item I</t>
  </si>
  <si>
    <t>Governor's Budget</t>
  </si>
  <si>
    <t>Column K &amp; L</t>
  </si>
  <si>
    <t>J</t>
  </si>
  <si>
    <t>L</t>
  </si>
  <si>
    <t>N</t>
  </si>
  <si>
    <t>P</t>
  </si>
  <si>
    <t>Q</t>
  </si>
  <si>
    <t>R</t>
  </si>
  <si>
    <t>tab 3 &amp; item K</t>
  </si>
  <si>
    <t>11</t>
  </si>
  <si>
    <t>Check this worksheet to compare the TC 35 entries to the Summary tab. Numbers that will be posted from the "Summary tab (Actuals)" contain decimals greater than the hundredths place. "TC 35 tabs (Actuals)" are linked directly to those numbers and appear rounded because the decimal place was moved for formatting, but the numbers are still not truly rounded. Below are truly rounded numbers, "Rounded (Input)", that check if the numbers in total will tie back to the support in the Summary tab. Rounding should be checked before posting the TC 35's because there is a high chance for rounding discrepancies. If there are any differences in column D, then manually input rounding adjustments in column E, so that the total of the TC 35 entries agree to the Summary tab shown in "TC 35 (Adjusted Input)". This tab lets you see the entries overall to plan the rounding adjustments, but no adjustments are actually made in this tab to the TC 35 entries. Rounding adjustments need to be made in the respective TC 35 tab after rounding adjustments have been planned here.</t>
  </si>
  <si>
    <t>Total General Fund less Other Funds</t>
  </si>
  <si>
    <t>If Adjusted Input is 0, then Debits = Credits.</t>
  </si>
  <si>
    <t>Fund 1031</t>
  </si>
  <si>
    <t>Reclass Other Liabilities to Current Workers' Comp Liability</t>
  </si>
  <si>
    <t>Special Revenue Funds (Hier 200)</t>
  </si>
  <si>
    <t xml:space="preserve">General Fund (Hier 100) </t>
  </si>
  <si>
    <t xml:space="preserve">B </t>
  </si>
  <si>
    <t>Total from K0215 Report tab 3</t>
  </si>
  <si>
    <r>
      <rPr>
        <b/>
        <sz val="12"/>
        <rFont val="Times New Roman"/>
        <family val="1"/>
      </rPr>
      <t>Note:</t>
    </r>
    <r>
      <rPr>
        <sz val="12"/>
        <rFont val="Times New Roman"/>
        <family val="1"/>
      </rPr>
      <t xml:space="preserve"> "% of Current Govn WC Expense" should total to 100%, if it does not, check the formulas in each row and make sure the correct expenditure codes are included. The "% of Current Govn WC Expense" column will need to be updated if there are funds added to each expenditure code. Check the 'Breakdown of Workers' Compensation by Exp Code' section on the Summary tab for new funds.   Do not change the decimal places, amounts could be a vey small percentage of the overall total.</t>
    </r>
  </si>
  <si>
    <t>L21</t>
  </si>
  <si>
    <t xml:space="preserve">Identifies as cell reference in this tab </t>
  </si>
  <si>
    <t>F0917</t>
  </si>
  <si>
    <t>Check to ensure cells N24 and G89 match</t>
  </si>
  <si>
    <t>CY</t>
  </si>
  <si>
    <t>PY</t>
  </si>
  <si>
    <t>B14 must match D30</t>
  </si>
  <si>
    <t>B15 must match D67</t>
  </si>
  <si>
    <t>F0562</t>
  </si>
  <si>
    <t>check to ensure cells L22 and G74 match</t>
  </si>
  <si>
    <t>Change</t>
  </si>
  <si>
    <t>(PY GAAP system)</t>
  </si>
  <si>
    <t>(CY-PY)</t>
  </si>
  <si>
    <t>CY amouts see L attachment</t>
  </si>
  <si>
    <t xml:space="preserve">Fund </t>
  </si>
  <si>
    <t>PY variance check</t>
  </si>
  <si>
    <t>CY amouts see J attachment</t>
  </si>
  <si>
    <t>U21</t>
  </si>
  <si>
    <t>V21</t>
  </si>
  <si>
    <t>is a round entry needed</t>
  </si>
  <si>
    <t>matches cell L22</t>
  </si>
  <si>
    <t>cell G89 matches N24</t>
  </si>
  <si>
    <t>For table reference please attachment "D"</t>
  </si>
  <si>
    <t>MUST Adjusted Liability Below (cell 82)</t>
  </si>
  <si>
    <t>GAAP System</t>
  </si>
  <si>
    <t>CALIFORNIA COASTAL COMMISSION</t>
  </si>
  <si>
    <t>CALIFORNIA TAHOE CONSERVANCY</t>
  </si>
  <si>
    <t>03-799</t>
  </si>
  <si>
    <t>CA HEALTH &amp; HUMAN SVCS</t>
  </si>
  <si>
    <t>CDCR-IWF-CA CORRECTIONAL CENTER</t>
  </si>
  <si>
    <t>12-141</t>
  </si>
  <si>
    <t>CDCR-CA CITY CORRECTIONAL FACILITY</t>
  </si>
  <si>
    <t>CDCR-IWF-PLEASANT VALLEY SP</t>
  </si>
  <si>
    <t>PIA-CSP LOS ANGELES COUNTY</t>
  </si>
  <si>
    <t>16-439</t>
  </si>
  <si>
    <t>PIA - PLEASANT VALLEY SP</t>
  </si>
  <si>
    <t>16-964</t>
  </si>
  <si>
    <t>PIA-CA REHABILITATION CENTER</t>
  </si>
  <si>
    <t>CALIFORNIA HORSE RACING BOARD</t>
  </si>
  <si>
    <t>State of California's Self-Insured Employee Workers' Compensation Program (SCIF) Actuarial Review as of June 30, 2023 (amounts in thousands)</t>
  </si>
  <si>
    <t>What the 9142 2022/23 balances should be</t>
  </si>
  <si>
    <t>6/30/2023 Bal</t>
  </si>
  <si>
    <t>t2</t>
  </si>
  <si>
    <t>T3</t>
  </si>
  <si>
    <t>T4</t>
  </si>
  <si>
    <t>Title</t>
  </si>
  <si>
    <t>GenCode</t>
  </si>
  <si>
    <t>GLAccount</t>
  </si>
  <si>
    <t>Amount</t>
  </si>
  <si>
    <t>FundName</t>
  </si>
  <si>
    <t>FundClass</t>
  </si>
  <si>
    <t>MajorMinor</t>
  </si>
  <si>
    <t>Color</t>
  </si>
  <si>
    <t>002</t>
  </si>
  <si>
    <t>LIABILITIES &amp; DEFERRED INFLOW</t>
  </si>
  <si>
    <t>LIABILITIES</t>
  </si>
  <si>
    <t>001</t>
  </si>
  <si>
    <t>LIABILITY-NON-CUR</t>
  </si>
  <si>
    <t>0948000</t>
  </si>
  <si>
    <t>CAL ST UNIV &amp; COLL TRUST F</t>
  </si>
  <si>
    <t>700</t>
  </si>
  <si>
    <t>WORKERS COMPENSATION BENEFITS PAYABLE</t>
  </si>
  <si>
    <t>GBBI</t>
  </si>
  <si>
    <t>06920000000</t>
  </si>
  <si>
    <t>0917000</t>
  </si>
  <si>
    <t>INMATES' WELFARE FUND</t>
  </si>
  <si>
    <t>9746000</t>
  </si>
  <si>
    <t>NATURAL GAS SERVICES PROG</t>
  </si>
  <si>
    <t>0562000</t>
  </si>
  <si>
    <t>0666000</t>
  </si>
  <si>
    <t>9730000</t>
  </si>
  <si>
    <t>0678000</t>
  </si>
  <si>
    <t>0602000</t>
  </si>
  <si>
    <t>9751000</t>
  </si>
  <si>
    <t>0026000</t>
  </si>
  <si>
    <t>Fund&amp;Glccount</t>
  </si>
  <si>
    <t>Total Amount less Fund 0948000</t>
  </si>
  <si>
    <t>MOTOR VEHICLE INSURANCE AC</t>
  </si>
  <si>
    <t>PUB SAFETY COMM REVOLVING</t>
  </si>
  <si>
    <t>SERVICE REVOLVING FUND</t>
  </si>
  <si>
    <t>ARCHITECTURE REVOLVING FUN</t>
  </si>
  <si>
    <t>0530</t>
  </si>
  <si>
    <t>G1</t>
  </si>
  <si>
    <t>G2</t>
  </si>
  <si>
    <t>G3</t>
  </si>
  <si>
    <t>G4</t>
  </si>
  <si>
    <t>STATE LOTTERY FUND</t>
  </si>
  <si>
    <t>TECHNOLOGY SERVICES REVOLV</t>
  </si>
  <si>
    <t>PY EB, wp - tab "Summary 2021", cell L22</t>
  </si>
  <si>
    <t>workbook</t>
  </si>
  <si>
    <t>14823.52</t>
  </si>
  <si>
    <t>Check to ensure cells N19 and N12 match</t>
  </si>
  <si>
    <t>actuarial report</t>
  </si>
  <si>
    <t>June 30, 2024</t>
  </si>
  <si>
    <t>2023/2024</t>
  </si>
  <si>
    <t xml:space="preserve">	CDCR-FOLSOM STATE PRISON</t>
  </si>
  <si>
    <t xml:space="preserve">	CDCR - OFFICE OF EMPLOYEE HEALTH MANAGEMENT</t>
  </si>
  <si>
    <t xml:space="preserve">	PIA-CENTINELA STATE PRISON</t>
  </si>
  <si>
    <t xml:space="preserve">	COMMISSION OF STATE MANDATES</t>
  </si>
  <si>
    <t>WC Monthly list of State Contract Open Disability Claims Report as of 6/30/24</t>
  </si>
  <si>
    <t>tab 3</t>
  </si>
  <si>
    <t xml:space="preserve">  K0717                                 MONTHLY SUMMARY REPORTS OF STATE AGENCY BILLING                       06/30/2024  PAGE     1 </t>
  </si>
  <si>
    <t xml:space="preserve">  CHAPTER AGENCY  TOTAL        TOTAL          TOTAL        TOTAL          TOTAL        TOTAL       TOTAL        TOTAL         BILL   </t>
  </si>
  <si>
    <t xml:space="preserve">  K0717                                 MONTHLY SUMMARY REPORTS OF STATE AGENCY BILLING                       06/30/2024  PAGE     2 </t>
  </si>
  <si>
    <t xml:space="preserve">  K0717                                 MONTHLY SUMMARY REPORTS OF STATE AGENCY BILLING                       06/30/2024  PAGE     3 </t>
  </si>
  <si>
    <t xml:space="preserve">  K0717                                 MONTHLY SUMMARY REPORTS OF STATE AGENCY BILLING                       06/30/2024  PAGE     4 </t>
  </si>
  <si>
    <t xml:space="preserve">  K0717                                 MONTHLY SUMMARY REPORTS OF STATE AGENCY BILLING                       06/30/2024  PAGE     5 </t>
  </si>
  <si>
    <t xml:space="preserve">  K0717                                 MONTHLY SUMMARY REPORTS OF STATE AGENCY BILLING                       06/30/2024  PAGE     6 </t>
  </si>
  <si>
    <t xml:space="preserve">  K0717                                 MONTHLY SUMMARY REPORTS OF STATE AGENCY BILLING                       06/30/2024  PAGE     7 </t>
  </si>
  <si>
    <t>Column1</t>
  </si>
  <si>
    <t xml:space="preserve">   CODE  CODE    TD PAID      PD PAID        VR PAID     SJDB PAID      MED PAID    PEN PAID    MISC. PAID  NET BENEFIT       TOTAL  </t>
  </si>
  <si>
    <t xml:space="preserve">    03  001         0.00          0.00          0.00          0.00      3,967.17        0.00        0.00      3,967.17      3,967.17 </t>
  </si>
  <si>
    <t xml:space="preserve">        002     7,362.60     40,049.00          0.00          0.00    167,251.75        0.00    6,651.66    214,663.35    221,315.01 </t>
  </si>
  <si>
    <t xml:space="preserve">        004    13,719.87     72,871.16          0.00          0.00    264,354.41        0.00   10,498.88    350,945.44    361,444.32 </t>
  </si>
  <si>
    <t xml:space="preserve">        008         0.00          0.00          0.00          0.00          5.63-       0.00        0.00          5.63-         5.63-</t>
  </si>
  <si>
    <t xml:space="preserve">        009         0.00          0.00          0.00          0.00        606.02        0.00        0.00        606.02        606.02 </t>
  </si>
  <si>
    <t xml:space="preserve">        016         0.00          0.00          0.00          0.00     21,893.28        0.00    1,398.20     21,893.28     23,291.48 </t>
  </si>
  <si>
    <t xml:space="preserve">        037         0.00          0.00          0.00          0.00     10,636.48        0.00        0.00     10,636.48     10,636.48 </t>
  </si>
  <si>
    <t xml:space="preserve">        040         0.00      3,480.00          0.00          0.00     35,646.07        0.00      404.10     39,126.07     39,530.17 </t>
  </si>
  <si>
    <t xml:space="preserve">        163    18,157.15-    27,635.54     16,427.06-     2,500.00    133,768.67        0.00   12,561.81    129,320.00    141,881.81 </t>
  </si>
  <si>
    <t xml:space="preserve">        270         0.00     15,080.00          0.00          0.00     87,083.79        0.00      230.00    102,163.79    102,393.79 </t>
  </si>
  <si>
    <t xml:space="preserve">        279         0.00     76,127.59          0.00          0.00    158,848.22        0.00    2,851.74    234,975.81    237,827.55 </t>
  </si>
  <si>
    <t xml:space="preserve">        297   168,391.60     15,080.00          0.00          0.00     19,079.52        0.00      874.00    202,551.12    203,425.12 </t>
  </si>
  <si>
    <t xml:space="preserve">        314    12,070.80    110,999.02          0.00          0.00    154,360.58        0.00    1,181.50    277,430.40    278,611.90 </t>
  </si>
  <si>
    <t xml:space="preserve">        315         0.00          0.00          0.00          0.00        511.92        0.00        0.00        511.92        511.92 </t>
  </si>
  <si>
    <t xml:space="preserve">        317         0.00      4,350.00          0.00          0.00      6,777.72        0.00        0.00     11,127.72     11,127.72 </t>
  </si>
  <si>
    <t xml:space="preserve">        325         0.00     22,910.00          0.00      2,100.00     28,695.99        0.00        0.00     53,705.99     53,705.99 </t>
  </si>
  <si>
    <t xml:space="preserve">        326       949.33     91,118.21          0.00          0.00    179,726.62        0.00   11,220.41    271,794.16    283,014.57 </t>
  </si>
  <si>
    <t xml:space="preserve">        329         0.00          0.00          0.00          0.00         85.96        0.00        0.00         85.96         85.96 </t>
  </si>
  <si>
    <t xml:space="preserve">        333    19,323.68        580.00          0.00        500.00     32,681.12        0.00        0.00     53,084.80     53,084.80 </t>
  </si>
  <si>
    <t xml:space="preserve">        337         0.00          0.00          0.00          0.00        303.54        0.00        0.00        303.54        303.54 </t>
  </si>
  <si>
    <t xml:space="preserve">        340         0.00     16,541.20          0.00          0.00     15,253.46        0.00    1,610.66     31,794.66     33,405.32 </t>
  </si>
  <si>
    <t xml:space="preserve">        348         0.00          0.00          0.00          0.00      5,799.54        0.00        0.00      5,799.54      5,799.54 </t>
  </si>
  <si>
    <t xml:space="preserve">        352         0.00          0.00          0.00          0.00      5,393.85        0.00        0.00      5,393.85      5,393.85 </t>
  </si>
  <si>
    <t xml:space="preserve">        355         0.00     16,312.50          0.00          0.00     42,543.29        0.00        0.00     58,855.79     58,855.79 </t>
  </si>
  <si>
    <t xml:space="preserve">        357         0.00          0.00          0.00          0.00     11,701.86        0.00    1,123.21     11,701.86     12,825.07 </t>
  </si>
  <si>
    <t xml:space="preserve">        363         0.00     26,255.00          0.00          0.00     49,290.79        0.00   20,456.15     75,545.79     96,001.94 </t>
  </si>
  <si>
    <t xml:space="preserve">        364         0.00     15,000.00          0.00          0.00      3,352.76        0.00        0.00     18,352.76     18,352.76 </t>
  </si>
  <si>
    <t xml:space="preserve">        397         0.00          0.00          0.00          0.00     19,605.33        0.00        0.00     19,605.33     19,605.33 </t>
  </si>
  <si>
    <t xml:space="preserve">        401        82.57    102,625.78          0.00        500.00    258,708.25        0.00   10,795.29    361,916.60    372,711.89 </t>
  </si>
  <si>
    <t xml:space="preserve">        409         0.00     15,732.50          0.00          0.00     26,215.27        0.00      355.00     41,947.77     42,302.77 </t>
  </si>
  <si>
    <t xml:space="preserve">        410    95,984.67    150,383.80          0.00        500.00    344,091.92        0.00    8,185.27    590,960.39    599,145.66 </t>
  </si>
  <si>
    <t xml:space="preserve">        414         0.00      4,437.00          0.00          0.00     38,723.20        0.00    1,650.00     43,160.20     44,810.20 </t>
  </si>
  <si>
    <t xml:space="preserve">        426         0.00          0.00          0.00          0.00         18.72        0.00        0.00         18.72         18.72 </t>
  </si>
  <si>
    <t xml:space="preserve">        430         0.00      8,700.00          0.00          0.00     60,600.99        0.00      600.00     69,300.99     69,900.99 </t>
  </si>
  <si>
    <t xml:space="preserve">        441    11,859.89     35,763.21          0.00      6,162.86     89,320.72        0.00        0.00    143,106.68    143,106.68 </t>
  </si>
  <si>
    <t xml:space="preserve">        475         0.00          0.00          0.00          0.00        111.14        0.00        0.00        111.14        111.14 </t>
  </si>
  <si>
    <t xml:space="preserve">        534         0.00          0.00          0.00          0.00        333.47        0.00        0.00        333.47        333.47 </t>
  </si>
  <si>
    <t xml:space="preserve">        535         0.00      6,177.00          0.00          0.00     62,971.57        0.00    6,576.29     69,148.57     75,724.86 </t>
  </si>
  <si>
    <t xml:space="preserve">        536         0.00          0.00          0.00          0.00      6,023.00        0.00      432.40      6,023.00      6,455.40 </t>
  </si>
  <si>
    <t xml:space="preserve">        590         0.00     72,973.16          0.00          0.00      5,761.96        0.00        0.00     78,735.12     78,735.12 </t>
  </si>
  <si>
    <t xml:space="preserve">        673     1,224.69     49,202.05          0.00          0.00    835,406.64        0.00   21,999.86    885,833.38    907,833.24 </t>
  </si>
  <si>
    <t xml:space="preserve">        791         0.00     15,080.00          0.00          0.00    100,424.88        0.00    5,794.50    115,504.88    121,299.38 </t>
  </si>
  <si>
    <t xml:space="preserve">        797       632.42     22,067.50          0.00          0.00     20,717.30        0.00    2,984.73     43,417.22     46,401.95 </t>
  </si>
  <si>
    <t xml:space="preserve">        798         0.00          0.00          0.00          0.00         66.74        0.00        0.00         66.74         66.74 </t>
  </si>
  <si>
    <t xml:space="preserve">        799         0.00      1,740.00          0.00          0.00     18,531.91        0.00        0.00     20,271.91     20,271.91 </t>
  </si>
  <si>
    <t xml:space="preserve">        815         0.00     46,443.08          0.00          0.00     73,944.76        0.00       39.10    120,387.84    120,426.94 </t>
  </si>
  <si>
    <t xml:space="preserve">        835         0.00     69,567.28          0.00        500.00    178,192.29        0.00    3,987.64    248,259.57    252,247.21 </t>
  </si>
  <si>
    <t xml:space="preserve">        880         0.00    155,566.04          0.00          0.00    251,128.76        0.00    4,043.60    406,694.80    410,738.40 </t>
  </si>
  <si>
    <t xml:space="preserve">        917         0.00          0.00          0.00          0.00     29,695.70        0.00    4,575.10     29,695.70     34,270.80 </t>
  </si>
  <si>
    <t xml:space="preserve">    06  024   142,485.57    218,647.45          0.00      3,000.00    604,477.48        0.00   16,330.71    968,610.50    984,941.21 </t>
  </si>
  <si>
    <t xml:space="preserve">    09  014   234,708.77    267,632.49          0.00        500.00    844,059.54        0.00   25,771.86  1,346,900.80  1,372,672.66 </t>
  </si>
  <si>
    <t xml:space="preserve">    11  051         0.00     33,515.61          0.00          0.00    105,790.64        0.00      555.00    139,306.25    139,861.25 </t>
  </si>
  <si>
    <t xml:space="preserve">    12  025   653,961.99  1,555,551.85          0.00     20,334.15  2,484,944.99        0.00   60,390.57  4,714,792.98  4,775,183.55 </t>
  </si>
  <si>
    <t xml:space="preserve">        026 1,172,689.51  3,070,700.18          0.00     12,090.00  3,551,318.15        0.00   82,768.63  7,806,797.84  7,889,566.47 </t>
  </si>
  <si>
    <t xml:space="preserve">        027 1,941,453.85  4,685,657.98          0.00     21,127.35  5,364,825.38        0.00   88,374.34 12,013,064.56 12,101,438.90 </t>
  </si>
  <si>
    <t xml:space="preserve">        028   710,152.62  1,888,141.23          0.00      2,500.00  2,442,014.88       20.59   34,943.02  5,042,808.73  5,077,772.34 </t>
  </si>
  <si>
    <t xml:space="preserve">        030 2,469,179.33  5,234,162.60          0.00     24,696.52  6,580,783.67    2,040.48  131,701.79 14,308,822.12 14,442,564.39 </t>
  </si>
  <si>
    <t xml:space="preserve">        031         0.00     26,945.00          0.00          0.00     10,729.01        0.00    2,089.98-    37,674.01     35,584.03 </t>
  </si>
  <si>
    <t xml:space="preserve">        032         0.00          0.00          0.00          0.00     10,865.67        0.00        0.00     10,865.67     10,865.67 </t>
  </si>
  <si>
    <t xml:space="preserve">        039   172,663.73    599,565.79          0.00     26,136.98  1,684,517.50        0.00   39,033.41  2,482,884.00  2,521,917.41 </t>
  </si>
  <si>
    <t xml:space="preserve">        042    89,331.88    191,833.30          0.00      2,464.52    365,275.84        0.00    9,123.24    648,905.54    658,028.78 </t>
  </si>
  <si>
    <t xml:space="preserve">        048   123,983.32    516,817.56          0.00      5,990.00  1,038,799.61        0.00   26,125.57  1,685,590.49  1,711,716.06 </t>
  </si>
  <si>
    <t xml:space="preserve">        054   931,679.54  5,255,411.36          0.00     17,693.17  4,633,565.72        0.00  163,690.85 10,838,349.79 11,002,040.64 </t>
  </si>
  <si>
    <t xml:space="preserve">        055         0.00      4,184.29-         0.00          0.00      3,257.05-       0.00      250.00-     7,441.34-     7,691.34-</t>
  </si>
  <si>
    <t xml:space="preserve">        056 1,161,139.36  1,739,064.42          0.00        500.00  3,141,645.67        0.00  129,283.85  6,042,349.45  6,171,633.30 </t>
  </si>
  <si>
    <t xml:space="preserve">        061 2,524,778.52  6,573,015.78          0.00     40,227.97  8,478,078.46    1,118.41  241,038.57 17,616,100.73 17,858,257.71 </t>
  </si>
  <si>
    <t xml:space="preserve">        065   723,416.75  3,420,893.68          0.00     18,664.27  3,954,184.79        0.00  166,228.02  8,117,159.49  8,283,387.51 </t>
  </si>
  <si>
    <t xml:space="preserve">        067         0.00          0.00          0.00          0.00      7,542.78        0.00        0.00      7,542.78      7,542.78 </t>
  </si>
  <si>
    <t xml:space="preserve">        068 1,434,282.72  1,921,281.97          0.00     17,727.59  3,710,419.41        0.00   32,189.50  7,083,711.69  7,115,901.19 </t>
  </si>
  <si>
    <t xml:space="preserve">        069         0.00     16,743.88          0.00          0.00     33,472.52        0.00        0.00     50,216.40     50,216.40 </t>
  </si>
  <si>
    <t xml:space="preserve">        071   337,866.82  2,344,717.35          0.00     11,082.73  2,661,931.56        0.00   41,978.18  5,355,598.46  5,397,576.64 </t>
  </si>
  <si>
    <t xml:space="preserve">        072         0.00          0.00          0.00          0.00        752.59        0.00        0.00        752.59        752.59 </t>
  </si>
  <si>
    <t xml:space="preserve">        076 1,077,073.24  2,418,661.40          0.00     31,140.00  4,743,904.82      606.45  117,855.27  8,270,779.46  8,389,241.18 </t>
  </si>
  <si>
    <t xml:space="preserve">        079 1,321,756.28  4,403,697.95          0.00     10,496.35  4,813,044.18      162.00   95,319.06 10,548,994.76 10,644,475.82 </t>
  </si>
  <si>
    <t xml:space="preserve">        080 1,145,756.82  5,085,645.17          0.00     22,344.00  4,406,826.83        0.00   97,972.77 10,660,572.82 10,758,545.59 </t>
  </si>
  <si>
    <t xml:space="preserve">        082    39,882.93     28,711.23          0.00          0.00     37,278.42        0.00    1,248.64    105,872.58    107,121.22 </t>
  </si>
  <si>
    <t xml:space="preserve">        084 2,529,452.29  4,574,487.32          0.00     41,516.50  5,997,829.70      907.95  144,788.46 13,143,285.81 13,288,982.22 </t>
  </si>
  <si>
    <t xml:space="preserve">        085     8,144.63          0.00          0.00          0.00     43,493.99        0.00        0.00     51,638.62     51,638.62 </t>
  </si>
  <si>
    <t xml:space="preserve">        086   950,563.54  3,284,489.01          0.00     13,217.86  3,129,864.39      424.43   49,574.51  7,378,134.80  7,428,133.74 </t>
  </si>
  <si>
    <t xml:space="preserve">        088         0.00          0.00          0.00          0.00          0.00        0.00        0.00          0.00          0.00 </t>
  </si>
  <si>
    <t xml:space="preserve">        095 1,005,916.78  3,352,428.69          0.00     13,032.78  3,492,880.06        0.00   63,664.86  7,864,258.31  7,927,923.17 </t>
  </si>
  <si>
    <t xml:space="preserve">        098     1,552.50-   106,321.85          0.00          0.00     47,505.50        0.00        0.00    152,274.85    152,274.85 </t>
  </si>
  <si>
    <t xml:space="preserve">        099 1,124,236.12  2,272,456.73          0.00      6,262.85  3,381,508.49    1,488.77  115,514.89  6,784,464.19  6,901,467.85 </t>
  </si>
  <si>
    <t xml:space="preserve">        101 1,301,167.23  4,436,889.73          0.00     17,068.09  5,416,434.29      362.79  141,001.97 11,171,559.34 11,312,924.10 </t>
  </si>
  <si>
    <t xml:space="preserve">        103    61,685.78     11,498.50          0.00          0.00     36,382.78        0.00        0.00    109,567.06    109,567.06 </t>
  </si>
  <si>
    <t xml:space="preserve">        106   168,634.69  1,240,078.74          0.00      8,270.00  1,122,231.96        0.00   12,224.29  2,539,215.39  2,551,439.68 </t>
  </si>
  <si>
    <t xml:space="preserve">        108         0.00          0.00          0.00          0.00     22,426.83        0.00        0.00     22,426.83     22,426.83 </t>
  </si>
  <si>
    <t xml:space="preserve">        116   576,431.94    699,555.96          0.00      5,000.00    847,863.36        0.00   41,368.26  2,128,851.26  2,170,219.52 </t>
  </si>
  <si>
    <t xml:space="preserve">        141     4,182.30     10,812.85          0.00          0.00     21,268.57        0.00        0.00     36,263.72     36,263.72 </t>
  </si>
  <si>
    <t xml:space="preserve">        178 1,081,487.82  3,422,915.36          7.76-    15,186.64  5,648,914.21        0.00   88,230.19 10,168,496.27 10,256,726.46 </t>
  </si>
  <si>
    <t xml:space="preserve">        180   821,368.14  3,292,564.52          0.00     15,697.17  3,994,157.50      443.83   99,696.77  8,123,787.33  8,223,927.93 </t>
  </si>
  <si>
    <t xml:space="preserve">        181         0.00          0.00          0.00          0.00      4,793.30        0.00    2,589.07      4,793.30      7,382.37 </t>
  </si>
  <si>
    <t xml:space="preserve">        182   826,493.93  3,105,212.65          0.00     12,178.23  3,233,460.57        0.00   60,598.95  7,177,345.38  7,237,944.33 </t>
  </si>
  <si>
    <t xml:space="preserve">        183         0.00          0.00          0.00          0.00        505.82        0.00        0.00        505.82        505.82 </t>
  </si>
  <si>
    <t xml:space="preserve">        190   943,342.79  2,242,709.79          0.00     11,616.69  2,669,059.06        0.00   94,507.17  5,866,728.33  5,961,235.50 </t>
  </si>
  <si>
    <t xml:space="preserve">        191         0.00          0.00          0.00          0.00     23,233.78        0.00        0.00     23,233.78     23,233.78 </t>
  </si>
  <si>
    <t xml:space="preserve">        284 1,883,578.39  3,969,501.52          0.00     32,086.67  4,276,454.19    2,488.74   81,091.96 10,161,620.77 10,245,201.47 </t>
  </si>
  <si>
    <t xml:space="preserve">        285         0.00          0.00          0.00          0.00      4,168.48        0.00        0.00      4,168.48      4,168.48 </t>
  </si>
  <si>
    <t xml:space="preserve">        381 1,087,133.17  2,706,330.03          0.00     19,164.08  2,872,759.15        0.00   67,685.94  6,685,386.43  6,753,072.37 </t>
  </si>
  <si>
    <t xml:space="preserve">        382         0.00          0.00          0.00          0.00          2.60        0.00        0.00          2.60          2.60 </t>
  </si>
  <si>
    <t xml:space="preserve">        390    50,893.14     19,103.75          0.00          0.00     62,180.21        0.00        0.00    132,177.10    132,177.10 </t>
  </si>
  <si>
    <t xml:space="preserve">        394 1,517,376.23  3,873,722.23          0.00     18,756.27  8,115,520.56        0.00   51,027.33 13,525,375.29 13,576,402.62 </t>
  </si>
  <si>
    <t xml:space="preserve">        398     5,459.16     12,002.38          0.00          0.00      9,355.84        0.00        0.00     26,817.38     26,817.38 </t>
  </si>
  <si>
    <t xml:space="preserve">        403 1,663,423.82  3,985,414.97          0.00     23,953.46  4,849,848.72        0.00  103,905.39 10,522,640.97 10,626,546.36 </t>
  </si>
  <si>
    <t xml:space="preserve">        404         0.00     24,473.93          0.00          0.00      6,241.78        0.00        0.00     30,715.71     30,715.71 </t>
  </si>
  <si>
    <t xml:space="preserve">        435   760,329.34  3,721,915.84          0.00     26,355.27  3,265,231.69        0.00   70,667.14  7,773,832.14  7,844,499.28 </t>
  </si>
  <si>
    <t xml:space="preserve">        436         0.00          0.00          0.00          0.00     17,348.58        0.00        0.00     17,348.58     17,348.58 </t>
  </si>
  <si>
    <t xml:space="preserve">        444   637,011.29  2,458,564.68          0.00     11,139.96  3,951,032.35        0.00   53,317.39  7,057,748.28  7,111,065.67 </t>
  </si>
  <si>
    <t xml:space="preserve">        445         0.00      9,932.50          0.00          0.00      7,740.03        0.00        0.00     17,672.53     17,672.53 </t>
  </si>
  <si>
    <t xml:space="preserve">        587 2,590,494.94  4,534,190.50          0.00     29,435.65  6,553,879.66       36.48  112,851.52 13,708,000.75 13,820,888.75 </t>
  </si>
  <si>
    <t xml:space="preserve">        588    25,638.14     11,036.05          0.00          0.00     39,011.39        0.00        0.00     75,685.58     75,685.58 </t>
  </si>
  <si>
    <t xml:space="preserve">        597     4,626.14          0.00          0.00          0.00      7,183.40        0.00        0.00     11,809.54     11,809.54 </t>
  </si>
  <si>
    <t xml:space="preserve">        674   638,351.42  3,273,135.68          0.00     24,560.15  2,813,295.74        0.00   76,211.96  6,749,342.99  6,825,554.95 </t>
  </si>
  <si>
    <t xml:space="preserve">        675    26,411.58      8,178.00          0.00          0.00     13,914.35        0.00        0.00     48,503.93     48,503.93 </t>
  </si>
  <si>
    <t xml:space="preserve">        915 1,879,258.05  5,352,571.21          0.00     26,814.53  5,184,240.56        0.00   83,060.91 12,442,884.35 12,525,945.26 </t>
  </si>
  <si>
    <t xml:space="preserve">        916         0.00          0.00          0.00          0.00          0.00        0.00        0.00          0.00          0.00 </t>
  </si>
  <si>
    <t xml:space="preserve">        919   835,160.24  2,315,764.89          0.00     11,819.99  5,233,630.69        0.00   93,639.32  8,396,375.81  8,490,015.13 </t>
  </si>
  <si>
    <t xml:space="preserve">        934 1,282,385.81  2,402,936.63          0.00     11,027.33  4,241,236.12        0.00   36,414.14  7,937,585.89  7,974,000.03 </t>
  </si>
  <si>
    <t xml:space="preserve">        935         0.00          0.00          0.00          0.00          1.98        0.00        0.00          1.98          1.98 </t>
  </si>
  <si>
    <t xml:space="preserve">        936 2,644,398.02  3,676,201.52          0.00     31,751.65  6,350,967.98      905.97  218,762.91 12,703,319.17 12,922,988.05 </t>
  </si>
  <si>
    <t xml:space="preserve">        937         0.00          0.00          0.00          0.00      1,023.24        0.00        0.00      1,023.24      1,023.24 </t>
  </si>
  <si>
    <t xml:space="preserve">    14  064    20,291.46      9,280.00          0.00          0.00     14,325.15        0.00        0.00     43,896.61     43,896.61 </t>
  </si>
  <si>
    <t xml:space="preserve">        083    58,344.76     11,211.20          0.00          0.00    821,247.74        0.00        0.00    890,803.70    890,803.70 </t>
  </si>
  <si>
    <t xml:space="preserve">        091    13,356.32     41,534.08          0.00          0.00    125,421.33        0.00    2,225.00    180,311.73    182,536.73 </t>
  </si>
  <si>
    <t xml:space="preserve">        129         0.00      2,958.00          0.00          0.00      2,520.73        0.00        0.00      5,478.73      5,478.73 </t>
  </si>
  <si>
    <t xml:space="preserve">        140   524,374.18    747,908.58          0.00      5,800.00  1,677,648.95      820.79   64,035.72  2,955,731.71  3,020,588.22 </t>
  </si>
  <si>
    <t xml:space="preserve">        463   166,457.43    192,829.94          0.00      6,682.00    530,172.07        0.00    6,001.70    896,141.44    902,143.14 </t>
  </si>
  <si>
    <t xml:space="preserve">        486   132,132.68    336,073.43          0.00      5,500.00    473,808.05      115.59   10,775.93    947,514.16    958,405.68 </t>
  </si>
  <si>
    <t xml:space="preserve">        488   338,352.17    633,603.06          0.00      1,130.72-   695,352.23        0.00   13,056.68  1,666,176.74  1,679,233.42 </t>
  </si>
  <si>
    <t xml:space="preserve">    15  109         0.00          0.00          0.00          0.00        657.38        0.00        0.00        657.38        657.38 </t>
  </si>
  <si>
    <t xml:space="preserve">        110         0.00     97,185.35          0.00          0.00    320,277.06        0.00    1,108.49    417,462.41    418,570.90 </t>
  </si>
  <si>
    <t xml:space="preserve">        111     2,760.00-   211,261.25          0.00          0.00      8,373.20        0.00        0.00    216,874.45    216,874.45 </t>
  </si>
  <si>
    <t xml:space="preserve">        113         0.00    139,676.14          0.00          0.00    361,191.29        0.00    1,290.70    500,867.43    502,158.13 </t>
  </si>
  <si>
    <t xml:space="preserve">        115         0.00     66,491.48          0.00          0.00     77,775.00        0.00        0.00    144,266.48    144,266.48 </t>
  </si>
  <si>
    <t xml:space="preserve">        125         0.00     15,676.58          0.00          0.00     24,654.50        0.00      279.60     40,331.08     40,610.68 </t>
  </si>
  <si>
    <t xml:space="preserve">        127         0.00     63,934.65          0.00          0.00     97,372.76        0.00        0.00    161,307.41    161,307.41 </t>
  </si>
  <si>
    <t xml:space="preserve">        128         0.00     10,437.96          0.00          0.00     48,223.47        0.00        0.00     58,661.43     58,661.43 </t>
  </si>
  <si>
    <t xml:space="preserve">        131         0.00    147,272.89          0.00      1,000.00    702,260.97        0.00    5,644.92    850,533.86    856,178.78 </t>
  </si>
  <si>
    <t xml:space="preserve">        133         0.00     91,728.16          0.00          0.00     28,686.08        0.00        0.00    120,414.24    120,414.24 </t>
  </si>
  <si>
    <t xml:space="preserve">        135   197,956.15    920,979.15          0.00     20,988.24    908,478.44        0.00   10,605.40  2,048,401.98  2,059,007.38 </t>
  </si>
  <si>
    <t xml:space="preserve">        137         0.00          0.00          0.00          0.00        511.15        0.00        0.00        511.15        511.15 </t>
  </si>
  <si>
    <t xml:space="preserve">        138         0.00    121,374.44          0.00          0.00    148,677.67        0.00      701.80    270,052.11    270,753.91 </t>
  </si>
  <si>
    <t xml:space="preserve">        143   225,963.64    383,633.14          0.00      6,558.83    454,844.32        0.00    9,947.42  1,070,999.93  1,080,947.35 </t>
  </si>
  <si>
    <t xml:space="preserve">        145         0.00      6,367.40          0.00          0.00     11,590.91        0.00        0.00     17,958.31     17,958.31 </t>
  </si>
  <si>
    <t xml:space="preserve">        146   110,007.39    376,605.45          0.00      2,200.00    455,848.46        0.00    2,951.58    944,661.30    947,612.88 </t>
  </si>
  <si>
    <t xml:space="preserve">        194   457,840.06  1,072,672.17          0.00      3,401.05  1,664,642.26        0.00   28,438.05  3,198,555.54  3,226,993.59 </t>
  </si>
  <si>
    <t xml:space="preserve">    16  045         0.00     17,609.07          0.00          0.00     21,769.47        0.00        0.00     39,378.54     39,378.54 </t>
  </si>
  <si>
    <t xml:space="preserve">        047         0.00     11,080.78          0.00          0.00     35,612.74        0.00    1,429.76     46,693.52     48,123.28 </t>
  </si>
  <si>
    <t xml:space="preserve">        052         0.00     21,569.62          0.00      2,100.00    175,899.16        0.00      305.00    199,568.78    199,873.78 </t>
  </si>
  <si>
    <t xml:space="preserve">        058    26,464.10     10,864.13          0.00          0.00    119,851.26        0.00        0.00    157,179.49    157,179.49 </t>
  </si>
  <si>
    <t xml:space="preserve">        063    50,430.44    109,912.07          0.00      1,100.00    229,226.40        0.00    3,370.92    390,668.91    394,039.83 </t>
  </si>
  <si>
    <t xml:space="preserve">        073    10,186.90     83,594.94          0.00          0.00    103,544.00        0.00    2,580.94    197,325.84    199,906.78 </t>
  </si>
  <si>
    <t xml:space="preserve">        074    21,752.90     24,116.92          0.00          0.00     37,579.62        0.00    1,655.52     83,449.44     85,104.96 </t>
  </si>
  <si>
    <t xml:space="preserve">        075         0.00     34,176.89          0.00          0.00     18,780.92        0.00    2,521.90     52,957.81     55,479.71 </t>
  </si>
  <si>
    <t xml:space="preserve">        081    58,742.76     35,869.48          0.00          0.00     93,214.35        0.00    2,999.74    187,826.59    190,826.33 </t>
  </si>
  <si>
    <t xml:space="preserve">        087         0.00          0.00          0.00          0.00      5,212.53        0.00        0.00      5,212.53      5,212.53 </t>
  </si>
  <si>
    <t xml:space="preserve">        096         0.00          0.00          0.00          0.00     11,652.09        0.00        0.00     11,652.09     11,652.09 </t>
  </si>
  <si>
    <t xml:space="preserve">        104    17,595.77      5,495.88          0.00          0.00    157,760.80        0.00      401.50    180,852.45    181,253.95 </t>
  </si>
  <si>
    <t xml:space="preserve">        107         0.00     21,075.75          0.00          0.00      8,225.84        0.00        0.00     29,301.59     29,301.59 </t>
  </si>
  <si>
    <t xml:space="preserve">        177         0.00          0.00          0.00          0.00     17,068.83        0.00        0.00     17,068.83     17,068.83 </t>
  </si>
  <si>
    <t xml:space="preserve">        179         0.00          0.00          0.00          0.00      3,004.44        0.00        0.00      3,004.44      3,004.44 </t>
  </si>
  <si>
    <t xml:space="preserve">        189         0.00          0.00          0.00          0.00     10,348.03        0.00       40.96     10,348.03     10,388.99 </t>
  </si>
  <si>
    <t xml:space="preserve">        287    29,615.04          0.00          0.00          0.00     24,691.08        0.00    1,101.13     54,306.12     55,407.25 </t>
  </si>
  <si>
    <t xml:space="preserve">        383    64,984.28     12,598.75          0.00      2,100.00     55,612.63        0.00    1,936.00    135,295.66    137,231.66 </t>
  </si>
  <si>
    <t xml:space="preserve">        391         0.00     15,080.00          0.00          0.00     24,875.41        0.00    1,050.00     39,955.41     41,005.41 </t>
  </si>
  <si>
    <t xml:space="preserve">        392         0.00          0.00          0.00          0.00          2.42        0.00        0.00          2.42          2.42 </t>
  </si>
  <si>
    <t xml:space="preserve">        393         0.00     15,149.87          0.00        500.00    287,827.91        0.00        0.00    303,477.78    303,477.78 </t>
  </si>
  <si>
    <t xml:space="preserve">        399         0.00          0.00          0.00          0.00     15,232.78        0.00    3,539.53     15,232.78     18,772.31 </t>
  </si>
  <si>
    <t xml:space="preserve">        405         0.00      1,160.00          0.00          0.00     11,118.93        0.00    2,424.00     12,278.93     14,702.93 </t>
  </si>
  <si>
    <t xml:space="preserve">        439         0.00          0.00          0.00          0.00     26,954.53        0.00        0.00     26,954.53     26,954.53 </t>
  </si>
  <si>
    <t xml:space="preserve">        589    10,802.78     11,785.25          0.00          0.00     22,359.19        0.00        0.00     44,947.22     44,947.22 </t>
  </si>
  <si>
    <t xml:space="preserve">        918         0.00     19,222.86          0.00      1,500.00     28,089.71        0.00    1,233.00     48,812.57     50,045.57 </t>
  </si>
  <si>
    <t xml:space="preserve">        921         0.00          0.00          0.00          0.00     15,838.79        0.00    1,865.37     15,838.79     17,704.16 </t>
  </si>
  <si>
    <t xml:space="preserve">        933    15,196.11          0.00          0.00          0.00     26,528.06        0.00    4,161.58     41,724.17     45,885.75 </t>
  </si>
  <si>
    <t xml:space="preserve">        939    50,265.00    103,672.28          0.00      2,100.00    234,988.84        0.00   12,088.51    391,026.12    403,114.63 </t>
  </si>
  <si>
    <t xml:space="preserve">        964    39,912.08          0.00          0.00          0.00     19,033.42        0.00    3,426.63     58,945.50     62,372.13 </t>
  </si>
  <si>
    <t xml:space="preserve">        966        99.54-     6,470.63          0.00          0.00      4,632.49        0.00        0.00     11,003.58     11,003.58 </t>
  </si>
  <si>
    <t xml:space="preserve">        967         0.00          0.00          0.00          0.00        697.06        0.00        0.00        697.06        697.06 </t>
  </si>
  <si>
    <t xml:space="preserve">        968         0.00          0.00          0.00          0.00      9,414.74        0.00      240.00      9,414.74      9,654.74 </t>
  </si>
  <si>
    <t xml:space="preserve">    17  813   113,902.38    502,632.75          0.00      2,000.00  1,224,406.58        0.00   61,281.84  1,842,941.71  1,904,223.55 </t>
  </si>
  <si>
    <t xml:space="preserve">    18  174    44,886.13     63,461.88          0.00          0.00    214,004.52        0.00   18,645.33    322,352.53    340,997.86 </t>
  </si>
  <si>
    <t xml:space="preserve">        184         0.00    125,220.60          0.00      1,500.00     56,032.57        0.00      119.63    182,753.17    182,872.80 </t>
  </si>
  <si>
    <t xml:space="preserve">        193         0.00     15,080.00          0.00          0.00     18,588.74        0.00    2,242.95     33,668.74     35,911.69 </t>
  </si>
  <si>
    <t xml:space="preserve">        199         0.00      6,172.86-         0.00          0.00      7,442.56        0.00        0.00      1,269.70      1,269.70 </t>
  </si>
  <si>
    <t xml:space="preserve">        202    33,066.88      5,916.00          0.00          0.00     14,559.84        0.00        0.00     53,542.72     53,542.72 </t>
  </si>
  <si>
    <t xml:space="preserve">        204         0.00     45,157.14          0.00          0.00    219,110.33        0.00    2,075.00    264,267.47    266,342.47 </t>
  </si>
  <si>
    <t xml:space="preserve">        205         0.00     73,802.81          0.00      1,100.00    408,798.45        0.00   10,030.20    483,701.26    493,731.46 </t>
  </si>
  <si>
    <t xml:space="preserve">    21  290    99,995.64-   324,292.21-         0.00          0.00  1,288,553.20-       0.00   49,283.98- 1,712,841.05- 1,762,125.03-</t>
  </si>
  <si>
    <t xml:space="preserve">        291   172,312.55    748,261.17          0.00        800.00  2,061,868.06        0.00  102,509.89  2,983,241.78  3,085,751.67 </t>
  </si>
  <si>
    <t xml:space="preserve">    24  300         0.00      5,700.00          0.00          0.00     33,470.79        0.00      814.10     39,170.79     39,984.89 </t>
  </si>
  <si>
    <t xml:space="preserve">    25  306    24,108.75     44,768.70          0.00          0.00    298,002.95        0.00   18,284.99    366,880.40    385,165.39 </t>
  </si>
  <si>
    <t xml:space="preserve">        307    23,719.11-     4,728.08-         0.00      2,100.00     73,169.41        0.00    4,789.74     46,822.22     51,611.96 </t>
  </si>
  <si>
    <t xml:space="preserve">        308   308,810.92  1,515,463.63     16,427.06     13,515.90  2,305,544.16        0.00   46,670.76  4,159,761.67  4,206,432.43 </t>
  </si>
  <si>
    <t xml:space="preserve">        331   135,672.76    132,130.63          0.00          0.00    275,714.04        0.00        0.00    543,517.43    543,517.43 </t>
  </si>
  <si>
    <t xml:space="preserve">        717         0.00     20,301.84          0.00          0.00      5,313.46        0.00        0.00     25,615.30     25,615.30 </t>
  </si>
  <si>
    <t xml:space="preserve">        718     4,145.04-    24,008.45          0.00          0.00     23,854.58        0.00        0.00     43,717.99     43,717.99 </t>
  </si>
  <si>
    <t xml:space="preserve">        719         0.00     38,750.21          0.00          0.00     36,708.71        0.00    2,165.40     75,458.92     77,624.32 </t>
  </si>
  <si>
    <t xml:space="preserve">        720         0.00     14,645.00          0.00          0.00        376.57        0.00        0.00     15,021.57     15,021.57 </t>
  </si>
  <si>
    <t xml:space="preserve">    26  525 1,079,054.22  4,516,015.98          0.00     15,503.51 11,512,074.21    1,934.49  475,832.35 17,122,647.92 17,600,414.76 </t>
  </si>
  <si>
    <t xml:space="preserve">    27  400   371,657.11  1,771,273.26          0.00      9,000.00  2,863,456.72        0.00   81,783.68  5,015,387.09  5,097,170.77 </t>
  </si>
  <si>
    <t xml:space="preserve">    30  419   113,008.71    729,365.55          0.00     11,640.00  1,327,398.15        0.00   13,165.95  2,181,412.41  2,194,578.36 </t>
  </si>
  <si>
    <t xml:space="preserve">        420    65,016.69    400,140.59          0.00      4,300.00    864,016.67        0.00   43,083.42  1,333,473.95  1,376,557.37 </t>
  </si>
  <si>
    <t xml:space="preserve">        423         0.00     56,119.12          0.00          0.00     42,038.12        0.00        0.00     98,157.24     98,157.24 </t>
  </si>
  <si>
    <t xml:space="preserve">    32  437 2,007,873.89  1,914,875.29          0.00     44,448.48  4,790,079.19        0.00   75,714.29  8,757,276.85  8,832,991.14 </t>
  </si>
  <si>
    <t xml:space="preserve">        455 1,515,138.55  3,966,586.74          0.00     21,470.30  4,427,481.98        0.00   63,151.83  9,930,677.57  9,993,829.40 </t>
  </si>
  <si>
    <t xml:space="preserve">        461    26,690.57     99,548.00          0.00          0.00    154,934.13        0.00    3,506.79    281,172.70    284,679.49 </t>
  </si>
  <si>
    <t xml:space="preserve">        480 2,795,665.47  2,748,575.79          0.00     44,875.07  6,736,934.91       15.50-  45,793.03 12,326,051.24 12,371,828.77 </t>
  </si>
  <si>
    <t xml:space="preserve">        482         0.00          0.00          0.00          0.00         77.47        0.00        0.00         77.47         77.47 </t>
  </si>
  <si>
    <t xml:space="preserve">        487   545,029.75  1,874,434.70          0.00     18,939.49  4,030,755.46      461.91   48,001.41  6,469,159.40  6,517,622.72 </t>
  </si>
  <si>
    <t xml:space="preserve">        502 1,136,240.22  2,493,854.36          0.00     61,936.61  5,011,390.50        0.00   81,698.83  8,703,421.69  8,785,120.52 </t>
  </si>
  <si>
    <t xml:space="preserve">    33  453         0.00     56,560.90          0.00          0.00     66,173.46        0.00        0.00    122,734.36    122,734.36 </t>
  </si>
  <si>
    <t xml:space="preserve">        457         0.00     73,240.16          0.00          0.00    200,533.79        0.00       78.00    273,773.95    273,851.95 </t>
  </si>
  <si>
    <t xml:space="preserve">        473   183,728.00    118,764.32          0.00      1,047.12    514,301.75      600.29   13,027.67    817,841.19    831,469.15 </t>
  </si>
  <si>
    <t xml:space="preserve">        497    19,296.16    122,361.49          0.00          0.00    220,025.49        0.00      680.00    361,683.14    362,363.14 </t>
  </si>
  <si>
    <t xml:space="preserve">        504   163,325.21    459,946.88          0.00          0.00  1,821,028.89        0.00    9,451.81  2,444,300.98  2,453,752.79 </t>
  </si>
  <si>
    <t xml:space="preserve">        505         0.00          0.00          0.00          0.00     12,506.52        0.00        0.00     12,506.52     12,506.52 </t>
  </si>
  <si>
    <t xml:space="preserve">        507         0.00    590,087.61          0.00      4,831.53    610,245.66        0.00      915.00  1,205,164.80  1,206,079.80 </t>
  </si>
  <si>
    <t xml:space="preserve">        512         0.00      8,850.92          0.00          0.00         94.84        0.00        0.00      8,945.76      8,945.76 </t>
  </si>
  <si>
    <t xml:space="preserve">        515 1,675,508.24  1,409,984.59          0.00      3,493.08  3,432,492.29        0.00   77,402.37  6,521,478.20  6,598,880.57 </t>
  </si>
  <si>
    <t xml:space="preserve">        518    42,018.19    451,578.67          0.00     13,880.00  1,643,839.37        0.00    6,635.18  2,151,316.23  2,157,951.41 </t>
  </si>
  <si>
    <t xml:space="preserve">    34  802         0.00          0.00          0.00          0.00      3,905.93        0.00    3,469.50      3,905.93      7,375.43 </t>
  </si>
  <si>
    <t xml:space="preserve">        803         0.00          0.00          0.00          0.00      2,677.67        0.00    1,086.80      2,677.67      3,764.47 </t>
  </si>
  <si>
    <t xml:space="preserve">        805    23,868.00    156,672.46          0.00          0.00    240,315.48        0.00    7,828.81    420,855.94    428,684.75 </t>
  </si>
  <si>
    <t xml:space="preserve">        806    42,138.79    313,245.58          0.00      1,500.00    343,682.43      365.02    5,173.28    700,566.80    706,105.10 </t>
  </si>
  <si>
    <t xml:space="preserve">        808         0.00     27,330.10          0.00      2,600.00     72,076.81        0.00      997.50    102,006.91    103,004.41 </t>
  </si>
  <si>
    <t xml:space="preserve">    35  810         0.00     51,690.84          0.00          0.00    120,714.56        0.00   13,427.67    172,405.40    185,833.07 </t>
  </si>
  <si>
    <t xml:space="preserve">    36  006   107,715.80    153,521.16          0.00        500.00    564,236.66        0.00   18,975.92    825,973.62    844,949.54 </t>
  </si>
  <si>
    <t xml:space="preserve">    38  548   292,785.23    403,502.31          0.00      8,571.65    886,065.36        0.00   16,449.64  1,590,924.55  1,607,374.19 </t>
  </si>
  <si>
    <t xml:space="preserve">        549   363,568.73    930,524.43          0.00     17,853.04  2,530,666.00      370.24   30,590.97  3,842,612.20  3,873,573.41 </t>
  </si>
  <si>
    <t xml:space="preserve">    39  538    13,863.06     26,642.72          0.00          0.00     57,904.26        0.00    2,038.05     98,410.04    100,448.09 </t>
  </si>
  <si>
    <t xml:space="preserve">    40  541   169,442.95    506,760.82          0.00      5,201.66    695,313.71        0.00   28,023.37  1,376,719.14  1,404,742.51 </t>
  </si>
  <si>
    <t xml:space="preserve">        542 8,628,033.22 14,164,723.76          0.00     56,165.90 26,476,462.61    1,377.29  328,037.85 49,325,385.49 49,654,800.63 </t>
  </si>
  <si>
    <t xml:space="preserve">        543         0.00          0.00          0.00          0.00      2,021.64        0.00        0.00      2,021.64      2,021.64 </t>
  </si>
  <si>
    <t xml:space="preserve">        544     7,465.70    127,882.12          0.00      1,100.00    288,567.65        0.00      147.39    425,015.47    425,162.86 </t>
  </si>
  <si>
    <t xml:space="preserve">        545    46,226.40     29,143.48          0.00      5,000.00  1,359,711.35        0.00        0.00  1,440,081.23  1,440,081.23 </t>
  </si>
  <si>
    <t xml:space="preserve">        546         0.00      8,320.00          0.00          0.00     89,171.58        0.00        0.00     97,491.58     97,491.58 </t>
  </si>
  <si>
    <t xml:space="preserve">    42  564    93,877.92    290,581.99          0.00      6,669.24  1,123,669.30      647.78    8,740.87  1,514,798.45  1,524,187.10 </t>
  </si>
  <si>
    <t xml:space="preserve">    44  996   137,304.10    417,668.49          0.00      7,100.00  1,682,732.76        0.00   51,531.93  2,244,805.35  2,296,337.28 </t>
  </si>
  <si>
    <t xml:space="preserve">    46  358   122,297.47    253,784.94          0.00      1,200.00    495,971.08        0.00   36,284.60    873,253.49    909,538.09 </t>
  </si>
  <si>
    <t xml:space="preserve">    48  680    35,217.96     65,170.30          0.00          0.00    548,033.90        0.00    8,869.94    648,422.16    657,292.10 </t>
  </si>
  <si>
    <t xml:space="preserve">    52  580   295,299.33    558,284.85          0.00      1,100.00  1,169,216.86        0.00   53,090.73  2,023,901.04  2,076,991.77 </t>
  </si>
  <si>
    <t xml:space="preserve">        581         0.00          0.00          0.00          0.00      1,968.66        0.00        0.00      1,968.66      1,968.66 </t>
  </si>
  <si>
    <t xml:space="preserve">    54  800   393,237.25  2,391,691.90          0.00      4,766.78  4,200,171.08        0.00   68,119.76  6,989,867.01  7,057,986.77 </t>
  </si>
  <si>
    <t xml:space="preserve">    57  573   178,282.45    356,606.86          0.00      5,807.24    786,525.77       44.43   10,020.81  1,327,222.32  1,337,287.56 </t>
  </si>
  <si>
    <t xml:space="preserve">        574         0.00     31,275.87          0.00          0.00    167,731.68        0.00    7,512.89    199,007.55    206,520.44 </t>
  </si>
  <si>
    <t xml:space="preserve">        575    99,510.21    111,791.89          0.00      7,100.00    364,696.95        0.00    2,273.88    583,099.05    585,372.93 </t>
  </si>
  <si>
    <t xml:space="preserve">        576   128,311.70    351,686.13          0.00      8,700.00  1,684,820.67        0.00   48,785.72  2,173,518.50  2,222,304.22 </t>
  </si>
  <si>
    <t xml:space="preserve">        577    10,341.60    214,733.25          0.00     13,178.43    502,096.06        0.00   10,653.37    740,349.34    751,002.71 </t>
  </si>
  <si>
    <t xml:space="preserve">        578   154,698.09    134,136.17          0.00      9,110.40    339,836.84      144.70   12,627.84    637,781.50    650,554.04 </t>
  </si>
  <si>
    <t xml:space="preserve">        830         0.00     15,534.71          0.00          0.00    102,803.59        0.00   10,568.35    118,338.30    128,906.65 </t>
  </si>
  <si>
    <t xml:space="preserve">        831         0.00      9,932.50          0.00          0.00      1,754.91        0.00      641.00-    11,687.41     11,046.41 </t>
  </si>
  <si>
    <t xml:space="preserve">    60  840    56,420.56     77,134.45          0.00          0.00    145,536.92        0.00    2,549.62    279,091.93    281,641.55 </t>
  </si>
  <si>
    <t xml:space="preserve">        841         0.00     24,510.20-         0.00          0.00    116,714.33        0.00    2,545.27     92,204.13     94,749.40 </t>
  </si>
  <si>
    <t xml:space="preserve">        842   372,213.81    650,566.86          0.00      1,500.00  1,092,382.25        0.00   21,795.76  2,116,662.92  2,138,458.68 </t>
  </si>
  <si>
    <t xml:space="preserve">        843         0.00     20,000.00          0.00          0.00     36,795.45        0.00    3,818.43     56,795.45     60,613.88 </t>
  </si>
  <si>
    <t xml:space="preserve">        846         0.00          0.00          0.00          0.00      9,167.88        0.00        0.00      9,167.88      9,167.88 </t>
  </si>
  <si>
    <t xml:space="preserve">        848         0.00    124,618.43          0.00          0.00     57,047.77        0.00    9,250.79    181,666.20    190,916.99 </t>
  </si>
  <si>
    <t xml:space="preserve">    68  532   889,427.10     15,850.98          0.00      4,700.00  1,827,734.74      875.03   13,548.75  2,737,712.82  2,752,136.60 </t>
  </si>
  <si>
    <t xml:space="preserve">        533    80,037.03    274,549.75          0.00      2,600.00    437,693.65        0.00    6,526.91    794,880.43    801,407.34 </t>
  </si>
  <si>
    <t xml:space="preserve">    74  036     8,180.95     10,440.00          0.00          0.00      2,104.88        0.00        0.00     20,725.83     20,725.83 </t>
  </si>
  <si>
    <t xml:space="preserve">        280   738,451.22  2,728,670.29          0.00     36,363.55  6,096,538.87        0.00  143,187.30  9,600,023.93  9,743,211.23 </t>
  </si>
  <si>
    <t xml:space="preserve">        281         0.00          0.00          0.00          0.00      8,498.88        0.00        0.00      8,498.88      8,498.88 </t>
  </si>
  <si>
    <t xml:space="preserve">    77  388   851,325.24  2,997,300.44          0.00     30,136.86  5,933,991.22        0.00  125,307.96  9,812,753.76  9,938,061.72 </t>
  </si>
  <si>
    <t xml:space="preserve">    78  389 5,105,597.45 24,293,561.00     17,661.01    143,217.14 32,694,454.04    4,626.48  287,108.56 62,254,490.64 62,546,225.68 </t>
  </si>
  <si>
    <t xml:space="preserve">    80  559    28,922.88     79,678.15          0.00          0.00    203,371.54        0.00    2,350.00    311,972.57    314,322.57 </t>
  </si>
  <si>
    <t xml:space="preserve">        701         0.00     27,832.21          0.00          0.00    108,387.21        0.00    4,338.12    136,219.42    140,557.54 </t>
  </si>
  <si>
    <t xml:space="preserve">        702         0.00     79,006.71          0.00          0.00    198,436.71        0.00    5,916.61    277,443.42    283,360.03 </t>
  </si>
  <si>
    <t xml:space="preserve">        900         0.00     19,189.19          0.00      1,500.00    158,674.09        0.00    8,165.25    179,363.28    187,528.53 </t>
  </si>
  <si>
    <t xml:space="preserve">        901    54,956.87    515,966.38          0.00        737.74    489,909.88        0.00    7,565.16  1,061,570.87  1,069,136.03 </t>
  </si>
  <si>
    <t xml:space="preserve">        902   315,703.67    461,869.09          0.00      3,379.96  1,551,865.20      299.79    5,869.35  2,332,817.92  2,338,987.06 </t>
  </si>
  <si>
    <t xml:space="preserve">        903   385,951.70  1,124,786.04          0.00      6,089.95  2,051,937.35      110.79   25,225.38  3,568,765.04  3,594,101.21 </t>
  </si>
  <si>
    <t xml:space="preserve">        904   642,408.22  1,844,843.73          0.00      5,100.00  3,347,266.25        0.00   63,064.45  5,839,618.20  5,902,682.65 </t>
  </si>
  <si>
    <t xml:space="preserve">        905   120,206.94  1,154,054.25          0.00      1,100.00    877,740.74        0.00   12,615.16  2,153,101.93  2,165,717.09 </t>
  </si>
  <si>
    <t xml:space="preserve">        906   357,945.67    943,764.03          0.00      4,399.27  1,273,944.66        0.00   42,536.15  2,580,053.63  2,622,589.78 </t>
  </si>
  <si>
    <t xml:space="preserve">        907 1,104,128.57  4,078,413.37          0.00     24,125.90  6,316,755.30       10.41  152,109.07 11,523,423.14 11,675,542.62 </t>
  </si>
  <si>
    <t xml:space="preserve">        908   413,188.26  1,385,798.60          0.00     14,190.00  3,023,575.89        0.00   43,448.00  4,836,752.75  4,880,200.75 </t>
  </si>
  <si>
    <t xml:space="preserve">        909    17,538.62    289,858.84          0.00      1,000.00  1,042,923.08        0.00    7,662.52  1,351,320.54  1,358,983.06 </t>
  </si>
  <si>
    <t xml:space="preserve">        910   156,439.05    400,061.65          0.00      3,900.00  1,055,045.23        0.00   14,028.38  1,615,445.93  1,629,474.31 </t>
  </si>
  <si>
    <t xml:space="preserve">        911   287,058.56    781,061.53          0.00      4,605.00  1,824,442.39      215.63   17,010.30  2,897,167.48  2,914,393.41 </t>
  </si>
  <si>
    <t xml:space="preserve">        912    63,923.37  1,492,348.51          0.00      2,700.00    860,955.32        0.00   43,346.14  2,419,927.20  2,463,273.34 </t>
  </si>
  <si>
    <t xml:space="preserve">        913    46,299.78    105,159.67          0.00          0.00    207,854.42        0.00    6,650.05    359,313.87    365,963.92 </t>
  </si>
  <si>
    <t xml:space="preserve">        927       883.96     28,492.50          0.00          0.00     39,081.89        0.00    1,934.35     68,458.35     70,392.70 </t>
  </si>
  <si>
    <t xml:space="preserve">        928         0.00     23,717.85          0.00          0.00     42,397.40        0.00      250.00     66,115.25     66,365.25 </t>
  </si>
  <si>
    <t xml:space="preserve">        929         0.00     34,579.39          0.00          0.00     17,748.22        0.00        0.00     52,327.61     52,327.61 </t>
  </si>
  <si>
    <t xml:space="preserve">        930         0.00          0.00          0.00          0.00      1,583.37        0.00      615.00      1,583.37      2,198.37 </t>
  </si>
  <si>
    <t xml:space="preserve">        931         0.00     42,355.00          0.00          0.00    127,859.27        0.00    2,482.25    170,214.27    172,696.52 </t>
  </si>
  <si>
    <t xml:space="preserve">        932   163,820.06    776,567.25          0.00     21,321.52  1,141,493.09        0.00    6,847.64  2,103,201.92  2,110,049.56 </t>
  </si>
  <si>
    <t xml:space="preserve">    83  565   182,284.35    408,538.15          0.00      2,100.00  1,051,765.62      105.88   22,150.88  1,644,688.12  1,666,944.88 </t>
  </si>
  <si>
    <t xml:space="preserve">        566   291,392.01    410,551.85          0.00      6,630.68    750,659.11        0.00    8,529.01  1,459,233.65  1,467,762.66 </t>
  </si>
  <si>
    <t xml:space="preserve">    99  175         0.00          0.00          0.00          0.00      5,625.39        0.00        0.00      5,625.39      5,625.39 </t>
  </si>
  <si>
    <t xml:space="preserve">        192         0.00     13,649.37          0.00          0.00     18,742.33        0.00      163.13     32,391.70     32,554.83 </t>
  </si>
  <si>
    <t xml:space="preserve">        275         0.00    191,897.80          0.00          0.00    212,214.26        0.00    7,353.23    404,112.06    411,465.29 </t>
  </si>
  <si>
    <t xml:space="preserve">        292         0.00          0.00          0.00          0.00           .43        0.00        0.00           .43           .43 </t>
  </si>
  <si>
    <t xml:space="preserve">        311         0.00          0.00          0.00          0.00     26,129.01        0.00        0.00     26,129.01     26,129.01 </t>
  </si>
  <si>
    <t xml:space="preserve">        330         0.00          0.00          0.00          0.00      5,591.67        0.00        0.00      5,591.67      5,591.67 </t>
  </si>
  <si>
    <t xml:space="preserve">        356         0.00          0.00          0.00          0.00      3,774.80        0.00        0.00      3,774.80      3,774.80 </t>
  </si>
  <si>
    <t xml:space="preserve">        395         0.00          0.00          0.00          0.00      2,923.32        0.00        0.00      2,923.32      2,923.32 </t>
  </si>
  <si>
    <t xml:space="preserve">        413   343,256.97    203,030.11          0.00      3,369.00    916,780.24        0.00   35,338.60  1,466,436.32  1,501,774.92 </t>
  </si>
  <si>
    <t xml:space="preserve">        415         0.00          0.00          0.00          0.00      2,394.27        0.00        0.00      2,394.27      2,394.27 </t>
  </si>
  <si>
    <t xml:space="preserve">        690    11,466.08     29,050.12          0.00          0.00    678,075.77        0.00    1,019.88    718,591.97    719,611.85 </t>
  </si>
  <si>
    <t xml:space="preserve">        693    17,427.84     49,590.00          0.00          0.00     44,985.57        0.00    2,801.20    112,003.41    114,804.61 </t>
  </si>
  <si>
    <t xml:space="preserve">        695         0.00     29,014.01          0.00          0.00     65,311.29        0.00    3,699.92     94,325.30     98,025.22 </t>
  </si>
  <si>
    <t xml:space="preserve">        792         0.00          0.00          0.00          0.00      3,907.94        0.00        0.00      3,907.94      3,907.94 </t>
  </si>
  <si>
    <t xml:space="preserve">        793         0.00     15,501.20          0.00          0.00          0.00        0.00        0.00     15,501.20     15,501.20 </t>
  </si>
  <si>
    <t xml:space="preserve">        801       396.00-   132,848.10          0.00        500.00    141,529.54        0.00    1,466.68    274,481.64    275,948.32 </t>
  </si>
  <si>
    <t xml:space="preserve">        811     9,247.31          0.00          0.00          0.00     15,912.20        0.00        0.00     25,159.51     25,159.51 </t>
  </si>
  <si>
    <t xml:space="preserve">        812         0.00          0.00          0.00          0.00        601.84-       0.00      765.30        601.84-       163.46 </t>
  </si>
  <si>
    <t xml:space="preserve">        817    42,452.01    134,656.58          0.00          0.00     43,019.40        0.00        0.00    220,127.99    220,127.99 </t>
  </si>
  <si>
    <t xml:space="preserve">  TOTALS     87239135.37  230953301.68      17653.25    1552661.68  359675755.62    24117.93  7128404.66  679438507.60  686591030.19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</si>
</sst>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
    <numFmt numFmtId="167" formatCode="#,##0.000_);\(#,##0.000\)"/>
    <numFmt numFmtId="168" formatCode="#,##0.0_);\(#,##0.0\)"/>
    <numFmt numFmtId="169" formatCode="_(* #,##0.000_);_(* \(#,##0.000\);_(* &quot;-&quot;???_);_(@_)"/>
    <numFmt numFmtId="170" formatCode="#,##0.000000_);[Red]\(#,##0.000000\)"/>
    <numFmt numFmtId="171" formatCode="#,##0.00000_);[Red]\(#,##0.00000\)"/>
    <numFmt numFmtId="172" formatCode="[$-409]mmmm\ d\,\ yyyy;@"/>
    <numFmt numFmtId="173" formatCode="0.00000%"/>
    <numFmt numFmtId="174" formatCode="_(&quot;$&quot;* #,##0.000000000000_);_(&quot;$&quot;* \(#,##0.000000000000\);_(&quot;$&quot;* &quot;-&quot;??_);_(@_)"/>
    <numFmt numFmtId="175" formatCode="_(* #,##0.00_);_(* \(#,##0.00\);_(* &quot;-&quot;_);_(@_)"/>
    <numFmt numFmtId="176" formatCode="_(* #,##0.0000_);_(* \(#,##0.0000\);_(* &quot;-&quot;??_);_(@_)"/>
    <numFmt numFmtId="177" formatCode="#,##0.0000_);\(#,##0.0000\)"/>
    <numFmt numFmtId="178" formatCode="0.0000000"/>
    <numFmt numFmtId="179" formatCode="yyyymmdd"/>
    <numFmt numFmtId="180" formatCode="0.0000%"/>
  </numFmts>
  <fonts count="140">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0"/>
      <name val="Arial"/>
      <family val="2"/>
    </font>
    <font>
      <sz val="10"/>
      <name val="Arial"/>
      <family val="2"/>
    </font>
    <font>
      <sz val="8"/>
      <color indexed="81"/>
      <name val="Tahoma"/>
      <family val="2"/>
    </font>
    <font>
      <b/>
      <sz val="11"/>
      <name val="Arial Narrow"/>
      <family val="2"/>
    </font>
    <font>
      <b/>
      <sz val="11"/>
      <color indexed="12"/>
      <name val="Arial Narrow"/>
      <family val="2"/>
    </font>
    <font>
      <b/>
      <sz val="10"/>
      <name val="Arial Narrow"/>
      <family val="2"/>
    </font>
    <font>
      <sz val="10"/>
      <name val="Arial Narrow"/>
      <family val="2"/>
    </font>
    <font>
      <b/>
      <sz val="10"/>
      <color indexed="12"/>
      <name val="Arial Narrow"/>
      <family val="2"/>
    </font>
    <font>
      <b/>
      <sz val="10"/>
      <color indexed="10"/>
      <name val="Tahoma"/>
      <family val="2"/>
    </font>
    <font>
      <sz val="10"/>
      <name val="Tahoma"/>
      <family val="2"/>
    </font>
    <font>
      <b/>
      <sz val="14"/>
      <name val="Arial"/>
      <family val="2"/>
    </font>
    <font>
      <sz val="14"/>
      <name val="Times New Roman"/>
      <family val="1"/>
    </font>
    <font>
      <sz val="10"/>
      <name val="Times New Roman"/>
      <family val="1"/>
    </font>
    <font>
      <b/>
      <sz val="12"/>
      <name val="Arial"/>
      <family val="2"/>
    </font>
    <font>
      <b/>
      <sz val="12"/>
      <name val="Times New Roman"/>
      <family val="1"/>
    </font>
    <font>
      <sz val="12"/>
      <color indexed="9"/>
      <name val="Times New Roman"/>
      <family val="1"/>
    </font>
    <font>
      <b/>
      <sz val="10"/>
      <color indexed="81"/>
      <name val="Tahoma"/>
      <family val="2"/>
    </font>
    <font>
      <b/>
      <sz val="10"/>
      <color indexed="8"/>
      <name val="Arial Narrow"/>
      <family val="2"/>
    </font>
    <font>
      <sz val="10"/>
      <color indexed="53"/>
      <name val="Arial Narrow"/>
      <family val="2"/>
    </font>
    <font>
      <sz val="10"/>
      <color indexed="10"/>
      <name val="Arial Narrow"/>
      <family val="2"/>
    </font>
    <font>
      <sz val="10"/>
      <color indexed="8"/>
      <name val="Arial Narrow"/>
      <family val="2"/>
    </font>
    <font>
      <b/>
      <sz val="10"/>
      <color indexed="8"/>
      <name val="Tahoma"/>
      <family val="2"/>
    </font>
    <font>
      <b/>
      <sz val="10"/>
      <color indexed="41"/>
      <name val="Arial Narrow"/>
      <family val="2"/>
    </font>
    <font>
      <sz val="10"/>
      <color indexed="41"/>
      <name val="Arial Narrow"/>
      <family val="2"/>
    </font>
    <font>
      <b/>
      <sz val="12"/>
      <color indexed="81"/>
      <name val="Tahoma"/>
      <family val="2"/>
    </font>
    <font>
      <sz val="12"/>
      <color indexed="10"/>
      <name val="Tahoma"/>
      <family val="2"/>
    </font>
    <font>
      <b/>
      <sz val="9"/>
      <name val="Times New Roman"/>
      <family val="1"/>
    </font>
    <font>
      <sz val="9"/>
      <name val="Times New Roman"/>
      <family val="1"/>
    </font>
    <font>
      <sz val="12"/>
      <name val="Times New Roman"/>
      <family val="1"/>
    </font>
    <font>
      <b/>
      <sz val="18"/>
      <name val="Arial"/>
      <family val="2"/>
    </font>
    <font>
      <sz val="16"/>
      <name val="Times New Roman"/>
      <family val="1"/>
    </font>
    <font>
      <b/>
      <sz val="16"/>
      <color indexed="12"/>
      <name val="Arial"/>
      <family val="2"/>
    </font>
    <font>
      <b/>
      <sz val="16"/>
      <name val="Arial"/>
      <family val="2"/>
    </font>
    <font>
      <b/>
      <sz val="12"/>
      <color indexed="10"/>
      <name val="Courier"/>
      <family val="3"/>
    </font>
    <font>
      <sz val="9"/>
      <color indexed="12"/>
      <name val="Times New Roman"/>
      <family val="1"/>
    </font>
    <font>
      <sz val="10"/>
      <color indexed="12"/>
      <name val="Courier"/>
      <family val="3"/>
    </font>
    <font>
      <b/>
      <sz val="6"/>
      <name val="Times New Roman"/>
      <family val="1"/>
    </font>
    <font>
      <b/>
      <sz val="16"/>
      <color indexed="8"/>
      <name val="Arial"/>
      <family val="2"/>
    </font>
    <font>
      <sz val="10"/>
      <color indexed="8"/>
      <name val="Arial Narrow"/>
      <family val="2"/>
    </font>
    <font>
      <sz val="9"/>
      <color indexed="81"/>
      <name val="Tahoma"/>
      <family val="2"/>
    </font>
    <font>
      <sz val="10"/>
      <color theme="1"/>
      <name val="Lucida for Attachmate"/>
      <family val="2"/>
    </font>
    <font>
      <b/>
      <sz val="10"/>
      <color rgb="FF7030A0"/>
      <name val="Arial Narrow"/>
      <family val="2"/>
    </font>
    <font>
      <sz val="10"/>
      <color rgb="FF7030A0"/>
      <name val="Arial Narrow"/>
      <family val="2"/>
    </font>
    <font>
      <b/>
      <sz val="12"/>
      <color indexed="10"/>
      <name val="Tahoma"/>
      <family val="2"/>
    </font>
    <font>
      <sz val="10"/>
      <color theme="1"/>
      <name val="Arial Narrow"/>
      <family val="2"/>
    </font>
    <font>
      <b/>
      <sz val="9"/>
      <color indexed="81"/>
      <name val="Tahoma"/>
      <family val="2"/>
    </font>
    <font>
      <sz val="10"/>
      <color rgb="FFFF0000"/>
      <name val="Arial Narrow"/>
      <family val="2"/>
    </font>
    <font>
      <sz val="18"/>
      <color indexed="8"/>
      <name val="Arial Narrow"/>
      <family val="2"/>
    </font>
    <font>
      <b/>
      <sz val="12"/>
      <color indexed="9"/>
      <name val="Times New Roman"/>
      <family val="1"/>
    </font>
    <font>
      <b/>
      <u/>
      <sz val="12"/>
      <name val="Times New Roman"/>
      <family val="1"/>
    </font>
    <font>
      <b/>
      <sz val="12"/>
      <color rgb="FFFF0000"/>
      <name val="Times New Roman"/>
      <family val="1"/>
    </font>
    <font>
      <b/>
      <sz val="12"/>
      <color indexed="10"/>
      <name val="Times New Roman"/>
      <family val="1"/>
    </font>
    <font>
      <sz val="12"/>
      <color theme="1"/>
      <name val="Times New Roman"/>
      <family val="1"/>
    </font>
    <font>
      <sz val="12"/>
      <color indexed="10"/>
      <name val="Times New Roman"/>
      <family val="1"/>
    </font>
    <font>
      <b/>
      <sz val="12"/>
      <color rgb="FF7030A0"/>
      <name val="Times New Roman"/>
      <family val="1"/>
    </font>
    <font>
      <b/>
      <sz val="12"/>
      <color indexed="14"/>
      <name val="Times New Roman"/>
      <family val="1"/>
    </font>
    <font>
      <b/>
      <sz val="13"/>
      <name val="Times New Roman"/>
      <family val="1"/>
    </font>
    <font>
      <b/>
      <sz val="12"/>
      <color indexed="8"/>
      <name val="Times New Roman"/>
      <family val="1"/>
    </font>
    <font>
      <b/>
      <sz val="12"/>
      <color indexed="12"/>
      <name val="Times New Roman"/>
      <family val="1"/>
    </font>
    <font>
      <sz val="12"/>
      <color indexed="12"/>
      <name val="Times New Roman"/>
      <family val="1"/>
    </font>
    <font>
      <sz val="12"/>
      <color indexed="8"/>
      <name val="Times New Roman"/>
      <family val="1"/>
    </font>
    <font>
      <b/>
      <sz val="12"/>
      <color indexed="53"/>
      <name val="Times New Roman"/>
      <family val="1"/>
    </font>
    <font>
      <sz val="12"/>
      <color indexed="53"/>
      <name val="Times New Roman"/>
      <family val="1"/>
    </font>
    <font>
      <sz val="12"/>
      <color indexed="14"/>
      <name val="Times New Roman"/>
      <family val="1"/>
    </font>
    <font>
      <b/>
      <sz val="12"/>
      <color theme="1"/>
      <name val="Times New Roman"/>
      <family val="1"/>
    </font>
    <font>
      <sz val="12"/>
      <color theme="5" tint="-0.249977111117893"/>
      <name val="Times New Roman"/>
      <family val="1"/>
    </font>
    <font>
      <sz val="12"/>
      <color rgb="FFFF0000"/>
      <name val="Times New Roman"/>
      <family val="1"/>
    </font>
    <font>
      <b/>
      <sz val="12"/>
      <color rgb="FF0000FF"/>
      <name val="Times New Roman"/>
      <family val="1"/>
    </font>
    <font>
      <sz val="12"/>
      <color rgb="FF7030A0"/>
      <name val="Times New Roman"/>
      <family val="1"/>
    </font>
    <font>
      <b/>
      <sz val="12"/>
      <color indexed="41"/>
      <name val="Times New Roman"/>
      <family val="1"/>
    </font>
    <font>
      <sz val="12"/>
      <color indexed="41"/>
      <name val="Times New Roman"/>
      <family val="1"/>
    </font>
    <font>
      <b/>
      <sz val="12"/>
      <color indexed="48"/>
      <name val="Times New Roman"/>
      <family val="1"/>
    </font>
    <font>
      <sz val="14"/>
      <color theme="4" tint="-0.249977111117893"/>
      <name val="Times New Roman"/>
      <family val="1"/>
    </font>
    <font>
      <u/>
      <sz val="14"/>
      <name val="Times New Roman"/>
      <family val="1"/>
    </font>
    <font>
      <u/>
      <sz val="14"/>
      <color theme="4" tint="-0.249977111117893"/>
      <name val="Times New Roman"/>
      <family val="1"/>
    </font>
    <font>
      <sz val="14"/>
      <color rgb="FF000000"/>
      <name val="Times New Roman"/>
      <family val="1"/>
    </font>
    <font>
      <sz val="14"/>
      <color rgb="FFFF0000"/>
      <name val="Times New Roman"/>
      <family val="1"/>
    </font>
    <font>
      <sz val="12"/>
      <name val="Calibri"/>
      <family val="2"/>
    </font>
    <font>
      <sz val="11"/>
      <color indexed="81"/>
      <name val="Tahoma"/>
      <family val="2"/>
    </font>
    <font>
      <sz val="10"/>
      <color indexed="9"/>
      <name val="Times New Roman"/>
      <family val="1"/>
    </font>
    <font>
      <sz val="12"/>
      <color indexed="81"/>
      <name val="Tahoma"/>
      <family val="2"/>
    </font>
    <font>
      <b/>
      <sz val="12"/>
      <color indexed="12"/>
      <name val="Arial"/>
      <family val="2"/>
    </font>
    <font>
      <b/>
      <sz val="10"/>
      <name val="Arial"/>
      <family val="2"/>
    </font>
    <font>
      <b/>
      <sz val="10"/>
      <color indexed="12"/>
      <name val="Arial"/>
      <family val="2"/>
    </font>
    <font>
      <sz val="10"/>
      <color indexed="8"/>
      <name val="Arial"/>
      <family val="2"/>
    </font>
    <font>
      <sz val="12"/>
      <color rgb="FFFF0000"/>
      <name val="Arial"/>
      <family val="2"/>
    </font>
    <font>
      <b/>
      <sz val="11"/>
      <color indexed="12"/>
      <name val="Arial"/>
      <family val="2"/>
    </font>
    <font>
      <b/>
      <sz val="11"/>
      <name val="Arial"/>
      <family val="2"/>
    </font>
    <font>
      <u/>
      <sz val="12"/>
      <color theme="10"/>
      <name val="Arial"/>
      <family val="2"/>
    </font>
    <font>
      <vertAlign val="superscript"/>
      <sz val="10"/>
      <name val="Times New Roman"/>
      <family val="1"/>
    </font>
    <font>
      <sz val="12"/>
      <color rgb="FF0000FF"/>
      <name val="Times New Roman"/>
      <family val="1"/>
    </font>
    <font>
      <sz val="10"/>
      <color rgb="FF0000FF"/>
      <name val="Calibri"/>
      <family val="2"/>
      <scheme val="minor"/>
    </font>
    <font>
      <sz val="12"/>
      <color rgb="FF0000FF"/>
      <name val="Calibri"/>
      <family val="2"/>
    </font>
    <font>
      <b/>
      <sz val="12"/>
      <color rgb="FF0000FF"/>
      <name val="Arial"/>
      <family val="2"/>
    </font>
    <font>
      <sz val="12"/>
      <color rgb="FF0000FF"/>
      <name val="Arial"/>
      <family val="2"/>
    </font>
    <font>
      <sz val="10"/>
      <color rgb="FF0000FF"/>
      <name val="Times New Roman"/>
      <family val="1"/>
    </font>
    <font>
      <b/>
      <sz val="10"/>
      <color rgb="FF0000FF"/>
      <name val="Tahoma"/>
      <family val="2"/>
    </font>
    <font>
      <sz val="10"/>
      <color rgb="FF0000FF"/>
      <name val="Tahoma"/>
      <family val="2"/>
    </font>
    <font>
      <b/>
      <sz val="11"/>
      <color rgb="FFFF0000"/>
      <name val="Calibri"/>
      <family val="2"/>
    </font>
    <font>
      <sz val="14"/>
      <color rgb="FF0000FF"/>
      <name val="Times New Roman"/>
      <family val="1"/>
    </font>
    <font>
      <b/>
      <sz val="10"/>
      <color rgb="FF0000FF"/>
      <name val="Times New Roman"/>
      <family val="1"/>
    </font>
    <font>
      <sz val="8"/>
      <color rgb="FF0000FF"/>
      <name val="Times New Roman"/>
      <family val="1"/>
    </font>
    <font>
      <sz val="11"/>
      <name val="Arial"/>
      <family val="2"/>
    </font>
    <font>
      <b/>
      <sz val="14"/>
      <name val="Times New Roman"/>
      <family val="1"/>
    </font>
    <font>
      <b/>
      <sz val="14"/>
      <color rgb="FFFF0000"/>
      <name val="Times New Roman"/>
      <family val="1"/>
    </font>
    <font>
      <b/>
      <sz val="12"/>
      <color rgb="FF00B050"/>
      <name val="Times New Roman"/>
      <family val="1"/>
    </font>
    <font>
      <sz val="12"/>
      <color rgb="FF00B05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b/>
      <sz val="18"/>
      <color theme="3"/>
      <name val="Cambria"/>
      <family val="2"/>
      <scheme val="major"/>
    </font>
    <font>
      <sz val="11"/>
      <color rgb="FF9C6500"/>
      <name val="Calibri"/>
      <family val="2"/>
      <scheme val="minor"/>
    </font>
    <font>
      <sz val="8"/>
      <name val="Arial"/>
    </font>
  </fonts>
  <fills count="65">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indexed="8"/>
        <bgColor indexed="64"/>
      </patternFill>
    </fill>
    <fill>
      <patternFill patternType="solid">
        <fgColor indexed="42"/>
        <bgColor indexed="8"/>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66"/>
        <bgColor indexed="64"/>
      </patternFill>
    </fill>
    <fill>
      <patternFill patternType="solid">
        <fgColor theme="1"/>
        <bgColor indexed="64"/>
      </patternFill>
    </fill>
    <fill>
      <patternFill patternType="solid">
        <fgColor theme="0" tint="-0.14999847407452621"/>
        <bgColor indexed="64"/>
      </patternFill>
    </fill>
    <fill>
      <patternFill patternType="solid">
        <fgColor rgb="FFCCFFFF"/>
        <bgColor indexed="64"/>
      </patternFill>
    </fill>
    <fill>
      <patternFill patternType="solid">
        <fgColor rgb="FF00FF00"/>
        <bgColor indexed="64"/>
      </patternFill>
    </fill>
    <fill>
      <patternFill patternType="solid">
        <fgColor rgb="FFF8A15A"/>
        <bgColor indexed="64"/>
      </patternFill>
    </fill>
    <fill>
      <patternFill patternType="solid">
        <fgColor theme="1" tint="4.9989318521683403E-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4">
    <border>
      <left/>
      <right/>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bottom style="thin">
        <color indexed="59"/>
      </bottom>
      <diagonal/>
    </border>
    <border>
      <left/>
      <right/>
      <top/>
      <bottom style="thin">
        <color indexed="8"/>
      </bottom>
      <diagonal/>
    </border>
    <border>
      <left/>
      <right/>
      <top/>
      <bottom style="double">
        <color indexed="8"/>
      </bottom>
      <diagonal/>
    </border>
    <border>
      <left/>
      <right/>
      <top style="thin">
        <color indexed="64"/>
      </top>
      <bottom style="double">
        <color indexed="64"/>
      </bottom>
      <diagonal/>
    </border>
    <border>
      <left/>
      <right style="thin">
        <color indexed="64"/>
      </right>
      <top style="thin">
        <color indexed="64"/>
      </top>
      <bottom style="medium">
        <color indexed="64"/>
      </bottom>
      <diagonal/>
    </border>
    <border>
      <left style="mediumDashDotDot">
        <color indexed="49"/>
      </left>
      <right/>
      <top/>
      <bottom/>
      <diagonal/>
    </border>
    <border>
      <left/>
      <right style="mediumDashDotDot">
        <color indexed="49"/>
      </right>
      <top/>
      <bottom/>
      <diagonal/>
    </border>
    <border>
      <left/>
      <right style="mediumDashDotDot">
        <color indexed="49"/>
      </right>
      <top style="thin">
        <color indexed="64"/>
      </top>
      <bottom style="double">
        <color indexed="64"/>
      </bottom>
      <diagonal/>
    </border>
    <border>
      <left style="mediumDashDotDot">
        <color indexed="49"/>
      </left>
      <right/>
      <top/>
      <bottom style="mediumDashDotDot">
        <color indexed="49"/>
      </bottom>
      <diagonal/>
    </border>
    <border>
      <left/>
      <right/>
      <top/>
      <bottom style="mediumDashDotDot">
        <color indexed="49"/>
      </bottom>
      <diagonal/>
    </border>
    <border>
      <left/>
      <right style="mediumDashDotDot">
        <color indexed="49"/>
      </right>
      <top/>
      <bottom style="mediumDashDotDot">
        <color indexed="49"/>
      </bottom>
      <diagonal/>
    </border>
    <border>
      <left style="thin">
        <color indexed="64"/>
      </left>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diagonal/>
    </border>
    <border>
      <left/>
      <right/>
      <top style="thin">
        <color indexed="64"/>
      </top>
      <bottom/>
      <diagonal/>
    </border>
    <border>
      <left/>
      <right/>
      <top style="thin">
        <color indexed="64"/>
      </top>
      <bottom style="thin">
        <color indexed="64"/>
      </bottom>
      <diagonal/>
    </border>
    <border>
      <left style="thin">
        <color rgb="FFB1BBCC"/>
      </left>
      <right style="thin">
        <color rgb="FFB1BBCC"/>
      </right>
      <top style="thin">
        <color rgb="FFB1BBCC"/>
      </top>
      <bottom style="thin">
        <color rgb="FFB1BBCC"/>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hair">
        <color indexed="64"/>
      </top>
      <bottom style="hair">
        <color indexed="64"/>
      </bottom>
      <diagonal/>
    </border>
    <border>
      <left/>
      <right/>
      <top style="thin">
        <color auto="1"/>
      </top>
      <bottom style="double">
        <color auto="1"/>
      </bottom>
      <diagonal/>
    </border>
    <border>
      <left/>
      <right/>
      <top style="hair">
        <color indexed="64"/>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DashDotDot">
        <color indexed="49"/>
      </left>
      <right/>
      <top style="mediumDashDotDot">
        <color indexed="49"/>
      </top>
      <bottom style="thin">
        <color indexed="64"/>
      </bottom>
      <diagonal/>
    </border>
    <border>
      <left/>
      <right/>
      <top style="mediumDashDotDot">
        <color indexed="49"/>
      </top>
      <bottom style="thin">
        <color indexed="64"/>
      </bottom>
      <diagonal/>
    </border>
    <border>
      <left/>
      <right style="mediumDashDotDot">
        <color indexed="49"/>
      </right>
      <top style="mediumDashDotDot">
        <color indexed="49"/>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60">
    <xf numFmtId="0" fontId="0" fillId="0" borderId="0"/>
    <xf numFmtId="43" fontId="14" fillId="0" borderId="0" applyFont="0" applyFill="0" applyBorder="0" applyAlignment="0" applyProtection="0"/>
    <xf numFmtId="0" fontId="16" fillId="0" borderId="0"/>
    <xf numFmtId="0" fontId="16" fillId="0" borderId="0"/>
    <xf numFmtId="9" fontId="14" fillId="0" borderId="0" applyFont="0" applyFill="0" applyBorder="0" applyAlignment="0" applyProtection="0"/>
    <xf numFmtId="0" fontId="55" fillId="0" borderId="0"/>
    <xf numFmtId="0" fontId="13" fillId="0" borderId="0"/>
    <xf numFmtId="43" fontId="13" fillId="0" borderId="0" applyFont="0" applyFill="0" applyBorder="0" applyAlignment="0" applyProtection="0"/>
    <xf numFmtId="0" fontId="12" fillId="0" borderId="0"/>
    <xf numFmtId="0" fontId="11" fillId="0" borderId="0"/>
    <xf numFmtId="0" fontId="10" fillId="0" borderId="0"/>
    <xf numFmtId="0" fontId="15" fillId="0" borderId="0"/>
    <xf numFmtId="0" fontId="10" fillId="0" borderId="0"/>
    <xf numFmtId="0" fontId="10" fillId="0" borderId="0"/>
    <xf numFmtId="0" fontId="9" fillId="0" borderId="0"/>
    <xf numFmtId="0" fontId="8" fillId="0" borderId="0"/>
    <xf numFmtId="43" fontId="8" fillId="0" borderId="0" applyFont="0" applyFill="0" applyBorder="0" applyAlignment="0" applyProtection="0"/>
    <xf numFmtId="0" fontId="7" fillId="0" borderId="0"/>
    <xf numFmtId="0" fontId="6" fillId="0" borderId="0"/>
    <xf numFmtId="0" fontId="5" fillId="0" borderId="0"/>
    <xf numFmtId="43" fontId="5" fillId="0" borderId="0" applyFont="0" applyFill="0" applyBorder="0" applyAlignment="0" applyProtection="0"/>
    <xf numFmtId="0" fontId="4" fillId="0" borderId="0"/>
    <xf numFmtId="0" fontId="14" fillId="0" borderId="0"/>
    <xf numFmtId="0" fontId="3" fillId="0" borderId="0"/>
    <xf numFmtId="0" fontId="103" fillId="0" borderId="0" applyNumberFormat="0" applyFill="0" applyBorder="0" applyAlignment="0" applyProtection="0"/>
    <xf numFmtId="0" fontId="117" fillId="0" borderId="0"/>
    <xf numFmtId="43" fontId="117" fillId="0" borderId="0" applyFont="0" applyFill="0" applyBorder="0" applyAlignment="0" applyProtection="0"/>
    <xf numFmtId="0" fontId="2" fillId="0" borderId="0"/>
    <xf numFmtId="0" fontId="122" fillId="0" borderId="55" applyNumberFormat="0" applyFill="0" applyAlignment="0" applyProtection="0"/>
    <xf numFmtId="0" fontId="123" fillId="0" borderId="56" applyNumberFormat="0" applyFill="0" applyAlignment="0" applyProtection="0"/>
    <xf numFmtId="0" fontId="124" fillId="0" borderId="57" applyNumberFormat="0" applyFill="0" applyAlignment="0" applyProtection="0"/>
    <xf numFmtId="0" fontId="124" fillId="0" borderId="0" applyNumberFormat="0" applyFill="0" applyBorder="0" applyAlignment="0" applyProtection="0"/>
    <xf numFmtId="0" fontId="125" fillId="34" borderId="0" applyNumberFormat="0" applyBorder="0" applyAlignment="0" applyProtection="0"/>
    <xf numFmtId="0" fontId="126" fillId="35" borderId="0" applyNumberFormat="0" applyBorder="0" applyAlignment="0" applyProtection="0"/>
    <xf numFmtId="0" fontId="127" fillId="37" borderId="58" applyNumberFormat="0" applyAlignment="0" applyProtection="0"/>
    <xf numFmtId="0" fontId="128" fillId="38" borderId="59" applyNumberFormat="0" applyAlignment="0" applyProtection="0"/>
    <xf numFmtId="0" fontId="129" fillId="38" borderId="58" applyNumberFormat="0" applyAlignment="0" applyProtection="0"/>
    <xf numFmtId="0" fontId="130" fillId="0" borderId="60" applyNumberFormat="0" applyFill="0" applyAlignment="0" applyProtection="0"/>
    <xf numFmtId="0" fontId="131" fillId="39" borderId="61" applyNumberFormat="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4" fillId="0" borderId="63" applyNumberFormat="0" applyFill="0" applyAlignment="0" applyProtection="0"/>
    <xf numFmtId="0" fontId="135"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35"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35"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35"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35"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35"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36" fillId="0" borderId="0"/>
    <xf numFmtId="0" fontId="1" fillId="0" borderId="0"/>
    <xf numFmtId="0" fontId="1" fillId="0" borderId="0"/>
    <xf numFmtId="0" fontId="1" fillId="0" borderId="0"/>
    <xf numFmtId="0" fontId="1" fillId="0" borderId="0"/>
    <xf numFmtId="0" fontId="137" fillId="0" borderId="0" applyNumberFormat="0" applyFill="0" applyBorder="0" applyAlignment="0" applyProtection="0"/>
    <xf numFmtId="0" fontId="138" fillId="36" borderId="0" applyNumberFormat="0" applyBorder="0" applyAlignment="0" applyProtection="0"/>
    <xf numFmtId="0" fontId="135" fillId="44" borderId="0" applyNumberFormat="0" applyBorder="0" applyAlignment="0" applyProtection="0"/>
    <xf numFmtId="0" fontId="135" fillId="48" borderId="0" applyNumberFormat="0" applyBorder="0" applyAlignment="0" applyProtection="0"/>
    <xf numFmtId="0" fontId="135" fillId="52" borderId="0" applyNumberFormat="0" applyBorder="0" applyAlignment="0" applyProtection="0"/>
    <xf numFmtId="0" fontId="135" fillId="56" borderId="0" applyNumberFormat="0" applyBorder="0" applyAlignment="0" applyProtection="0"/>
    <xf numFmtId="0" fontId="135" fillId="60" borderId="0" applyNumberFormat="0" applyBorder="0" applyAlignment="0" applyProtection="0"/>
    <xf numFmtId="0" fontId="135" fillId="64" borderId="0" applyNumberFormat="0" applyBorder="0" applyAlignment="0" applyProtection="0"/>
    <xf numFmtId="0" fontId="1" fillId="0" borderId="0"/>
    <xf numFmtId="0" fontId="1" fillId="40" borderId="62" applyNumberFormat="0" applyFont="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43" fontId="15" fillId="0" borderId="0" applyFont="0" applyFill="0" applyBorder="0" applyAlignment="0" applyProtection="0"/>
  </cellStyleXfs>
  <cellXfs count="933">
    <xf numFmtId="0" fontId="0" fillId="0" borderId="0" xfId="0"/>
    <xf numFmtId="0" fontId="18" fillId="0" borderId="0" xfId="2" applyFont="1" applyAlignment="1">
      <alignment horizontal="center"/>
    </xf>
    <xf numFmtId="0" fontId="21" fillId="0" borderId="0" xfId="2" applyFont="1"/>
    <xf numFmtId="0" fontId="23" fillId="0" borderId="0" xfId="2" applyFont="1"/>
    <xf numFmtId="0" fontId="24" fillId="0" borderId="0" xfId="2" applyFont="1"/>
    <xf numFmtId="40" fontId="24" fillId="0" borderId="0" xfId="2" applyNumberFormat="1" applyFont="1"/>
    <xf numFmtId="0" fontId="29" fillId="0" borderId="0" xfId="3" applyFont="1" applyAlignment="1">
      <alignment horizontal="center"/>
    </xf>
    <xf numFmtId="0" fontId="30" fillId="0" borderId="0" xfId="3" applyFont="1"/>
    <xf numFmtId="43" fontId="24" fillId="0" borderId="0" xfId="2" applyNumberFormat="1" applyFont="1"/>
    <xf numFmtId="0" fontId="21" fillId="3" borderId="0" xfId="2" applyFont="1" applyFill="1"/>
    <xf numFmtId="0" fontId="21" fillId="4" borderId="0" xfId="2" applyFont="1" applyFill="1"/>
    <xf numFmtId="0" fontId="21" fillId="5" borderId="0" xfId="2" applyFont="1" applyFill="1"/>
    <xf numFmtId="43" fontId="21" fillId="0" borderId="0" xfId="2" applyNumberFormat="1" applyFont="1"/>
    <xf numFmtId="0" fontId="21" fillId="6" borderId="0" xfId="2" applyFont="1" applyFill="1"/>
    <xf numFmtId="0" fontId="33" fillId="0" borderId="0" xfId="2" applyFont="1"/>
    <xf numFmtId="0" fontId="19" fillId="0" borderId="0" xfId="2" applyFont="1" applyAlignment="1">
      <alignment horizontal="center"/>
    </xf>
    <xf numFmtId="0" fontId="32" fillId="0" borderId="0" xfId="2" applyFont="1" applyAlignment="1">
      <alignment horizontal="center"/>
    </xf>
    <xf numFmtId="0" fontId="35" fillId="0" borderId="0" xfId="2" applyFont="1"/>
    <xf numFmtId="0" fontId="35" fillId="8" borderId="0" xfId="2" applyFont="1" applyFill="1"/>
    <xf numFmtId="49" fontId="36" fillId="0" borderId="0" xfId="2" applyNumberFormat="1" applyFont="1" applyAlignment="1">
      <alignment horizontal="center"/>
    </xf>
    <xf numFmtId="40" fontId="35" fillId="0" borderId="0" xfId="2" applyNumberFormat="1" applyFont="1"/>
    <xf numFmtId="40" fontId="22" fillId="8" borderId="15" xfId="2" applyNumberFormat="1" applyFont="1" applyFill="1" applyBorder="1"/>
    <xf numFmtId="0" fontId="22" fillId="8" borderId="15" xfId="2" applyFont="1" applyFill="1" applyBorder="1"/>
    <xf numFmtId="0" fontId="32" fillId="0" borderId="0" xfId="2" applyFont="1"/>
    <xf numFmtId="0" fontId="38" fillId="5" borderId="0" xfId="2" applyFont="1" applyFill="1"/>
    <xf numFmtId="0" fontId="37" fillId="5" borderId="0" xfId="2" applyFont="1" applyFill="1"/>
    <xf numFmtId="49" fontId="0" fillId="0" borderId="0" xfId="0" applyNumberFormat="1"/>
    <xf numFmtId="49" fontId="49" fillId="0" borderId="0" xfId="0" applyNumberFormat="1" applyFont="1" applyProtection="1">
      <protection locked="0"/>
    </xf>
    <xf numFmtId="49" fontId="50" fillId="0" borderId="0" xfId="0" applyNumberFormat="1" applyFont="1" applyProtection="1">
      <protection locked="0"/>
    </xf>
    <xf numFmtId="49" fontId="27" fillId="0" borderId="17" xfId="0" applyNumberFormat="1" applyFont="1" applyBorder="1"/>
    <xf numFmtId="49" fontId="51" fillId="10" borderId="18" xfId="0" applyNumberFormat="1" applyFont="1" applyFill="1" applyBorder="1" applyAlignment="1">
      <alignment horizontal="centerContinuous" vertical="center"/>
    </xf>
    <xf numFmtId="49" fontId="27" fillId="0" borderId="19" xfId="0" applyNumberFormat="1" applyFont="1" applyBorder="1" applyAlignment="1">
      <alignment horizontal="center"/>
    </xf>
    <xf numFmtId="49" fontId="27" fillId="0" borderId="0" xfId="0" applyNumberFormat="1" applyFont="1"/>
    <xf numFmtId="49" fontId="52" fillId="10" borderId="20" xfId="0" applyNumberFormat="1" applyFont="1" applyFill="1" applyBorder="1" applyAlignment="1" applyProtection="1">
      <alignment horizontal="center" vertical="center"/>
      <protection locked="0"/>
    </xf>
    <xf numFmtId="49" fontId="52" fillId="0" borderId="20" xfId="0" applyNumberFormat="1" applyFont="1" applyBorder="1" applyAlignment="1" applyProtection="1">
      <alignment horizontal="center" vertical="center"/>
      <protection locked="0"/>
    </xf>
    <xf numFmtId="49" fontId="29" fillId="0" borderId="0" xfId="0" applyNumberFormat="1" applyFont="1"/>
    <xf numFmtId="49" fontId="0" fillId="0" borderId="0" xfId="0" applyNumberFormat="1" applyAlignment="1">
      <alignment horizontal="centerContinuous"/>
    </xf>
    <xf numFmtId="49" fontId="42" fillId="0" borderId="0" xfId="0" applyNumberFormat="1" applyFont="1"/>
    <xf numFmtId="0" fontId="53" fillId="0" borderId="0" xfId="2" applyFont="1"/>
    <xf numFmtId="0" fontId="34" fillId="0" borderId="0" xfId="2" applyFont="1"/>
    <xf numFmtId="0" fontId="57" fillId="0" borderId="0" xfId="2" applyFont="1"/>
    <xf numFmtId="0" fontId="56" fillId="0" borderId="0" xfId="2" applyFont="1"/>
    <xf numFmtId="0" fontId="59" fillId="0" borderId="0" xfId="2" applyFont="1"/>
    <xf numFmtId="0" fontId="20" fillId="5" borderId="0" xfId="2" applyFont="1" applyFill="1"/>
    <xf numFmtId="0" fontId="20" fillId="4" borderId="0" xfId="2" applyFont="1" applyFill="1"/>
    <xf numFmtId="0" fontId="20" fillId="3" borderId="0" xfId="2" applyFont="1" applyFill="1"/>
    <xf numFmtId="0" fontId="20" fillId="0" borderId="0" xfId="2" applyFont="1"/>
    <xf numFmtId="0" fontId="26" fillId="0" borderId="0" xfId="3" applyFont="1"/>
    <xf numFmtId="37" fontId="26" fillId="0" borderId="0" xfId="3" applyNumberFormat="1" applyFont="1"/>
    <xf numFmtId="40" fontId="21" fillId="16" borderId="0" xfId="2" applyNumberFormat="1" applyFont="1" applyFill="1"/>
    <xf numFmtId="0" fontId="61" fillId="0" borderId="0" xfId="2" applyFont="1"/>
    <xf numFmtId="0" fontId="59" fillId="16" borderId="0" xfId="2" applyFont="1" applyFill="1"/>
    <xf numFmtId="0" fontId="21" fillId="16" borderId="0" xfId="2" applyFont="1" applyFill="1"/>
    <xf numFmtId="0" fontId="33" fillId="16" borderId="0" xfId="2" applyFont="1" applyFill="1"/>
    <xf numFmtId="0" fontId="56" fillId="16" borderId="0" xfId="2" applyFont="1" applyFill="1"/>
    <xf numFmtId="0" fontId="62" fillId="0" borderId="0" xfId="2" applyFont="1"/>
    <xf numFmtId="39" fontId="29" fillId="0" borderId="0" xfId="3" applyNumberFormat="1" applyFont="1" applyAlignment="1">
      <alignment horizontal="center"/>
    </xf>
    <xf numFmtId="167" fontId="29" fillId="0" borderId="0" xfId="3" applyNumberFormat="1" applyFont="1" applyAlignment="1">
      <alignment horizontal="center"/>
    </xf>
    <xf numFmtId="37" fontId="29" fillId="0" borderId="0" xfId="3" applyNumberFormat="1" applyFont="1" applyAlignment="1">
      <alignment horizontal="center"/>
    </xf>
    <xf numFmtId="49" fontId="29" fillId="0" borderId="0" xfId="3" applyNumberFormat="1" applyFont="1" applyAlignment="1">
      <alignment horizontal="center"/>
    </xf>
    <xf numFmtId="0" fontId="29" fillId="0" borderId="3" xfId="3" applyFont="1" applyBorder="1" applyAlignment="1">
      <alignment horizontal="center"/>
    </xf>
    <xf numFmtId="0" fontId="63" fillId="0" borderId="3" xfId="3" applyFont="1" applyBorder="1" applyAlignment="1">
      <alignment horizontal="center"/>
    </xf>
    <xf numFmtId="167" fontId="63" fillId="0" borderId="3" xfId="3" applyNumberFormat="1" applyFont="1" applyBorder="1" applyAlignment="1">
      <alignment horizontal="center"/>
    </xf>
    <xf numFmtId="37" fontId="29" fillId="0" borderId="4" xfId="3" applyNumberFormat="1" applyFont="1" applyBorder="1" applyAlignment="1">
      <alignment horizontal="left"/>
    </xf>
    <xf numFmtId="37" fontId="29" fillId="0" borderId="4" xfId="3" applyNumberFormat="1" applyFont="1" applyBorder="1" applyAlignment="1">
      <alignment horizontal="center"/>
    </xf>
    <xf numFmtId="49" fontId="29" fillId="0" borderId="0" xfId="3" applyNumberFormat="1" applyFont="1"/>
    <xf numFmtId="37" fontId="29" fillId="0" borderId="5" xfId="3" applyNumberFormat="1" applyFont="1" applyBorder="1"/>
    <xf numFmtId="37" fontId="29" fillId="0" borderId="0" xfId="3" applyNumberFormat="1" applyFont="1" applyAlignment="1">
      <alignment horizontal="left"/>
    </xf>
    <xf numFmtId="39" fontId="29" fillId="0" borderId="4" xfId="3" applyNumberFormat="1" applyFont="1" applyBorder="1" applyAlignment="1">
      <alignment horizontal="center"/>
    </xf>
    <xf numFmtId="10" fontId="29" fillId="0" borderId="5" xfId="4" applyNumberFormat="1" applyFont="1" applyBorder="1" applyProtection="1"/>
    <xf numFmtId="49" fontId="64" fillId="0" borderId="0" xfId="3" applyNumberFormat="1" applyFont="1"/>
    <xf numFmtId="49" fontId="29" fillId="0" borderId="0" xfId="3" applyNumberFormat="1" applyFont="1" applyAlignment="1">
      <alignment horizontal="left"/>
    </xf>
    <xf numFmtId="37" fontId="29" fillId="0" borderId="0" xfId="3" applyNumberFormat="1" applyFont="1"/>
    <xf numFmtId="37" fontId="29" fillId="0" borderId="6" xfId="3" applyNumberFormat="1" applyFont="1" applyBorder="1"/>
    <xf numFmtId="10" fontId="29" fillId="0" borderId="0" xfId="4" applyNumberFormat="1" applyFont="1" applyFill="1" applyBorder="1" applyProtection="1"/>
    <xf numFmtId="167" fontId="29" fillId="0" borderId="6" xfId="3" applyNumberFormat="1" applyFont="1" applyBorder="1"/>
    <xf numFmtId="0" fontId="65" fillId="0" borderId="0" xfId="3" applyFont="1"/>
    <xf numFmtId="10" fontId="29" fillId="0" borderId="5" xfId="4" applyNumberFormat="1" applyFont="1" applyFill="1" applyBorder="1" applyProtection="1"/>
    <xf numFmtId="167" fontId="29" fillId="0" borderId="5" xfId="3" applyNumberFormat="1" applyFont="1" applyBorder="1"/>
    <xf numFmtId="37" fontId="29" fillId="0" borderId="0" xfId="3" applyNumberFormat="1" applyFont="1" applyAlignment="1">
      <alignment horizontal="right"/>
    </xf>
    <xf numFmtId="39" fontId="43" fillId="0" borderId="0" xfId="3" applyNumberFormat="1" applyFont="1" applyProtection="1">
      <protection locked="0"/>
    </xf>
    <xf numFmtId="37" fontId="43" fillId="0" borderId="0" xfId="3" applyNumberFormat="1" applyFont="1" applyAlignment="1">
      <alignment horizontal="right"/>
    </xf>
    <xf numFmtId="39" fontId="67" fillId="0" borderId="0" xfId="3" applyNumberFormat="1" applyFont="1" applyProtection="1">
      <protection locked="0"/>
    </xf>
    <xf numFmtId="37" fontId="43" fillId="0" borderId="0" xfId="3" applyNumberFormat="1" applyFont="1" applyProtection="1">
      <protection locked="0"/>
    </xf>
    <xf numFmtId="37" fontId="43" fillId="0" borderId="0" xfId="3" applyNumberFormat="1" applyFont="1" applyAlignment="1" applyProtection="1">
      <alignment horizontal="right"/>
      <protection locked="0"/>
    </xf>
    <xf numFmtId="39" fontId="67" fillId="0" borderId="2" xfId="3" applyNumberFormat="1" applyFont="1" applyBorder="1" applyAlignment="1" applyProtection="1">
      <alignment horizontal="center"/>
      <protection locked="0"/>
    </xf>
    <xf numFmtId="37" fontId="67" fillId="0" borderId="0" xfId="3" applyNumberFormat="1" applyFont="1" applyAlignment="1">
      <alignment horizontal="center"/>
    </xf>
    <xf numFmtId="37" fontId="29" fillId="21" borderId="0" xfId="3" applyNumberFormat="1" applyFont="1" applyFill="1"/>
    <xf numFmtId="39" fontId="29" fillId="0" borderId="0" xfId="3" applyNumberFormat="1" applyFont="1"/>
    <xf numFmtId="41" fontId="29" fillId="0" borderId="0" xfId="3" applyNumberFormat="1" applyFont="1" applyProtection="1">
      <protection locked="0"/>
    </xf>
    <xf numFmtId="41" fontId="29" fillId="0" borderId="0" xfId="3" applyNumberFormat="1" applyFont="1"/>
    <xf numFmtId="41" fontId="30" fillId="0" borderId="0" xfId="3" applyNumberFormat="1" applyFont="1" applyAlignment="1">
      <alignment horizontal="left"/>
    </xf>
    <xf numFmtId="41" fontId="63" fillId="0" borderId="0" xfId="3" applyNumberFormat="1" applyFont="1" applyAlignment="1" applyProtection="1">
      <alignment horizontal="left"/>
      <protection locked="0"/>
    </xf>
    <xf numFmtId="41" fontId="30" fillId="0" borderId="0" xfId="3" applyNumberFormat="1" applyFont="1"/>
    <xf numFmtId="167" fontId="30" fillId="0" borderId="0" xfId="3" applyNumberFormat="1" applyFont="1"/>
    <xf numFmtId="41" fontId="29" fillId="0" borderId="0" xfId="3" applyNumberFormat="1" applyFont="1" applyAlignment="1" applyProtection="1">
      <alignment horizontal="left"/>
      <protection locked="0"/>
    </xf>
    <xf numFmtId="41" fontId="29" fillId="0" borderId="0" xfId="3" applyNumberFormat="1" applyFont="1" applyAlignment="1" applyProtection="1">
      <alignment horizontal="right"/>
      <protection locked="0"/>
    </xf>
    <xf numFmtId="41" fontId="43" fillId="0" borderId="0" xfId="3" applyNumberFormat="1" applyFont="1"/>
    <xf numFmtId="41" fontId="29" fillId="0" borderId="0" xfId="3" applyNumberFormat="1" applyFont="1" applyAlignment="1">
      <alignment horizontal="right"/>
    </xf>
    <xf numFmtId="41" fontId="43" fillId="0" borderId="4" xfId="1" applyNumberFormat="1" applyFont="1" applyFill="1" applyBorder="1" applyProtection="1"/>
    <xf numFmtId="167" fontId="63" fillId="0" borderId="0" xfId="3" applyNumberFormat="1" applyFont="1"/>
    <xf numFmtId="41" fontId="29" fillId="0" borderId="5" xfId="3" applyNumberFormat="1" applyFont="1" applyBorder="1"/>
    <xf numFmtId="37" fontId="30" fillId="0" borderId="0" xfId="3" applyNumberFormat="1" applyFont="1"/>
    <xf numFmtId="49" fontId="30" fillId="0" borderId="0" xfId="3" applyNumberFormat="1" applyFont="1"/>
    <xf numFmtId="37" fontId="43" fillId="0" borderId="0" xfId="3" applyNumberFormat="1" applyFont="1"/>
    <xf numFmtId="0" fontId="43" fillId="0" borderId="0" xfId="3" applyFont="1"/>
    <xf numFmtId="167" fontId="43" fillId="0" borderId="0" xfId="3" applyNumberFormat="1" applyFont="1"/>
    <xf numFmtId="2" fontId="43" fillId="0" borderId="0" xfId="3" applyNumberFormat="1" applyFont="1"/>
    <xf numFmtId="49" fontId="43" fillId="0" borderId="0" xfId="3" applyNumberFormat="1" applyFont="1"/>
    <xf numFmtId="37" fontId="43" fillId="22" borderId="0" xfId="3" applyNumberFormat="1" applyFont="1" applyFill="1" applyProtection="1">
      <protection locked="0"/>
    </xf>
    <xf numFmtId="9" fontId="43" fillId="0" borderId="0" xfId="4" applyFont="1"/>
    <xf numFmtId="0" fontId="43" fillId="0" borderId="15" xfId="3" applyFont="1" applyBorder="1"/>
    <xf numFmtId="49" fontId="43" fillId="0" borderId="0" xfId="3" applyNumberFormat="1" applyFont="1" applyAlignment="1">
      <alignment horizontal="left"/>
    </xf>
    <xf numFmtId="165" fontId="43" fillId="0" borderId="0" xfId="3" applyNumberFormat="1" applyFont="1"/>
    <xf numFmtId="0" fontId="29" fillId="16" borderId="33" xfId="3" applyFont="1" applyFill="1" applyBorder="1" applyAlignment="1">
      <alignment horizontal="center"/>
    </xf>
    <xf numFmtId="0" fontId="29" fillId="22" borderId="0" xfId="3" applyFont="1" applyFill="1" applyAlignment="1">
      <alignment horizontal="center"/>
    </xf>
    <xf numFmtId="0" fontId="43" fillId="22" borderId="0" xfId="3" applyFont="1" applyFill="1"/>
    <xf numFmtId="0" fontId="43" fillId="0" borderId="34" xfId="3" applyFont="1" applyBorder="1"/>
    <xf numFmtId="37" fontId="43" fillId="0" borderId="4" xfId="3" applyNumberFormat="1" applyFont="1" applyBorder="1"/>
    <xf numFmtId="42" fontId="29" fillId="16" borderId="33" xfId="3" applyNumberFormat="1" applyFont="1" applyFill="1" applyBorder="1"/>
    <xf numFmtId="39" fontId="43" fillId="0" borderId="0" xfId="3" applyNumberFormat="1" applyFont="1"/>
    <xf numFmtId="42" fontId="43" fillId="16" borderId="33" xfId="3" applyNumberFormat="1" applyFont="1" applyFill="1" applyBorder="1"/>
    <xf numFmtId="42" fontId="43" fillId="0" borderId="0" xfId="3" applyNumberFormat="1" applyFont="1"/>
    <xf numFmtId="10" fontId="43" fillId="0" borderId="0" xfId="3" applyNumberFormat="1" applyFont="1"/>
    <xf numFmtId="41" fontId="43" fillId="0" borderId="15" xfId="0" applyNumberFormat="1" applyFont="1" applyBorder="1" applyAlignment="1">
      <alignment horizontal="center"/>
    </xf>
    <xf numFmtId="49" fontId="43" fillId="0" borderId="16" xfId="0" applyNumberFormat="1" applyFont="1" applyBorder="1" applyAlignment="1">
      <alignment horizontal="center"/>
    </xf>
    <xf numFmtId="3" fontId="43" fillId="0" borderId="16" xfId="0" applyNumberFormat="1" applyFont="1" applyBorder="1"/>
    <xf numFmtId="10" fontId="43" fillId="0" borderId="2" xfId="4" applyNumberFormat="1" applyFont="1" applyBorder="1" applyProtection="1"/>
    <xf numFmtId="37" fontId="43" fillId="0" borderId="2" xfId="3" applyNumberFormat="1" applyFont="1" applyBorder="1"/>
    <xf numFmtId="3" fontId="43" fillId="0" borderId="0" xfId="0" applyNumberFormat="1" applyFont="1"/>
    <xf numFmtId="3" fontId="43" fillId="0" borderId="0" xfId="0" applyNumberFormat="1" applyFont="1" applyAlignment="1">
      <alignment horizontal="right"/>
    </xf>
    <xf numFmtId="49" fontId="43" fillId="0" borderId="0" xfId="0" applyNumberFormat="1" applyFont="1" applyAlignment="1">
      <alignment horizontal="center"/>
    </xf>
    <xf numFmtId="0" fontId="43" fillId="0" borderId="0" xfId="3" applyFont="1" applyAlignment="1">
      <alignment horizontal="center"/>
    </xf>
    <xf numFmtId="167" fontId="29" fillId="0" borderId="4" xfId="3" applyNumberFormat="1" applyFont="1" applyBorder="1" applyAlignment="1">
      <alignment horizontal="center"/>
    </xf>
    <xf numFmtId="49" fontId="43" fillId="0" borderId="0" xfId="3" applyNumberFormat="1" applyFont="1" applyAlignment="1">
      <alignment horizontal="center"/>
    </xf>
    <xf numFmtId="37" fontId="65" fillId="0" borderId="0" xfId="3" applyNumberFormat="1" applyFont="1"/>
    <xf numFmtId="10" fontId="43" fillId="0" borderId="0" xfId="4" applyNumberFormat="1" applyFont="1" applyFill="1" applyBorder="1" applyProtection="1"/>
    <xf numFmtId="37" fontId="43" fillId="0" borderId="0" xfId="3" applyNumberFormat="1" applyFont="1" applyAlignment="1">
      <alignment horizontal="fill"/>
    </xf>
    <xf numFmtId="167" fontId="43" fillId="0" borderId="0" xfId="3" applyNumberFormat="1" applyFont="1" applyAlignment="1">
      <alignment horizontal="fill"/>
    </xf>
    <xf numFmtId="49" fontId="43" fillId="0" borderId="0" xfId="3" applyNumberFormat="1" applyFont="1" applyAlignment="1" applyProtection="1">
      <alignment horizontal="center"/>
      <protection locked="0"/>
    </xf>
    <xf numFmtId="164" fontId="43" fillId="0" borderId="0" xfId="1" applyNumberFormat="1" applyFont="1"/>
    <xf numFmtId="41" fontId="43" fillId="0" borderId="0" xfId="0" applyNumberFormat="1" applyFont="1" applyAlignment="1">
      <alignment horizontal="left"/>
    </xf>
    <xf numFmtId="41" fontId="43" fillId="0" borderId="0" xfId="3" applyNumberFormat="1" applyFont="1" applyAlignment="1">
      <alignment horizontal="left"/>
    </xf>
    <xf numFmtId="41" fontId="43" fillId="0" borderId="6" xfId="3" applyNumberFormat="1" applyFont="1" applyBorder="1" applyAlignment="1">
      <alignment horizontal="left"/>
    </xf>
    <xf numFmtId="10" fontId="43" fillId="0" borderId="4" xfId="4" applyNumberFormat="1" applyFont="1" applyFill="1" applyBorder="1" applyProtection="1"/>
    <xf numFmtId="0" fontId="43" fillId="0" borderId="2" xfId="3" applyFont="1" applyBorder="1" applyAlignment="1">
      <alignment horizontal="center"/>
    </xf>
    <xf numFmtId="0" fontId="43" fillId="21" borderId="0" xfId="3" applyFont="1" applyFill="1"/>
    <xf numFmtId="41" fontId="43" fillId="0" borderId="0" xfId="3" applyNumberFormat="1" applyFont="1" applyAlignment="1">
      <alignment horizontal="right"/>
    </xf>
    <xf numFmtId="43" fontId="43" fillId="0" borderId="0" xfId="3" applyNumberFormat="1" applyFont="1"/>
    <xf numFmtId="43" fontId="43" fillId="0" borderId="6" xfId="3" applyNumberFormat="1" applyFont="1" applyBorder="1"/>
    <xf numFmtId="49" fontId="71" fillId="0" borderId="0" xfId="3" applyNumberFormat="1" applyFont="1"/>
    <xf numFmtId="40" fontId="65" fillId="13" borderId="0" xfId="2" applyNumberFormat="1" applyFont="1" applyFill="1"/>
    <xf numFmtId="40" fontId="65" fillId="13" borderId="15" xfId="2" applyNumberFormat="1" applyFont="1" applyFill="1" applyBorder="1"/>
    <xf numFmtId="0" fontId="72" fillId="2" borderId="1" xfId="2" applyFont="1" applyFill="1" applyBorder="1" applyAlignment="1">
      <alignment horizontal="center"/>
    </xf>
    <xf numFmtId="49" fontId="72" fillId="2" borderId="1" xfId="2" applyNumberFormat="1" applyFont="1" applyFill="1" applyBorder="1" applyAlignment="1">
      <alignment horizontal="center"/>
    </xf>
    <xf numFmtId="40" fontId="72" fillId="2" borderId="1" xfId="2" applyNumberFormat="1" applyFont="1" applyFill="1" applyBorder="1" applyAlignment="1">
      <alignment horizontal="center"/>
    </xf>
    <xf numFmtId="40" fontId="72" fillId="2" borderId="14" xfId="2" applyNumberFormat="1" applyFont="1" applyFill="1" applyBorder="1" applyAlignment="1">
      <alignment horizontal="center"/>
    </xf>
    <xf numFmtId="0" fontId="66" fillId="2" borderId="7" xfId="2" applyFont="1" applyFill="1" applyBorder="1" applyAlignment="1">
      <alignment horizontal="center" wrapText="1"/>
    </xf>
    <xf numFmtId="0" fontId="66" fillId="2" borderId="1" xfId="2" applyFont="1" applyFill="1" applyBorder="1" applyAlignment="1">
      <alignment horizontal="center" wrapText="1"/>
    </xf>
    <xf numFmtId="40" fontId="29" fillId="2" borderId="1" xfId="0" applyNumberFormat="1" applyFont="1" applyFill="1" applyBorder="1" applyAlignment="1">
      <alignment horizontal="center" wrapText="1"/>
    </xf>
    <xf numFmtId="0" fontId="74" fillId="0" borderId="0" xfId="0" applyFont="1"/>
    <xf numFmtId="0" fontId="72" fillId="11" borderId="0" xfId="2" applyFont="1" applyFill="1" applyAlignment="1">
      <alignment horizontal="center"/>
    </xf>
    <xf numFmtId="0" fontId="75" fillId="0" borderId="0" xfId="2" applyFont="1"/>
    <xf numFmtId="49" fontId="72" fillId="0" borderId="0" xfId="2" applyNumberFormat="1" applyFont="1" applyAlignment="1">
      <alignment horizontal="center"/>
    </xf>
    <xf numFmtId="40" fontId="75" fillId="0" borderId="0" xfId="2" applyNumberFormat="1" applyFont="1"/>
    <xf numFmtId="0" fontId="77" fillId="0" borderId="0" xfId="2" applyFont="1"/>
    <xf numFmtId="40" fontId="77" fillId="0" borderId="0" xfId="2" applyNumberFormat="1" applyFont="1"/>
    <xf numFmtId="40" fontId="75" fillId="0" borderId="0" xfId="0" quotePrefix="1" applyNumberFormat="1" applyFont="1"/>
    <xf numFmtId="40" fontId="73" fillId="8" borderId="15" xfId="2" applyNumberFormat="1" applyFont="1" applyFill="1" applyBorder="1"/>
    <xf numFmtId="0" fontId="72" fillId="7" borderId="0" xfId="2" applyFont="1" applyFill="1" applyAlignment="1">
      <alignment horizontal="center"/>
    </xf>
    <xf numFmtId="40" fontId="73" fillId="8" borderId="34" xfId="2" applyNumberFormat="1" applyFont="1" applyFill="1" applyBorder="1"/>
    <xf numFmtId="38" fontId="66" fillId="0" borderId="0" xfId="2" applyNumberFormat="1" applyFont="1"/>
    <xf numFmtId="0" fontId="43" fillId="0" borderId="0" xfId="2" applyFont="1"/>
    <xf numFmtId="40" fontId="43" fillId="0" borderId="0" xfId="2" applyNumberFormat="1" applyFont="1"/>
    <xf numFmtId="43" fontId="78" fillId="0" borderId="0" xfId="1" applyFont="1"/>
    <xf numFmtId="43" fontId="43" fillId="0" borderId="0" xfId="1" applyFont="1"/>
    <xf numFmtId="0" fontId="72" fillId="0" borderId="0" xfId="2" applyFont="1"/>
    <xf numFmtId="40" fontId="72" fillId="0" borderId="0" xfId="2" applyNumberFormat="1" applyFont="1"/>
    <xf numFmtId="43" fontId="72" fillId="0" borderId="0" xfId="1" applyFont="1"/>
    <xf numFmtId="0" fontId="29" fillId="7" borderId="0" xfId="2" applyFont="1" applyFill="1" applyAlignment="1">
      <alignment horizontal="center"/>
    </xf>
    <xf numFmtId="0" fontId="79" fillId="7" borderId="0" xfId="2" applyFont="1" applyFill="1" applyAlignment="1">
      <alignment horizontal="center"/>
    </xf>
    <xf numFmtId="0" fontId="67" fillId="0" borderId="0" xfId="2" applyFont="1"/>
    <xf numFmtId="49" fontId="79" fillId="0" borderId="0" xfId="2" applyNumberFormat="1" applyFont="1" applyAlignment="1">
      <alignment horizontal="center"/>
    </xf>
    <xf numFmtId="0" fontId="75" fillId="16" borderId="0" xfId="2" applyFont="1" applyFill="1"/>
    <xf numFmtId="49" fontId="72" fillId="16" borderId="0" xfId="2" applyNumberFormat="1" applyFont="1" applyFill="1" applyAlignment="1">
      <alignment horizontal="center"/>
    </xf>
    <xf numFmtId="40" fontId="43" fillId="16" borderId="0" xfId="2" applyNumberFormat="1" applyFont="1" applyFill="1"/>
    <xf numFmtId="0" fontId="43" fillId="16" borderId="0" xfId="2" applyFont="1" applyFill="1"/>
    <xf numFmtId="0" fontId="69" fillId="0" borderId="0" xfId="2" applyFont="1"/>
    <xf numFmtId="0" fontId="67" fillId="16" borderId="0" xfId="2" applyFont="1" applyFill="1"/>
    <xf numFmtId="49" fontId="79" fillId="16" borderId="0" xfId="2" applyNumberFormat="1" applyFont="1" applyFill="1" applyAlignment="1">
      <alignment horizontal="center"/>
    </xf>
    <xf numFmtId="0" fontId="69" fillId="16" borderId="0" xfId="2" applyFont="1" applyFill="1"/>
    <xf numFmtId="0" fontId="72" fillId="5" borderId="0" xfId="2" applyFont="1" applyFill="1" applyAlignment="1">
      <alignment horizontal="center"/>
    </xf>
    <xf numFmtId="0" fontId="72" fillId="5" borderId="0" xfId="2" applyFont="1" applyFill="1"/>
    <xf numFmtId="49" fontId="72" fillId="5" borderId="0" xfId="2" applyNumberFormat="1" applyFont="1" applyFill="1" applyAlignment="1">
      <alignment horizontal="center"/>
    </xf>
    <xf numFmtId="40" fontId="73" fillId="5" borderId="15" xfId="2" applyNumberFormat="1" applyFont="1" applyFill="1" applyBorder="1"/>
    <xf numFmtId="38" fontId="66" fillId="5" borderId="0" xfId="2" applyNumberFormat="1" applyFont="1" applyFill="1"/>
    <xf numFmtId="0" fontId="29" fillId="5" borderId="0" xfId="2" applyFont="1" applyFill="1"/>
    <xf numFmtId="40" fontId="29" fillId="5" borderId="0" xfId="2" applyNumberFormat="1" applyFont="1" applyFill="1"/>
    <xf numFmtId="40" fontId="29" fillId="5" borderId="0" xfId="0" quotePrefix="1" applyNumberFormat="1" applyFont="1" applyFill="1"/>
    <xf numFmtId="40" fontId="43" fillId="0" borderId="0" xfId="0" quotePrefix="1" applyNumberFormat="1" applyFont="1"/>
    <xf numFmtId="40" fontId="73" fillId="0" borderId="15" xfId="2" applyNumberFormat="1" applyFont="1" applyBorder="1"/>
    <xf numFmtId="0" fontId="79" fillId="11" borderId="0" xfId="2" applyFont="1" applyFill="1" applyAlignment="1">
      <alignment horizontal="center"/>
    </xf>
    <xf numFmtId="40" fontId="43" fillId="16" borderId="0" xfId="0" quotePrefix="1" applyNumberFormat="1" applyFont="1" applyFill="1"/>
    <xf numFmtId="0" fontId="77" fillId="16" borderId="0" xfId="2" applyFont="1" applyFill="1"/>
    <xf numFmtId="40" fontId="73" fillId="16" borderId="34" xfId="2" applyNumberFormat="1" applyFont="1" applyFill="1" applyBorder="1"/>
    <xf numFmtId="43" fontId="76" fillId="0" borderId="0" xfId="1" applyFont="1"/>
    <xf numFmtId="0" fontId="68" fillId="0" borderId="0" xfId="0" applyFont="1"/>
    <xf numFmtId="0" fontId="81" fillId="0" borderId="0" xfId="2" applyFont="1"/>
    <xf numFmtId="0" fontId="72" fillId="11" borderId="0" xfId="2" quotePrefix="1" applyFont="1" applyFill="1" applyAlignment="1">
      <alignment horizontal="center"/>
    </xf>
    <xf numFmtId="38" fontId="68" fillId="0" borderId="0" xfId="2" applyNumberFormat="1" applyFont="1"/>
    <xf numFmtId="49" fontId="29" fillId="0" borderId="0" xfId="2" applyNumberFormat="1" applyFont="1" applyAlignment="1">
      <alignment horizontal="center"/>
    </xf>
    <xf numFmtId="0" fontId="68" fillId="0" borderId="0" xfId="2" applyFont="1"/>
    <xf numFmtId="0" fontId="83" fillId="0" borderId="0" xfId="2" applyFont="1"/>
    <xf numFmtId="0" fontId="72" fillId="23" borderId="0" xfId="2" quotePrefix="1" applyFont="1" applyFill="1" applyAlignment="1">
      <alignment horizontal="center"/>
    </xf>
    <xf numFmtId="170" fontId="77" fillId="0" borderId="0" xfId="2" applyNumberFormat="1" applyFont="1"/>
    <xf numFmtId="171" fontId="43" fillId="0" borderId="0" xfId="2" applyNumberFormat="1" applyFont="1"/>
    <xf numFmtId="0" fontId="72" fillId="4" borderId="0" xfId="2" applyFont="1" applyFill="1" applyAlignment="1">
      <alignment horizontal="center"/>
    </xf>
    <xf numFmtId="0" fontId="72" fillId="4" borderId="0" xfId="2" applyFont="1" applyFill="1"/>
    <xf numFmtId="49" fontId="72" fillId="4" borderId="0" xfId="2" applyNumberFormat="1" applyFont="1" applyFill="1" applyAlignment="1">
      <alignment horizontal="center"/>
    </xf>
    <xf numFmtId="40" fontId="73" fillId="4" borderId="15" xfId="2" applyNumberFormat="1" applyFont="1" applyFill="1" applyBorder="1"/>
    <xf numFmtId="38" fontId="66" fillId="4" borderId="0" xfId="2" applyNumberFormat="1" applyFont="1" applyFill="1"/>
    <xf numFmtId="0" fontId="29" fillId="4" borderId="0" xfId="2" applyFont="1" applyFill="1"/>
    <xf numFmtId="0" fontId="72" fillId="3" borderId="0" xfId="2" applyFont="1" applyFill="1" applyAlignment="1">
      <alignment horizontal="center"/>
    </xf>
    <xf numFmtId="0" fontId="72" fillId="3" borderId="0" xfId="2" applyFont="1" applyFill="1"/>
    <xf numFmtId="49" fontId="72" fillId="3" borderId="0" xfId="2" applyNumberFormat="1" applyFont="1" applyFill="1" applyAlignment="1">
      <alignment horizontal="center"/>
    </xf>
    <xf numFmtId="40" fontId="73" fillId="3" borderId="15" xfId="2" applyNumberFormat="1" applyFont="1" applyFill="1" applyBorder="1"/>
    <xf numFmtId="38" fontId="66" fillId="3" borderId="0" xfId="2" applyNumberFormat="1" applyFont="1" applyFill="1"/>
    <xf numFmtId="0" fontId="29" fillId="3" borderId="0" xfId="2" applyFont="1" applyFill="1"/>
    <xf numFmtId="0" fontId="29" fillId="0" borderId="0" xfId="2" applyFont="1"/>
    <xf numFmtId="40" fontId="29" fillId="0" borderId="0" xfId="2" applyNumberFormat="1" applyFont="1"/>
    <xf numFmtId="40" fontId="29" fillId="0" borderId="0" xfId="0" quotePrefix="1" applyNumberFormat="1" applyFont="1"/>
    <xf numFmtId="38" fontId="75" fillId="9" borderId="0" xfId="2" applyNumberFormat="1" applyFont="1" applyFill="1"/>
    <xf numFmtId="38" fontId="72" fillId="9" borderId="0" xfId="2" applyNumberFormat="1" applyFont="1" applyFill="1"/>
    <xf numFmtId="0" fontId="75" fillId="5" borderId="0" xfId="2" applyFont="1" applyFill="1" applyAlignment="1">
      <alignment horizontal="center"/>
    </xf>
    <xf numFmtId="0" fontId="75" fillId="5" borderId="0" xfId="2" applyFont="1" applyFill="1"/>
    <xf numFmtId="49" fontId="75" fillId="5" borderId="0" xfId="2" applyNumberFormat="1" applyFont="1" applyFill="1" applyAlignment="1">
      <alignment horizontal="center"/>
    </xf>
    <xf numFmtId="40" fontId="75" fillId="5" borderId="0" xfId="2" applyNumberFormat="1" applyFont="1" applyFill="1"/>
    <xf numFmtId="40" fontId="74" fillId="5" borderId="15" xfId="2" applyNumberFormat="1" applyFont="1" applyFill="1" applyBorder="1"/>
    <xf numFmtId="38" fontId="68" fillId="5" borderId="0" xfId="2" applyNumberFormat="1" applyFont="1" applyFill="1"/>
    <xf numFmtId="0" fontId="43" fillId="5" borderId="0" xfId="2" applyFont="1" applyFill="1"/>
    <xf numFmtId="40" fontId="43" fillId="5" borderId="0" xfId="2" applyNumberFormat="1" applyFont="1" applyFill="1"/>
    <xf numFmtId="0" fontId="75" fillId="4" borderId="0" xfId="2" applyFont="1" applyFill="1" applyAlignment="1">
      <alignment horizontal="center"/>
    </xf>
    <xf numFmtId="0" fontId="75" fillId="4" borderId="0" xfId="2" applyFont="1" applyFill="1"/>
    <xf numFmtId="49" fontId="75" fillId="4" borderId="0" xfId="2" applyNumberFormat="1" applyFont="1" applyFill="1" applyAlignment="1">
      <alignment horizontal="center"/>
    </xf>
    <xf numFmtId="40" fontId="75" fillId="4" borderId="0" xfId="2" applyNumberFormat="1" applyFont="1" applyFill="1"/>
    <xf numFmtId="38" fontId="68" fillId="4" borderId="0" xfId="2" applyNumberFormat="1" applyFont="1" applyFill="1"/>
    <xf numFmtId="0" fontId="43" fillId="4" borderId="0" xfId="2" applyFont="1" applyFill="1"/>
    <xf numFmtId="40" fontId="43" fillId="4" borderId="0" xfId="2" applyNumberFormat="1" applyFont="1" applyFill="1"/>
    <xf numFmtId="40" fontId="43" fillId="5" borderId="0" xfId="0" quotePrefix="1" applyNumberFormat="1" applyFont="1" applyFill="1"/>
    <xf numFmtId="38" fontId="66" fillId="9" borderId="0" xfId="2" applyNumberFormat="1" applyFont="1" applyFill="1"/>
    <xf numFmtId="40" fontId="68" fillId="0" borderId="0" xfId="2" applyNumberFormat="1" applyFont="1"/>
    <xf numFmtId="40" fontId="67" fillId="16" borderId="0" xfId="2" applyNumberFormat="1" applyFont="1" applyFill="1"/>
    <xf numFmtId="40" fontId="67" fillId="16" borderId="0" xfId="0" quotePrefix="1" applyNumberFormat="1" applyFont="1" applyFill="1"/>
    <xf numFmtId="38" fontId="76" fillId="9" borderId="0" xfId="2" applyNumberFormat="1" applyFont="1" applyFill="1"/>
    <xf numFmtId="40" fontId="43" fillId="4" borderId="0" xfId="0" quotePrefix="1" applyNumberFormat="1" applyFont="1" applyFill="1"/>
    <xf numFmtId="0" fontId="79" fillId="11" borderId="0" xfId="2" quotePrefix="1" applyFont="1" applyFill="1" applyAlignment="1">
      <alignment horizontal="center"/>
    </xf>
    <xf numFmtId="0" fontId="72" fillId="7" borderId="0" xfId="2" quotePrefix="1" applyFont="1" applyFill="1" applyAlignment="1">
      <alignment horizontal="center"/>
    </xf>
    <xf numFmtId="38" fontId="66" fillId="24" borderId="0" xfId="2" applyNumberFormat="1" applyFont="1" applyFill="1"/>
    <xf numFmtId="0" fontId="84" fillId="5" borderId="0" xfId="2" applyFont="1" applyFill="1" applyAlignment="1">
      <alignment horizontal="center"/>
    </xf>
    <xf numFmtId="0" fontId="84" fillId="5" borderId="0" xfId="2" applyFont="1" applyFill="1"/>
    <xf numFmtId="49" fontId="84" fillId="5" borderId="0" xfId="2" applyNumberFormat="1" applyFont="1" applyFill="1" applyAlignment="1">
      <alignment horizontal="center"/>
    </xf>
    <xf numFmtId="49" fontId="29" fillId="5" borderId="0" xfId="2" applyNumberFormat="1" applyFont="1" applyFill="1" applyAlignment="1">
      <alignment horizontal="center"/>
    </xf>
    <xf numFmtId="0" fontId="75" fillId="8" borderId="0" xfId="2" applyFont="1" applyFill="1"/>
    <xf numFmtId="49" fontId="72" fillId="8" borderId="0" xfId="2" applyNumberFormat="1" applyFont="1" applyFill="1" applyAlignment="1">
      <alignment horizontal="center"/>
    </xf>
    <xf numFmtId="40" fontId="75" fillId="8" borderId="0" xfId="2" applyNumberFormat="1" applyFont="1" applyFill="1"/>
    <xf numFmtId="0" fontId="85" fillId="5" borderId="0" xfId="2" applyFont="1" applyFill="1"/>
    <xf numFmtId="0" fontId="75" fillId="3" borderId="0" xfId="2" applyFont="1" applyFill="1"/>
    <xf numFmtId="40" fontId="75" fillId="3" borderId="0" xfId="2" applyNumberFormat="1" applyFont="1" applyFill="1"/>
    <xf numFmtId="0" fontId="43" fillId="3" borderId="0" xfId="2" applyFont="1" applyFill="1"/>
    <xf numFmtId="40" fontId="43" fillId="3" borderId="0" xfId="2" applyNumberFormat="1" applyFont="1" applyFill="1"/>
    <xf numFmtId="40" fontId="43" fillId="3" borderId="0" xfId="0" quotePrefix="1" applyNumberFormat="1" applyFont="1" applyFill="1"/>
    <xf numFmtId="0" fontId="72" fillId="0" borderId="0" xfId="2" applyFont="1" applyAlignment="1">
      <alignment horizontal="center"/>
    </xf>
    <xf numFmtId="40" fontId="73" fillId="19" borderId="0" xfId="2" applyNumberFormat="1" applyFont="1" applyFill="1"/>
    <xf numFmtId="40" fontId="78" fillId="0" borderId="0" xfId="0" quotePrefix="1" applyNumberFormat="1" applyFont="1"/>
    <xf numFmtId="40" fontId="76" fillId="8" borderId="0" xfId="2" applyNumberFormat="1" applyFont="1" applyFill="1"/>
    <xf numFmtId="0" fontId="63" fillId="0" borderId="0" xfId="3" applyFont="1" applyAlignment="1">
      <alignment horizontal="center"/>
    </xf>
    <xf numFmtId="0" fontId="43" fillId="0" borderId="0" xfId="0" applyFont="1"/>
    <xf numFmtId="41" fontId="43" fillId="0" borderId="0" xfId="0" applyNumberFormat="1" applyFont="1"/>
    <xf numFmtId="37" fontId="43" fillId="0" borderId="0" xfId="0" applyNumberFormat="1" applyFont="1"/>
    <xf numFmtId="49" fontId="30" fillId="0" borderId="0" xfId="3" applyNumberFormat="1" applyFont="1" applyAlignment="1">
      <alignment horizontal="center"/>
    </xf>
    <xf numFmtId="39" fontId="30" fillId="0" borderId="0" xfId="3" applyNumberFormat="1" applyFont="1"/>
    <xf numFmtId="49" fontId="29" fillId="0" borderId="0" xfId="3" applyNumberFormat="1" applyFont="1" applyProtection="1">
      <protection locked="0"/>
    </xf>
    <xf numFmtId="42" fontId="29" fillId="0" borderId="0" xfId="3" applyNumberFormat="1" applyFont="1"/>
    <xf numFmtId="49" fontId="30" fillId="0" borderId="0" xfId="3" applyNumberFormat="1" applyFont="1" applyAlignment="1">
      <alignment horizontal="left"/>
    </xf>
    <xf numFmtId="37" fontId="63" fillId="0" borderId="0" xfId="3" applyNumberFormat="1" applyFont="1" applyAlignment="1" applyProtection="1">
      <alignment horizontal="left"/>
      <protection locked="0"/>
    </xf>
    <xf numFmtId="37" fontId="29" fillId="0" borderId="0" xfId="3" applyNumberFormat="1" applyFont="1" applyAlignment="1" applyProtection="1">
      <alignment horizontal="left"/>
      <protection locked="0"/>
    </xf>
    <xf numFmtId="37" fontId="63" fillId="0" borderId="0" xfId="3" applyNumberFormat="1" applyFont="1"/>
    <xf numFmtId="0" fontId="29" fillId="0" borderId="0" xfId="3" applyFont="1" applyAlignment="1">
      <alignment horizontal="left"/>
    </xf>
    <xf numFmtId="37" fontId="43" fillId="0" borderId="0" xfId="3" applyNumberFormat="1" applyFont="1" applyAlignment="1">
      <alignment horizontal="center"/>
    </xf>
    <xf numFmtId="0" fontId="29" fillId="0" borderId="0" xfId="3" applyFont="1" applyAlignment="1">
      <alignment horizontal="centerContinuous" wrapText="1"/>
    </xf>
    <xf numFmtId="0" fontId="43" fillId="0" borderId="0" xfId="3" applyFont="1" applyAlignment="1">
      <alignment horizontal="centerContinuous" wrapText="1"/>
    </xf>
    <xf numFmtId="166" fontId="43" fillId="0" borderId="0" xfId="3" applyNumberFormat="1" applyFont="1"/>
    <xf numFmtId="38" fontId="29" fillId="0" borderId="2" xfId="1" applyNumberFormat="1" applyFont="1" applyBorder="1" applyAlignment="1">
      <alignment horizontal="center" wrapText="1"/>
    </xf>
    <xf numFmtId="38" fontId="29" fillId="0" borderId="0" xfId="1" applyNumberFormat="1" applyFont="1" applyBorder="1" applyAlignment="1">
      <alignment horizontal="center" wrapText="1"/>
    </xf>
    <xf numFmtId="37" fontId="43" fillId="0" borderId="0" xfId="3" applyNumberFormat="1" applyFont="1" applyAlignment="1">
      <alignment horizontal="center" wrapText="1"/>
    </xf>
    <xf numFmtId="38" fontId="43" fillId="0" borderId="0" xfId="1" applyNumberFormat="1" applyFont="1" applyBorder="1"/>
    <xf numFmtId="166" fontId="29" fillId="0" borderId="0" xfId="3" applyNumberFormat="1" applyFont="1"/>
    <xf numFmtId="164" fontId="43" fillId="0" borderId="0" xfId="3" applyNumberFormat="1" applyFont="1"/>
    <xf numFmtId="37" fontId="43" fillId="0" borderId="0" xfId="3" quotePrefix="1" applyNumberFormat="1" applyFont="1"/>
    <xf numFmtId="9" fontId="43" fillId="0" borderId="0" xfId="3" applyNumberFormat="1" applyFont="1"/>
    <xf numFmtId="169" fontId="43" fillId="0" borderId="0" xfId="3" applyNumberFormat="1" applyFont="1"/>
    <xf numFmtId="164" fontId="43" fillId="0" borderId="0" xfId="1" applyNumberFormat="1" applyFont="1" applyBorder="1"/>
    <xf numFmtId="167" fontId="66" fillId="0" borderId="0" xfId="3" applyNumberFormat="1" applyFont="1"/>
    <xf numFmtId="169" fontId="86" fillId="0" borderId="0" xfId="1" applyNumberFormat="1" applyFont="1" applyFill="1" applyProtection="1"/>
    <xf numFmtId="2" fontId="43" fillId="0" borderId="0" xfId="3" applyNumberFormat="1" applyFont="1" applyAlignment="1">
      <alignment horizontal="fill"/>
    </xf>
    <xf numFmtId="39" fontId="43" fillId="0" borderId="0" xfId="3" applyNumberFormat="1" applyFont="1" applyAlignment="1">
      <alignment horizontal="fill"/>
    </xf>
    <xf numFmtId="10" fontId="43" fillId="0" borderId="0" xfId="3" applyNumberFormat="1" applyFont="1" applyAlignment="1">
      <alignment horizontal="fill"/>
    </xf>
    <xf numFmtId="49" fontId="43" fillId="0" borderId="0" xfId="3" applyNumberFormat="1" applyFont="1" applyAlignment="1">
      <alignment horizontal="right"/>
    </xf>
    <xf numFmtId="9" fontId="43" fillId="0" borderId="0" xfId="4" applyFont="1" applyProtection="1"/>
    <xf numFmtId="164" fontId="43" fillId="0" borderId="0" xfId="1" applyNumberFormat="1" applyFont="1" applyFill="1" applyBorder="1" applyProtection="1">
      <protection locked="0"/>
    </xf>
    <xf numFmtId="39" fontId="43" fillId="0" borderId="0" xfId="3" applyNumberFormat="1" applyFont="1" applyAlignment="1">
      <alignment horizontal="right"/>
    </xf>
    <xf numFmtId="0" fontId="43" fillId="0" borderId="0" xfId="3" quotePrefix="1" applyFont="1"/>
    <xf numFmtId="37" fontId="43" fillId="0" borderId="0" xfId="3" quotePrefix="1" applyNumberFormat="1" applyFont="1" applyAlignment="1">
      <alignment horizontal="center"/>
    </xf>
    <xf numFmtId="0" fontId="43" fillId="0" borderId="0" xfId="3" quotePrefix="1" applyFont="1" applyAlignment="1">
      <alignment horizontal="center"/>
    </xf>
    <xf numFmtId="37" fontId="66" fillId="0" borderId="0" xfId="3" applyNumberFormat="1" applyFont="1"/>
    <xf numFmtId="168" fontId="43" fillId="0" borderId="0" xfId="3" applyNumberFormat="1" applyFont="1"/>
    <xf numFmtId="0" fontId="26" fillId="0" borderId="0" xfId="0" applyFont="1"/>
    <xf numFmtId="49" fontId="26" fillId="0" borderId="0" xfId="0" applyNumberFormat="1" applyFont="1" applyAlignment="1">
      <alignment horizontal="center"/>
    </xf>
    <xf numFmtId="0" fontId="87" fillId="0" borderId="0" xfId="0" applyFont="1"/>
    <xf numFmtId="42" fontId="26" fillId="0" borderId="0" xfId="0" applyNumberFormat="1" applyFont="1"/>
    <xf numFmtId="0" fontId="88" fillId="0" borderId="0" xfId="0" applyFont="1" applyAlignment="1">
      <alignment wrapText="1"/>
    </xf>
    <xf numFmtId="49" fontId="88" fillId="0" borderId="0" xfId="0" applyNumberFormat="1" applyFont="1" applyAlignment="1">
      <alignment horizontal="center" wrapText="1"/>
    </xf>
    <xf numFmtId="42" fontId="88" fillId="0" borderId="0" xfId="0" applyNumberFormat="1" applyFont="1" applyAlignment="1">
      <alignment wrapText="1"/>
    </xf>
    <xf numFmtId="0" fontId="89" fillId="0" borderId="0" xfId="0" applyFont="1" applyAlignment="1">
      <alignment wrapText="1"/>
    </xf>
    <xf numFmtId="0" fontId="26" fillId="0" borderId="0" xfId="0" applyFont="1" applyAlignment="1">
      <alignment wrapText="1"/>
    </xf>
    <xf numFmtId="49" fontId="26" fillId="0" borderId="2" xfId="0" applyNumberFormat="1" applyFont="1" applyBorder="1" applyAlignment="1">
      <alignment horizontal="center" wrapText="1"/>
    </xf>
    <xf numFmtId="0" fontId="26" fillId="0" borderId="2" xfId="0" applyFont="1" applyBorder="1" applyAlignment="1">
      <alignment horizontal="center" wrapText="1"/>
    </xf>
    <xf numFmtId="42" fontId="26" fillId="0" borderId="0" xfId="0" applyNumberFormat="1" applyFont="1" applyAlignment="1">
      <alignment wrapText="1"/>
    </xf>
    <xf numFmtId="0" fontId="87" fillId="0" borderId="0" xfId="0" applyFont="1" applyAlignment="1">
      <alignment wrapText="1"/>
    </xf>
    <xf numFmtId="42" fontId="87" fillId="0" borderId="0" xfId="0" applyNumberFormat="1" applyFont="1"/>
    <xf numFmtId="0" fontId="88" fillId="0" borderId="0" xfId="0" applyFont="1"/>
    <xf numFmtId="42" fontId="26" fillId="11" borderId="0" xfId="0" applyNumberFormat="1" applyFont="1" applyFill="1"/>
    <xf numFmtId="42" fontId="87" fillId="18" borderId="0" xfId="0" applyNumberFormat="1" applyFont="1" applyFill="1"/>
    <xf numFmtId="49" fontId="26" fillId="0" borderId="0" xfId="0" applyNumberFormat="1" applyFont="1"/>
    <xf numFmtId="42" fontId="87" fillId="0" borderId="6" xfId="0" applyNumberFormat="1" applyFont="1" applyBorder="1"/>
    <xf numFmtId="42" fontId="87" fillId="0" borderId="31" xfId="0" applyNumberFormat="1" applyFont="1" applyBorder="1"/>
    <xf numFmtId="42" fontId="26" fillId="12" borderId="0" xfId="0" applyNumberFormat="1" applyFont="1" applyFill="1"/>
    <xf numFmtId="0" fontId="90" fillId="0" borderId="32" xfId="0" applyFont="1" applyBorder="1" applyAlignment="1">
      <alignment vertical="center" wrapText="1"/>
    </xf>
    <xf numFmtId="49" fontId="26" fillId="0" borderId="0" xfId="0" applyNumberFormat="1" applyFont="1" applyAlignment="1">
      <alignment horizontal="center" wrapText="1"/>
    </xf>
    <xf numFmtId="0" fontId="90" fillId="14" borderId="32" xfId="0" applyFont="1" applyFill="1" applyBorder="1" applyAlignment="1">
      <alignment vertical="center" wrapText="1"/>
    </xf>
    <xf numFmtId="0" fontId="26" fillId="0" borderId="0" xfId="0" applyFont="1" applyAlignment="1">
      <alignment horizontal="right"/>
    </xf>
    <xf numFmtId="0" fontId="26" fillId="0" borderId="0" xfId="0" applyFont="1" applyAlignment="1">
      <alignment horizontal="left" wrapText="1"/>
    </xf>
    <xf numFmtId="0" fontId="26" fillId="15" borderId="0" xfId="0" applyFont="1" applyFill="1"/>
    <xf numFmtId="49" fontId="26" fillId="15" borderId="0" xfId="0" applyNumberFormat="1" applyFont="1" applyFill="1" applyAlignment="1">
      <alignment horizontal="center"/>
    </xf>
    <xf numFmtId="0" fontId="87" fillId="15" borderId="0" xfId="0" applyFont="1" applyFill="1"/>
    <xf numFmtId="42" fontId="26" fillId="15" borderId="0" xfId="0" applyNumberFormat="1" applyFont="1" applyFill="1"/>
    <xf numFmtId="49" fontId="26" fillId="0" borderId="0" xfId="3" applyNumberFormat="1" applyFont="1" applyAlignment="1">
      <alignment horizontal="left"/>
    </xf>
    <xf numFmtId="49" fontId="88" fillId="0" borderId="0" xfId="3" applyNumberFormat="1" applyFont="1"/>
    <xf numFmtId="37" fontId="26" fillId="0" borderId="0" xfId="3" applyNumberFormat="1" applyFont="1" applyProtection="1">
      <protection locked="0"/>
    </xf>
    <xf numFmtId="49" fontId="26" fillId="0" borderId="0" xfId="3" applyNumberFormat="1" applyFont="1" applyAlignment="1">
      <alignment horizontal="left" indent="2"/>
    </xf>
    <xf numFmtId="37" fontId="26" fillId="0" borderId="6" xfId="3" applyNumberFormat="1" applyFont="1" applyBorder="1"/>
    <xf numFmtId="49" fontId="26" fillId="0" borderId="0" xfId="0" applyNumberFormat="1" applyFont="1" applyAlignment="1">
      <alignment horizontal="left"/>
    </xf>
    <xf numFmtId="0" fontId="26" fillId="0" borderId="0" xfId="0" applyFont="1" applyAlignment="1">
      <alignment horizontal="left"/>
    </xf>
    <xf numFmtId="0" fontId="26" fillId="0" borderId="0" xfId="3" quotePrefix="1" applyFont="1"/>
    <xf numFmtId="0" fontId="26" fillId="0" borderId="0" xfId="3" applyFont="1" applyAlignment="1">
      <alignment horizontal="left"/>
    </xf>
    <xf numFmtId="0" fontId="26" fillId="0" borderId="0" xfId="3" applyFont="1" applyAlignment="1">
      <alignment horizontal="left" indent="2"/>
    </xf>
    <xf numFmtId="41" fontId="26" fillId="0" borderId="0" xfId="0" applyNumberFormat="1" applyFont="1"/>
    <xf numFmtId="37" fontId="26" fillId="18" borderId="6" xfId="0" applyNumberFormat="1" applyFont="1" applyFill="1" applyBorder="1"/>
    <xf numFmtId="37" fontId="26" fillId="0" borderId="0" xfId="0" applyNumberFormat="1" applyFont="1"/>
    <xf numFmtId="0" fontId="26" fillId="11" borderId="0" xfId="0" applyFont="1" applyFill="1"/>
    <xf numFmtId="0" fontId="87" fillId="11" borderId="0" xfId="0" applyFont="1" applyFill="1"/>
    <xf numFmtId="6" fontId="26" fillId="0" borderId="0" xfId="0" applyNumberFormat="1" applyFont="1"/>
    <xf numFmtId="42" fontId="91" fillId="0" borderId="0" xfId="0" applyNumberFormat="1" applyFont="1"/>
    <xf numFmtId="42" fontId="26" fillId="0" borderId="6" xfId="0" applyNumberFormat="1" applyFont="1" applyBorder="1" applyAlignment="1">
      <alignment horizontal="left"/>
    </xf>
    <xf numFmtId="42" fontId="26" fillId="0" borderId="6" xfId="0" applyNumberFormat="1" applyFont="1" applyBorder="1"/>
    <xf numFmtId="42" fontId="26" fillId="0" borderId="0" xfId="0" applyNumberFormat="1" applyFont="1" applyAlignment="1">
      <alignment horizontal="center"/>
    </xf>
    <xf numFmtId="0" fontId="67" fillId="0" borderId="0" xfId="6" applyFont="1"/>
    <xf numFmtId="0" fontId="67" fillId="0" borderId="0" xfId="6" applyFont="1" applyAlignment="1">
      <alignment horizontal="center"/>
    </xf>
    <xf numFmtId="172" fontId="67" fillId="0" borderId="0" xfId="6" applyNumberFormat="1" applyFont="1" applyAlignment="1">
      <alignment horizontal="center"/>
    </xf>
    <xf numFmtId="172" fontId="67" fillId="0" borderId="2" xfId="6" applyNumberFormat="1" applyFont="1" applyBorder="1" applyAlignment="1">
      <alignment horizontal="center"/>
    </xf>
    <xf numFmtId="172" fontId="79" fillId="0" borderId="0" xfId="6" applyNumberFormat="1" applyFont="1" applyAlignment="1">
      <alignment horizontal="center"/>
    </xf>
    <xf numFmtId="164" fontId="43" fillId="17" borderId="0" xfId="7" applyNumberFormat="1" applyFont="1" applyFill="1"/>
    <xf numFmtId="164" fontId="43" fillId="0" borderId="0" xfId="7" applyNumberFormat="1" applyFont="1" applyFill="1"/>
    <xf numFmtId="164" fontId="43" fillId="0" borderId="0" xfId="7" applyNumberFormat="1" applyFont="1"/>
    <xf numFmtId="0" fontId="79" fillId="0" borderId="0" xfId="6" applyFont="1" applyAlignment="1">
      <alignment horizontal="center"/>
    </xf>
    <xf numFmtId="164" fontId="43" fillId="0" borderId="2" xfId="7" applyNumberFormat="1" applyFont="1" applyFill="1" applyBorder="1"/>
    <xf numFmtId="0" fontId="79" fillId="0" borderId="0" xfId="6" applyFont="1"/>
    <xf numFmtId="164" fontId="67" fillId="17" borderId="0" xfId="6" applyNumberFormat="1" applyFont="1" applyFill="1"/>
    <xf numFmtId="0" fontId="67" fillId="17" borderId="0" xfId="6" applyFont="1" applyFill="1"/>
    <xf numFmtId="164" fontId="67" fillId="0" borderId="0" xfId="6" applyNumberFormat="1" applyFont="1"/>
    <xf numFmtId="164" fontId="67" fillId="0" borderId="6" xfId="6" applyNumberFormat="1" applyFont="1" applyBorder="1"/>
    <xf numFmtId="42" fontId="26" fillId="12" borderId="6" xfId="0" applyNumberFormat="1" applyFont="1" applyFill="1" applyBorder="1"/>
    <xf numFmtId="0" fontId="26" fillId="0" borderId="2" xfId="0" applyFont="1" applyBorder="1"/>
    <xf numFmtId="0" fontId="88" fillId="0" borderId="0" xfId="3" applyFont="1" applyAlignment="1">
      <alignment horizontal="center"/>
    </xf>
    <xf numFmtId="0" fontId="88" fillId="0" borderId="0" xfId="3" applyFont="1" applyAlignment="1">
      <alignment horizontal="center" wrapText="1"/>
    </xf>
    <xf numFmtId="37" fontId="26" fillId="0" borderId="0" xfId="3" quotePrefix="1" applyNumberFormat="1" applyFont="1"/>
    <xf numFmtId="37" fontId="26" fillId="0" borderId="6" xfId="3" quotePrefix="1" applyNumberFormat="1" applyFont="1" applyBorder="1"/>
    <xf numFmtId="0" fontId="88" fillId="0" borderId="0" xfId="0" applyFont="1" applyAlignment="1">
      <alignment horizontal="center"/>
    </xf>
    <xf numFmtId="0" fontId="35" fillId="21" borderId="0" xfId="2" applyFont="1" applyFill="1"/>
    <xf numFmtId="38" fontId="43" fillId="0" borderId="0" xfId="2" applyNumberFormat="1" applyFont="1"/>
    <xf numFmtId="165" fontId="43" fillId="0" borderId="0" xfId="4" applyNumberFormat="1" applyFont="1"/>
    <xf numFmtId="0" fontId="43" fillId="0" borderId="0" xfId="3" quotePrefix="1" applyFont="1" applyAlignment="1">
      <alignment wrapText="1"/>
    </xf>
    <xf numFmtId="41" fontId="29" fillId="16" borderId="33" xfId="3" applyNumberFormat="1" applyFont="1" applyFill="1" applyBorder="1"/>
    <xf numFmtId="169" fontId="65" fillId="0" borderId="0" xfId="3" applyNumberFormat="1" applyFont="1"/>
    <xf numFmtId="10" fontId="29" fillId="0" borderId="0" xfId="4" applyNumberFormat="1" applyFont="1" applyAlignment="1">
      <alignment horizontal="left"/>
    </xf>
    <xf numFmtId="38" fontId="43" fillId="0" borderId="0" xfId="2" applyNumberFormat="1" applyFont="1" applyAlignment="1">
      <alignment horizontal="right"/>
    </xf>
    <xf numFmtId="167" fontId="43" fillId="24" borderId="0" xfId="3" applyNumberFormat="1" applyFont="1" applyFill="1"/>
    <xf numFmtId="10" fontId="43" fillId="22" borderId="0" xfId="3" applyNumberFormat="1" applyFont="1" applyFill="1"/>
    <xf numFmtId="0" fontId="43" fillId="24" borderId="0" xfId="3" applyFont="1" applyFill="1"/>
    <xf numFmtId="2" fontId="43" fillId="24" borderId="0" xfId="3" applyNumberFormat="1" applyFont="1" applyFill="1"/>
    <xf numFmtId="0" fontId="43" fillId="24" borderId="0" xfId="3" quotePrefix="1" applyFont="1" applyFill="1" applyAlignment="1">
      <alignment wrapText="1"/>
    </xf>
    <xf numFmtId="0" fontId="29" fillId="24" borderId="0" xfId="3" applyFont="1" applyFill="1" applyAlignment="1">
      <alignment horizontal="center"/>
    </xf>
    <xf numFmtId="0" fontId="43" fillId="24" borderId="2" xfId="3" applyFont="1" applyFill="1" applyBorder="1"/>
    <xf numFmtId="3" fontId="43" fillId="24" borderId="0" xfId="0" applyNumberFormat="1" applyFont="1" applyFill="1"/>
    <xf numFmtId="0" fontId="43" fillId="24" borderId="0" xfId="3" quotePrefix="1" applyFont="1" applyFill="1"/>
    <xf numFmtId="0" fontId="30" fillId="24" borderId="0" xfId="3" applyFont="1" applyFill="1"/>
    <xf numFmtId="37" fontId="43" fillId="24" borderId="0" xfId="3" applyNumberFormat="1" applyFont="1" applyFill="1"/>
    <xf numFmtId="37" fontId="29" fillId="24" borderId="0" xfId="3" applyNumberFormat="1" applyFont="1" applyFill="1"/>
    <xf numFmtId="49" fontId="43" fillId="22" borderId="8" xfId="3" applyNumberFormat="1" applyFont="1" applyFill="1" applyBorder="1"/>
    <xf numFmtId="37" fontId="43" fillId="22" borderId="0" xfId="3" applyNumberFormat="1" applyFont="1" applyFill="1"/>
    <xf numFmtId="49" fontId="43" fillId="22" borderId="0" xfId="3" applyNumberFormat="1" applyFont="1" applyFill="1" applyAlignment="1">
      <alignment horizontal="center"/>
    </xf>
    <xf numFmtId="167" fontId="43" fillId="22" borderId="9" xfId="3" applyNumberFormat="1" applyFont="1" applyFill="1" applyBorder="1" applyAlignment="1">
      <alignment horizontal="center"/>
    </xf>
    <xf numFmtId="49" fontId="29" fillId="22" borderId="8" xfId="3" applyNumberFormat="1" applyFont="1" applyFill="1" applyBorder="1"/>
    <xf numFmtId="39" fontId="43" fillId="22" borderId="0" xfId="3" applyNumberFormat="1" applyFont="1" applyFill="1"/>
    <xf numFmtId="167" fontId="29" fillId="22" borderId="9" xfId="3" applyNumberFormat="1" applyFont="1" applyFill="1" applyBorder="1" applyAlignment="1">
      <alignment horizontal="right"/>
    </xf>
    <xf numFmtId="49" fontId="43" fillId="22" borderId="8" xfId="3" applyNumberFormat="1" applyFont="1" applyFill="1" applyBorder="1" applyAlignment="1" applyProtection="1">
      <alignment horizontal="center"/>
      <protection locked="0"/>
    </xf>
    <xf numFmtId="41" fontId="43" fillId="22" borderId="0" xfId="3" applyNumberFormat="1" applyFont="1" applyFill="1" applyProtection="1">
      <protection locked="0"/>
    </xf>
    <xf numFmtId="167" fontId="43" fillId="22" borderId="9" xfId="3" applyNumberFormat="1" applyFont="1" applyFill="1" applyBorder="1" applyAlignment="1">
      <alignment horizontal="right"/>
    </xf>
    <xf numFmtId="167" fontId="43" fillId="22" borderId="9" xfId="3" applyNumberFormat="1" applyFont="1" applyFill="1" applyBorder="1"/>
    <xf numFmtId="49" fontId="29" fillId="22" borderId="8" xfId="3" applyNumberFormat="1" applyFont="1" applyFill="1" applyBorder="1" applyAlignment="1">
      <alignment horizontal="left"/>
    </xf>
    <xf numFmtId="41" fontId="29" fillId="22" borderId="6" xfId="3" applyNumberFormat="1" applyFont="1" applyFill="1" applyBorder="1"/>
    <xf numFmtId="167" fontId="29" fillId="22" borderId="10" xfId="3" applyNumberFormat="1" applyFont="1" applyFill="1" applyBorder="1"/>
    <xf numFmtId="41" fontId="43" fillId="22" borderId="0" xfId="3" applyNumberFormat="1" applyFont="1" applyFill="1"/>
    <xf numFmtId="37" fontId="29" fillId="22" borderId="0" xfId="3" applyNumberFormat="1" applyFont="1" applyFill="1"/>
    <xf numFmtId="41" fontId="29" fillId="22" borderId="0" xfId="3" applyNumberFormat="1" applyFont="1" applyFill="1"/>
    <xf numFmtId="167" fontId="29" fillId="22" borderId="9" xfId="3" applyNumberFormat="1" applyFont="1" applyFill="1" applyBorder="1"/>
    <xf numFmtId="41" fontId="29" fillId="22" borderId="8" xfId="3" applyNumberFormat="1" applyFont="1" applyFill="1" applyBorder="1"/>
    <xf numFmtId="41" fontId="43" fillId="22" borderId="11" xfId="3" applyNumberFormat="1" applyFont="1" applyFill="1" applyBorder="1"/>
    <xf numFmtId="41" fontId="43" fillId="22" borderId="12" xfId="3" applyNumberFormat="1" applyFont="1" applyFill="1" applyBorder="1"/>
    <xf numFmtId="167" fontId="43" fillId="22" borderId="13" xfId="3" applyNumberFormat="1" applyFont="1" applyFill="1" applyBorder="1"/>
    <xf numFmtId="49" fontId="72" fillId="0" borderId="0" xfId="2" quotePrefix="1" applyNumberFormat="1" applyFont="1" applyAlignment="1">
      <alignment horizontal="center"/>
    </xf>
    <xf numFmtId="49" fontId="75" fillId="0" borderId="0" xfId="2" applyNumberFormat="1" applyFont="1" applyAlignment="1">
      <alignment horizontal="center"/>
    </xf>
    <xf numFmtId="40" fontId="74" fillId="0" borderId="15" xfId="2" applyNumberFormat="1" applyFont="1" applyBorder="1"/>
    <xf numFmtId="0" fontId="75" fillId="11" borderId="0" xfId="2" applyFont="1" applyFill="1" applyAlignment="1">
      <alignment horizontal="center"/>
    </xf>
    <xf numFmtId="37" fontId="43" fillId="0" borderId="2" xfId="3" applyNumberFormat="1" applyFont="1" applyBorder="1" applyProtection="1">
      <protection locked="0"/>
    </xf>
    <xf numFmtId="49" fontId="43" fillId="24" borderId="0" xfId="3" applyNumberFormat="1" applyFont="1" applyFill="1"/>
    <xf numFmtId="37" fontId="92" fillId="24" borderId="0" xfId="3" applyNumberFormat="1" applyFont="1" applyFill="1"/>
    <xf numFmtId="39" fontId="43" fillId="24" borderId="0" xfId="3" applyNumberFormat="1" applyFont="1" applyFill="1"/>
    <xf numFmtId="49" fontId="43" fillId="16" borderId="0" xfId="3" applyNumberFormat="1" applyFont="1" applyFill="1"/>
    <xf numFmtId="37" fontId="43" fillId="16" borderId="0" xfId="3" applyNumberFormat="1" applyFont="1" applyFill="1"/>
    <xf numFmtId="37" fontId="43" fillId="16" borderId="0" xfId="3" applyNumberFormat="1" applyFont="1" applyFill="1" applyAlignment="1">
      <alignment horizontal="fill"/>
    </xf>
    <xf numFmtId="39" fontId="43" fillId="16" borderId="0" xfId="3" applyNumberFormat="1" applyFont="1" applyFill="1" applyAlignment="1">
      <alignment horizontal="fill"/>
    </xf>
    <xf numFmtId="167" fontId="43" fillId="16" borderId="0" xfId="3" applyNumberFormat="1" applyFont="1" applyFill="1" applyAlignment="1">
      <alignment horizontal="fill"/>
    </xf>
    <xf numFmtId="49" fontId="29" fillId="24" borderId="0" xfId="3" applyNumberFormat="1" applyFont="1" applyFill="1"/>
    <xf numFmtId="10" fontId="29" fillId="24" borderId="0" xfId="4" applyNumberFormat="1" applyFont="1" applyFill="1" applyBorder="1" applyProtection="1"/>
    <xf numFmtId="167" fontId="29" fillId="24" borderId="0" xfId="3" applyNumberFormat="1" applyFont="1" applyFill="1"/>
    <xf numFmtId="40" fontId="65" fillId="0" borderId="0" xfId="2" applyNumberFormat="1" applyFont="1"/>
    <xf numFmtId="0" fontId="65" fillId="0" borderId="0" xfId="2" applyFont="1" applyAlignment="1">
      <alignment horizontal="left"/>
    </xf>
    <xf numFmtId="0" fontId="65" fillId="0" borderId="0" xfId="2" applyFont="1"/>
    <xf numFmtId="38" fontId="79" fillId="24" borderId="0" xfId="2" applyNumberFormat="1" applyFont="1" applyFill="1"/>
    <xf numFmtId="0" fontId="65" fillId="5" borderId="0" xfId="2" applyFont="1" applyFill="1"/>
    <xf numFmtId="37" fontId="43" fillId="0" borderId="4" xfId="3" applyNumberFormat="1" applyFont="1" applyBorder="1" applyProtection="1">
      <protection locked="0"/>
    </xf>
    <xf numFmtId="40" fontId="65" fillId="3" borderId="0" xfId="2" applyNumberFormat="1" applyFont="1" applyFill="1"/>
    <xf numFmtId="38" fontId="75" fillId="0" borderId="0" xfId="2" applyNumberFormat="1" applyFont="1"/>
    <xf numFmtId="38" fontId="76" fillId="0" borderId="0" xfId="2" applyNumberFormat="1" applyFont="1"/>
    <xf numFmtId="43" fontId="29" fillId="5" borderId="0" xfId="1" applyFont="1" applyFill="1"/>
    <xf numFmtId="0" fontId="43" fillId="22" borderId="35" xfId="3" applyFont="1" applyFill="1" applyBorder="1" applyAlignment="1">
      <alignment horizontal="centerContinuous" wrapText="1"/>
    </xf>
    <xf numFmtId="0" fontId="43" fillId="22" borderId="15" xfId="3" applyFont="1" applyFill="1" applyBorder="1" applyAlignment="1">
      <alignment horizontal="centerContinuous" wrapText="1"/>
    </xf>
    <xf numFmtId="0" fontId="43" fillId="22" borderId="35" xfId="3" applyFont="1" applyFill="1" applyBorder="1"/>
    <xf numFmtId="0" fontId="29" fillId="0" borderId="0" xfId="3" applyFont="1"/>
    <xf numFmtId="41" fontId="43" fillId="0" borderId="38" xfId="3" applyNumberFormat="1" applyFont="1" applyBorder="1"/>
    <xf numFmtId="0" fontId="29" fillId="0" borderId="36" xfId="3" applyFont="1" applyBorder="1" applyAlignment="1">
      <alignment horizontal="center"/>
    </xf>
    <xf numFmtId="42" fontId="43" fillId="0" borderId="36" xfId="3" applyNumberFormat="1" applyFont="1" applyBorder="1"/>
    <xf numFmtId="167" fontId="29" fillId="0" borderId="4" xfId="3" applyNumberFormat="1" applyFont="1" applyBorder="1" applyAlignment="1">
      <alignment horizontal="right"/>
    </xf>
    <xf numFmtId="0" fontId="29" fillId="25" borderId="0" xfId="3" applyFont="1" applyFill="1"/>
    <xf numFmtId="37" fontId="43" fillId="25" borderId="0" xfId="3" applyNumberFormat="1" applyFont="1" applyFill="1"/>
    <xf numFmtId="37" fontId="29" fillId="25" borderId="6" xfId="3" applyNumberFormat="1" applyFont="1" applyFill="1" applyBorder="1"/>
    <xf numFmtId="0" fontId="43" fillId="25" borderId="0" xfId="3" applyFont="1" applyFill="1"/>
    <xf numFmtId="0" fontId="64" fillId="25" borderId="0" xfId="3" applyFont="1" applyFill="1" applyAlignment="1">
      <alignment horizontal="center"/>
    </xf>
    <xf numFmtId="37" fontId="64" fillId="25" borderId="0" xfId="3" applyNumberFormat="1" applyFont="1" applyFill="1" applyAlignment="1">
      <alignment horizontal="center"/>
    </xf>
    <xf numFmtId="0" fontId="64" fillId="25" borderId="0" xfId="3" applyFont="1" applyFill="1" applyAlignment="1">
      <alignment horizontal="left"/>
    </xf>
    <xf numFmtId="0" fontId="29" fillId="0" borderId="2" xfId="0" applyFont="1" applyBorder="1" applyAlignment="1">
      <alignment horizontal="center"/>
    </xf>
    <xf numFmtId="41" fontId="43" fillId="0" borderId="39" xfId="0" applyNumberFormat="1" applyFont="1" applyBorder="1"/>
    <xf numFmtId="40" fontId="43" fillId="0" borderId="39" xfId="1" applyNumberFormat="1" applyFont="1" applyBorder="1"/>
    <xf numFmtId="41" fontId="43" fillId="0" borderId="2" xfId="0" applyNumberFormat="1" applyFont="1" applyBorder="1"/>
    <xf numFmtId="40" fontId="75" fillId="0" borderId="2" xfId="1" applyNumberFormat="1" applyFont="1" applyFill="1" applyBorder="1"/>
    <xf numFmtId="0" fontId="91" fillId="0" borderId="0" xfId="0" applyFont="1"/>
    <xf numFmtId="44" fontId="26" fillId="0" borderId="0" xfId="0" applyNumberFormat="1" applyFont="1"/>
    <xf numFmtId="0" fontId="26" fillId="0" borderId="0" xfId="0" applyFont="1" applyAlignment="1">
      <alignment vertical="top"/>
    </xf>
    <xf numFmtId="0" fontId="8" fillId="0" borderId="0" xfId="15"/>
    <xf numFmtId="38" fontId="43" fillId="0" borderId="0" xfId="1" applyNumberFormat="1" applyFont="1" applyFill="1" applyBorder="1"/>
    <xf numFmtId="39" fontId="67" fillId="24" borderId="0" xfId="3" applyNumberFormat="1" applyFont="1" applyFill="1" applyProtection="1">
      <protection locked="0"/>
    </xf>
    <xf numFmtId="39" fontId="43" fillId="24" borderId="0" xfId="3" applyNumberFormat="1" applyFont="1" applyFill="1" applyProtection="1">
      <protection locked="0"/>
    </xf>
    <xf numFmtId="37" fontId="43" fillId="24" borderId="0" xfId="3" applyNumberFormat="1" applyFont="1" applyFill="1" applyProtection="1">
      <protection locked="0"/>
    </xf>
    <xf numFmtId="173" fontId="43" fillId="0" borderId="0" xfId="3" applyNumberFormat="1" applyFont="1"/>
    <xf numFmtId="0" fontId="64" fillId="0" borderId="0" xfId="3" applyFont="1" applyAlignment="1">
      <alignment horizontal="left"/>
    </xf>
    <xf numFmtId="41" fontId="43" fillId="0" borderId="0" xfId="0" applyNumberFormat="1" applyFont="1" applyAlignment="1">
      <alignment horizontal="right"/>
    </xf>
    <xf numFmtId="0" fontId="65" fillId="0" borderId="0" xfId="6" applyFont="1" applyAlignment="1">
      <alignment horizontal="right"/>
    </xf>
    <xf numFmtId="0" fontId="65" fillId="8" borderId="0" xfId="2" applyFont="1" applyFill="1"/>
    <xf numFmtId="0" fontId="43" fillId="0" borderId="44" xfId="3" applyFont="1" applyBorder="1"/>
    <xf numFmtId="0" fontId="43" fillId="0" borderId="43" xfId="3" applyFont="1" applyBorder="1"/>
    <xf numFmtId="37" fontId="70" fillId="20" borderId="0" xfId="3" applyNumberFormat="1" applyFont="1" applyFill="1" applyProtection="1">
      <protection locked="0"/>
    </xf>
    <xf numFmtId="167" fontId="43" fillId="0" borderId="0" xfId="3" applyNumberFormat="1" applyFont="1" applyAlignment="1">
      <alignment horizontal="left" indent="2"/>
    </xf>
    <xf numFmtId="37" fontId="29" fillId="0" borderId="0" xfId="3" applyNumberFormat="1" applyFont="1" applyProtection="1">
      <protection locked="0"/>
    </xf>
    <xf numFmtId="0" fontId="29" fillId="0" borderId="0" xfId="3" applyFont="1" applyAlignment="1">
      <alignment horizontal="right"/>
    </xf>
    <xf numFmtId="0" fontId="43" fillId="0" borderId="44" xfId="3" applyFont="1" applyBorder="1" applyAlignment="1">
      <alignment horizontal="center"/>
    </xf>
    <xf numFmtId="167" fontId="29" fillId="0" borderId="0" xfId="3" applyNumberFormat="1" applyFont="1" applyAlignment="1">
      <alignment horizontal="right"/>
    </xf>
    <xf numFmtId="10" fontId="29" fillId="0" borderId="44" xfId="3" applyNumberFormat="1" applyFont="1" applyBorder="1"/>
    <xf numFmtId="0" fontId="43" fillId="0" borderId="45" xfId="3" applyFont="1" applyBorder="1"/>
    <xf numFmtId="0" fontId="43" fillId="0" borderId="46" xfId="3" applyFont="1" applyBorder="1"/>
    <xf numFmtId="0" fontId="29" fillId="0" borderId="46" xfId="3" applyFont="1" applyBorder="1" applyAlignment="1">
      <alignment horizontal="right"/>
    </xf>
    <xf numFmtId="37" fontId="43" fillId="0" borderId="46" xfId="3" applyNumberFormat="1" applyFont="1" applyBorder="1"/>
    <xf numFmtId="37" fontId="29" fillId="0" borderId="46" xfId="3" applyNumberFormat="1" applyFont="1" applyBorder="1"/>
    <xf numFmtId="10" fontId="29" fillId="0" borderId="47" xfId="3" applyNumberFormat="1" applyFont="1" applyBorder="1"/>
    <xf numFmtId="0" fontId="30" fillId="22" borderId="41" xfId="3" applyFont="1" applyFill="1" applyBorder="1"/>
    <xf numFmtId="167" fontId="30" fillId="22" borderId="41" xfId="3" applyNumberFormat="1" applyFont="1" applyFill="1" applyBorder="1"/>
    <xf numFmtId="0" fontId="43" fillId="22" borderId="41" xfId="3" applyFont="1" applyFill="1" applyBorder="1"/>
    <xf numFmtId="0" fontId="30" fillId="22" borderId="0" xfId="3" applyFont="1" applyFill="1"/>
    <xf numFmtId="167" fontId="30" fillId="22" borderId="0" xfId="3" applyNumberFormat="1" applyFont="1" applyFill="1"/>
    <xf numFmtId="0" fontId="43" fillId="22" borderId="43" xfId="3" applyFont="1" applyFill="1" applyBorder="1"/>
    <xf numFmtId="49" fontId="30" fillId="22" borderId="0" xfId="3" applyNumberFormat="1" applyFont="1" applyFill="1"/>
    <xf numFmtId="167" fontId="43" fillId="22" borderId="0" xfId="3" applyNumberFormat="1" applyFont="1" applyFill="1"/>
    <xf numFmtId="49" fontId="43" fillId="22" borderId="0" xfId="3" applyNumberFormat="1" applyFont="1" applyFill="1"/>
    <xf numFmtId="167" fontId="29" fillId="22" borderId="40" xfId="3" applyNumberFormat="1" applyFont="1" applyFill="1" applyBorder="1" applyAlignment="1">
      <alignment horizontal="left"/>
    </xf>
    <xf numFmtId="167" fontId="29" fillId="22" borderId="41" xfId="3" applyNumberFormat="1" applyFont="1" applyFill="1" applyBorder="1" applyAlignment="1">
      <alignment horizontal="left"/>
    </xf>
    <xf numFmtId="0" fontId="43" fillId="22" borderId="41" xfId="3" applyFont="1" applyFill="1" applyBorder="1" applyAlignment="1">
      <alignment horizontal="center"/>
    </xf>
    <xf numFmtId="0" fontId="43" fillId="22" borderId="42" xfId="3" applyFont="1" applyFill="1" applyBorder="1"/>
    <xf numFmtId="0" fontId="43" fillId="22" borderId="44" xfId="3" applyFont="1" applyFill="1" applyBorder="1"/>
    <xf numFmtId="0" fontId="43" fillId="0" borderId="48" xfId="3" applyFont="1" applyBorder="1"/>
    <xf numFmtId="0" fontId="43" fillId="0" borderId="30" xfId="3" applyFont="1" applyBorder="1"/>
    <xf numFmtId="167" fontId="43" fillId="0" borderId="30" xfId="3" applyNumberFormat="1" applyFont="1" applyBorder="1"/>
    <xf numFmtId="37" fontId="29" fillId="0" borderId="30" xfId="3" applyNumberFormat="1" applyFont="1" applyBorder="1" applyProtection="1">
      <protection locked="0"/>
    </xf>
    <xf numFmtId="49" fontId="29" fillId="16" borderId="51" xfId="3" applyNumberFormat="1" applyFont="1" applyFill="1" applyBorder="1" applyAlignment="1">
      <alignment wrapText="1"/>
    </xf>
    <xf numFmtId="49" fontId="29" fillId="16" borderId="52" xfId="3" applyNumberFormat="1" applyFont="1" applyFill="1" applyBorder="1" applyAlignment="1">
      <alignment wrapText="1"/>
    </xf>
    <xf numFmtId="49" fontId="29" fillId="16" borderId="50" xfId="3" applyNumberFormat="1" applyFont="1" applyFill="1" applyBorder="1"/>
    <xf numFmtId="37" fontId="70" fillId="0" borderId="0" xfId="3" applyNumberFormat="1" applyFont="1" applyProtection="1">
      <protection locked="0"/>
    </xf>
    <xf numFmtId="0" fontId="43" fillId="22" borderId="2" xfId="3" applyFont="1" applyFill="1" applyBorder="1"/>
    <xf numFmtId="43" fontId="65" fillId="0" borderId="0" xfId="1" applyFont="1"/>
    <xf numFmtId="6" fontId="43" fillId="0" borderId="0" xfId="3" applyNumberFormat="1" applyFont="1"/>
    <xf numFmtId="0" fontId="29" fillId="22" borderId="15" xfId="3" applyFont="1" applyFill="1" applyBorder="1" applyAlignment="1">
      <alignment horizontal="left"/>
    </xf>
    <xf numFmtId="0" fontId="65" fillId="4" borderId="0" xfId="2" applyFont="1" applyFill="1"/>
    <xf numFmtId="174" fontId="26" fillId="0" borderId="0" xfId="0" applyNumberFormat="1" applyFont="1"/>
    <xf numFmtId="175" fontId="43" fillId="0" borderId="0" xfId="0" applyNumberFormat="1" applyFont="1"/>
    <xf numFmtId="37" fontId="43" fillId="0" borderId="2" xfId="0" applyNumberFormat="1" applyFont="1" applyBorder="1"/>
    <xf numFmtId="38" fontId="80" fillId="0" borderId="0" xfId="2" applyNumberFormat="1" applyFont="1"/>
    <xf numFmtId="38" fontId="67" fillId="0" borderId="0" xfId="2" applyNumberFormat="1" applyFont="1"/>
    <xf numFmtId="40" fontId="21" fillId="0" borderId="0" xfId="2" applyNumberFormat="1" applyFont="1"/>
    <xf numFmtId="40" fontId="73" fillId="0" borderId="16" xfId="2" applyNumberFormat="1" applyFont="1" applyBorder="1"/>
    <xf numFmtId="43" fontId="77" fillId="0" borderId="0" xfId="1" applyFont="1" applyFill="1"/>
    <xf numFmtId="0" fontId="77" fillId="0" borderId="0" xfId="0" applyFont="1"/>
    <xf numFmtId="43" fontId="0" fillId="0" borderId="0" xfId="1" applyFont="1"/>
    <xf numFmtId="4" fontId="0" fillId="0" borderId="0" xfId="0" applyNumberFormat="1"/>
    <xf numFmtId="176" fontId="0" fillId="0" borderId="0" xfId="1" applyNumberFormat="1" applyFont="1"/>
    <xf numFmtId="43" fontId="0" fillId="0" borderId="0" xfId="1" applyFont="1" applyFill="1"/>
    <xf numFmtId="43" fontId="0" fillId="0" borderId="0" xfId="0" applyNumberFormat="1"/>
    <xf numFmtId="0" fontId="14" fillId="0" borderId="0" xfId="0" applyFont="1"/>
    <xf numFmtId="0" fontId="14" fillId="25" borderId="2" xfId="1" applyNumberFormat="1" applyFont="1" applyFill="1" applyBorder="1" applyAlignment="1">
      <alignment horizontal="center" wrapText="1"/>
    </xf>
    <xf numFmtId="0" fontId="14" fillId="25" borderId="2" xfId="0" applyFont="1" applyFill="1" applyBorder="1" applyAlignment="1">
      <alignment horizontal="center" wrapText="1"/>
    </xf>
    <xf numFmtId="0" fontId="0" fillId="25" borderId="2" xfId="0" applyFill="1" applyBorder="1" applyAlignment="1">
      <alignment horizontal="center" wrapText="1"/>
    </xf>
    <xf numFmtId="176" fontId="0" fillId="0" borderId="0" xfId="1" applyNumberFormat="1" applyFont="1" applyFill="1"/>
    <xf numFmtId="0" fontId="28" fillId="0" borderId="0" xfId="1" applyNumberFormat="1" applyFont="1"/>
    <xf numFmtId="0" fontId="28" fillId="0" borderId="0" xfId="1" applyNumberFormat="1" applyFont="1" applyFill="1"/>
    <xf numFmtId="0" fontId="28" fillId="0" borderId="0" xfId="1" applyNumberFormat="1" applyFont="1" applyAlignment="1">
      <alignment horizontal="left"/>
    </xf>
    <xf numFmtId="0" fontId="0" fillId="0" borderId="0" xfId="1" applyNumberFormat="1" applyFont="1" applyAlignment="1">
      <alignment horizontal="left"/>
    </xf>
    <xf numFmtId="37" fontId="43" fillId="0" borderId="39" xfId="0" applyNumberFormat="1" applyFont="1" applyBorder="1"/>
    <xf numFmtId="0" fontId="28" fillId="0" borderId="0" xfId="0" applyFont="1"/>
    <xf numFmtId="10" fontId="29" fillId="0" borderId="0" xfId="3" applyNumberFormat="1" applyFont="1" applyAlignment="1">
      <alignment horizontal="left"/>
    </xf>
    <xf numFmtId="10" fontId="29" fillId="0" borderId="46" xfId="3" applyNumberFormat="1" applyFont="1" applyBorder="1" applyAlignment="1">
      <alignment horizontal="left"/>
    </xf>
    <xf numFmtId="0" fontId="0" fillId="0" borderId="0" xfId="0" applyAlignment="1">
      <alignment vertical="top"/>
    </xf>
    <xf numFmtId="0" fontId="52" fillId="0" borderId="20" xfId="0" applyFont="1" applyBorder="1" applyAlignment="1" applyProtection="1">
      <alignment horizontal="center" vertical="center"/>
      <protection locked="0"/>
    </xf>
    <xf numFmtId="165" fontId="43" fillId="0" borderId="2" xfId="3" applyNumberFormat="1" applyFont="1" applyBorder="1"/>
    <xf numFmtId="37" fontId="43" fillId="0" borderId="2" xfId="3" applyNumberFormat="1" applyFont="1" applyBorder="1" applyAlignment="1">
      <alignment horizontal="center"/>
    </xf>
    <xf numFmtId="43" fontId="43" fillId="0" borderId="0" xfId="1" applyFont="1" applyBorder="1"/>
    <xf numFmtId="40" fontId="43" fillId="0" borderId="0" xfId="1" applyNumberFormat="1" applyFont="1" applyBorder="1"/>
    <xf numFmtId="178" fontId="43" fillId="0" borderId="0" xfId="3" applyNumberFormat="1" applyFont="1"/>
    <xf numFmtId="39" fontId="29" fillId="21" borderId="0" xfId="3" applyNumberFormat="1" applyFont="1" applyFill="1"/>
    <xf numFmtId="175" fontId="43" fillId="21" borderId="2" xfId="3" applyNumberFormat="1" applyFont="1" applyFill="1" applyBorder="1"/>
    <xf numFmtId="175" fontId="43" fillId="21" borderId="0" xfId="3" applyNumberFormat="1" applyFont="1" applyFill="1"/>
    <xf numFmtId="175" fontId="43" fillId="0" borderId="0" xfId="3" applyNumberFormat="1" applyFont="1"/>
    <xf numFmtId="175" fontId="43" fillId="0" borderId="6" xfId="3" applyNumberFormat="1" applyFont="1" applyBorder="1"/>
    <xf numFmtId="0" fontId="72" fillId="26" borderId="0" xfId="2" applyFont="1" applyFill="1" applyAlignment="1">
      <alignment horizontal="center"/>
    </xf>
    <xf numFmtId="0" fontId="75" fillId="26" borderId="0" xfId="2" applyFont="1" applyFill="1"/>
    <xf numFmtId="49" fontId="72" fillId="26" borderId="0" xfId="2" applyNumberFormat="1" applyFont="1" applyFill="1" applyAlignment="1">
      <alignment horizontal="center"/>
    </xf>
    <xf numFmtId="40" fontId="75" fillId="26" borderId="0" xfId="2" applyNumberFormat="1" applyFont="1" applyFill="1"/>
    <xf numFmtId="40" fontId="73" fillId="26" borderId="15" xfId="2" applyNumberFormat="1" applyFont="1" applyFill="1" applyBorder="1"/>
    <xf numFmtId="38" fontId="66" fillId="26" borderId="0" xfId="2" applyNumberFormat="1" applyFont="1" applyFill="1"/>
    <xf numFmtId="0" fontId="43" fillId="26" borderId="0" xfId="2" applyFont="1" applyFill="1"/>
    <xf numFmtId="40" fontId="43" fillId="26" borderId="0" xfId="2" applyNumberFormat="1" applyFont="1" applyFill="1"/>
    <xf numFmtId="0" fontId="21" fillId="26" borderId="0" xfId="2" applyFont="1" applyFill="1"/>
    <xf numFmtId="164" fontId="67" fillId="0" borderId="39" xfId="6" applyNumberFormat="1" applyFont="1" applyBorder="1"/>
    <xf numFmtId="0" fontId="29" fillId="0" borderId="16" xfId="3" applyFont="1" applyBorder="1" applyAlignment="1">
      <alignment horizontal="center" wrapText="1"/>
    </xf>
    <xf numFmtId="0" fontId="29" fillId="0" borderId="35" xfId="3" applyFont="1" applyBorder="1" applyAlignment="1">
      <alignment horizontal="center" wrapText="1"/>
    </xf>
    <xf numFmtId="164" fontId="43" fillId="0" borderId="0" xfId="6" applyNumberFormat="1" applyFont="1"/>
    <xf numFmtId="0" fontId="67" fillId="0" borderId="2" xfId="6" applyFont="1" applyBorder="1" applyAlignment="1">
      <alignment horizontal="center"/>
    </xf>
    <xf numFmtId="43" fontId="14" fillId="0" borderId="0" xfId="1" applyFont="1" applyBorder="1"/>
    <xf numFmtId="43" fontId="0" fillId="0" borderId="0" xfId="1" applyFont="1" applyBorder="1"/>
    <xf numFmtId="43" fontId="28" fillId="0" borderId="0" xfId="1" applyFont="1" applyBorder="1"/>
    <xf numFmtId="49" fontId="28" fillId="0" borderId="0" xfId="0" applyNumberFormat="1" applyFont="1"/>
    <xf numFmtId="49" fontId="43" fillId="0" borderId="0" xfId="0" quotePrefix="1" applyNumberFormat="1" applyFont="1" applyAlignment="1">
      <alignment horizontal="center"/>
    </xf>
    <xf numFmtId="177" fontId="43" fillId="0" borderId="0" xfId="3" applyNumberFormat="1" applyFont="1" applyAlignment="1">
      <alignment vertical="center"/>
    </xf>
    <xf numFmtId="38" fontId="29" fillId="0" borderId="2" xfId="1" applyNumberFormat="1" applyFont="1" applyFill="1" applyBorder="1" applyAlignment="1">
      <alignment horizontal="center" wrapText="1"/>
    </xf>
    <xf numFmtId="2" fontId="0" fillId="0" borderId="0" xfId="0" applyNumberFormat="1"/>
    <xf numFmtId="38" fontId="43" fillId="0" borderId="0" xfId="0" applyNumberFormat="1" applyFont="1" applyAlignment="1">
      <alignment horizontal="right"/>
    </xf>
    <xf numFmtId="37" fontId="43" fillId="0" borderId="37" xfId="3" applyNumberFormat="1" applyFont="1" applyBorder="1"/>
    <xf numFmtId="42" fontId="43" fillId="0" borderId="37" xfId="3" applyNumberFormat="1" applyFont="1" applyBorder="1"/>
    <xf numFmtId="37" fontId="43" fillId="0" borderId="30" xfId="3" applyNumberFormat="1" applyFont="1" applyBorder="1"/>
    <xf numFmtId="164" fontId="67" fillId="0" borderId="2" xfId="6" applyNumberFormat="1" applyFont="1" applyBorder="1"/>
    <xf numFmtId="38" fontId="29" fillId="0" borderId="0" xfId="1" applyNumberFormat="1" applyFont="1" applyFill="1" applyBorder="1" applyAlignment="1"/>
    <xf numFmtId="43" fontId="27" fillId="0" borderId="0" xfId="1" applyFont="1" applyBorder="1" applyAlignment="1">
      <alignment horizontal="left"/>
    </xf>
    <xf numFmtId="43" fontId="27" fillId="0" borderId="0" xfId="1" applyFont="1" applyBorder="1" applyAlignment="1">
      <alignment horizontal="left" wrapText="1"/>
    </xf>
    <xf numFmtId="43" fontId="27" fillId="0" borderId="0" xfId="1" applyFont="1" applyAlignment="1">
      <alignment horizontal="left"/>
    </xf>
    <xf numFmtId="43" fontId="94" fillId="0" borderId="0" xfId="1" applyFont="1" applyAlignment="1">
      <alignment horizontal="left"/>
    </xf>
    <xf numFmtId="37" fontId="43" fillId="0" borderId="0" xfId="3" quotePrefix="1" applyNumberFormat="1" applyFont="1" applyAlignment="1">
      <alignment wrapText="1"/>
    </xf>
    <xf numFmtId="37" fontId="43" fillId="0" borderId="0" xfId="3" applyNumberFormat="1" applyFont="1" applyAlignment="1">
      <alignment vertical="center"/>
    </xf>
    <xf numFmtId="41" fontId="43" fillId="0" borderId="30" xfId="3" applyNumberFormat="1" applyFont="1" applyBorder="1" applyAlignment="1">
      <alignment horizontal="left"/>
    </xf>
    <xf numFmtId="0" fontId="14" fillId="0" borderId="0" xfId="11" applyFont="1"/>
    <xf numFmtId="0" fontId="96" fillId="0" borderId="0" xfId="11" applyFont="1"/>
    <xf numFmtId="40" fontId="14" fillId="0" borderId="0" xfId="11" applyNumberFormat="1" applyFont="1"/>
    <xf numFmtId="0" fontId="28" fillId="0" borderId="0" xfId="11" applyFont="1" applyAlignment="1">
      <alignment horizontal="center"/>
    </xf>
    <xf numFmtId="4" fontId="96" fillId="0" borderId="0" xfId="11" applyNumberFormat="1" applyFont="1"/>
    <xf numFmtId="40" fontId="97" fillId="0" borderId="53" xfId="11" applyNumberFormat="1" applyFont="1" applyBorder="1"/>
    <xf numFmtId="0" fontId="15" fillId="0" borderId="53" xfId="11" applyBorder="1"/>
    <xf numFmtId="0" fontId="97" fillId="0" borderId="53" xfId="11" applyFont="1" applyBorder="1" applyAlignment="1">
      <alignment horizontal="center"/>
    </xf>
    <xf numFmtId="4" fontId="15" fillId="0" borderId="53" xfId="11" applyNumberFormat="1" applyBorder="1"/>
    <xf numFmtId="0" fontId="100" fillId="0" borderId="0" xfId="11" applyFont="1"/>
    <xf numFmtId="0" fontId="101" fillId="2" borderId="53" xfId="11" applyFont="1" applyFill="1" applyBorder="1" applyAlignment="1">
      <alignment horizontal="center"/>
    </xf>
    <xf numFmtId="0" fontId="102" fillId="2" borderId="53" xfId="11" applyFont="1" applyFill="1" applyBorder="1" applyAlignment="1">
      <alignment horizontal="center"/>
    </xf>
    <xf numFmtId="40" fontId="102" fillId="2" borderId="53" xfId="11" applyNumberFormat="1" applyFont="1" applyFill="1" applyBorder="1" applyAlignment="1">
      <alignment horizontal="center"/>
    </xf>
    <xf numFmtId="40" fontId="65" fillId="5" borderId="0" xfId="2" applyNumberFormat="1" applyFont="1" applyFill="1"/>
    <xf numFmtId="40" fontId="82" fillId="5" borderId="0" xfId="2" applyNumberFormat="1" applyFont="1" applyFill="1"/>
    <xf numFmtId="43" fontId="14" fillId="0" borderId="0" xfId="1" applyFont="1"/>
    <xf numFmtId="40" fontId="14" fillId="27" borderId="0" xfId="11" applyNumberFormat="1" applyFont="1" applyFill="1"/>
    <xf numFmtId="40" fontId="82" fillId="2" borderId="14" xfId="2" applyNumberFormat="1" applyFont="1" applyFill="1" applyBorder="1" applyAlignment="1">
      <alignment horizontal="center"/>
    </xf>
    <xf numFmtId="0" fontId="29" fillId="23" borderId="0" xfId="2" applyFont="1" applyFill="1" applyAlignment="1">
      <alignment horizontal="center"/>
    </xf>
    <xf numFmtId="4" fontId="98" fillId="0" borderId="53" xfId="11" applyNumberFormat="1" applyFont="1" applyBorder="1"/>
    <xf numFmtId="0" fontId="103" fillId="0" borderId="0" xfId="24"/>
    <xf numFmtId="0" fontId="104" fillId="0" borderId="0" xfId="6" applyFont="1" applyAlignment="1">
      <alignment horizontal="right"/>
    </xf>
    <xf numFmtId="0" fontId="88" fillId="11" borderId="0" xfId="0" applyFont="1" applyFill="1"/>
    <xf numFmtId="0" fontId="90" fillId="11" borderId="32" xfId="0" applyFont="1" applyFill="1" applyBorder="1" applyAlignment="1">
      <alignment vertical="center" wrapText="1"/>
    </xf>
    <xf numFmtId="40" fontId="65" fillId="0" borderId="15" xfId="2" applyNumberFormat="1" applyFont="1" applyBorder="1"/>
    <xf numFmtId="40" fontId="21" fillId="8" borderId="15" xfId="2" applyNumberFormat="1" applyFont="1" applyFill="1" applyBorder="1"/>
    <xf numFmtId="40" fontId="34" fillId="0" borderId="0" xfId="2" applyNumberFormat="1" applyFont="1"/>
    <xf numFmtId="0" fontId="21" fillId="0" borderId="0" xfId="2" applyFont="1" applyAlignment="1">
      <alignment horizontal="right"/>
    </xf>
    <xf numFmtId="165" fontId="43" fillId="0" borderId="0" xfId="4" applyNumberFormat="1" applyFont="1" applyFill="1"/>
    <xf numFmtId="37" fontId="105" fillId="0" borderId="0" xfId="3" applyNumberFormat="1" applyFont="1" applyAlignment="1" applyProtection="1">
      <alignment horizontal="center"/>
      <protection locked="0"/>
    </xf>
    <xf numFmtId="37" fontId="105" fillId="0" borderId="0" xfId="3" applyNumberFormat="1" applyFont="1" applyAlignment="1">
      <alignment horizontal="center"/>
    </xf>
    <xf numFmtId="37" fontId="105" fillId="0" borderId="0" xfId="3" applyNumberFormat="1" applyFont="1"/>
    <xf numFmtId="37" fontId="82" fillId="0" borderId="0" xfId="3" applyNumberFormat="1" applyFont="1" applyAlignment="1">
      <alignment horizontal="center"/>
    </xf>
    <xf numFmtId="0" fontId="82" fillId="0" borderId="3" xfId="3" applyFont="1" applyBorder="1" applyAlignment="1">
      <alignment horizontal="center"/>
    </xf>
    <xf numFmtId="37" fontId="82" fillId="0" borderId="4" xfId="3" applyNumberFormat="1" applyFont="1" applyBorder="1" applyAlignment="1">
      <alignment horizontal="center"/>
    </xf>
    <xf numFmtId="0" fontId="106" fillId="0" borderId="0" xfId="15" applyFont="1"/>
    <xf numFmtId="37" fontId="105" fillId="0" borderId="0" xfId="3" applyNumberFormat="1" applyFont="1" applyProtection="1">
      <protection locked="0"/>
    </xf>
    <xf numFmtId="37" fontId="82" fillId="0" borderId="5" xfId="3" applyNumberFormat="1" applyFont="1" applyBorder="1"/>
    <xf numFmtId="37" fontId="107" fillId="24" borderId="0" xfId="3" applyNumberFormat="1" applyFont="1" applyFill="1"/>
    <xf numFmtId="39" fontId="82" fillId="0" borderId="4" xfId="3" applyNumberFormat="1" applyFont="1" applyBorder="1" applyAlignment="1">
      <alignment horizontal="center"/>
    </xf>
    <xf numFmtId="49" fontId="105" fillId="0" borderId="0" xfId="3" applyNumberFormat="1" applyFont="1" applyAlignment="1">
      <alignment horizontal="center"/>
    </xf>
    <xf numFmtId="37" fontId="82" fillId="0" borderId="0" xfId="3" applyNumberFormat="1" applyFont="1"/>
    <xf numFmtId="37" fontId="105" fillId="16" borderId="0" xfId="3" applyNumberFormat="1" applyFont="1" applyFill="1"/>
    <xf numFmtId="37" fontId="105" fillId="22" borderId="0" xfId="3" applyNumberFormat="1" applyFont="1" applyFill="1" applyProtection="1">
      <protection locked="0"/>
    </xf>
    <xf numFmtId="37" fontId="82" fillId="24" borderId="0" xfId="3" applyNumberFormat="1" applyFont="1" applyFill="1"/>
    <xf numFmtId="49" fontId="82" fillId="16" borderId="51" xfId="3" applyNumberFormat="1" applyFont="1" applyFill="1" applyBorder="1" applyAlignment="1">
      <alignment wrapText="1"/>
    </xf>
    <xf numFmtId="37" fontId="105" fillId="22" borderId="0" xfId="3" applyNumberFormat="1" applyFont="1" applyFill="1"/>
    <xf numFmtId="37" fontId="82" fillId="22" borderId="0" xfId="3" applyNumberFormat="1" applyFont="1" applyFill="1"/>
    <xf numFmtId="41" fontId="82" fillId="22" borderId="0" xfId="3" applyNumberFormat="1" applyFont="1" applyFill="1"/>
    <xf numFmtId="41" fontId="105" fillId="22" borderId="12" xfId="3" applyNumberFormat="1" applyFont="1" applyFill="1" applyBorder="1"/>
    <xf numFmtId="41" fontId="105" fillId="0" borderId="0" xfId="3" applyNumberFormat="1" applyFont="1"/>
    <xf numFmtId="41" fontId="82" fillId="0" borderId="0" xfId="3" applyNumberFormat="1" applyFont="1"/>
    <xf numFmtId="41" fontId="82" fillId="0" borderId="0" xfId="3" applyNumberFormat="1" applyFont="1" applyAlignment="1" applyProtection="1">
      <alignment horizontal="left"/>
      <protection locked="0"/>
    </xf>
    <xf numFmtId="41" fontId="82" fillId="0" borderId="0" xfId="3" applyNumberFormat="1" applyFont="1" applyAlignment="1">
      <alignment horizontal="right"/>
    </xf>
    <xf numFmtId="0" fontId="82" fillId="0" borderId="0" xfId="3" applyFont="1" applyAlignment="1">
      <alignment horizontal="center"/>
    </xf>
    <xf numFmtId="39" fontId="82" fillId="0" borderId="0" xfId="3" applyNumberFormat="1" applyFont="1" applyAlignment="1">
      <alignment horizontal="center"/>
    </xf>
    <xf numFmtId="10" fontId="82" fillId="0" borderId="5" xfId="4" applyNumberFormat="1" applyFont="1" applyBorder="1" applyAlignment="1" applyProtection="1">
      <alignment horizontal="center"/>
    </xf>
    <xf numFmtId="37" fontId="82" fillId="16" borderId="5" xfId="3" applyNumberFormat="1" applyFont="1" applyFill="1" applyBorder="1" applyAlignment="1">
      <alignment horizontal="center"/>
    </xf>
    <xf numFmtId="37" fontId="82" fillId="24" borderId="0" xfId="3" applyNumberFormat="1" applyFont="1" applyFill="1" applyAlignment="1">
      <alignment horizontal="center"/>
    </xf>
    <xf numFmtId="49" fontId="82" fillId="16" borderId="51" xfId="3" applyNumberFormat="1" applyFont="1" applyFill="1" applyBorder="1" applyAlignment="1">
      <alignment horizontal="center" wrapText="1"/>
    </xf>
    <xf numFmtId="41" fontId="82" fillId="22" borderId="37" xfId="3" applyNumberFormat="1" applyFont="1" applyFill="1" applyBorder="1" applyAlignment="1">
      <alignment horizontal="center"/>
    </xf>
    <xf numFmtId="41" fontId="82" fillId="22" borderId="0" xfId="3" applyNumberFormat="1" applyFont="1" applyFill="1" applyAlignment="1">
      <alignment horizontal="center"/>
    </xf>
    <xf numFmtId="41" fontId="82" fillId="0" borderId="0" xfId="3" applyNumberFormat="1" applyFont="1" applyAlignment="1">
      <alignment horizontal="center"/>
    </xf>
    <xf numFmtId="41" fontId="82" fillId="0" borderId="0" xfId="3" applyNumberFormat="1" applyFont="1" applyAlignment="1" applyProtection="1">
      <alignment horizontal="center"/>
      <protection locked="0"/>
    </xf>
    <xf numFmtId="10" fontId="82" fillId="0" borderId="0" xfId="4" applyNumberFormat="1" applyFont="1" applyAlignment="1">
      <alignment horizontal="center"/>
    </xf>
    <xf numFmtId="167" fontId="82" fillId="22" borderId="41" xfId="3" applyNumberFormat="1" applyFont="1" applyFill="1" applyBorder="1" applyAlignment="1">
      <alignment horizontal="center"/>
    </xf>
    <xf numFmtId="0" fontId="105" fillId="3" borderId="0" xfId="2" applyFont="1" applyFill="1"/>
    <xf numFmtId="0" fontId="105" fillId="0" borderId="0" xfId="2" applyFont="1"/>
    <xf numFmtId="167" fontId="43" fillId="0" borderId="0" xfId="3" applyNumberFormat="1" applyFont="1" applyAlignment="1">
      <alignment horizontal="center"/>
    </xf>
    <xf numFmtId="0" fontId="105" fillId="16" borderId="0" xfId="2" applyFont="1" applyFill="1"/>
    <xf numFmtId="0" fontId="105" fillId="5" borderId="0" xfId="2" applyFont="1" applyFill="1"/>
    <xf numFmtId="43" fontId="65" fillId="0" borderId="0" xfId="1" applyFont="1" applyFill="1"/>
    <xf numFmtId="0" fontId="108" fillId="0" borderId="0" xfId="11" applyFont="1" applyAlignment="1">
      <alignment horizontal="center"/>
    </xf>
    <xf numFmtId="0" fontId="109" fillId="0" borderId="0" xfId="11" applyFont="1" applyAlignment="1">
      <alignment horizontal="center"/>
    </xf>
    <xf numFmtId="0" fontId="105" fillId="0" borderId="0" xfId="3" applyFont="1"/>
    <xf numFmtId="175" fontId="105" fillId="0" borderId="0" xfId="0" applyNumberFormat="1" applyFont="1"/>
    <xf numFmtId="41" fontId="105" fillId="0" borderId="0" xfId="0" applyNumberFormat="1" applyFont="1"/>
    <xf numFmtId="41" fontId="105" fillId="0" borderId="2" xfId="0" applyNumberFormat="1" applyFont="1" applyBorder="1"/>
    <xf numFmtId="41" fontId="105" fillId="0" borderId="39" xfId="0" applyNumberFormat="1" applyFont="1" applyBorder="1"/>
    <xf numFmtId="9" fontId="105" fillId="0" borderId="0" xfId="3" applyNumberFormat="1" applyFont="1"/>
    <xf numFmtId="0" fontId="105" fillId="0" borderId="0" xfId="3" quotePrefix="1" applyFont="1"/>
    <xf numFmtId="0" fontId="82" fillId="0" borderId="0" xfId="3" applyFont="1"/>
    <xf numFmtId="38" fontId="105" fillId="0" borderId="2" xfId="1" applyNumberFormat="1" applyFont="1" applyBorder="1" applyAlignment="1">
      <alignment horizontal="center" wrapText="1"/>
    </xf>
    <xf numFmtId="37" fontId="105" fillId="0" borderId="0" xfId="3" applyNumberFormat="1" applyFont="1" applyAlignment="1" applyProtection="1">
      <alignment horizontal="left"/>
      <protection locked="0"/>
    </xf>
    <xf numFmtId="40" fontId="105" fillId="0" borderId="0" xfId="1" applyNumberFormat="1" applyFont="1" applyFill="1" applyBorder="1"/>
    <xf numFmtId="172" fontId="105" fillId="0" borderId="0" xfId="6" applyNumberFormat="1" applyFont="1" applyAlignment="1">
      <alignment horizontal="right"/>
    </xf>
    <xf numFmtId="172" fontId="105" fillId="0" borderId="0" xfId="6" applyNumberFormat="1" applyFont="1" applyAlignment="1">
      <alignment horizontal="left"/>
    </xf>
    <xf numFmtId="0" fontId="105" fillId="0" borderId="0" xfId="3" applyFont="1" applyAlignment="1">
      <alignment horizontal="center"/>
    </xf>
    <xf numFmtId="0" fontId="110" fillId="0" borderId="0" xfId="6" applyFont="1" applyAlignment="1">
      <alignment horizontal="left"/>
    </xf>
    <xf numFmtId="0" fontId="82" fillId="0" borderId="49" xfId="3" applyFont="1" applyBorder="1"/>
    <xf numFmtId="37" fontId="70" fillId="0" borderId="30" xfId="3" applyNumberFormat="1" applyFont="1" applyBorder="1" applyProtection="1">
      <protection locked="0"/>
    </xf>
    <xf numFmtId="0" fontId="82" fillId="0" borderId="30" xfId="3" applyFont="1" applyBorder="1" applyAlignment="1">
      <alignment horizontal="center"/>
    </xf>
    <xf numFmtId="0" fontId="82" fillId="0" borderId="0" xfId="3" applyFont="1" applyAlignment="1">
      <alignment horizontal="left"/>
    </xf>
    <xf numFmtId="0" fontId="82" fillId="0" borderId="0" xfId="6" applyFont="1"/>
    <xf numFmtId="37" fontId="105" fillId="0" borderId="0" xfId="3" applyNumberFormat="1" applyFont="1" applyAlignment="1">
      <alignment horizontal="right"/>
    </xf>
    <xf numFmtId="49" fontId="112" fillId="0" borderId="0" xfId="2" applyNumberFormat="1" applyFont="1" applyAlignment="1">
      <alignment horizontal="center"/>
    </xf>
    <xf numFmtId="49" fontId="112" fillId="0" borderId="0" xfId="2" applyNumberFormat="1" applyFont="1" applyAlignment="1">
      <alignment horizontal="left"/>
    </xf>
    <xf numFmtId="37" fontId="105" fillId="22" borderId="0" xfId="3" applyNumberFormat="1" applyFont="1" applyFill="1" applyAlignment="1" applyProtection="1">
      <alignment horizontal="center"/>
      <protection locked="0"/>
    </xf>
    <xf numFmtId="0" fontId="109" fillId="0" borderId="0" xfId="11" applyFont="1"/>
    <xf numFmtId="40" fontId="73" fillId="0" borderId="34" xfId="2" applyNumberFormat="1" applyFont="1" applyBorder="1"/>
    <xf numFmtId="180" fontId="43" fillId="0" borderId="0" xfId="3" applyNumberFormat="1" applyFont="1"/>
    <xf numFmtId="0" fontId="113" fillId="0" borderId="0" xfId="0" applyFont="1"/>
    <xf numFmtId="9" fontId="82" fillId="0" borderId="0" xfId="4" applyFont="1" applyAlignment="1">
      <alignment horizontal="center"/>
    </xf>
    <xf numFmtId="165" fontId="82" fillId="0" borderId="0" xfId="3" applyNumberFormat="1" applyFont="1" applyAlignment="1">
      <alignment horizontal="center"/>
    </xf>
    <xf numFmtId="10" fontId="82" fillId="0" borderId="0" xfId="3" applyNumberFormat="1" applyFont="1" applyAlignment="1">
      <alignment horizontal="center"/>
    </xf>
    <xf numFmtId="10" fontId="82" fillId="0" borderId="2" xfId="4" applyNumberFormat="1" applyFont="1" applyBorder="1" applyAlignment="1" applyProtection="1">
      <alignment horizontal="center"/>
    </xf>
    <xf numFmtId="39" fontId="82" fillId="24" borderId="0" xfId="3" applyNumberFormat="1" applyFont="1" applyFill="1" applyAlignment="1">
      <alignment horizontal="center"/>
    </xf>
    <xf numFmtId="37" fontId="82" fillId="0" borderId="0" xfId="3" applyNumberFormat="1" applyFont="1" applyAlignment="1" applyProtection="1">
      <alignment horizontal="center"/>
      <protection locked="0"/>
    </xf>
    <xf numFmtId="37" fontId="82" fillId="16" borderId="0" xfId="3" applyNumberFormat="1" applyFont="1" applyFill="1" applyAlignment="1">
      <alignment horizontal="center"/>
    </xf>
    <xf numFmtId="37" fontId="82" fillId="22" borderId="0" xfId="3" applyNumberFormat="1" applyFont="1" applyFill="1" applyAlignment="1" applyProtection="1">
      <alignment horizontal="center"/>
      <protection locked="0"/>
    </xf>
    <xf numFmtId="37" fontId="82" fillId="0" borderId="4" xfId="3" applyNumberFormat="1" applyFont="1" applyBorder="1" applyAlignment="1" applyProtection="1">
      <alignment horizontal="center"/>
      <protection locked="0"/>
    </xf>
    <xf numFmtId="49" fontId="82" fillId="22" borderId="0" xfId="3" applyNumberFormat="1" applyFont="1" applyFill="1" applyAlignment="1">
      <alignment horizontal="center"/>
    </xf>
    <xf numFmtId="39" fontId="82" fillId="22" borderId="0" xfId="3" applyNumberFormat="1" applyFont="1" applyFill="1" applyAlignment="1">
      <alignment horizontal="center"/>
    </xf>
    <xf numFmtId="41" fontId="82" fillId="22" borderId="12" xfId="3" applyNumberFormat="1" applyFont="1" applyFill="1" applyBorder="1" applyAlignment="1">
      <alignment horizontal="center"/>
    </xf>
    <xf numFmtId="0" fontId="82" fillId="22" borderId="0" xfId="3" applyFont="1" applyFill="1" applyAlignment="1">
      <alignment horizontal="center"/>
    </xf>
    <xf numFmtId="0" fontId="82" fillId="0" borderId="46" xfId="3" applyFont="1" applyBorder="1" applyAlignment="1">
      <alignment horizontal="center"/>
    </xf>
    <xf numFmtId="2" fontId="105" fillId="0" borderId="0" xfId="3" applyNumberFormat="1" applyFont="1" applyAlignment="1">
      <alignment horizontal="center"/>
    </xf>
    <xf numFmtId="42" fontId="105" fillId="0" borderId="0" xfId="3" applyNumberFormat="1" applyFont="1" applyAlignment="1">
      <alignment horizontal="center"/>
    </xf>
    <xf numFmtId="41" fontId="105" fillId="0" borderId="0" xfId="3" applyNumberFormat="1" applyFont="1" applyAlignment="1">
      <alignment horizontal="center"/>
    </xf>
    <xf numFmtId="42" fontId="82" fillId="0" borderId="0" xfId="3" applyNumberFormat="1" applyFont="1" applyAlignment="1">
      <alignment horizontal="center"/>
    </xf>
    <xf numFmtId="3" fontId="105" fillId="0" borderId="16" xfId="0" applyNumberFormat="1" applyFont="1" applyBorder="1" applyAlignment="1">
      <alignment horizontal="center"/>
    </xf>
    <xf numFmtId="164" fontId="105" fillId="0" borderId="0" xfId="1" applyNumberFormat="1" applyFont="1" applyFill="1" applyAlignment="1">
      <alignment horizontal="center"/>
    </xf>
    <xf numFmtId="3" fontId="105" fillId="0" borderId="0" xfId="0" applyNumberFormat="1" applyFont="1" applyAlignment="1">
      <alignment horizontal="center"/>
    </xf>
    <xf numFmtId="169" fontId="82" fillId="0" borderId="0" xfId="3" applyNumberFormat="1" applyFont="1" applyAlignment="1">
      <alignment horizontal="center"/>
    </xf>
    <xf numFmtId="41" fontId="105" fillId="0" borderId="0" xfId="0" applyNumberFormat="1" applyFont="1" applyAlignment="1">
      <alignment horizontal="center"/>
    </xf>
    <xf numFmtId="37" fontId="82" fillId="0" borderId="30" xfId="3" applyNumberFormat="1" applyFont="1" applyBorder="1" applyAlignment="1" applyProtection="1">
      <alignment horizontal="center"/>
      <protection locked="0"/>
    </xf>
    <xf numFmtId="37" fontId="105" fillId="0" borderId="46" xfId="3" applyNumberFormat="1" applyFont="1" applyBorder="1" applyAlignment="1">
      <alignment horizontal="center"/>
    </xf>
    <xf numFmtId="0" fontId="105" fillId="22" borderId="35" xfId="3" applyFont="1" applyFill="1" applyBorder="1" applyAlignment="1">
      <alignment horizontal="center" wrapText="1"/>
    </xf>
    <xf numFmtId="6" fontId="105" fillId="0" borderId="0" xfId="3" applyNumberFormat="1" applyFont="1"/>
    <xf numFmtId="165" fontId="105" fillId="0" borderId="0" xfId="4" applyNumberFormat="1" applyFont="1" applyFill="1" applyAlignment="1">
      <alignment horizontal="center"/>
    </xf>
    <xf numFmtId="41" fontId="105" fillId="22" borderId="0" xfId="3" applyNumberFormat="1" applyFont="1" applyFill="1" applyAlignment="1" applyProtection="1">
      <alignment horizontal="center"/>
      <protection locked="0"/>
    </xf>
    <xf numFmtId="49" fontId="111" fillId="0" borderId="0" xfId="2" applyNumberFormat="1" applyFont="1" applyAlignment="1">
      <alignment horizontal="right"/>
    </xf>
    <xf numFmtId="0" fontId="114" fillId="0" borderId="0" xfId="0" applyFont="1"/>
    <xf numFmtId="0" fontId="26" fillId="28" borderId="0" xfId="0" applyFont="1" applyFill="1"/>
    <xf numFmtId="0" fontId="26" fillId="28" borderId="0" xfId="0" applyFont="1" applyFill="1" applyAlignment="1">
      <alignment wrapText="1"/>
    </xf>
    <xf numFmtId="2" fontId="43" fillId="0" borderId="0" xfId="3" quotePrefix="1" applyNumberFormat="1" applyFont="1"/>
    <xf numFmtId="37" fontId="105" fillId="25" borderId="0" xfId="3" applyNumberFormat="1" applyFont="1" applyFill="1" applyAlignment="1">
      <alignment horizontal="center"/>
    </xf>
    <xf numFmtId="37" fontId="82" fillId="25" borderId="37" xfId="3" applyNumberFormat="1" applyFont="1" applyFill="1" applyBorder="1" applyAlignment="1">
      <alignment horizontal="center"/>
    </xf>
    <xf numFmtId="0" fontId="105" fillId="22" borderId="41" xfId="3" applyFont="1" applyFill="1" applyBorder="1" applyAlignment="1">
      <alignment horizontal="center"/>
    </xf>
    <xf numFmtId="37" fontId="105" fillId="29" borderId="0" xfId="3" applyNumberFormat="1" applyFont="1" applyFill="1" applyAlignment="1" applyProtection="1">
      <alignment horizontal="center"/>
      <protection locked="0"/>
    </xf>
    <xf numFmtId="2" fontId="43" fillId="30" borderId="0" xfId="3" applyNumberFormat="1" applyFont="1" applyFill="1"/>
    <xf numFmtId="37" fontId="105" fillId="30" borderId="0" xfId="3" applyNumberFormat="1" applyFont="1" applyFill="1" applyAlignment="1">
      <alignment horizontal="center"/>
    </xf>
    <xf numFmtId="6" fontId="105" fillId="30" borderId="0" xfId="3" applyNumberFormat="1" applyFont="1" applyFill="1"/>
    <xf numFmtId="3" fontId="82" fillId="0" borderId="16" xfId="0" applyNumberFormat="1" applyFont="1" applyBorder="1" applyAlignment="1">
      <alignment horizontal="center"/>
    </xf>
    <xf numFmtId="167" fontId="82" fillId="0" borderId="0" xfId="3" applyNumberFormat="1" applyFont="1" applyAlignment="1">
      <alignment horizontal="center"/>
    </xf>
    <xf numFmtId="37" fontId="105" fillId="0" borderId="30" xfId="3" applyNumberFormat="1" applyFont="1" applyBorder="1" applyAlignment="1">
      <alignment horizontal="center"/>
    </xf>
    <xf numFmtId="37" fontId="116" fillId="30" borderId="0" xfId="3" applyNumberFormat="1" applyFont="1" applyFill="1" applyAlignment="1">
      <alignment horizontal="center" wrapText="1"/>
    </xf>
    <xf numFmtId="37" fontId="116" fillId="0" borderId="0" xfId="3" applyNumberFormat="1" applyFont="1" applyProtection="1">
      <protection locked="0"/>
    </xf>
    <xf numFmtId="37" fontId="67" fillId="0" borderId="43" xfId="3" applyNumberFormat="1" applyFont="1" applyBorder="1"/>
    <xf numFmtId="0" fontId="67" fillId="0" borderId="0" xfId="3" applyFont="1"/>
    <xf numFmtId="0" fontId="67" fillId="0" borderId="44" xfId="3" applyFont="1" applyBorder="1"/>
    <xf numFmtId="164" fontId="67" fillId="0" borderId="0" xfId="1" applyNumberFormat="1" applyFont="1" applyBorder="1" applyAlignment="1">
      <alignment horizontal="center"/>
    </xf>
    <xf numFmtId="37" fontId="79" fillId="0" borderId="43" xfId="3" applyNumberFormat="1" applyFont="1" applyBorder="1"/>
    <xf numFmtId="37" fontId="67" fillId="0" borderId="45" xfId="3" applyNumberFormat="1" applyFont="1" applyBorder="1"/>
    <xf numFmtId="0" fontId="67" fillId="0" borderId="46" xfId="3" applyFont="1" applyBorder="1"/>
    <xf numFmtId="164" fontId="67" fillId="0" borderId="46" xfId="3" applyNumberFormat="1" applyFont="1" applyBorder="1"/>
    <xf numFmtId="0" fontId="67" fillId="0" borderId="47" xfId="3" applyFont="1" applyBorder="1"/>
    <xf numFmtId="37" fontId="67" fillId="25" borderId="40" xfId="3" applyNumberFormat="1" applyFont="1" applyFill="1" applyBorder="1"/>
    <xf numFmtId="0" fontId="67" fillId="25" borderId="41" xfId="3" applyFont="1" applyFill="1" applyBorder="1"/>
    <xf numFmtId="0" fontId="67" fillId="25" borderId="42" xfId="3" applyFont="1" applyFill="1" applyBorder="1"/>
    <xf numFmtId="37" fontId="67" fillId="25" borderId="43" xfId="3" applyNumberFormat="1" applyFont="1" applyFill="1" applyBorder="1"/>
    <xf numFmtId="0" fontId="67" fillId="25" borderId="0" xfId="3" applyFont="1" applyFill="1"/>
    <xf numFmtId="0" fontId="67" fillId="25" borderId="44" xfId="3" applyFont="1" applyFill="1" applyBorder="1"/>
    <xf numFmtId="37" fontId="67" fillId="31" borderId="43" xfId="3" applyNumberFormat="1" applyFont="1" applyFill="1" applyBorder="1"/>
    <xf numFmtId="0" fontId="67" fillId="31" borderId="0" xfId="3" applyFont="1" applyFill="1"/>
    <xf numFmtId="0" fontId="67" fillId="31" borderId="44" xfId="3" applyFont="1" applyFill="1" applyBorder="1"/>
    <xf numFmtId="0" fontId="67" fillId="31" borderId="43" xfId="3" applyFont="1" applyFill="1" applyBorder="1"/>
    <xf numFmtId="164" fontId="67" fillId="31" borderId="0" xfId="1" applyNumberFormat="1" applyFont="1" applyFill="1" applyBorder="1" applyAlignment="1">
      <alignment horizontal="center"/>
    </xf>
    <xf numFmtId="164" fontId="67" fillId="31" borderId="0" xfId="1" applyNumberFormat="1" applyFont="1" applyFill="1" applyBorder="1"/>
    <xf numFmtId="37" fontId="67" fillId="0" borderId="46" xfId="3" applyNumberFormat="1" applyFont="1" applyBorder="1" applyAlignment="1">
      <alignment horizontal="right"/>
    </xf>
    <xf numFmtId="0" fontId="82" fillId="31" borderId="0" xfId="3" applyFont="1" applyFill="1"/>
    <xf numFmtId="164" fontId="67" fillId="31" borderId="37" xfId="1" applyNumberFormat="1" applyFont="1" applyFill="1" applyBorder="1" applyAlignment="1">
      <alignment horizontal="center"/>
    </xf>
    <xf numFmtId="164" fontId="67" fillId="31" borderId="37" xfId="1" applyNumberFormat="1" applyFont="1" applyFill="1" applyBorder="1"/>
    <xf numFmtId="37" fontId="82" fillId="0" borderId="0" xfId="3" applyNumberFormat="1" applyFont="1" applyAlignment="1">
      <alignment horizontal="right"/>
    </xf>
    <xf numFmtId="0" fontId="79" fillId="25" borderId="0" xfId="3" applyFont="1" applyFill="1" applyAlignment="1">
      <alignment horizontal="center"/>
    </xf>
    <xf numFmtId="0" fontId="79" fillId="25" borderId="0" xfId="3" applyFont="1" applyFill="1"/>
    <xf numFmtId="0" fontId="79" fillId="25" borderId="41" xfId="3" applyFont="1" applyFill="1" applyBorder="1" applyAlignment="1">
      <alignment horizontal="center"/>
    </xf>
    <xf numFmtId="0" fontId="82" fillId="25" borderId="41" xfId="3" applyFont="1" applyFill="1" applyBorder="1" applyAlignment="1">
      <alignment horizontal="center"/>
    </xf>
    <xf numFmtId="41" fontId="43" fillId="18" borderId="0" xfId="0" applyNumberFormat="1" applyFont="1" applyFill="1" applyAlignment="1">
      <alignment horizontal="center"/>
    </xf>
    <xf numFmtId="167" fontId="105" fillId="22" borderId="9" xfId="3" applyNumberFormat="1" applyFont="1" applyFill="1" applyBorder="1" applyAlignment="1">
      <alignment horizontal="right"/>
    </xf>
    <xf numFmtId="167" fontId="105" fillId="0" borderId="0" xfId="3" applyNumberFormat="1" applyFont="1" applyAlignment="1">
      <alignment horizontal="center"/>
    </xf>
    <xf numFmtId="167" fontId="43" fillId="0" borderId="2" xfId="3" applyNumberFormat="1" applyFont="1" applyBorder="1"/>
    <xf numFmtId="167" fontId="67" fillId="0" borderId="0" xfId="3" applyNumberFormat="1" applyFont="1"/>
    <xf numFmtId="0" fontId="14" fillId="32" borderId="0" xfId="0" applyFont="1" applyFill="1"/>
    <xf numFmtId="0" fontId="28" fillId="0" borderId="0" xfId="0" applyFont="1" applyAlignment="1">
      <alignment horizontal="center"/>
    </xf>
    <xf numFmtId="43" fontId="26" fillId="11" borderId="0" xfId="1" applyFont="1" applyFill="1"/>
    <xf numFmtId="49" fontId="118" fillId="0" borderId="0" xfId="0" applyNumberFormat="1" applyFont="1" applyAlignment="1">
      <alignment horizontal="center"/>
    </xf>
    <xf numFmtId="49" fontId="14" fillId="0" borderId="0" xfId="0" applyNumberFormat="1" applyFont="1"/>
    <xf numFmtId="42" fontId="119" fillId="0" borderId="0" xfId="0" applyNumberFormat="1" applyFont="1"/>
    <xf numFmtId="39" fontId="65" fillId="11" borderId="6" xfId="3" applyNumberFormat="1" applyFont="1" applyFill="1" applyBorder="1"/>
    <xf numFmtId="40" fontId="120" fillId="33" borderId="0" xfId="2" applyNumberFormat="1" applyFont="1" applyFill="1"/>
    <xf numFmtId="41" fontId="43" fillId="33" borderId="0" xfId="3" applyNumberFormat="1" applyFont="1" applyFill="1" applyProtection="1">
      <protection locked="0"/>
    </xf>
    <xf numFmtId="41" fontId="121" fillId="33" borderId="0" xfId="3" applyNumberFormat="1" applyFont="1" applyFill="1" applyProtection="1">
      <protection locked="0"/>
    </xf>
    <xf numFmtId="41" fontId="105" fillId="33" borderId="0" xfId="3" applyNumberFormat="1" applyFont="1" applyFill="1" applyAlignment="1" applyProtection="1">
      <alignment horizontal="center"/>
      <protection locked="0"/>
    </xf>
    <xf numFmtId="43" fontId="76" fillId="27" borderId="0" xfId="1" applyFont="1" applyFill="1"/>
    <xf numFmtId="40" fontId="43" fillId="0" borderId="0" xfId="1" applyNumberFormat="1" applyFont="1" applyFill="1" applyBorder="1"/>
    <xf numFmtId="40" fontId="75" fillId="0" borderId="0" xfId="1" applyNumberFormat="1" applyFont="1" applyFill="1" applyBorder="1"/>
    <xf numFmtId="0" fontId="26" fillId="27" borderId="0" xfId="0" applyFont="1" applyFill="1" applyAlignment="1">
      <alignment horizontal="right"/>
    </xf>
    <xf numFmtId="43" fontId="73" fillId="27" borderId="0" xfId="1" applyFont="1" applyFill="1" applyAlignment="1">
      <alignment horizontal="center"/>
    </xf>
    <xf numFmtId="0" fontId="97" fillId="0" borderId="53" xfId="60" applyFont="1" applyBorder="1" applyAlignment="1">
      <alignment horizontal="center"/>
    </xf>
    <xf numFmtId="0" fontId="15" fillId="0" borderId="53" xfId="60" applyFont="1" applyBorder="1"/>
    <xf numFmtId="0" fontId="99" fillId="0" borderId="53" xfId="60" applyFont="1" applyBorder="1" applyAlignment="1">
      <alignment wrapText="1"/>
    </xf>
    <xf numFmtId="0" fontId="15" fillId="0" borderId="53" xfId="60" applyFont="1" applyBorder="1" applyAlignment="1">
      <alignment wrapText="1"/>
    </xf>
    <xf numFmtId="0" fontId="97" fillId="16" borderId="53" xfId="60" applyFont="1" applyFill="1" applyBorder="1" applyAlignment="1">
      <alignment horizontal="center"/>
    </xf>
    <xf numFmtId="0" fontId="15" fillId="16" borderId="53" xfId="60" applyFont="1" applyFill="1" applyBorder="1"/>
    <xf numFmtId="43" fontId="136" fillId="0" borderId="53" xfId="159" applyFont="1" applyFill="1" applyBorder="1"/>
    <xf numFmtId="0" fontId="0" fillId="0" borderId="0" xfId="0" applyNumberFormat="1"/>
    <xf numFmtId="0" fontId="97" fillId="0" borderId="53" xfId="60" applyFont="1" applyFill="1" applyBorder="1" applyAlignment="1">
      <alignment horizontal="center"/>
    </xf>
    <xf numFmtId="0" fontId="15" fillId="0" borderId="53" xfId="60" applyFont="1" applyFill="1" applyBorder="1"/>
    <xf numFmtId="4" fontId="98" fillId="0" borderId="53" xfId="11" applyNumberFormat="1" applyFont="1" applyFill="1" applyBorder="1"/>
    <xf numFmtId="0" fontId="14" fillId="0" borderId="0" xfId="11" applyFont="1" applyFill="1"/>
    <xf numFmtId="37" fontId="43" fillId="27" borderId="0" xfId="3" applyNumberFormat="1" applyFont="1" applyFill="1" applyProtection="1">
      <protection locked="0"/>
    </xf>
    <xf numFmtId="164" fontId="82" fillId="0" borderId="0" xfId="1" applyNumberFormat="1" applyFont="1" applyAlignment="1">
      <alignment horizontal="center" wrapText="1"/>
    </xf>
    <xf numFmtId="3" fontId="115" fillId="0" borderId="0" xfId="0" applyNumberFormat="1" applyFont="1" applyAlignment="1">
      <alignment horizontal="center" wrapText="1"/>
    </xf>
    <xf numFmtId="0" fontId="111" fillId="0" borderId="54" xfId="2" applyFont="1" applyBorder="1" applyAlignment="1">
      <alignment horizontal="center"/>
    </xf>
    <xf numFmtId="0" fontId="111" fillId="0" borderId="0" xfId="2" applyFont="1" applyAlignment="1">
      <alignment horizontal="center"/>
    </xf>
    <xf numFmtId="37" fontId="43" fillId="0" borderId="0" xfId="3" applyNumberFormat="1" applyFont="1" applyAlignment="1">
      <alignment horizontal="left" vertical="top" wrapText="1"/>
    </xf>
    <xf numFmtId="0" fontId="26" fillId="0" borderId="0" xfId="0" applyFont="1" applyAlignment="1">
      <alignment horizontal="center"/>
    </xf>
    <xf numFmtId="49" fontId="26" fillId="0" borderId="0" xfId="0" applyNumberFormat="1" applyFont="1" applyAlignment="1">
      <alignment horizontal="center"/>
    </xf>
    <xf numFmtId="0" fontId="26" fillId="0" borderId="2" xfId="0" applyFont="1" applyBorder="1" applyAlignment="1">
      <alignment horizontal="center"/>
    </xf>
    <xf numFmtId="42" fontId="26" fillId="0" borderId="2" xfId="0" applyNumberFormat="1" applyFont="1" applyBorder="1" applyAlignment="1">
      <alignment horizontal="center"/>
    </xf>
    <xf numFmtId="49" fontId="41" fillId="0" borderId="21" xfId="0" applyNumberFormat="1" applyFont="1" applyBorder="1" applyAlignment="1">
      <alignment horizontal="center"/>
    </xf>
    <xf numFmtId="49" fontId="41" fillId="0" borderId="23" xfId="0" applyNumberFormat="1" applyFont="1" applyBorder="1" applyAlignment="1">
      <alignment horizontal="center"/>
    </xf>
    <xf numFmtId="49" fontId="41" fillId="0" borderId="18" xfId="0" applyNumberFormat="1" applyFont="1" applyBorder="1" applyAlignment="1">
      <alignment horizontal="center"/>
    </xf>
    <xf numFmtId="49" fontId="42" fillId="0" borderId="24" xfId="0" applyNumberFormat="1" applyFont="1" applyBorder="1" applyAlignment="1">
      <alignment horizontal="center" vertical="center"/>
    </xf>
    <xf numFmtId="49" fontId="42" fillId="0" borderId="25" xfId="0" applyNumberFormat="1" applyFont="1" applyBorder="1" applyAlignment="1">
      <alignment horizontal="center" vertical="center"/>
    </xf>
    <xf numFmtId="49" fontId="42" fillId="0" borderId="17" xfId="0" applyNumberFormat="1" applyFont="1" applyBorder="1" applyAlignment="1">
      <alignment horizontal="center" vertical="center"/>
    </xf>
    <xf numFmtId="49" fontId="42" fillId="0" borderId="22" xfId="0" applyNumberFormat="1" applyFont="1" applyBorder="1" applyAlignment="1">
      <alignment horizontal="center" vertical="center"/>
    </xf>
    <xf numFmtId="49" fontId="42" fillId="0" borderId="4" xfId="0" applyNumberFormat="1" applyFont="1" applyBorder="1" applyAlignment="1">
      <alignment horizontal="center" vertical="center"/>
    </xf>
    <xf numFmtId="49" fontId="42" fillId="0" borderId="19" xfId="0" applyNumberFormat="1" applyFont="1" applyBorder="1" applyAlignment="1">
      <alignment horizontal="center" vertical="center"/>
    </xf>
    <xf numFmtId="49" fontId="42" fillId="0" borderId="24" xfId="0" applyNumberFormat="1" applyFont="1" applyBorder="1" applyAlignment="1">
      <alignment horizontal="center" vertical="center" wrapText="1"/>
    </xf>
    <xf numFmtId="49" fontId="42" fillId="0" borderId="17" xfId="0" applyNumberFormat="1" applyFont="1" applyBorder="1" applyAlignment="1">
      <alignment horizontal="center" vertical="center" wrapText="1"/>
    </xf>
    <xf numFmtId="49" fontId="42" fillId="0" borderId="22" xfId="0" applyNumberFormat="1" applyFont="1" applyBorder="1" applyAlignment="1">
      <alignment horizontal="center" vertical="center" wrapText="1"/>
    </xf>
    <xf numFmtId="49" fontId="42" fillId="0" borderId="19" xfId="0" applyNumberFormat="1" applyFont="1" applyBorder="1" applyAlignment="1">
      <alignment horizontal="center" vertical="center" wrapText="1"/>
    </xf>
    <xf numFmtId="49" fontId="28" fillId="0" borderId="29" xfId="0" applyNumberFormat="1" applyFont="1" applyBorder="1" applyAlignment="1">
      <alignment horizontal="center"/>
    </xf>
    <xf numFmtId="49" fontId="28" fillId="0" borderId="0" xfId="0" applyNumberFormat="1" applyFont="1" applyAlignment="1">
      <alignment horizontal="center"/>
    </xf>
    <xf numFmtId="49" fontId="28" fillId="0" borderId="26" xfId="0" applyNumberFormat="1" applyFont="1" applyBorder="1" applyAlignment="1">
      <alignment horizontal="center"/>
    </xf>
    <xf numFmtId="49" fontId="27" fillId="0" borderId="24" xfId="0" applyNumberFormat="1" applyFont="1" applyBorder="1" applyAlignment="1">
      <alignment horizontal="center" vertical="center" wrapText="1"/>
    </xf>
    <xf numFmtId="49" fontId="27" fillId="0" borderId="17" xfId="0" applyNumberFormat="1" applyFont="1" applyBorder="1" applyAlignment="1">
      <alignment horizontal="center" vertical="center" wrapText="1"/>
    </xf>
    <xf numFmtId="49" fontId="27" fillId="0" borderId="22" xfId="0" applyNumberFormat="1" applyFont="1" applyBorder="1" applyAlignment="1">
      <alignment horizontal="center" vertical="center" wrapText="1"/>
    </xf>
    <xf numFmtId="49" fontId="27" fillId="0" borderId="19" xfId="0" applyNumberFormat="1" applyFont="1" applyBorder="1" applyAlignment="1">
      <alignment horizontal="center" vertical="center" wrapText="1"/>
    </xf>
    <xf numFmtId="49" fontId="42" fillId="0" borderId="24" xfId="0" applyNumberFormat="1" applyFont="1" applyBorder="1" applyAlignment="1">
      <alignment horizontal="left" vertical="center"/>
    </xf>
    <xf numFmtId="49" fontId="42" fillId="0" borderId="25" xfId="0" applyNumberFormat="1" applyFont="1" applyBorder="1" applyAlignment="1">
      <alignment horizontal="left" vertical="center"/>
    </xf>
    <xf numFmtId="49" fontId="42" fillId="0" borderId="22" xfId="0" applyNumberFormat="1" applyFont="1" applyBorder="1" applyAlignment="1">
      <alignment horizontal="left" vertical="center"/>
    </xf>
    <xf numFmtId="49" fontId="42" fillId="0" borderId="4" xfId="0" applyNumberFormat="1" applyFont="1" applyBorder="1" applyAlignment="1">
      <alignment horizontal="left" vertical="center"/>
    </xf>
    <xf numFmtId="49" fontId="43" fillId="0" borderId="25" xfId="0" applyNumberFormat="1" applyFont="1" applyBorder="1" applyAlignment="1">
      <alignment horizontal="center" vertical="center"/>
    </xf>
    <xf numFmtId="49" fontId="43" fillId="0" borderId="17" xfId="0" applyNumberFormat="1" applyFont="1" applyBorder="1" applyAlignment="1">
      <alignment horizontal="center" vertical="center"/>
    </xf>
    <xf numFmtId="49" fontId="43" fillId="0" borderId="4" xfId="0" applyNumberFormat="1" applyFont="1" applyBorder="1" applyAlignment="1">
      <alignment horizontal="center" vertical="center"/>
    </xf>
    <xf numFmtId="49" fontId="43" fillId="0" borderId="19" xfId="0" applyNumberFormat="1" applyFont="1" applyBorder="1" applyAlignment="1">
      <alignment horizontal="center" vertical="center"/>
    </xf>
    <xf numFmtId="49" fontId="27" fillId="0" borderId="21" xfId="0" applyNumberFormat="1" applyFont="1" applyBorder="1" applyAlignment="1">
      <alignment horizontal="center"/>
    </xf>
    <xf numFmtId="49" fontId="27" fillId="0" borderId="18" xfId="0" applyNumberFormat="1" applyFont="1" applyBorder="1" applyAlignment="1">
      <alignment horizontal="center"/>
    </xf>
    <xf numFmtId="49" fontId="44" fillId="0" borderId="21" xfId="0" applyNumberFormat="1" applyFont="1" applyBorder="1" applyAlignment="1">
      <alignment horizontal="right"/>
    </xf>
    <xf numFmtId="49" fontId="44" fillId="0" borderId="23" xfId="0" applyNumberFormat="1" applyFont="1" applyBorder="1" applyAlignment="1">
      <alignment horizontal="right"/>
    </xf>
    <xf numFmtId="49" fontId="25" fillId="0" borderId="23" xfId="0" applyNumberFormat="1" applyFont="1" applyBorder="1"/>
    <xf numFmtId="179" fontId="45" fillId="0" borderId="21" xfId="0" quotePrefix="1" applyNumberFormat="1" applyFont="1" applyBorder="1" applyAlignment="1">
      <alignment horizontal="center" vertical="center"/>
    </xf>
    <xf numFmtId="179" fontId="45" fillId="0" borderId="23" xfId="0" applyNumberFormat="1" applyFont="1" applyBorder="1" applyAlignment="1">
      <alignment horizontal="center" vertical="center"/>
    </xf>
    <xf numFmtId="179" fontId="45" fillId="0" borderId="18" xfId="0" applyNumberFormat="1" applyFont="1" applyBorder="1" applyAlignment="1">
      <alignment horizontal="center" vertical="center"/>
    </xf>
    <xf numFmtId="49" fontId="46" fillId="10" borderId="21" xfId="0" applyNumberFormat="1" applyFont="1" applyFill="1" applyBorder="1" applyAlignment="1" applyProtection="1">
      <alignment horizontal="center"/>
      <protection locked="0"/>
    </xf>
    <xf numFmtId="49" fontId="46" fillId="10" borderId="18" xfId="0" applyNumberFormat="1" applyFont="1" applyFill="1" applyBorder="1" applyAlignment="1" applyProtection="1">
      <alignment horizontal="center"/>
      <protection locked="0"/>
    </xf>
    <xf numFmtId="49" fontId="0" fillId="0" borderId="29" xfId="0" applyNumberFormat="1" applyBorder="1"/>
    <xf numFmtId="49" fontId="0" fillId="0" borderId="0" xfId="0" applyNumberFormat="1"/>
    <xf numFmtId="49" fontId="0" fillId="0" borderId="26" xfId="0" applyNumberFormat="1" applyBorder="1"/>
    <xf numFmtId="172" fontId="43" fillId="0" borderId="23" xfId="0" applyNumberFormat="1" applyFont="1" applyBorder="1" applyAlignment="1">
      <alignment horizontal="center" vertical="center"/>
    </xf>
    <xf numFmtId="172" fontId="43" fillId="0" borderId="18" xfId="0" applyNumberFormat="1" applyFont="1" applyBorder="1" applyAlignment="1">
      <alignment horizontal="center" vertical="center"/>
    </xf>
    <xf numFmtId="49" fontId="48" fillId="0" borderId="0" xfId="0" applyNumberFormat="1" applyFont="1" applyAlignment="1" applyProtection="1">
      <alignment horizontal="center"/>
      <protection locked="0"/>
    </xf>
    <xf numFmtId="49" fontId="49" fillId="0" borderId="0" xfId="0" applyNumberFormat="1" applyFont="1" applyAlignment="1" applyProtection="1">
      <alignment horizontal="right"/>
      <protection locked="0"/>
    </xf>
    <xf numFmtId="49" fontId="49" fillId="0" borderId="4" xfId="0" applyNumberFormat="1" applyFont="1" applyBorder="1" applyProtection="1">
      <protection locked="0"/>
    </xf>
    <xf numFmtId="49" fontId="50" fillId="0" borderId="0" xfId="0" applyNumberFormat="1" applyFont="1" applyProtection="1">
      <protection locked="0"/>
    </xf>
    <xf numFmtId="49" fontId="47" fillId="0" borderId="21" xfId="0" applyNumberFormat="1" applyFont="1" applyBorder="1" applyAlignment="1">
      <alignment horizontal="center"/>
    </xf>
    <xf numFmtId="49" fontId="47" fillId="0" borderId="18" xfId="0" applyNumberFormat="1" applyFont="1" applyBorder="1" applyAlignment="1">
      <alignment horizontal="center"/>
    </xf>
    <xf numFmtId="49" fontId="42" fillId="0" borderId="21" xfId="0" applyNumberFormat="1" applyFont="1" applyBorder="1" applyAlignment="1">
      <alignment horizontal="left" vertical="center"/>
    </xf>
    <xf numFmtId="49" fontId="42" fillId="0" borderId="23" xfId="0" applyNumberFormat="1" applyFont="1" applyBorder="1" applyAlignment="1">
      <alignment horizontal="left" vertical="center"/>
    </xf>
    <xf numFmtId="49" fontId="27" fillId="0" borderId="24" xfId="0" applyNumberFormat="1" applyFont="1" applyBorder="1" applyAlignment="1">
      <alignment horizontal="center"/>
    </xf>
    <xf numFmtId="49" fontId="27" fillId="0" borderId="25" xfId="0" applyNumberFormat="1" applyFont="1" applyBorder="1" applyAlignment="1">
      <alignment horizontal="center"/>
    </xf>
    <xf numFmtId="49" fontId="27" fillId="0" borderId="17" xfId="0" applyNumberFormat="1" applyFont="1" applyBorder="1" applyAlignment="1">
      <alignment horizontal="center"/>
    </xf>
    <xf numFmtId="49" fontId="27" fillId="0" borderId="23" xfId="0" applyNumberFormat="1" applyFont="1" applyBorder="1" applyAlignment="1">
      <alignment horizontal="center"/>
    </xf>
    <xf numFmtId="49" fontId="52" fillId="0" borderId="21" xfId="0" applyNumberFormat="1" applyFont="1" applyBorder="1" applyAlignment="1" applyProtection="1">
      <alignment horizontal="center" vertical="center"/>
      <protection locked="0"/>
    </xf>
    <xf numFmtId="49" fontId="52" fillId="0" borderId="23"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vertical="center"/>
      <protection locked="0"/>
    </xf>
    <xf numFmtId="49" fontId="52" fillId="10" borderId="21" xfId="0" applyNumberFormat="1" applyFont="1" applyFill="1" applyBorder="1" applyAlignment="1" applyProtection="1">
      <alignment horizontal="center" vertical="center"/>
      <protection locked="0"/>
    </xf>
    <xf numFmtId="49" fontId="52" fillId="10" borderId="18" xfId="0" applyNumberFormat="1" applyFont="1" applyFill="1" applyBorder="1" applyAlignment="1" applyProtection="1">
      <alignment horizontal="center" vertical="center"/>
      <protection locked="0"/>
    </xf>
    <xf numFmtId="49" fontId="0" fillId="0" borderId="21" xfId="0" applyNumberFormat="1" applyBorder="1"/>
    <xf numFmtId="49" fontId="0" fillId="0" borderId="23" xfId="0" applyNumberFormat="1" applyBorder="1"/>
    <xf numFmtId="49" fontId="0" fillId="0" borderId="18" xfId="0" applyNumberFormat="1" applyBorder="1"/>
    <xf numFmtId="49" fontId="27" fillId="0" borderId="27" xfId="0" applyNumberFormat="1" applyFont="1" applyBorder="1" applyAlignment="1">
      <alignment horizontal="center" textRotation="255"/>
    </xf>
    <xf numFmtId="49" fontId="27" fillId="0" borderId="28" xfId="0" applyNumberFormat="1" applyFont="1" applyBorder="1" applyAlignment="1">
      <alignment horizontal="center" textRotation="255"/>
    </xf>
    <xf numFmtId="49" fontId="27" fillId="0" borderId="27" xfId="0" applyNumberFormat="1" applyFont="1" applyBorder="1" applyAlignment="1">
      <alignment horizontal="center"/>
    </xf>
    <xf numFmtId="49" fontId="27" fillId="0" borderId="28" xfId="0" applyNumberFormat="1" applyFont="1" applyBorder="1" applyAlignment="1">
      <alignment horizontal="center"/>
    </xf>
    <xf numFmtId="49" fontId="51" fillId="0" borderId="21" xfId="0" applyNumberFormat="1" applyFont="1" applyBorder="1" applyAlignment="1">
      <alignment horizontal="center" vertical="center"/>
    </xf>
    <xf numFmtId="49" fontId="51" fillId="0" borderId="23" xfId="0" applyNumberFormat="1" applyFont="1" applyBorder="1" applyAlignment="1">
      <alignment horizontal="center" vertical="center"/>
    </xf>
    <xf numFmtId="49" fontId="51" fillId="0" borderId="18" xfId="0" applyNumberFormat="1" applyFont="1" applyBorder="1" applyAlignment="1">
      <alignment horizontal="center" vertical="center"/>
    </xf>
    <xf numFmtId="49" fontId="27" fillId="0" borderId="22" xfId="0" applyNumberFormat="1" applyFont="1" applyBorder="1" applyAlignment="1">
      <alignment horizontal="center"/>
    </xf>
    <xf numFmtId="49" fontId="27" fillId="0" borderId="4" xfId="0" applyNumberFormat="1" applyFont="1" applyBorder="1" applyAlignment="1">
      <alignment horizontal="center"/>
    </xf>
    <xf numFmtId="49" fontId="27" fillId="0" borderId="19" xfId="0" applyNumberFormat="1" applyFont="1" applyBorder="1" applyAlignment="1">
      <alignment horizontal="center"/>
    </xf>
    <xf numFmtId="49" fontId="51" fillId="0" borderId="24" xfId="0" applyNumberFormat="1" applyFont="1" applyBorder="1" applyAlignment="1">
      <alignment horizontal="center"/>
    </xf>
    <xf numFmtId="49" fontId="51" fillId="0" borderId="25" xfId="0" applyNumberFormat="1" applyFont="1" applyBorder="1" applyAlignment="1">
      <alignment horizontal="center"/>
    </xf>
    <xf numFmtId="49" fontId="51" fillId="0" borderId="17" xfId="0" applyNumberFormat="1" applyFont="1" applyBorder="1" applyAlignment="1">
      <alignment horizontal="center"/>
    </xf>
    <xf numFmtId="49" fontId="51" fillId="0" borderId="24" xfId="0" applyNumberFormat="1" applyFont="1" applyBorder="1"/>
    <xf numFmtId="49" fontId="51" fillId="0" borderId="25" xfId="0" applyNumberFormat="1" applyFont="1" applyBorder="1"/>
    <xf numFmtId="49" fontId="51" fillId="0" borderId="17" xfId="0" applyNumberFormat="1" applyFont="1" applyBorder="1"/>
    <xf numFmtId="49" fontId="51" fillId="0" borderId="22" xfId="0" applyNumberFormat="1" applyFont="1" applyBorder="1"/>
    <xf numFmtId="49" fontId="51" fillId="0" borderId="4" xfId="0" applyNumberFormat="1" applyFont="1" applyBorder="1"/>
    <xf numFmtId="49" fontId="51" fillId="0" borderId="19" xfId="0" applyNumberFormat="1" applyFont="1" applyBorder="1"/>
    <xf numFmtId="49" fontId="47" fillId="0" borderId="22" xfId="0" applyNumberFormat="1" applyFont="1" applyBorder="1" applyAlignment="1">
      <alignment horizontal="left" vertical="center"/>
    </xf>
    <xf numFmtId="49" fontId="47" fillId="0" borderId="4" xfId="0" applyNumberFormat="1" applyFont="1" applyBorder="1" applyAlignment="1">
      <alignment horizontal="left" vertical="center"/>
    </xf>
    <xf numFmtId="49" fontId="47" fillId="0" borderId="19" xfId="0" applyNumberFormat="1" applyFont="1" applyBorder="1" applyAlignment="1">
      <alignment horizontal="left" vertical="center"/>
    </xf>
    <xf numFmtId="49" fontId="52" fillId="10" borderId="23" xfId="0" applyNumberFormat="1" applyFont="1" applyFill="1" applyBorder="1" applyAlignment="1" applyProtection="1">
      <alignment horizontal="center" vertical="center"/>
      <protection locked="0"/>
    </xf>
    <xf numFmtId="4" fontId="52" fillId="0" borderId="21" xfId="0" applyNumberFormat="1" applyFont="1" applyBorder="1" applyAlignment="1" applyProtection="1">
      <alignment horizontal="right" vertical="center"/>
      <protection locked="0"/>
    </xf>
    <xf numFmtId="4" fontId="52" fillId="0" borderId="23" xfId="0" applyNumberFormat="1" applyFont="1" applyBorder="1" applyAlignment="1" applyProtection="1">
      <alignment horizontal="right" vertical="center"/>
      <protection locked="0"/>
    </xf>
    <xf numFmtId="4" fontId="52" fillId="0" borderId="18" xfId="0" applyNumberFormat="1" applyFont="1" applyBorder="1" applyAlignment="1" applyProtection="1">
      <alignment horizontal="right" vertical="center"/>
      <protection locked="0"/>
    </xf>
    <xf numFmtId="4" fontId="52" fillId="0" borderId="21" xfId="0" quotePrefix="1" applyNumberFormat="1" applyFont="1" applyBorder="1" applyAlignment="1" applyProtection="1">
      <alignment horizontal="right" vertical="center"/>
      <protection locked="0"/>
    </xf>
    <xf numFmtId="49" fontId="27" fillId="0" borderId="0" xfId="0" applyNumberFormat="1" applyFont="1" applyAlignment="1">
      <alignment horizontal="right"/>
    </xf>
    <xf numFmtId="0" fontId="43" fillId="0" borderId="25" xfId="0" applyFont="1" applyBorder="1" applyAlignment="1">
      <alignment horizontal="center" vertical="center"/>
    </xf>
    <xf numFmtId="0" fontId="43" fillId="0" borderId="17" xfId="0" applyFont="1" applyBorder="1" applyAlignment="1">
      <alignment horizontal="center" vertical="center"/>
    </xf>
    <xf numFmtId="0" fontId="43" fillId="0" borderId="4" xfId="0" applyFont="1" applyBorder="1" applyAlignment="1">
      <alignment horizontal="center" vertical="center"/>
    </xf>
    <xf numFmtId="0" fontId="43" fillId="0" borderId="19" xfId="0" applyFont="1" applyBorder="1" applyAlignment="1">
      <alignment horizontal="center" vertical="center"/>
    </xf>
    <xf numFmtId="0" fontId="42" fillId="0" borderId="24" xfId="0" applyFont="1" applyBorder="1" applyAlignment="1">
      <alignment horizontal="left" vertical="center"/>
    </xf>
    <xf numFmtId="0" fontId="42" fillId="0" borderId="25" xfId="0" applyFont="1" applyBorder="1" applyAlignment="1">
      <alignment horizontal="left" vertical="center"/>
    </xf>
    <xf numFmtId="0" fontId="42" fillId="0" borderId="22" xfId="0" applyFont="1" applyBorder="1" applyAlignment="1">
      <alignment horizontal="left" vertical="center"/>
    </xf>
    <xf numFmtId="0" fontId="42" fillId="0" borderId="4" xfId="0" applyFont="1" applyBorder="1" applyAlignment="1">
      <alignment horizontal="left" vertical="center"/>
    </xf>
    <xf numFmtId="0" fontId="42" fillId="0" borderId="21" xfId="0" applyFont="1" applyBorder="1" applyAlignment="1">
      <alignment horizontal="left" vertical="center"/>
    </xf>
    <xf numFmtId="0" fontId="42" fillId="0" borderId="23" xfId="0" applyFont="1" applyBorder="1" applyAlignment="1">
      <alignment horizontal="left" vertical="center"/>
    </xf>
    <xf numFmtId="49" fontId="52" fillId="0" borderId="21" xfId="0" quotePrefix="1" applyNumberFormat="1" applyFont="1" applyBorder="1" applyAlignment="1" applyProtection="1">
      <alignment horizontal="center" vertical="center"/>
      <protection locked="0"/>
    </xf>
    <xf numFmtId="0" fontId="25" fillId="0" borderId="23" xfId="0" applyFont="1" applyBorder="1"/>
    <xf numFmtId="0" fontId="52" fillId="0" borderId="23" xfId="0" applyFont="1" applyBorder="1" applyAlignment="1" applyProtection="1">
      <alignment horizontal="center" vertical="center"/>
      <protection locked="0"/>
    </xf>
    <xf numFmtId="0" fontId="52" fillId="0" borderId="18" xfId="0" applyFont="1" applyBorder="1" applyAlignment="1" applyProtection="1">
      <alignment horizontal="center" vertical="center"/>
      <protection locked="0"/>
    </xf>
    <xf numFmtId="179" fontId="45" fillId="0" borderId="21" xfId="0" applyNumberFormat="1" applyFont="1" applyBorder="1" applyAlignment="1">
      <alignment horizontal="center" vertical="center"/>
    </xf>
    <xf numFmtId="0" fontId="14" fillId="0" borderId="0" xfId="0" applyFont="1" applyAlignment="1">
      <alignment horizontal="left" vertical="top" wrapText="1"/>
    </xf>
  </cellXfs>
  <cellStyles count="160">
    <cellStyle name="20% - Accent1" xfId="43" builtinId="30" customBuiltin="1"/>
    <cellStyle name="20% - Accent1 2" xfId="77" xr:uid="{4FAA6AEE-5B59-4F8E-835E-08FE6FA0C9E9}"/>
    <cellStyle name="20% - Accent1 3" xfId="91" xr:uid="{A268DAD7-1768-449F-8591-94F2AFF84B49}"/>
    <cellStyle name="20% - Accent1 4" xfId="105" xr:uid="{3CF78A6A-F434-4196-A594-F8B430C74FD6}"/>
    <cellStyle name="20% - Accent1 5" xfId="119" xr:uid="{8334D59C-7AA7-41F9-8238-226F61179F93}"/>
    <cellStyle name="20% - Accent1 6" xfId="133" xr:uid="{B4B4323D-58FE-4B63-A6EF-861130F7D8A8}"/>
    <cellStyle name="20% - Accent1 7" xfId="147" xr:uid="{578A4B17-4A6A-45CC-9B7A-D2377FDFC7A3}"/>
    <cellStyle name="20% - Accent2" xfId="46" builtinId="34" customBuiltin="1"/>
    <cellStyle name="20% - Accent2 2" xfId="79" xr:uid="{CD1F7FFE-82C6-4DD9-B32B-882DD89B4806}"/>
    <cellStyle name="20% - Accent2 3" xfId="93" xr:uid="{B116C278-6B43-4373-985A-9410F46502AD}"/>
    <cellStyle name="20% - Accent2 4" xfId="107" xr:uid="{4381D716-7E2F-4CDE-8085-441CA2E43E92}"/>
    <cellStyle name="20% - Accent2 5" xfId="121" xr:uid="{062EFB86-F992-4C6F-AEB1-414C34BDAB12}"/>
    <cellStyle name="20% - Accent2 6" xfId="135" xr:uid="{380017F7-EE5F-4596-A292-992445A83A8C}"/>
    <cellStyle name="20% - Accent2 7" xfId="149" xr:uid="{B2E44C8D-E826-41B9-B823-592BF95CBE72}"/>
    <cellStyle name="20% - Accent3" xfId="49" builtinId="38" customBuiltin="1"/>
    <cellStyle name="20% - Accent3 2" xfId="81" xr:uid="{831634B5-FC54-4349-9B4B-2F02FF26186B}"/>
    <cellStyle name="20% - Accent3 3" xfId="95" xr:uid="{B2F54591-274D-4F20-A979-6FE2A51915C1}"/>
    <cellStyle name="20% - Accent3 4" xfId="109" xr:uid="{050EB91E-5675-4573-8B59-FCDA35DEF9E7}"/>
    <cellStyle name="20% - Accent3 5" xfId="123" xr:uid="{04AF8019-BE5E-491B-BCF4-139AEDEE04E7}"/>
    <cellStyle name="20% - Accent3 6" xfId="137" xr:uid="{DE058DEA-09C5-4F0A-9748-10151D208982}"/>
    <cellStyle name="20% - Accent3 7" xfId="151" xr:uid="{2B652E86-EE3B-4C21-9996-4D1C0D06A041}"/>
    <cellStyle name="20% - Accent4" xfId="52" builtinId="42" customBuiltin="1"/>
    <cellStyle name="20% - Accent4 2" xfId="83" xr:uid="{4F6DE8C6-2A4E-4F77-A3E2-C014F5B2E660}"/>
    <cellStyle name="20% - Accent4 3" xfId="97" xr:uid="{3FB13557-EAF8-4581-9FE2-E380D03D18EB}"/>
    <cellStyle name="20% - Accent4 4" xfId="111" xr:uid="{2825C26E-F6DF-431B-A9EA-B8B29AFB4422}"/>
    <cellStyle name="20% - Accent4 5" xfId="125" xr:uid="{C2398728-C76D-42BE-8A35-6ACF195D67AD}"/>
    <cellStyle name="20% - Accent4 6" xfId="139" xr:uid="{07586659-A442-4922-BB60-811EB11026E4}"/>
    <cellStyle name="20% - Accent4 7" xfId="153" xr:uid="{7E7EC212-FAAF-4A44-9B21-9F58E9F09098}"/>
    <cellStyle name="20% - Accent5" xfId="55" builtinId="46" customBuiltin="1"/>
    <cellStyle name="20% - Accent5 2" xfId="85" xr:uid="{C174034F-59A7-4722-979A-6B293341BA3B}"/>
    <cellStyle name="20% - Accent5 3" xfId="99" xr:uid="{493F0EAD-3FCA-4373-87E9-2FF861CA63A7}"/>
    <cellStyle name="20% - Accent5 4" xfId="113" xr:uid="{1376AD4D-A0F9-4A4A-B820-06AB5B912A18}"/>
    <cellStyle name="20% - Accent5 5" xfId="127" xr:uid="{A4FC5E55-F8AD-4E22-9B96-7E1C67234403}"/>
    <cellStyle name="20% - Accent5 6" xfId="141" xr:uid="{151E1805-B86A-446E-A0A3-0F692ADB1DC8}"/>
    <cellStyle name="20% - Accent5 7" xfId="155" xr:uid="{0BB884C8-0A2B-4D88-8178-BB3B21AD757F}"/>
    <cellStyle name="20% - Accent6" xfId="58" builtinId="50" customBuiltin="1"/>
    <cellStyle name="20% - Accent6 2" xfId="87" xr:uid="{7E837579-E92D-4DF3-B37F-11552BEEB20C}"/>
    <cellStyle name="20% - Accent6 3" xfId="101" xr:uid="{330D176F-E21E-4459-87BB-8FAC4915DA28}"/>
    <cellStyle name="20% - Accent6 4" xfId="115" xr:uid="{AA960254-65BA-4C94-9E48-2C69DF148F28}"/>
    <cellStyle name="20% - Accent6 5" xfId="129" xr:uid="{70697726-A4F4-42A8-BB03-AF8EF771426A}"/>
    <cellStyle name="20% - Accent6 6" xfId="143" xr:uid="{C82771C0-39BC-4C39-826F-521ACAFFFA18}"/>
    <cellStyle name="20% - Accent6 7" xfId="157" xr:uid="{062B97DB-240A-4E66-8337-57CD252C8BF3}"/>
    <cellStyle name="40% - Accent1" xfId="44" builtinId="31" customBuiltin="1"/>
    <cellStyle name="40% - Accent1 2" xfId="78" xr:uid="{8AC1EFC1-9C1F-4C13-8FFE-DB074FD49601}"/>
    <cellStyle name="40% - Accent1 3" xfId="92" xr:uid="{0A18C4B8-CB10-4AEF-87CC-283B53D3D5E7}"/>
    <cellStyle name="40% - Accent1 4" xfId="106" xr:uid="{57C92472-8D99-4A1E-8B16-8F9011ACA700}"/>
    <cellStyle name="40% - Accent1 5" xfId="120" xr:uid="{64E7EBDF-6EB8-47BF-8C93-26293839C0C9}"/>
    <cellStyle name="40% - Accent1 6" xfId="134" xr:uid="{6876CE33-AFFD-4D34-AD4A-4546AA869FF4}"/>
    <cellStyle name="40% - Accent1 7" xfId="148" xr:uid="{E71E4946-7220-423F-B8A3-F681CA56927F}"/>
    <cellStyle name="40% - Accent2" xfId="47" builtinId="35" customBuiltin="1"/>
    <cellStyle name="40% - Accent2 2" xfId="80" xr:uid="{43C65BC2-4452-4FCE-BC41-DCAE22E88B0C}"/>
    <cellStyle name="40% - Accent2 3" xfId="94" xr:uid="{BE8B5C3F-A868-4496-A719-CC975C80AD49}"/>
    <cellStyle name="40% - Accent2 4" xfId="108" xr:uid="{0B964F09-21FA-4FFC-9EC3-74572FAC4222}"/>
    <cellStyle name="40% - Accent2 5" xfId="122" xr:uid="{23CD4DF9-2645-41D7-94A5-1BB42B4F7115}"/>
    <cellStyle name="40% - Accent2 6" xfId="136" xr:uid="{FFE294C0-DA8A-4AAE-8B59-43E0979E1538}"/>
    <cellStyle name="40% - Accent2 7" xfId="150" xr:uid="{F5198D01-3C1B-445E-AB5F-DFC20C40D0B8}"/>
    <cellStyle name="40% - Accent3" xfId="50" builtinId="39" customBuiltin="1"/>
    <cellStyle name="40% - Accent3 2" xfId="82" xr:uid="{480EC4A3-4E58-4A30-A50E-24F8B8AC4F99}"/>
    <cellStyle name="40% - Accent3 3" xfId="96" xr:uid="{05C39414-2639-4907-B16D-4B8C62F8C8E8}"/>
    <cellStyle name="40% - Accent3 4" xfId="110" xr:uid="{A7DF70AF-C44C-4230-BBCC-8EE11D03CA59}"/>
    <cellStyle name="40% - Accent3 5" xfId="124" xr:uid="{83FB291D-B48B-45A1-8A35-020448EBA244}"/>
    <cellStyle name="40% - Accent3 6" xfId="138" xr:uid="{C7CC44C4-BAF6-43DF-B75F-6B1F33CF63AD}"/>
    <cellStyle name="40% - Accent3 7" xfId="152" xr:uid="{EA038B5A-1FD7-4045-8ED7-0993DFDBE771}"/>
    <cellStyle name="40% - Accent4" xfId="53" builtinId="43" customBuiltin="1"/>
    <cellStyle name="40% - Accent4 2" xfId="84" xr:uid="{811D37BA-A6A1-4989-8C39-2529543BEDBB}"/>
    <cellStyle name="40% - Accent4 3" xfId="98" xr:uid="{E64CB839-4203-4514-A869-B6E37D6F7586}"/>
    <cellStyle name="40% - Accent4 4" xfId="112" xr:uid="{43F27115-309A-4543-B7C3-92144B55E147}"/>
    <cellStyle name="40% - Accent4 5" xfId="126" xr:uid="{DC087BD2-76C1-44A2-913A-AA21037FBC36}"/>
    <cellStyle name="40% - Accent4 6" xfId="140" xr:uid="{01E6C6B0-A151-4A75-A15A-E1B06FD5D7FB}"/>
    <cellStyle name="40% - Accent4 7" xfId="154" xr:uid="{8115DE66-2515-412B-B288-9B00671D7FF5}"/>
    <cellStyle name="40% - Accent5" xfId="56" builtinId="47" customBuiltin="1"/>
    <cellStyle name="40% - Accent5 2" xfId="86" xr:uid="{E5981B7D-7105-4EB2-9A6B-BA9CCC00CB90}"/>
    <cellStyle name="40% - Accent5 3" xfId="100" xr:uid="{1FA28176-3358-4779-9858-38411626A092}"/>
    <cellStyle name="40% - Accent5 4" xfId="114" xr:uid="{0ED2DE09-15E7-4297-9023-09FD3C343133}"/>
    <cellStyle name="40% - Accent5 5" xfId="128" xr:uid="{8F48454C-5CD2-4F8D-9B27-01980948950F}"/>
    <cellStyle name="40% - Accent5 6" xfId="142" xr:uid="{6A065293-B42B-453C-966F-2505FC5A26BF}"/>
    <cellStyle name="40% - Accent5 7" xfId="156" xr:uid="{212EA0AD-2387-46F6-8052-3D0F4295BE7B}"/>
    <cellStyle name="40% - Accent6" xfId="59" builtinId="51" customBuiltin="1"/>
    <cellStyle name="40% - Accent6 2" xfId="88" xr:uid="{CBD6064E-2D59-45DE-BC01-161A0B6A7BC6}"/>
    <cellStyle name="40% - Accent6 3" xfId="102" xr:uid="{2C504EBF-9994-4D13-A6B7-4CEB114A6D94}"/>
    <cellStyle name="40% - Accent6 4" xfId="116" xr:uid="{68C53E3E-3382-4DAE-AFD7-4F25A5D5B27A}"/>
    <cellStyle name="40% - Accent6 5" xfId="130" xr:uid="{15336054-EC83-4CED-B6B5-3AAA232B0F6F}"/>
    <cellStyle name="40% - Accent6 6" xfId="144" xr:uid="{2B800A7F-B32F-436B-9BEA-10EDA4B2199D}"/>
    <cellStyle name="40% - Accent6 7" xfId="158" xr:uid="{6205452D-9009-40EA-BDE7-36C06F184965}"/>
    <cellStyle name="60% - Accent1 2" xfId="67" xr:uid="{C1DC289F-318B-4DEF-928F-DE34212FB6E5}"/>
    <cellStyle name="60% - Accent2 2" xfId="68" xr:uid="{CEA74532-00BA-4F95-9BAA-58F3FDFA1A0B}"/>
    <cellStyle name="60% - Accent3 2" xfId="69" xr:uid="{09A08F28-6B96-42FA-9312-4BD6A92A6075}"/>
    <cellStyle name="60% - Accent4 2" xfId="70" xr:uid="{CA23C876-DBC7-4547-BB19-D60C4CAD724D}"/>
    <cellStyle name="60% - Accent5 2" xfId="71" xr:uid="{2C4316F9-1361-49A6-A990-625ACDD3EC58}"/>
    <cellStyle name="60% - Accent6 2" xfId="72" xr:uid="{007E6901-12BC-4072-A912-B5E530E55E14}"/>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3" builtinId="27" customBuiltin="1"/>
    <cellStyle name="Calculation" xfId="36" builtinId="22" customBuiltin="1"/>
    <cellStyle name="Check Cell" xfId="38" builtinId="23" customBuiltin="1"/>
    <cellStyle name="Comma" xfId="1" builtinId="3"/>
    <cellStyle name="Comma 2" xfId="7" xr:uid="{00000000-0005-0000-0000-000001000000}"/>
    <cellStyle name="Comma 3" xfId="16" xr:uid="{00000000-0005-0000-0000-000002000000}"/>
    <cellStyle name="Comma 4" xfId="20" xr:uid="{00000000-0005-0000-0000-000003000000}"/>
    <cellStyle name="Comma 5" xfId="26" xr:uid="{00000000-0005-0000-0000-000004000000}"/>
    <cellStyle name="Comma 6" xfId="159" xr:uid="{FAD074C9-C15E-4D66-8BB5-48ED4B75A2FD}"/>
    <cellStyle name="Explanatory Text" xfId="40" builtinId="53" customBuiltin="1"/>
    <cellStyle name="Good" xfId="32" builtinId="26" customBuiltin="1"/>
    <cellStyle name="Heading 1" xfId="28" builtinId="16" customBuiltin="1"/>
    <cellStyle name="Heading 2" xfId="29" builtinId="17" customBuiltin="1"/>
    <cellStyle name="Heading 3" xfId="30" builtinId="18" customBuiltin="1"/>
    <cellStyle name="Heading 4" xfId="31" builtinId="19" customBuiltin="1"/>
    <cellStyle name="Hyperlink" xfId="24" builtinId="8"/>
    <cellStyle name="Input" xfId="34" builtinId="20" customBuiltin="1"/>
    <cellStyle name="Linked Cell" xfId="37" builtinId="24" customBuiltin="1"/>
    <cellStyle name="Neutral 2" xfId="66" xr:uid="{37C4BEBB-6465-4FFB-8C89-788C5C3914BA}"/>
    <cellStyle name="Normal" xfId="0" builtinId="0"/>
    <cellStyle name="Normal 10" xfId="17" xr:uid="{00000000-0005-0000-0000-000007000000}"/>
    <cellStyle name="Normal 10 2" xfId="145" xr:uid="{5537807A-B79E-46C2-80F8-E6E179C5AE0B}"/>
    <cellStyle name="Normal 11" xfId="18" xr:uid="{00000000-0005-0000-0000-000008000000}"/>
    <cellStyle name="Normal 12" xfId="19" xr:uid="{00000000-0005-0000-0000-000009000000}"/>
    <cellStyle name="Normal 13" xfId="21" xr:uid="{00000000-0005-0000-0000-00000A000000}"/>
    <cellStyle name="Normal 14" xfId="22" xr:uid="{00000000-0005-0000-0000-00000B000000}"/>
    <cellStyle name="Normal 15" xfId="23" xr:uid="{00000000-0005-0000-0000-00000C000000}"/>
    <cellStyle name="Normal 16" xfId="25" xr:uid="{00000000-0005-0000-0000-00000D000000}"/>
    <cellStyle name="Normal 17" xfId="27" xr:uid="{00000000-0005-0000-0000-00000E000000}"/>
    <cellStyle name="Normal 18" xfId="60" xr:uid="{FA7D3177-12AD-4352-BB51-F94E8DEC0D6B}"/>
    <cellStyle name="Normal 2" xfId="5" xr:uid="{00000000-0005-0000-0000-00000F000000}"/>
    <cellStyle name="Normal 2 2" xfId="12" xr:uid="{00000000-0005-0000-0000-000010000000}"/>
    <cellStyle name="Normal 2 2 2" xfId="63" xr:uid="{693E7D47-93AC-45EA-934D-EC1BFE3BECED}"/>
    <cellStyle name="Normal 2 3" xfId="61" xr:uid="{DD934DE3-6184-44E3-9902-6148BD2B0A1D}"/>
    <cellStyle name="Normal 3" xfId="6" xr:uid="{00000000-0005-0000-0000-000011000000}"/>
    <cellStyle name="Normal 3 2" xfId="13" xr:uid="{00000000-0005-0000-0000-000012000000}"/>
    <cellStyle name="Normal 3 2 2" xfId="64" xr:uid="{46D98468-8CAC-4F5A-9D51-EBD0FD54BDBB}"/>
    <cellStyle name="Normal 3 3" xfId="62" xr:uid="{B727AADA-9397-459D-AC92-60C39170B495}"/>
    <cellStyle name="Normal 4" xfId="8" xr:uid="{00000000-0005-0000-0000-000013000000}"/>
    <cellStyle name="Normal 4 2" xfId="73" xr:uid="{F238AF15-5C46-42E6-BC3F-980B76DCDFC7}"/>
    <cellStyle name="Normal 5" xfId="9" xr:uid="{00000000-0005-0000-0000-000014000000}"/>
    <cellStyle name="Normal 5 2" xfId="75" xr:uid="{89B60610-BA0B-4158-A12A-43DA874BEDEE}"/>
    <cellStyle name="Normal 6" xfId="10" xr:uid="{00000000-0005-0000-0000-000015000000}"/>
    <cellStyle name="Normal 6 2" xfId="89" xr:uid="{F6CB2A78-FB67-4DD5-9C3D-818577CBD764}"/>
    <cellStyle name="Normal 7" xfId="11" xr:uid="{00000000-0005-0000-0000-000016000000}"/>
    <cellStyle name="Normal 7 2" xfId="103" xr:uid="{D7BC9A89-DA3B-4D97-B496-3D5D2CE15BDD}"/>
    <cellStyle name="Normal 8" xfId="14" xr:uid="{00000000-0005-0000-0000-000017000000}"/>
    <cellStyle name="Normal 8 2" xfId="117" xr:uid="{1C11FC96-81B8-40BC-8B48-5947AD74E823}"/>
    <cellStyle name="Normal 9" xfId="15" xr:uid="{00000000-0005-0000-0000-000018000000}"/>
    <cellStyle name="Normal 9 2" xfId="131" xr:uid="{52C3EA71-60DF-4F93-8638-91CB4073137D}"/>
    <cellStyle name="Normal_Final_Summary Report K0215 as of 063005" xfId="2" xr:uid="{00000000-0005-0000-0000-000019000000}"/>
    <cellStyle name="Normal_REVISEDReport K0215" xfId="3" xr:uid="{00000000-0005-0000-0000-00001A000000}"/>
    <cellStyle name="Note 2" xfId="74" xr:uid="{FB5EFD7D-342A-4EE1-8A4B-877C5EBA1AB6}"/>
    <cellStyle name="Note 3" xfId="76" xr:uid="{8AC03DAB-BD6D-422C-AB9F-17E102939FA1}"/>
    <cellStyle name="Note 4" xfId="90" xr:uid="{428132D2-D0C1-4ACD-A96B-7F1BB7A7554E}"/>
    <cellStyle name="Note 5" xfId="104" xr:uid="{AD92572B-2F92-46AA-A00C-58F9DFA03620}"/>
    <cellStyle name="Note 6" xfId="118" xr:uid="{50B46CD0-AAC0-433A-B65C-3865A3433DC4}"/>
    <cellStyle name="Note 7" xfId="132" xr:uid="{5E4C57E0-DA72-4DAA-B6E9-96C1CBA4F1EA}"/>
    <cellStyle name="Note 8" xfId="146" xr:uid="{1E838F71-113B-48D6-9DE6-9D3FA4DF26DE}"/>
    <cellStyle name="Output" xfId="35" builtinId="21" customBuiltin="1"/>
    <cellStyle name="Percent" xfId="4" builtinId="5"/>
    <cellStyle name="Title 2" xfId="65" xr:uid="{442366D2-D4C3-44B2-8C1F-FBC2C57C6F28}"/>
    <cellStyle name="Total" xfId="41" builtinId="25" customBuiltin="1"/>
    <cellStyle name="Warning Text" xfId="39"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theme="5" tint="0.79998168889431442"/>
        </patternFill>
      </fill>
    </dxf>
    <dxf>
      <font>
        <b val="0"/>
        <i val="0"/>
        <strike val="0"/>
        <condense val="0"/>
        <extend val="0"/>
        <outline val="0"/>
        <shadow val="0"/>
        <u val="none"/>
        <vertAlign val="baseline"/>
        <sz val="12"/>
        <color auto="1"/>
        <name val="Arial"/>
        <scheme val="none"/>
      </font>
    </dxf>
    <dxf>
      <numFmt numFmtId="0" formatCode="General"/>
    </dxf>
    <dxf>
      <numFmt numFmtId="0" formatCode="General"/>
    </dxf>
  </dxfs>
  <tableStyles count="0" defaultTableStyle="TableStyleMedium9" defaultPivotStyle="PivotStyleLight16"/>
  <colors>
    <mruColors>
      <color rgb="FF00FF00"/>
      <color rgb="FFFFFF66"/>
      <color rgb="FFFF99FF"/>
      <color rgb="FFF8A15A"/>
      <color rgb="FF0000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14</xdr:col>
      <xdr:colOff>964408</xdr:colOff>
      <xdr:row>5</xdr:row>
      <xdr:rowOff>146582</xdr:rowOff>
    </xdr:from>
    <xdr:to>
      <xdr:col>19</xdr:col>
      <xdr:colOff>2647</xdr:colOff>
      <xdr:row>13</xdr:row>
      <xdr:rowOff>154050</xdr:rowOff>
    </xdr:to>
    <xdr:sp macro="" textlink="">
      <xdr:nvSpPr>
        <xdr:cNvPr id="2071" name="AutoShape 23">
          <a:extLst>
            <a:ext uri="{FF2B5EF4-FFF2-40B4-BE49-F238E27FC236}">
              <a16:creationId xmlns:a16="http://schemas.microsoft.com/office/drawing/2014/main" id="{00000000-0008-0000-0000-000017080000}"/>
            </a:ext>
          </a:extLst>
        </xdr:cNvPr>
        <xdr:cNvSpPr>
          <a:spLocks noChangeArrowheads="1"/>
        </xdr:cNvSpPr>
      </xdr:nvSpPr>
      <xdr:spPr bwMode="auto">
        <a:xfrm>
          <a:off x="19389991" y="1173165"/>
          <a:ext cx="2948780" cy="1847910"/>
        </a:xfrm>
        <a:prstGeom prst="leftArrowCallout">
          <a:avLst>
            <a:gd name="adj1" fmla="val 25008"/>
            <a:gd name="adj2" fmla="val 25634"/>
            <a:gd name="adj3" fmla="val 27732"/>
            <a:gd name="adj4" fmla="val 79544"/>
          </a:avLst>
        </a:prstGeom>
        <a:solidFill>
          <a:srgbClr val="CCFFFF"/>
        </a:solidFill>
        <a:ln w="9525">
          <a:solidFill>
            <a:srgbClr val="000000"/>
          </a:solidFill>
          <a:miter lim="800000"/>
          <a:headEnd/>
          <a:tailEnd/>
        </a:ln>
      </xdr:spPr>
      <xdr:txBody>
        <a:bodyPr vertOverflow="clip" wrap="square" lIns="36576" tIns="22860" rIns="0" bIns="0" anchor="t" upright="1"/>
        <a:lstStyle/>
        <a:p>
          <a:pPr algn="l" rtl="0">
            <a:defRPr sz="1000"/>
          </a:pPr>
          <a:r>
            <a:rPr lang="en-US" sz="1200" b="0" i="0" u="none" strike="noStrike" baseline="0">
              <a:solidFill>
                <a:srgbClr val="FF0000"/>
              </a:solidFill>
              <a:latin typeface="Arial"/>
              <a:cs typeface="Arial"/>
            </a:rPr>
            <a:t>Note: The UC is no longer presented in Note 17 because it is a Discretely Presented Component Unit. Data from the University of California 17/18 audited Annual Financial Report, Note 12. Self-Insurance, Obligations Under Life Income Agreements and Other Liabilities was presented in PYs.</a:t>
          </a:r>
        </a:p>
      </xdr:txBody>
    </xdr:sp>
    <xdr:clientData fPrintsWithSheet="0"/>
  </xdr:twoCellAnchor>
  <xdr:twoCellAnchor>
    <xdr:from>
      <xdr:col>5</xdr:col>
      <xdr:colOff>1524000</xdr:colOff>
      <xdr:row>12</xdr:row>
      <xdr:rowOff>489857</xdr:rowOff>
    </xdr:from>
    <xdr:to>
      <xdr:col>6</xdr:col>
      <xdr:colOff>635000</xdr:colOff>
      <xdr:row>15</xdr:row>
      <xdr:rowOff>25400</xdr:rowOff>
    </xdr:to>
    <xdr:sp macro="" textlink="">
      <xdr:nvSpPr>
        <xdr:cNvPr id="2640" name="Line 44">
          <a:extLst>
            <a:ext uri="{FF2B5EF4-FFF2-40B4-BE49-F238E27FC236}">
              <a16:creationId xmlns:a16="http://schemas.microsoft.com/office/drawing/2014/main" id="{00000000-0008-0000-0000-0000500A0000}"/>
            </a:ext>
          </a:extLst>
        </xdr:cNvPr>
        <xdr:cNvSpPr>
          <a:spLocks noChangeShapeType="1"/>
        </xdr:cNvSpPr>
      </xdr:nvSpPr>
      <xdr:spPr bwMode="auto">
        <a:xfrm>
          <a:off x="7824107" y="3565071"/>
          <a:ext cx="648607" cy="542472"/>
        </a:xfrm>
        <a:prstGeom prst="line">
          <a:avLst/>
        </a:prstGeom>
        <a:noFill/>
        <a:ln w="9525">
          <a:solidFill>
            <a:srgbClr val="000000"/>
          </a:solidFill>
          <a:round/>
          <a:headEnd/>
          <a:tailEnd type="triangle" w="med" len="med"/>
        </a:ln>
      </xdr:spPr>
    </xdr:sp>
    <xdr:clientData fPrintsWithSheet="0"/>
  </xdr:twoCellAnchor>
  <xdr:twoCellAnchor>
    <xdr:from>
      <xdr:col>4</xdr:col>
      <xdr:colOff>95249</xdr:colOff>
      <xdr:row>4</xdr:row>
      <xdr:rowOff>76200</xdr:rowOff>
    </xdr:from>
    <xdr:to>
      <xdr:col>6</xdr:col>
      <xdr:colOff>1295399</xdr:colOff>
      <xdr:row>7</xdr:row>
      <xdr:rowOff>111125</xdr:rowOff>
    </xdr:to>
    <xdr:sp macro="" textlink="">
      <xdr:nvSpPr>
        <xdr:cNvPr id="2643" name="Line 50">
          <a:extLst>
            <a:ext uri="{FF2B5EF4-FFF2-40B4-BE49-F238E27FC236}">
              <a16:creationId xmlns:a16="http://schemas.microsoft.com/office/drawing/2014/main" id="{00000000-0008-0000-0000-0000530A0000}"/>
            </a:ext>
          </a:extLst>
        </xdr:cNvPr>
        <xdr:cNvSpPr>
          <a:spLocks noChangeShapeType="1"/>
        </xdr:cNvSpPr>
      </xdr:nvSpPr>
      <xdr:spPr bwMode="auto">
        <a:xfrm flipH="1">
          <a:off x="6762749" y="895350"/>
          <a:ext cx="3048000" cy="815975"/>
        </a:xfrm>
        <a:prstGeom prst="line">
          <a:avLst/>
        </a:prstGeom>
        <a:noFill/>
        <a:ln w="9525">
          <a:solidFill>
            <a:srgbClr val="000000"/>
          </a:solidFill>
          <a:round/>
          <a:headEnd/>
          <a:tailEnd type="triangle" w="med" len="med"/>
        </a:ln>
      </xdr:spPr>
    </xdr:sp>
    <xdr:clientData fPrintsWithSheet="0"/>
  </xdr:twoCellAnchor>
  <xdr:twoCellAnchor>
    <xdr:from>
      <xdr:col>4</xdr:col>
      <xdr:colOff>66675</xdr:colOff>
      <xdr:row>4</xdr:row>
      <xdr:rowOff>95249</xdr:rowOff>
    </xdr:from>
    <xdr:to>
      <xdr:col>6</xdr:col>
      <xdr:colOff>1314449</xdr:colOff>
      <xdr:row>8</xdr:row>
      <xdr:rowOff>114299</xdr:rowOff>
    </xdr:to>
    <xdr:sp macro="" textlink="">
      <xdr:nvSpPr>
        <xdr:cNvPr id="2644" name="Line 51">
          <a:extLst>
            <a:ext uri="{FF2B5EF4-FFF2-40B4-BE49-F238E27FC236}">
              <a16:creationId xmlns:a16="http://schemas.microsoft.com/office/drawing/2014/main" id="{00000000-0008-0000-0000-0000540A0000}"/>
            </a:ext>
          </a:extLst>
        </xdr:cNvPr>
        <xdr:cNvSpPr>
          <a:spLocks noChangeShapeType="1"/>
        </xdr:cNvSpPr>
      </xdr:nvSpPr>
      <xdr:spPr bwMode="auto">
        <a:xfrm flipH="1">
          <a:off x="6734175" y="914399"/>
          <a:ext cx="3095624" cy="1000125"/>
        </a:xfrm>
        <a:prstGeom prst="line">
          <a:avLst/>
        </a:prstGeom>
        <a:noFill/>
        <a:ln w="9525">
          <a:solidFill>
            <a:srgbClr val="000000"/>
          </a:solidFill>
          <a:round/>
          <a:headEnd/>
          <a:tailEnd type="triangle" w="med" len="med"/>
        </a:ln>
      </xdr:spPr>
    </xdr:sp>
    <xdr:clientData fPrintsWithSheet="0"/>
  </xdr:twoCellAnchor>
  <xdr:twoCellAnchor>
    <xdr:from>
      <xdr:col>4</xdr:col>
      <xdr:colOff>169333</xdr:colOff>
      <xdr:row>32</xdr:row>
      <xdr:rowOff>1</xdr:rowOff>
    </xdr:from>
    <xdr:to>
      <xdr:col>4</xdr:col>
      <xdr:colOff>190501</xdr:colOff>
      <xdr:row>65</xdr:row>
      <xdr:rowOff>105833</xdr:rowOff>
    </xdr:to>
    <xdr:cxnSp macro="">
      <xdr:nvCxnSpPr>
        <xdr:cNvPr id="27" name="Straight Arrow Connector 26">
          <a:extLst>
            <a:ext uri="{FF2B5EF4-FFF2-40B4-BE49-F238E27FC236}">
              <a16:creationId xmlns:a16="http://schemas.microsoft.com/office/drawing/2014/main" id="{00000000-0008-0000-0000-00001B000000}"/>
            </a:ext>
          </a:extLst>
        </xdr:cNvPr>
        <xdr:cNvCxnSpPr/>
      </xdr:nvCxnSpPr>
      <xdr:spPr bwMode="auto">
        <a:xfrm flipH="1">
          <a:off x="6836833" y="6741584"/>
          <a:ext cx="21168" cy="6762749"/>
        </a:xfrm>
        <a:prstGeom prst="straightConnector1">
          <a:avLst/>
        </a:prstGeom>
        <a:ln>
          <a:solidFill>
            <a:srgbClr val="0000FF"/>
          </a:solidFill>
          <a:headEnd type="none" w="med" len="me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185208</xdr:colOff>
      <xdr:row>21</xdr:row>
      <xdr:rowOff>89958</xdr:rowOff>
    </xdr:from>
    <xdr:to>
      <xdr:col>4</xdr:col>
      <xdr:colOff>185208</xdr:colOff>
      <xdr:row>27</xdr:row>
      <xdr:rowOff>194733</xdr:rowOff>
    </xdr:to>
    <xdr:cxnSp macro="">
      <xdr:nvCxnSpPr>
        <xdr:cNvPr id="41" name="Straight Arrow Connector 40">
          <a:extLst>
            <a:ext uri="{FF2B5EF4-FFF2-40B4-BE49-F238E27FC236}">
              <a16:creationId xmlns:a16="http://schemas.microsoft.com/office/drawing/2014/main" id="{00000000-0008-0000-0000-000029000000}"/>
            </a:ext>
          </a:extLst>
        </xdr:cNvPr>
        <xdr:cNvCxnSpPr/>
      </xdr:nvCxnSpPr>
      <xdr:spPr bwMode="auto">
        <a:xfrm>
          <a:off x="6852708" y="4577291"/>
          <a:ext cx="0" cy="1131359"/>
        </a:xfrm>
        <a:prstGeom prst="straightConnector1">
          <a:avLst/>
        </a:prstGeom>
        <a:solidFill>
          <a:srgbClr val="FFFFE1"/>
        </a:solidFill>
        <a:ln w="9525" cap="flat" cmpd="sng" algn="ctr">
          <a:solidFill>
            <a:srgbClr val="0000FF"/>
          </a:solidFill>
          <a:prstDash val="solid"/>
          <a:round/>
          <a:headEnd type="none" w="med" len="med"/>
          <a:tailEnd type="triangle"/>
        </a:ln>
        <a:effectLst/>
      </xdr:spPr>
    </xdr:cxnSp>
    <xdr:clientData/>
  </xdr:twoCellAnchor>
  <xdr:twoCellAnchor>
    <xdr:from>
      <xdr:col>5</xdr:col>
      <xdr:colOff>2082573</xdr:colOff>
      <xdr:row>88</xdr:row>
      <xdr:rowOff>11906</xdr:rowOff>
    </xdr:from>
    <xdr:to>
      <xdr:col>6</xdr:col>
      <xdr:colOff>140833</xdr:colOff>
      <xdr:row>89</xdr:row>
      <xdr:rowOff>14146</xdr:rowOff>
    </xdr:to>
    <xdr:sp macro="" textlink="">
      <xdr:nvSpPr>
        <xdr:cNvPr id="25" name="Oval 24">
          <a:extLst>
            <a:ext uri="{FF2B5EF4-FFF2-40B4-BE49-F238E27FC236}">
              <a16:creationId xmlns:a16="http://schemas.microsoft.com/office/drawing/2014/main" id="{00000000-0008-0000-0000-000019000000}"/>
            </a:ext>
          </a:extLst>
        </xdr:cNvPr>
        <xdr:cNvSpPr/>
      </xdr:nvSpPr>
      <xdr:spPr bwMode="auto">
        <a:xfrm>
          <a:off x="9430430" y="18367942"/>
          <a:ext cx="180974" cy="206347"/>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G</a:t>
          </a:r>
        </a:p>
      </xdr:txBody>
    </xdr:sp>
    <xdr:clientData/>
  </xdr:twoCellAnchor>
  <xdr:twoCellAnchor>
    <xdr:from>
      <xdr:col>10</xdr:col>
      <xdr:colOff>848746</xdr:colOff>
      <xdr:row>11</xdr:row>
      <xdr:rowOff>680</xdr:rowOff>
    </xdr:from>
    <xdr:to>
      <xdr:col>10</xdr:col>
      <xdr:colOff>1029720</xdr:colOff>
      <xdr:row>11</xdr:row>
      <xdr:rowOff>197503</xdr:rowOff>
    </xdr:to>
    <xdr:sp macro="" textlink="">
      <xdr:nvSpPr>
        <xdr:cNvPr id="28" name="Oval 27">
          <a:extLst>
            <a:ext uri="{FF2B5EF4-FFF2-40B4-BE49-F238E27FC236}">
              <a16:creationId xmlns:a16="http://schemas.microsoft.com/office/drawing/2014/main" id="{00000000-0008-0000-0000-00001C000000}"/>
            </a:ext>
          </a:extLst>
        </xdr:cNvPr>
        <xdr:cNvSpPr/>
      </xdr:nvSpPr>
      <xdr:spPr bwMode="auto">
        <a:xfrm>
          <a:off x="15939067" y="2422751"/>
          <a:ext cx="180974" cy="196823"/>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E</a:t>
          </a:r>
        </a:p>
      </xdr:txBody>
    </xdr:sp>
    <xdr:clientData/>
  </xdr:twoCellAnchor>
  <xdr:twoCellAnchor>
    <xdr:from>
      <xdr:col>13</xdr:col>
      <xdr:colOff>810986</xdr:colOff>
      <xdr:row>10</xdr:row>
      <xdr:rowOff>177800</xdr:rowOff>
    </xdr:from>
    <xdr:to>
      <xdr:col>13</xdr:col>
      <xdr:colOff>991960</xdr:colOff>
      <xdr:row>11</xdr:row>
      <xdr:rowOff>170516</xdr:rowOff>
    </xdr:to>
    <xdr:sp macro="" textlink="">
      <xdr:nvSpPr>
        <xdr:cNvPr id="30" name="Oval 29">
          <a:extLst>
            <a:ext uri="{FF2B5EF4-FFF2-40B4-BE49-F238E27FC236}">
              <a16:creationId xmlns:a16="http://schemas.microsoft.com/office/drawing/2014/main" id="{00000000-0008-0000-0000-00001E000000}"/>
            </a:ext>
          </a:extLst>
        </xdr:cNvPr>
        <xdr:cNvSpPr/>
      </xdr:nvSpPr>
      <xdr:spPr bwMode="auto">
        <a:xfrm>
          <a:off x="19845111" y="2416175"/>
          <a:ext cx="180974" cy="199091"/>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F</a:t>
          </a:r>
        </a:p>
      </xdr:txBody>
    </xdr:sp>
    <xdr:clientData/>
  </xdr:twoCellAnchor>
  <xdr:twoCellAnchor>
    <xdr:from>
      <xdr:col>10</xdr:col>
      <xdr:colOff>757238</xdr:colOff>
      <xdr:row>42</xdr:row>
      <xdr:rowOff>190500</xdr:rowOff>
    </xdr:from>
    <xdr:to>
      <xdr:col>10</xdr:col>
      <xdr:colOff>938212</xdr:colOff>
      <xdr:row>43</xdr:row>
      <xdr:rowOff>192741</xdr:rowOff>
    </xdr:to>
    <xdr:sp macro="" textlink="">
      <xdr:nvSpPr>
        <xdr:cNvPr id="34" name="Oval 33">
          <a:extLst>
            <a:ext uri="{FF2B5EF4-FFF2-40B4-BE49-F238E27FC236}">
              <a16:creationId xmlns:a16="http://schemas.microsoft.com/office/drawing/2014/main" id="{00000000-0008-0000-0000-000022000000}"/>
            </a:ext>
          </a:extLst>
        </xdr:cNvPr>
        <xdr:cNvSpPr/>
      </xdr:nvSpPr>
      <xdr:spPr bwMode="auto">
        <a:xfrm>
          <a:off x="13723144" y="9013031"/>
          <a:ext cx="180974" cy="204648"/>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A</a:t>
          </a:r>
        </a:p>
      </xdr:txBody>
    </xdr:sp>
    <xdr:clientData/>
  </xdr:twoCellAnchor>
  <xdr:twoCellAnchor>
    <xdr:from>
      <xdr:col>10</xdr:col>
      <xdr:colOff>762000</xdr:colOff>
      <xdr:row>39</xdr:row>
      <xdr:rowOff>190500</xdr:rowOff>
    </xdr:from>
    <xdr:to>
      <xdr:col>10</xdr:col>
      <xdr:colOff>942974</xdr:colOff>
      <xdr:row>40</xdr:row>
      <xdr:rowOff>192741</xdr:rowOff>
    </xdr:to>
    <xdr:sp macro="" textlink="">
      <xdr:nvSpPr>
        <xdr:cNvPr id="35" name="Oval 34">
          <a:extLst>
            <a:ext uri="{FF2B5EF4-FFF2-40B4-BE49-F238E27FC236}">
              <a16:creationId xmlns:a16="http://schemas.microsoft.com/office/drawing/2014/main" id="{00000000-0008-0000-0000-000023000000}"/>
            </a:ext>
          </a:extLst>
        </xdr:cNvPr>
        <xdr:cNvSpPr/>
      </xdr:nvSpPr>
      <xdr:spPr bwMode="auto">
        <a:xfrm>
          <a:off x="13716000" y="8286750"/>
          <a:ext cx="180974" cy="20226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B</a:t>
          </a:r>
        </a:p>
      </xdr:txBody>
    </xdr:sp>
    <xdr:clientData/>
  </xdr:twoCellAnchor>
  <xdr:twoCellAnchor>
    <xdr:from>
      <xdr:col>10</xdr:col>
      <xdr:colOff>764381</xdr:colOff>
      <xdr:row>40</xdr:row>
      <xdr:rowOff>178594</xdr:rowOff>
    </xdr:from>
    <xdr:to>
      <xdr:col>10</xdr:col>
      <xdr:colOff>945355</xdr:colOff>
      <xdr:row>41</xdr:row>
      <xdr:rowOff>180835</xdr:rowOff>
    </xdr:to>
    <xdr:sp macro="" textlink="">
      <xdr:nvSpPr>
        <xdr:cNvPr id="36" name="Oval 35">
          <a:extLst>
            <a:ext uri="{FF2B5EF4-FFF2-40B4-BE49-F238E27FC236}">
              <a16:creationId xmlns:a16="http://schemas.microsoft.com/office/drawing/2014/main" id="{00000000-0008-0000-0000-000024000000}"/>
            </a:ext>
          </a:extLst>
        </xdr:cNvPr>
        <xdr:cNvSpPr/>
      </xdr:nvSpPr>
      <xdr:spPr bwMode="auto">
        <a:xfrm>
          <a:off x="13730287" y="8596313"/>
          <a:ext cx="180974" cy="204647"/>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C</a:t>
          </a:r>
        </a:p>
      </xdr:txBody>
    </xdr:sp>
    <xdr:clientData/>
  </xdr:twoCellAnchor>
  <xdr:twoCellAnchor>
    <xdr:from>
      <xdr:col>10</xdr:col>
      <xdr:colOff>762000</xdr:colOff>
      <xdr:row>41</xdr:row>
      <xdr:rowOff>180975</xdr:rowOff>
    </xdr:from>
    <xdr:to>
      <xdr:col>10</xdr:col>
      <xdr:colOff>942974</xdr:colOff>
      <xdr:row>42</xdr:row>
      <xdr:rowOff>183216</xdr:rowOff>
    </xdr:to>
    <xdr:sp macro="" textlink="">
      <xdr:nvSpPr>
        <xdr:cNvPr id="39" name="Oval 38">
          <a:extLst>
            <a:ext uri="{FF2B5EF4-FFF2-40B4-BE49-F238E27FC236}">
              <a16:creationId xmlns:a16="http://schemas.microsoft.com/office/drawing/2014/main" id="{00000000-0008-0000-0000-000027000000}"/>
            </a:ext>
          </a:extLst>
        </xdr:cNvPr>
        <xdr:cNvSpPr/>
      </xdr:nvSpPr>
      <xdr:spPr bwMode="auto">
        <a:xfrm>
          <a:off x="13716000" y="8677275"/>
          <a:ext cx="180974" cy="20226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D</a:t>
          </a:r>
        </a:p>
      </xdr:txBody>
    </xdr:sp>
    <xdr:clientData/>
  </xdr:twoCellAnchor>
  <xdr:twoCellAnchor>
    <xdr:from>
      <xdr:col>6</xdr:col>
      <xdr:colOff>3</xdr:colOff>
      <xdr:row>95</xdr:row>
      <xdr:rowOff>22225</xdr:rowOff>
    </xdr:from>
    <xdr:to>
      <xdr:col>6</xdr:col>
      <xdr:colOff>190501</xdr:colOff>
      <xdr:row>96</xdr:row>
      <xdr:rowOff>0</xdr:rowOff>
    </xdr:to>
    <xdr:sp macro="" textlink="">
      <xdr:nvSpPr>
        <xdr:cNvPr id="44" name="Oval 43">
          <a:extLst>
            <a:ext uri="{FF2B5EF4-FFF2-40B4-BE49-F238E27FC236}">
              <a16:creationId xmlns:a16="http://schemas.microsoft.com/office/drawing/2014/main" id="{00000000-0008-0000-0000-00002C000000}"/>
            </a:ext>
          </a:extLst>
        </xdr:cNvPr>
        <xdr:cNvSpPr/>
      </xdr:nvSpPr>
      <xdr:spPr bwMode="auto">
        <a:xfrm>
          <a:off x="9350378" y="20135850"/>
          <a:ext cx="190498" cy="23177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H</a:t>
          </a:r>
        </a:p>
      </xdr:txBody>
    </xdr:sp>
    <xdr:clientData/>
  </xdr:twoCellAnchor>
  <xdr:twoCellAnchor>
    <xdr:from>
      <xdr:col>6</xdr:col>
      <xdr:colOff>0</xdr:colOff>
      <xdr:row>93</xdr:row>
      <xdr:rowOff>0</xdr:rowOff>
    </xdr:from>
    <xdr:to>
      <xdr:col>6</xdr:col>
      <xdr:colOff>180974</xdr:colOff>
      <xdr:row>94</xdr:row>
      <xdr:rowOff>2240</xdr:rowOff>
    </xdr:to>
    <xdr:sp macro="" textlink="">
      <xdr:nvSpPr>
        <xdr:cNvPr id="45" name="Oval 44">
          <a:extLst>
            <a:ext uri="{FF2B5EF4-FFF2-40B4-BE49-F238E27FC236}">
              <a16:creationId xmlns:a16="http://schemas.microsoft.com/office/drawing/2014/main" id="{00000000-0008-0000-0000-00002D000000}"/>
            </a:ext>
          </a:extLst>
        </xdr:cNvPr>
        <xdr:cNvSpPr/>
      </xdr:nvSpPr>
      <xdr:spPr bwMode="auto">
        <a:xfrm>
          <a:off x="8515350" y="19011900"/>
          <a:ext cx="180974" cy="20226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I</a:t>
          </a:r>
        </a:p>
      </xdr:txBody>
    </xdr:sp>
    <xdr:clientData/>
  </xdr:twoCellAnchor>
  <xdr:twoCellAnchor>
    <xdr:from>
      <xdr:col>11</xdr:col>
      <xdr:colOff>204107</xdr:colOff>
      <xdr:row>22</xdr:row>
      <xdr:rowOff>27214</xdr:rowOff>
    </xdr:from>
    <xdr:to>
      <xdr:col>11</xdr:col>
      <xdr:colOff>836839</xdr:colOff>
      <xdr:row>24</xdr:row>
      <xdr:rowOff>176893</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bwMode="auto">
        <a:xfrm flipV="1">
          <a:off x="15757071" y="4884964"/>
          <a:ext cx="632732" cy="557893"/>
        </a:xfrm>
        <a:prstGeom prst="straightConnector1">
          <a:avLst/>
        </a:prstGeom>
        <a:ln>
          <a:headEnd type="none" w="med" len="med"/>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698500</xdr:colOff>
      <xdr:row>45</xdr:row>
      <xdr:rowOff>0</xdr:rowOff>
    </xdr:from>
    <xdr:to>
      <xdr:col>10</xdr:col>
      <xdr:colOff>879474</xdr:colOff>
      <xdr:row>46</xdr:row>
      <xdr:rowOff>2241</xdr:rowOff>
    </xdr:to>
    <xdr:sp macro="" textlink="">
      <xdr:nvSpPr>
        <xdr:cNvPr id="18" name="Oval 17">
          <a:extLst>
            <a:ext uri="{FF2B5EF4-FFF2-40B4-BE49-F238E27FC236}">
              <a16:creationId xmlns:a16="http://schemas.microsoft.com/office/drawing/2014/main" id="{00000000-0008-0000-0000-000012000000}"/>
            </a:ext>
          </a:extLst>
        </xdr:cNvPr>
        <xdr:cNvSpPr/>
      </xdr:nvSpPr>
      <xdr:spPr bwMode="auto">
        <a:xfrm>
          <a:off x="15795625" y="9652000"/>
          <a:ext cx="180974" cy="20861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1759526</xdr:colOff>
      <xdr:row>403</xdr:row>
      <xdr:rowOff>176643</xdr:rowOff>
    </xdr:from>
    <xdr:to>
      <xdr:col>19</xdr:col>
      <xdr:colOff>340302</xdr:colOff>
      <xdr:row>404</xdr:row>
      <xdr:rowOff>33769</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3649708" y="79978825"/>
          <a:ext cx="1057276" cy="272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twoCellAnchor>
    <xdr:from>
      <xdr:col>17</xdr:col>
      <xdr:colOff>1756063</xdr:colOff>
      <xdr:row>404</xdr:row>
      <xdr:rowOff>207816</xdr:rowOff>
    </xdr:from>
    <xdr:to>
      <xdr:col>19</xdr:col>
      <xdr:colOff>336839</xdr:colOff>
      <xdr:row>405</xdr:row>
      <xdr:rowOff>64941</xdr:rowOff>
    </xdr:to>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23646245" y="80425634"/>
          <a:ext cx="1057276" cy="272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twoCellAnchor>
    <xdr:from>
      <xdr:col>17</xdr:col>
      <xdr:colOff>1759526</xdr:colOff>
      <xdr:row>40</xdr:row>
      <xdr:rowOff>176643</xdr:rowOff>
    </xdr:from>
    <xdr:to>
      <xdr:col>19</xdr:col>
      <xdr:colOff>340302</xdr:colOff>
      <xdr:row>41</xdr:row>
      <xdr:rowOff>33769</xdr:rowOff>
    </xdr:to>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23644614" y="78651437"/>
          <a:ext cx="1057276" cy="58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1166190</xdr:colOff>
      <xdr:row>8</xdr:row>
      <xdr:rowOff>198782</xdr:rowOff>
    </xdr:from>
    <xdr:to>
      <xdr:col>5</xdr:col>
      <xdr:colOff>221972</xdr:colOff>
      <xdr:row>11</xdr:row>
      <xdr:rowOff>57978</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318965" y="1798982"/>
          <a:ext cx="1551332" cy="45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FF0000"/>
              </a:solidFill>
            </a:rPr>
            <a:t>See</a:t>
          </a:r>
          <a:r>
            <a:rPr lang="en-US" sz="900" b="1" baseline="0">
              <a:solidFill>
                <a:srgbClr val="FF0000"/>
              </a:solidFill>
            </a:rPr>
            <a:t> Gov Wide Entries for Fund 9142 - </a:t>
          </a:r>
          <a:r>
            <a:rPr lang="en-US" sz="900" b="1" baseline="0">
              <a:solidFill>
                <a:srgbClr val="0000FF"/>
              </a:solidFill>
            </a:rPr>
            <a:t>tab 5</a:t>
          </a:r>
          <a:endParaRPr lang="en-US" sz="900" b="1">
            <a:solidFill>
              <a:srgbClr val="0000FF"/>
            </a:solidFill>
          </a:endParaRPr>
        </a:p>
      </xdr:txBody>
    </xdr:sp>
    <xdr:clientData/>
  </xdr:twoCellAnchor>
  <xdr:twoCellAnchor>
    <xdr:from>
      <xdr:col>4</xdr:col>
      <xdr:colOff>124239</xdr:colOff>
      <xdr:row>10</xdr:row>
      <xdr:rowOff>157370</xdr:rowOff>
    </xdr:from>
    <xdr:to>
      <xdr:col>4</xdr:col>
      <xdr:colOff>124239</xdr:colOff>
      <xdr:row>15</xdr:row>
      <xdr:rowOff>149087</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bwMode="auto">
        <a:xfrm>
          <a:off x="4091609" y="2145196"/>
          <a:ext cx="0" cy="985630"/>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1219201</xdr:colOff>
      <xdr:row>7</xdr:row>
      <xdr:rowOff>177662</xdr:rowOff>
    </xdr:from>
    <xdr:to>
      <xdr:col>4</xdr:col>
      <xdr:colOff>295275</xdr:colOff>
      <xdr:row>9</xdr:row>
      <xdr:rowOff>49037</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flipH="1">
          <a:off x="5343526" y="1977887"/>
          <a:ext cx="390524" cy="27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PY</a:t>
          </a:r>
        </a:p>
      </xdr:txBody>
    </xdr:sp>
    <xdr:clientData/>
  </xdr:twoCellAnchor>
  <xdr:twoCellAnchor>
    <xdr:from>
      <xdr:col>4</xdr:col>
      <xdr:colOff>44311</xdr:colOff>
      <xdr:row>9</xdr:row>
      <xdr:rowOff>123825</xdr:rowOff>
    </xdr:from>
    <xdr:to>
      <xdr:col>4</xdr:col>
      <xdr:colOff>44311</xdr:colOff>
      <xdr:row>15</xdr:row>
      <xdr:rowOff>9524</xdr:rowOff>
    </xdr:to>
    <xdr:cxnSp macro="">
      <xdr:nvCxnSpPr>
        <xdr:cNvPr id="7" name="Straight Arrow Connector 6">
          <a:extLst>
            <a:ext uri="{FF2B5EF4-FFF2-40B4-BE49-F238E27FC236}">
              <a16:creationId xmlns:a16="http://schemas.microsoft.com/office/drawing/2014/main" id="{00000000-0008-0000-0400-000007000000}"/>
            </a:ext>
          </a:extLst>
        </xdr:cNvPr>
        <xdr:cNvCxnSpPr/>
      </xdr:nvCxnSpPr>
      <xdr:spPr bwMode="auto">
        <a:xfrm>
          <a:off x="5483086" y="2324100"/>
          <a:ext cx="0" cy="1085849"/>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615462</xdr:colOff>
      <xdr:row>16</xdr:row>
      <xdr:rowOff>36634</xdr:rowOff>
    </xdr:from>
    <xdr:to>
      <xdr:col>8</xdr:col>
      <xdr:colOff>615462</xdr:colOff>
      <xdr:row>17</xdr:row>
      <xdr:rowOff>153865</xdr:rowOff>
    </xdr:to>
    <xdr:cxnSp macro="">
      <xdr:nvCxnSpPr>
        <xdr:cNvPr id="3" name="Straight Arrow Connector 2">
          <a:extLst>
            <a:ext uri="{FF2B5EF4-FFF2-40B4-BE49-F238E27FC236}">
              <a16:creationId xmlns:a16="http://schemas.microsoft.com/office/drawing/2014/main" id="{00000000-0008-0000-0500-000003000000}"/>
            </a:ext>
          </a:extLst>
        </xdr:cNvPr>
        <xdr:cNvCxnSpPr/>
      </xdr:nvCxnSpPr>
      <xdr:spPr bwMode="auto">
        <a:xfrm flipV="1">
          <a:off x="6484327" y="3201865"/>
          <a:ext cx="0" cy="315058"/>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136071</xdr:colOff>
      <xdr:row>26</xdr:row>
      <xdr:rowOff>217714</xdr:rowOff>
    </xdr:from>
    <xdr:to>
      <xdr:col>71</xdr:col>
      <xdr:colOff>190500</xdr:colOff>
      <xdr:row>26</xdr:row>
      <xdr:rowOff>217715</xdr:rowOff>
    </xdr:to>
    <xdr:cxnSp macro="">
      <xdr:nvCxnSpPr>
        <xdr:cNvPr id="3" name="Straight Connector 2">
          <a:extLst>
            <a:ext uri="{FF2B5EF4-FFF2-40B4-BE49-F238E27FC236}">
              <a16:creationId xmlns:a16="http://schemas.microsoft.com/office/drawing/2014/main" id="{00000000-0008-0000-0900-000003000000}"/>
            </a:ext>
          </a:extLst>
        </xdr:cNvPr>
        <xdr:cNvCxnSpPr/>
      </xdr:nvCxnSpPr>
      <xdr:spPr bwMode="auto">
        <a:xfrm>
          <a:off x="1020535" y="7334250"/>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40822</xdr:colOff>
      <xdr:row>26</xdr:row>
      <xdr:rowOff>204107</xdr:rowOff>
    </xdr:from>
    <xdr:to>
      <xdr:col>71</xdr:col>
      <xdr:colOff>68037</xdr:colOff>
      <xdr:row>26</xdr:row>
      <xdr:rowOff>204108</xdr:rowOff>
    </xdr:to>
    <xdr:cxnSp macro="">
      <xdr:nvCxnSpPr>
        <xdr:cNvPr id="2" name="Straight Connector 1">
          <a:extLst>
            <a:ext uri="{FF2B5EF4-FFF2-40B4-BE49-F238E27FC236}">
              <a16:creationId xmlns:a16="http://schemas.microsoft.com/office/drawing/2014/main" id="{00000000-0008-0000-0E00-000002000000}"/>
            </a:ext>
          </a:extLst>
        </xdr:cNvPr>
        <xdr:cNvCxnSpPr/>
      </xdr:nvCxnSpPr>
      <xdr:spPr bwMode="auto">
        <a:xfrm>
          <a:off x="925286" y="7320643"/>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27215</xdr:colOff>
      <xdr:row>29</xdr:row>
      <xdr:rowOff>204107</xdr:rowOff>
    </xdr:from>
    <xdr:to>
      <xdr:col>71</xdr:col>
      <xdr:colOff>54430</xdr:colOff>
      <xdr:row>29</xdr:row>
      <xdr:rowOff>204108</xdr:rowOff>
    </xdr:to>
    <xdr:cxnSp macro="">
      <xdr:nvCxnSpPr>
        <xdr:cNvPr id="3" name="Straight Connector 2">
          <a:extLst>
            <a:ext uri="{FF2B5EF4-FFF2-40B4-BE49-F238E27FC236}">
              <a16:creationId xmlns:a16="http://schemas.microsoft.com/office/drawing/2014/main" id="{00000000-0008-0000-0E00-000003000000}"/>
            </a:ext>
          </a:extLst>
        </xdr:cNvPr>
        <xdr:cNvCxnSpPr/>
      </xdr:nvCxnSpPr>
      <xdr:spPr bwMode="auto">
        <a:xfrm>
          <a:off x="911679" y="8218714"/>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190499</xdr:colOff>
      <xdr:row>14</xdr:row>
      <xdr:rowOff>190500</xdr:rowOff>
    </xdr:from>
    <xdr:to>
      <xdr:col>71</xdr:col>
      <xdr:colOff>0</xdr:colOff>
      <xdr:row>14</xdr:row>
      <xdr:rowOff>190501</xdr:rowOff>
    </xdr:to>
    <xdr:cxnSp macro="">
      <xdr:nvCxnSpPr>
        <xdr:cNvPr id="2" name="Straight Connector 1">
          <a:extLst>
            <a:ext uri="{FF2B5EF4-FFF2-40B4-BE49-F238E27FC236}">
              <a16:creationId xmlns:a16="http://schemas.microsoft.com/office/drawing/2014/main" id="{00000000-0008-0000-1200-000002000000}"/>
            </a:ext>
          </a:extLst>
        </xdr:cNvPr>
        <xdr:cNvCxnSpPr/>
      </xdr:nvCxnSpPr>
      <xdr:spPr bwMode="auto">
        <a:xfrm>
          <a:off x="830035" y="3714750"/>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176893</xdr:colOff>
      <xdr:row>17</xdr:row>
      <xdr:rowOff>190500</xdr:rowOff>
    </xdr:from>
    <xdr:to>
      <xdr:col>70</xdr:col>
      <xdr:colOff>231323</xdr:colOff>
      <xdr:row>17</xdr:row>
      <xdr:rowOff>190501</xdr:rowOff>
    </xdr:to>
    <xdr:cxnSp macro="">
      <xdr:nvCxnSpPr>
        <xdr:cNvPr id="3" name="Straight Connector 2">
          <a:extLst>
            <a:ext uri="{FF2B5EF4-FFF2-40B4-BE49-F238E27FC236}">
              <a16:creationId xmlns:a16="http://schemas.microsoft.com/office/drawing/2014/main" id="{00000000-0008-0000-1200-000003000000}"/>
            </a:ext>
          </a:extLst>
        </xdr:cNvPr>
        <xdr:cNvCxnSpPr/>
      </xdr:nvCxnSpPr>
      <xdr:spPr bwMode="auto">
        <a:xfrm>
          <a:off x="816429" y="4612821"/>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27214</xdr:colOff>
      <xdr:row>26</xdr:row>
      <xdr:rowOff>204107</xdr:rowOff>
    </xdr:from>
    <xdr:to>
      <xdr:col>71</xdr:col>
      <xdr:colOff>81643</xdr:colOff>
      <xdr:row>26</xdr:row>
      <xdr:rowOff>204108</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bwMode="auto">
        <a:xfrm>
          <a:off x="911678" y="7320643"/>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29</xdr:row>
      <xdr:rowOff>204107</xdr:rowOff>
    </xdr:from>
    <xdr:to>
      <xdr:col>71</xdr:col>
      <xdr:colOff>54429</xdr:colOff>
      <xdr:row>29</xdr:row>
      <xdr:rowOff>204108</xdr:rowOff>
    </xdr:to>
    <xdr:cxnSp macro="">
      <xdr:nvCxnSpPr>
        <xdr:cNvPr id="5" name="Straight Connector 4">
          <a:extLst>
            <a:ext uri="{FF2B5EF4-FFF2-40B4-BE49-F238E27FC236}">
              <a16:creationId xmlns:a16="http://schemas.microsoft.com/office/drawing/2014/main" id="{00000000-0008-0000-1200-000005000000}"/>
            </a:ext>
          </a:extLst>
        </xdr:cNvPr>
        <xdr:cNvCxnSpPr/>
      </xdr:nvCxnSpPr>
      <xdr:spPr bwMode="auto">
        <a:xfrm>
          <a:off x="884464" y="8218714"/>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72AA939-92C7-4086-9795-8886007364F0}"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Y GAAP" connectionId="1" xr16:uid="{00000000-0016-0000-0800-000001000000}" autoFormatId="16" applyNumberFormats="0" applyBorderFormats="0" applyFontFormats="0" applyPatternFormats="0" applyAlignmentFormats="0" applyWidthHeightFormats="0">
  <queryTableRefresh nextId="16">
    <queryTableFields count="15">
      <queryTableField id="1" name="Fund" tableColumnId="1"/>
      <queryTableField id="2" name="t2" tableColumnId="2"/>
      <queryTableField id="3" name="T3" tableColumnId="3"/>
      <queryTableField id="4" name="T4" tableColumnId="4"/>
      <queryTableField id="5" name="Title" tableColumnId="5"/>
      <queryTableField id="6" name="GenCode" tableColumnId="6"/>
      <queryTableField id="7" name="GLAccount" tableColumnId="7"/>
      <queryTableField id="15" dataBound="0" tableColumnId="15"/>
      <queryTableField id="8" name="Amount" tableColumnId="8"/>
      <queryTableField id="9" name="FundName" tableColumnId="9"/>
      <queryTableField id="10" name="FundClass" tableColumnId="10"/>
      <queryTableField id="11" name="Hier1" tableColumnId="11"/>
      <queryTableField id="12" name="MajorMinor" tableColumnId="12"/>
      <queryTableField id="13" name="Hier2" tableColumnId="13"/>
      <queryTableField id="14" name="Color"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17B0D9-284C-41F4-A271-201FD891C54F}" name="K0717_2024_Jun__3" displayName="K0717_2024_Jun__3" ref="A1:A331" tableType="queryTable" totalsRowShown="0">
  <autoFilter ref="A1:A331" xr:uid="{1217B0D9-284C-41F4-A271-201FD891C54F}"/>
  <tableColumns count="1">
    <tableColumn id="1" xr3:uid="{6F71ED2C-3326-43D3-822A-110FD7965CD2}" uniqueName="1" name="Column1" queryTableFieldId="1"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Y_GAAP" displayName="Table_CY_GAAP" ref="A4:O13" tableType="queryTable" totalsRowShown="0">
  <autoFilter ref="A4:O13" xr:uid="{00000000-0009-0000-0100-000002000000}"/>
  <tableColumns count="15">
    <tableColumn id="1" xr3:uid="{00000000-0010-0000-0000-000001000000}" uniqueName="1" name="Fund" queryTableFieldId="1"/>
    <tableColumn id="2" xr3:uid="{00000000-0010-0000-0000-000002000000}" uniqueName="2" name="t2" queryTableFieldId="2"/>
    <tableColumn id="3" xr3:uid="{00000000-0010-0000-0000-000003000000}" uniqueName="3" name="T3" queryTableFieldId="3"/>
    <tableColumn id="4" xr3:uid="{00000000-0010-0000-0000-000004000000}" uniqueName="4" name="T4" queryTableFieldId="4"/>
    <tableColumn id="5" xr3:uid="{00000000-0010-0000-0000-000005000000}" uniqueName="5" name="Title" queryTableFieldId="5"/>
    <tableColumn id="6" xr3:uid="{00000000-0010-0000-0000-000006000000}" uniqueName="6" name="GenCode" queryTableFieldId="6"/>
    <tableColumn id="7" xr3:uid="{00000000-0010-0000-0000-000007000000}" uniqueName="7" name="GLAccount" queryTableFieldId="7"/>
    <tableColumn id="15" xr3:uid="{00000000-0010-0000-0000-00000F000000}" uniqueName="15" name="Fund&amp;Glccount" queryTableFieldId="15" dataDxfId="6">
      <calculatedColumnFormula>Table_CY_GAAP[[#This Row],[Fund]]&amp;Table_CY_GAAP[[#This Row],[GLAccount]]</calculatedColumnFormula>
    </tableColumn>
    <tableColumn id="8" xr3:uid="{00000000-0010-0000-0000-000008000000}" uniqueName="8" name="Amount" queryTableFieldId="8" dataDxfId="5" dataCellStyle="Comma"/>
    <tableColumn id="9" xr3:uid="{00000000-0010-0000-0000-000009000000}" uniqueName="9" name="FundName" queryTableFieldId="9"/>
    <tableColumn id="10" xr3:uid="{00000000-0010-0000-0000-00000A000000}" uniqueName="10" name="FundClass" queryTableFieldId="10"/>
    <tableColumn id="11" xr3:uid="{00000000-0010-0000-0000-00000B000000}" uniqueName="11" name="Hier1" queryTableFieldId="11"/>
    <tableColumn id="12" xr3:uid="{00000000-0010-0000-0000-00000C000000}" uniqueName="12" name="MajorMinor" queryTableFieldId="12"/>
    <tableColumn id="13" xr3:uid="{00000000-0010-0000-0000-00000D000000}" uniqueName="13" name="Hier2" queryTableFieldId="13"/>
    <tableColumn id="14" xr3:uid="{00000000-0010-0000-0000-00000E000000}" uniqueName="14" name="Color" queryTableFieldId="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33"/>
  <sheetViews>
    <sheetView zoomScale="80" zoomScaleNormal="80" workbookViewId="0">
      <selection activeCell="B14" sqref="B14"/>
    </sheetView>
  </sheetViews>
  <sheetFormatPr defaultColWidth="9.81640625" defaultRowHeight="15.6"/>
  <cols>
    <col min="1" max="1" width="41.36328125" style="108" customWidth="1"/>
    <col min="2" max="2" width="15.453125" style="104" bestFit="1" customWidth="1"/>
    <col min="3" max="3" width="7" style="636" customWidth="1"/>
    <col min="4" max="4" width="18.36328125" style="105" customWidth="1"/>
    <col min="5" max="5" width="3.6328125" style="659" customWidth="1"/>
    <col min="6" max="6" width="24.81640625" style="105" customWidth="1"/>
    <col min="7" max="7" width="26.453125" style="106" customWidth="1"/>
    <col min="8" max="8" width="9" style="105" customWidth="1"/>
    <col min="9" max="9" width="4.90625" style="105" customWidth="1"/>
    <col min="10" max="10" width="25.08984375" style="105" customWidth="1"/>
    <col min="11" max="11" width="24.1796875" style="105" customWidth="1"/>
    <col min="12" max="12" width="17.453125" style="105" customWidth="1"/>
    <col min="13" max="13" width="4.36328125" style="692" customWidth="1"/>
    <col min="14" max="14" width="22.08984375" style="105" customWidth="1"/>
    <col min="15" max="15" width="11.36328125" style="105" bestFit="1" customWidth="1"/>
    <col min="16" max="16" width="3.08984375" style="105" customWidth="1"/>
    <col min="17" max="17" width="10.6328125" style="105" customWidth="1"/>
    <col min="18" max="18" width="10.81640625" style="105" bestFit="1" customWidth="1"/>
    <col min="19" max="19" width="10.08984375" style="105" bestFit="1" customWidth="1"/>
    <col min="20" max="20" width="12.90625" style="105" customWidth="1"/>
    <col min="21" max="21" width="16.08984375" style="105" customWidth="1"/>
    <col min="22" max="16384" width="9.81640625" style="105"/>
  </cols>
  <sheetData>
    <row r="1" spans="1:20" ht="16.8">
      <c r="A1" s="150" t="s">
        <v>189</v>
      </c>
      <c r="C1" s="635" t="s">
        <v>1346</v>
      </c>
      <c r="E1" s="692" t="s">
        <v>1346</v>
      </c>
      <c r="H1" s="398"/>
      <c r="I1" s="399"/>
      <c r="J1" s="745"/>
      <c r="K1" s="740" t="s">
        <v>1383</v>
      </c>
      <c r="L1" s="107"/>
      <c r="M1" s="721"/>
      <c r="N1" s="107"/>
      <c r="O1" s="107"/>
      <c r="P1" s="107"/>
      <c r="Q1" s="107"/>
    </row>
    <row r="2" spans="1:20" ht="16.8">
      <c r="A2" s="150" t="s">
        <v>1475</v>
      </c>
      <c r="D2" s="6" t="s">
        <v>190</v>
      </c>
      <c r="F2" s="56" t="s">
        <v>191</v>
      </c>
      <c r="G2" s="57" t="s">
        <v>192</v>
      </c>
      <c r="H2" s="400"/>
      <c r="I2" s="399"/>
      <c r="J2" s="107"/>
      <c r="K2" s="107"/>
      <c r="L2" s="107"/>
      <c r="M2" s="721"/>
      <c r="N2" s="107"/>
      <c r="O2" s="107"/>
      <c r="P2" s="107"/>
      <c r="Q2" s="107"/>
    </row>
    <row r="3" spans="1:20">
      <c r="A3" s="65"/>
      <c r="B3" s="58" t="s">
        <v>193</v>
      </c>
      <c r="C3" s="637"/>
      <c r="D3" s="56" t="s">
        <v>194</v>
      </c>
      <c r="E3" s="660"/>
      <c r="F3" s="56" t="s">
        <v>195</v>
      </c>
      <c r="G3" s="57" t="s">
        <v>196</v>
      </c>
      <c r="H3" s="398"/>
      <c r="I3" s="398"/>
    </row>
    <row r="4" spans="1:20" s="6" customFormat="1">
      <c r="A4" s="59"/>
      <c r="B4" s="60" t="s">
        <v>197</v>
      </c>
      <c r="C4" s="638"/>
      <c r="D4" s="60" t="s">
        <v>198</v>
      </c>
      <c r="E4" s="638"/>
      <c r="F4" s="61" t="s">
        <v>199</v>
      </c>
      <c r="G4" s="62" t="s">
        <v>200</v>
      </c>
      <c r="H4" s="401"/>
      <c r="I4" s="401"/>
      <c r="M4" s="659"/>
    </row>
    <row r="5" spans="1:20">
      <c r="A5" s="108" t="s">
        <v>201</v>
      </c>
      <c r="B5" s="816">
        <f>'8. K0717_2024_Jun '!B332</f>
        <v>686591030.19000006</v>
      </c>
      <c r="C5" s="634" t="s">
        <v>1347</v>
      </c>
      <c r="D5" s="633">
        <v>9.2999999999999992E-3</v>
      </c>
      <c r="E5" s="734" t="s">
        <v>314</v>
      </c>
      <c r="F5" s="104">
        <f>B5*D5</f>
        <v>6385296.5807670001</v>
      </c>
      <c r="G5" s="390">
        <f>+F5/'2. K0215-June 30, 2024'!R11</f>
        <v>1.5716523625337773E-3</v>
      </c>
      <c r="H5" s="398"/>
      <c r="I5" s="398"/>
      <c r="K5" s="148"/>
    </row>
    <row r="6" spans="1:20">
      <c r="A6" s="65" t="s">
        <v>791</v>
      </c>
      <c r="B6" s="81">
        <f>-L21*1000</f>
        <v>1820000</v>
      </c>
      <c r="C6" s="746" t="s">
        <v>1382</v>
      </c>
      <c r="D6" s="110"/>
      <c r="E6" s="707"/>
      <c r="F6" s="104"/>
      <c r="H6" s="398"/>
      <c r="I6" s="402"/>
    </row>
    <row r="7" spans="1:20" ht="30" customHeight="1">
      <c r="A7" s="63" t="s">
        <v>297</v>
      </c>
      <c r="B7" s="64" t="s">
        <v>202</v>
      </c>
      <c r="C7" s="639"/>
      <c r="D7" s="64" t="s">
        <v>203</v>
      </c>
      <c r="E7" s="637"/>
      <c r="F7" s="104"/>
      <c r="H7" s="398"/>
      <c r="I7" s="398"/>
      <c r="J7" s="529" t="s">
        <v>818</v>
      </c>
      <c r="K7" s="456"/>
      <c r="L7" s="457"/>
      <c r="M7" s="732" t="s">
        <v>1346</v>
      </c>
      <c r="N7" s="458"/>
      <c r="O7" s="697" t="s">
        <v>1346</v>
      </c>
      <c r="P7" s="581"/>
      <c r="Q7" s="581"/>
      <c r="R7" s="111"/>
      <c r="S7" s="111"/>
      <c r="T7" s="111"/>
    </row>
    <row r="8" spans="1:20">
      <c r="A8" s="112" t="s">
        <v>1264</v>
      </c>
      <c r="B8" s="104">
        <f>+'2. K0215-June 30, 2024'!Q418</f>
        <v>9909595.3899999987</v>
      </c>
      <c r="C8" s="636" t="s">
        <v>1349</v>
      </c>
      <c r="D8" s="113">
        <f>ROUND($G$5,3)</f>
        <v>2E-3</v>
      </c>
      <c r="E8" s="708"/>
      <c r="F8" s="104">
        <f>-(B8*D8)</f>
        <v>-19819.190779999997</v>
      </c>
      <c r="H8" s="398"/>
      <c r="I8" s="398"/>
      <c r="J8" s="114"/>
      <c r="K8" s="6">
        <v>2024</v>
      </c>
      <c r="L8" s="461"/>
      <c r="M8" s="659"/>
      <c r="N8" s="6">
        <v>2023</v>
      </c>
      <c r="O8" s="697"/>
      <c r="Q8" s="6"/>
      <c r="R8" s="117"/>
      <c r="S8" s="111"/>
      <c r="T8" s="111"/>
    </row>
    <row r="9" spans="1:20" ht="16.5" customHeight="1">
      <c r="A9" s="108" t="s">
        <v>1265</v>
      </c>
      <c r="B9" s="104">
        <f>+'2. K0215-June 30, 2024'!Q455</f>
        <v>36058777.580000006</v>
      </c>
      <c r="C9" s="636" t="s">
        <v>1349</v>
      </c>
      <c r="D9" s="113">
        <f>ROUND($G$5,3)</f>
        <v>2E-3</v>
      </c>
      <c r="E9" s="708"/>
      <c r="F9" s="118">
        <f>-(B9*D9)</f>
        <v>-72117.555160000018</v>
      </c>
      <c r="H9" s="398"/>
      <c r="I9" s="398"/>
      <c r="J9" s="119" t="s">
        <v>745</v>
      </c>
      <c r="K9" s="122">
        <f>N12</f>
        <v>0</v>
      </c>
      <c r="L9" s="462"/>
      <c r="M9" s="722"/>
      <c r="N9" s="122"/>
      <c r="O9" s="733" t="s">
        <v>1464</v>
      </c>
      <c r="Q9" s="528"/>
      <c r="R9" s="117"/>
      <c r="S9" s="111"/>
      <c r="T9" s="111"/>
    </row>
    <row r="10" spans="1:20" ht="16.2" thickBot="1">
      <c r="A10" s="65" t="s">
        <v>205</v>
      </c>
      <c r="B10" s="479"/>
      <c r="C10" s="640"/>
      <c r="D10" s="120"/>
      <c r="E10" s="660"/>
      <c r="F10" s="66">
        <f>SUM(F5:F9)</f>
        <v>6293359.8348270003</v>
      </c>
      <c r="G10" s="106" t="s">
        <v>444</v>
      </c>
      <c r="H10" s="398"/>
      <c r="I10" s="398"/>
      <c r="J10" s="392" t="s">
        <v>782</v>
      </c>
      <c r="K10" s="97">
        <f>+K12-K9-K11</f>
        <v>688411.03019000008</v>
      </c>
      <c r="L10" s="460"/>
      <c r="M10" s="723"/>
      <c r="N10" s="97"/>
      <c r="O10" s="733" t="s">
        <v>1465</v>
      </c>
      <c r="Q10" s="97"/>
      <c r="R10" s="117"/>
      <c r="S10" s="111"/>
      <c r="T10" s="111"/>
    </row>
    <row r="11" spans="1:20" ht="16.2" thickTop="1">
      <c r="D11" s="120"/>
      <c r="E11" s="660"/>
      <c r="F11" s="120"/>
      <c r="H11" s="398"/>
      <c r="I11" s="398"/>
      <c r="J11" s="392" t="s">
        <v>744</v>
      </c>
      <c r="K11" s="104">
        <f>((B5+B6)/1000*-1)</f>
        <v>-688411.03019000008</v>
      </c>
      <c r="L11" s="97"/>
      <c r="M11" s="723"/>
      <c r="N11" s="97"/>
      <c r="O11" s="733" t="s">
        <v>1466</v>
      </c>
      <c r="Q11" s="97"/>
      <c r="R11" s="117"/>
      <c r="S11" s="111"/>
      <c r="T11" s="111"/>
    </row>
    <row r="12" spans="1:20" ht="16.2" thickBot="1">
      <c r="B12" s="58" t="s">
        <v>206</v>
      </c>
      <c r="C12" s="637"/>
      <c r="D12" s="120"/>
      <c r="E12" s="660"/>
      <c r="F12" s="56" t="s">
        <v>191</v>
      </c>
      <c r="H12" s="398"/>
      <c r="I12" s="398"/>
      <c r="J12" s="119" t="s">
        <v>746</v>
      </c>
      <c r="K12" s="593">
        <f>N22</f>
        <v>0</v>
      </c>
      <c r="L12" s="282"/>
      <c r="M12" s="724"/>
      <c r="N12" s="594">
        <f>SUM(N9:N11)</f>
        <v>0</v>
      </c>
      <c r="O12" s="733" t="s">
        <v>1467</v>
      </c>
      <c r="Q12" s="282"/>
      <c r="R12" s="117"/>
      <c r="S12" s="111"/>
      <c r="T12" s="111"/>
    </row>
    <row r="13" spans="1:20" ht="16.2" thickTop="1">
      <c r="A13" s="67"/>
      <c r="B13" s="64" t="s">
        <v>1268</v>
      </c>
      <c r="C13" s="639"/>
      <c r="D13" s="68" t="s">
        <v>1269</v>
      </c>
      <c r="E13" s="644"/>
      <c r="F13" s="68" t="s">
        <v>1270</v>
      </c>
      <c r="H13" s="398"/>
      <c r="I13" s="398"/>
      <c r="J13" s="121"/>
      <c r="L13" s="282" t="s">
        <v>342</v>
      </c>
      <c r="M13" s="724"/>
      <c r="N13" s="692" t="str">
        <f>IF(N12=N19,"OK","ERROR")</f>
        <v>OK</v>
      </c>
      <c r="O13" s="122"/>
      <c r="Q13" s="122"/>
      <c r="R13" s="117"/>
      <c r="S13" s="111"/>
      <c r="T13" s="111"/>
    </row>
    <row r="14" spans="1:20" ht="21.6">
      <c r="A14" s="108" t="s">
        <v>1378</v>
      </c>
      <c r="B14" s="83">
        <f>+'2. K0215-June 30, 2024'!Q293</f>
        <v>3032137075.3569961</v>
      </c>
      <c r="C14" s="751" t="s">
        <v>1388</v>
      </c>
      <c r="D14" s="123">
        <f>B14/B17</f>
        <v>0.75492241568692053</v>
      </c>
      <c r="E14" s="709"/>
      <c r="F14" s="104">
        <f>D14*$F$10</f>
        <v>4750998.4092946379</v>
      </c>
      <c r="H14" s="398"/>
      <c r="I14" s="398"/>
      <c r="J14" s="124"/>
      <c r="K14" s="125"/>
      <c r="L14" s="126"/>
      <c r="M14" s="725"/>
      <c r="N14" s="748" t="s">
        <v>1473</v>
      </c>
      <c r="O14" s="580"/>
      <c r="P14" s="580"/>
      <c r="Q14" s="580"/>
      <c r="R14" s="111"/>
      <c r="S14" s="111"/>
      <c r="T14" s="111"/>
    </row>
    <row r="15" spans="1:20" ht="21.6">
      <c r="A15" s="108" t="s">
        <v>1377</v>
      </c>
      <c r="B15" s="434">
        <f>+'2. K0215-June 30, 2024'!Q414</f>
        <v>984351258.21300125</v>
      </c>
      <c r="C15" s="751" t="s">
        <v>1389</v>
      </c>
      <c r="D15" s="127">
        <f>B15/B17</f>
        <v>0.24507758431307952</v>
      </c>
      <c r="E15" s="710"/>
      <c r="F15" s="128">
        <f>D15*$F$10</f>
        <v>1542361.4255323624</v>
      </c>
      <c r="G15" s="673" t="s">
        <v>285</v>
      </c>
      <c r="H15" s="398"/>
      <c r="I15" s="398"/>
      <c r="K15" s="76"/>
      <c r="L15" s="135"/>
      <c r="M15" s="637"/>
      <c r="O15" s="580"/>
      <c r="P15" s="132"/>
    </row>
    <row r="16" spans="1:20" ht="16.2" thickBot="1">
      <c r="A16" s="108" t="s">
        <v>286</v>
      </c>
      <c r="B16" s="83">
        <f>+B14+B15</f>
        <v>4016488333.5699973</v>
      </c>
      <c r="C16" s="752"/>
      <c r="D16" s="123"/>
      <c r="E16" s="709"/>
      <c r="F16" s="104">
        <f>+F14+F15</f>
        <v>6293359.8348270003</v>
      </c>
      <c r="G16" s="106">
        <f>+F14</f>
        <v>4750998.4092946379</v>
      </c>
      <c r="H16" s="398"/>
      <c r="I16" s="398"/>
      <c r="O16" s="580"/>
      <c r="P16" s="132"/>
    </row>
    <row r="17" spans="1:25" ht="16.2" thickBot="1">
      <c r="B17" s="66">
        <f>+B16</f>
        <v>4016488333.5699973</v>
      </c>
      <c r="C17" s="642"/>
      <c r="D17" s="69">
        <f>SUM(D14:D16)</f>
        <v>1</v>
      </c>
      <c r="E17" s="661"/>
      <c r="F17" s="66">
        <f>+F16</f>
        <v>6293359.8348270003</v>
      </c>
      <c r="H17" s="398"/>
      <c r="I17" s="398"/>
      <c r="J17" s="485" t="s">
        <v>819</v>
      </c>
      <c r="K17" s="459"/>
      <c r="L17" s="699"/>
      <c r="M17" s="635"/>
      <c r="R17" s="762"/>
      <c r="S17" s="763"/>
      <c r="T17" s="763"/>
      <c r="U17" s="782" t="s">
        <v>1393</v>
      </c>
      <c r="V17" s="781" t="s">
        <v>1394</v>
      </c>
      <c r="W17" s="763"/>
      <c r="X17" s="763"/>
      <c r="Y17" s="764"/>
    </row>
    <row r="18" spans="1:25" ht="16.2" thickTop="1">
      <c r="A18" s="435"/>
      <c r="B18" s="436"/>
      <c r="C18" s="643"/>
      <c r="D18" s="437"/>
      <c r="E18" s="711"/>
      <c r="F18" s="437"/>
      <c r="G18" s="396"/>
      <c r="H18" s="398"/>
      <c r="I18" s="398"/>
      <c r="J18" s="467"/>
      <c r="K18" s="468" t="s">
        <v>364</v>
      </c>
      <c r="L18" s="469" t="s">
        <v>390</v>
      </c>
      <c r="M18" s="732" t="s">
        <v>1346</v>
      </c>
      <c r="N18" s="470" t="s">
        <v>371</v>
      </c>
      <c r="R18" s="765"/>
      <c r="S18" s="779" t="s">
        <v>1396</v>
      </c>
      <c r="T18" s="779" t="s">
        <v>1386</v>
      </c>
      <c r="U18" s="779" t="s">
        <v>1387</v>
      </c>
      <c r="V18" s="780" t="s">
        <v>1392</v>
      </c>
      <c r="W18" s="766"/>
      <c r="X18" s="766"/>
      <c r="Y18" s="767"/>
    </row>
    <row r="19" spans="1:25">
      <c r="A19" s="70" t="s">
        <v>748</v>
      </c>
      <c r="D19" s="120"/>
      <c r="E19" s="660"/>
      <c r="F19" s="120"/>
      <c r="H19" s="398"/>
      <c r="I19" s="398"/>
      <c r="J19" s="459" t="s">
        <v>365</v>
      </c>
      <c r="K19" s="104">
        <f>N12-L19</f>
        <v>-14535</v>
      </c>
      <c r="L19" s="104">
        <f>U21</f>
        <v>14535</v>
      </c>
      <c r="M19" s="747" t="s">
        <v>1399</v>
      </c>
      <c r="N19" s="104">
        <f t="shared" ref="N19:N23" si="0">SUM(K19:L19)</f>
        <v>0</v>
      </c>
      <c r="O19" s="686"/>
      <c r="P19" s="679"/>
      <c r="R19" s="771"/>
      <c r="S19" s="769" t="s">
        <v>1390</v>
      </c>
      <c r="T19" s="772">
        <v>8337</v>
      </c>
      <c r="U19" s="772">
        <v>9791</v>
      </c>
      <c r="V19" s="773">
        <f>T19-U19</f>
        <v>-1454</v>
      </c>
      <c r="W19" s="775" t="s">
        <v>1395</v>
      </c>
      <c r="X19" s="769"/>
      <c r="Y19" s="770"/>
    </row>
    <row r="20" spans="1:25">
      <c r="A20" s="71" t="s">
        <v>207</v>
      </c>
      <c r="B20" s="68" t="s">
        <v>211</v>
      </c>
      <c r="C20" s="644"/>
      <c r="D20" s="68" t="s">
        <v>196</v>
      </c>
      <c r="E20" s="644"/>
      <c r="F20" s="68" t="s">
        <v>1266</v>
      </c>
      <c r="G20" s="133" t="s">
        <v>1267</v>
      </c>
      <c r="H20" s="398"/>
      <c r="I20" s="398"/>
      <c r="J20" s="72" t="s">
        <v>366</v>
      </c>
      <c r="K20" s="104">
        <f>K22-K19-K21</f>
        <v>688411.03019000008</v>
      </c>
      <c r="L20" s="104">
        <v>0</v>
      </c>
      <c r="N20" s="104">
        <f t="shared" si="0"/>
        <v>688411.03019000008</v>
      </c>
      <c r="O20" s="686"/>
      <c r="P20" s="679"/>
      <c r="R20" s="768"/>
      <c r="S20" s="769" t="s">
        <v>1384</v>
      </c>
      <c r="T20" s="772">
        <v>4378</v>
      </c>
      <c r="U20" s="772">
        <v>4744</v>
      </c>
      <c r="V20" s="773">
        <f>T20-U20</f>
        <v>-366</v>
      </c>
      <c r="W20" s="775" t="s">
        <v>1398</v>
      </c>
      <c r="X20" s="769"/>
      <c r="Y20" s="770"/>
    </row>
    <row r="21" spans="1:25" ht="16.2" thickBot="1">
      <c r="A21" s="112"/>
      <c r="B21" s="134">
        <v>808</v>
      </c>
      <c r="C21" s="645"/>
      <c r="D21" s="83">
        <f>+'2. K0215-June 30, 2024'!Q45</f>
        <v>77954500.796462461</v>
      </c>
      <c r="E21" s="634" t="s">
        <v>1349</v>
      </c>
      <c r="F21" s="123">
        <f t="shared" ref="F21:F29" si="1">D21/$D$30</f>
        <v>2.5709425022377733E-2</v>
      </c>
      <c r="G21" s="106">
        <f>F21*$F$14</f>
        <v>122145.43738519636</v>
      </c>
      <c r="H21" s="398"/>
      <c r="I21" s="398"/>
      <c r="J21" s="459" t="s">
        <v>367</v>
      </c>
      <c r="K21" s="104">
        <f>K11-L21</f>
        <v>-686591.03019000008</v>
      </c>
      <c r="L21" s="104">
        <f>V21</f>
        <v>-1820</v>
      </c>
      <c r="M21" s="747" t="s">
        <v>1400</v>
      </c>
      <c r="N21" s="104">
        <f t="shared" si="0"/>
        <v>-688411.03019000008</v>
      </c>
      <c r="O21" s="104"/>
      <c r="P21" s="104"/>
      <c r="R21" s="768"/>
      <c r="S21" s="769"/>
      <c r="T21" s="776">
        <f>SUM(T19:T20)</f>
        <v>12715</v>
      </c>
      <c r="U21" s="776">
        <f>SUM(U19:U20)</f>
        <v>14535</v>
      </c>
      <c r="V21" s="777">
        <f>SUM(V19:V20)</f>
        <v>-1820</v>
      </c>
      <c r="W21" s="769"/>
      <c r="X21" s="769"/>
      <c r="Y21" s="770"/>
    </row>
    <row r="22" spans="1:25" ht="16.2" thickTop="1">
      <c r="A22" s="112"/>
      <c r="B22" s="134">
        <v>810</v>
      </c>
      <c r="C22" s="645"/>
      <c r="D22" s="83">
        <f>+'2. K0215-June 30, 2024'!R62</f>
        <v>6511364.9543097662</v>
      </c>
      <c r="E22" s="712"/>
      <c r="F22" s="123">
        <f t="shared" si="1"/>
        <v>2.1474507228678402E-3</v>
      </c>
      <c r="G22" s="106">
        <f t="shared" ref="G22:G28" si="2">F22*$F$14</f>
        <v>10202.534968383728</v>
      </c>
      <c r="H22" s="398"/>
      <c r="I22" s="398"/>
      <c r="J22" s="459" t="s">
        <v>470</v>
      </c>
      <c r="K22" s="595">
        <f>ROUND(J112-L22,0)</f>
        <v>-12715</v>
      </c>
      <c r="L22" s="595">
        <f>SUM(L19:L21)</f>
        <v>12715</v>
      </c>
      <c r="M22" s="750"/>
      <c r="N22" s="595">
        <f>SUM(K22:L22)</f>
        <v>0</v>
      </c>
      <c r="O22" s="104"/>
      <c r="P22" s="104"/>
      <c r="R22" s="757"/>
      <c r="S22" s="754"/>
      <c r="T22" s="754"/>
      <c r="U22" s="754"/>
      <c r="V22" s="754"/>
      <c r="W22" s="754"/>
      <c r="X22" s="754"/>
      <c r="Y22" s="755"/>
    </row>
    <row r="23" spans="1:25">
      <c r="A23" s="307" t="s">
        <v>1375</v>
      </c>
      <c r="B23" s="134" t="s">
        <v>107</v>
      </c>
      <c r="C23" s="645"/>
      <c r="D23" s="83">
        <f>'2. K0215-June 30, 2024'!R59</f>
        <v>0</v>
      </c>
      <c r="E23" s="712"/>
      <c r="F23" s="705">
        <f t="shared" si="1"/>
        <v>0</v>
      </c>
      <c r="G23" s="106">
        <f t="shared" si="2"/>
        <v>0</v>
      </c>
      <c r="H23" s="398"/>
      <c r="I23" s="403"/>
      <c r="J23" s="464" t="s">
        <v>369</v>
      </c>
      <c r="K23" s="465">
        <f>ROUND((+G30+G67+D84)/1000,0)</f>
        <v>6293</v>
      </c>
      <c r="L23" s="465">
        <f>+D74/1000</f>
        <v>0</v>
      </c>
      <c r="M23" s="741"/>
      <c r="N23" s="465">
        <f t="shared" si="0"/>
        <v>6293</v>
      </c>
      <c r="O23" s="104"/>
      <c r="P23" s="104"/>
      <c r="R23" s="753"/>
      <c r="S23" s="754"/>
      <c r="T23" s="778" t="s">
        <v>1470</v>
      </c>
      <c r="U23" s="756">
        <v>14535</v>
      </c>
      <c r="V23" s="754"/>
      <c r="W23" s="754"/>
      <c r="X23" s="754"/>
      <c r="Y23" s="755"/>
    </row>
    <row r="24" spans="1:25" ht="16.2" thickBot="1">
      <c r="A24" s="112"/>
      <c r="B24" s="134">
        <v>815</v>
      </c>
      <c r="C24" s="645"/>
      <c r="D24" s="83">
        <f>SUM('2. K0215-June 30, 2024'!Q70:Q110)+SUM('2. K0215-June 30, 2024'!Q64:Q65)</f>
        <v>384941233.75543243</v>
      </c>
      <c r="E24" s="712"/>
      <c r="F24" s="123">
        <f t="shared" si="1"/>
        <v>0.12695377029091273</v>
      </c>
      <c r="G24" s="106">
        <f>F24*$F$14</f>
        <v>603157.16070608329</v>
      </c>
      <c r="H24" s="398"/>
      <c r="I24" s="403"/>
      <c r="J24" s="464" t="s">
        <v>370</v>
      </c>
      <c r="K24" s="466">
        <f>SUM(K22-K23)</f>
        <v>-19008</v>
      </c>
      <c r="L24" s="466">
        <f>SUM(L22-L23)</f>
        <v>12715</v>
      </c>
      <c r="M24" s="742"/>
      <c r="N24" s="466">
        <f>SUM(K24:L24)</f>
        <v>-6293</v>
      </c>
      <c r="O24" s="104"/>
      <c r="R24" s="758"/>
      <c r="S24" s="759"/>
      <c r="T24" s="774" t="s">
        <v>1397</v>
      </c>
      <c r="U24" s="760">
        <f>U21-U23</f>
        <v>0</v>
      </c>
      <c r="V24" s="759"/>
      <c r="W24" s="759"/>
      <c r="X24" s="759"/>
      <c r="Y24" s="761"/>
    </row>
    <row r="25" spans="1:25" ht="16.2" thickTop="1">
      <c r="A25" s="307" t="s">
        <v>812</v>
      </c>
      <c r="B25" s="134" t="s">
        <v>99</v>
      </c>
      <c r="C25" s="645"/>
      <c r="D25" s="83">
        <f>SUM('2. K0215-June 30, 2024'!Q66:Q69)</f>
        <v>74005123.840000018</v>
      </c>
      <c r="E25" s="712"/>
      <c r="F25" s="123">
        <f t="shared" si="1"/>
        <v>2.4406918948836367E-2</v>
      </c>
      <c r="G25" s="106">
        <f>F25*$F$14</f>
        <v>115957.23310170474</v>
      </c>
      <c r="H25" s="398"/>
      <c r="I25" s="398"/>
      <c r="K25" s="783" t="s">
        <v>1401</v>
      </c>
      <c r="L25" s="749" t="str">
        <f>IF((L22=G74/1000),"OK","ERROR")</f>
        <v>OK</v>
      </c>
      <c r="N25" s="637" t="str">
        <f>IF((N24=(ROUND(G89,-3))/1000),"OK","ERROR")</f>
        <v>OK</v>
      </c>
      <c r="O25" s="104"/>
      <c r="R25" s="140"/>
      <c r="T25" s="104"/>
      <c r="U25" s="123"/>
    </row>
    <row r="26" spans="1:25">
      <c r="A26" s="112"/>
      <c r="B26" s="134">
        <v>820</v>
      </c>
      <c r="C26" s="645"/>
      <c r="D26" s="83">
        <f>+'2. K0215-June 30, 2024'!Q132</f>
        <v>297218341.99937046</v>
      </c>
      <c r="E26" s="712"/>
      <c r="F26" s="123">
        <f t="shared" si="1"/>
        <v>9.8022726088125969E-2</v>
      </c>
      <c r="G26" s="106">
        <f>F26*$F$14</f>
        <v>465705.81571941049</v>
      </c>
      <c r="H26" s="398"/>
      <c r="I26" s="398"/>
      <c r="J26" s="131"/>
      <c r="L26" s="817" t="s">
        <v>1391</v>
      </c>
      <c r="M26" s="726"/>
      <c r="N26" s="818" t="s">
        <v>1385</v>
      </c>
      <c r="O26" s="104"/>
      <c r="T26" s="104"/>
      <c r="U26" s="123"/>
    </row>
    <row r="27" spans="1:25">
      <c r="A27" s="112"/>
      <c r="B27" s="134">
        <v>825</v>
      </c>
      <c r="C27" s="645"/>
      <c r="D27" s="83">
        <f>+'2. K0215-June 30, 2024'!Q135</f>
        <v>732131.6980565869</v>
      </c>
      <c r="E27" s="712"/>
      <c r="F27" s="123">
        <f t="shared" si="1"/>
        <v>2.4145732196833051E-4</v>
      </c>
      <c r="G27" s="787">
        <f t="shared" si="2"/>
        <v>1147.1633525840814</v>
      </c>
      <c r="H27" s="398"/>
      <c r="I27" s="398"/>
      <c r="J27" s="131"/>
      <c r="K27" s="131"/>
      <c r="L27" s="817"/>
      <c r="M27" s="727"/>
      <c r="N27" s="818"/>
      <c r="O27" s="129"/>
    </row>
    <row r="28" spans="1:25">
      <c r="A28" s="112"/>
      <c r="B28" s="134">
        <v>830</v>
      </c>
      <c r="C28" s="645"/>
      <c r="D28" s="83">
        <v>0</v>
      </c>
      <c r="E28" s="712"/>
      <c r="F28" s="123">
        <f t="shared" si="1"/>
        <v>0</v>
      </c>
      <c r="G28" s="106">
        <f t="shared" si="2"/>
        <v>0</v>
      </c>
      <c r="H28" s="398"/>
      <c r="I28" s="398"/>
      <c r="J28" s="76"/>
      <c r="L28" s="393"/>
      <c r="M28" s="728"/>
    </row>
    <row r="29" spans="1:25">
      <c r="A29" s="112"/>
      <c r="B29" s="134">
        <v>835</v>
      </c>
      <c r="C29" s="645"/>
      <c r="D29" s="434">
        <f>+'2. K0215-June 30, 2024'!Q291</f>
        <v>2190774378.3133674</v>
      </c>
      <c r="E29" s="712"/>
      <c r="F29" s="123">
        <f t="shared" si="1"/>
        <v>0.72251825160491112</v>
      </c>
      <c r="G29" s="786">
        <f>F29*$F$14</f>
        <v>3432683.0640612757</v>
      </c>
      <c r="H29" s="398"/>
      <c r="I29" s="398"/>
      <c r="J29" s="106"/>
      <c r="S29" s="104"/>
      <c r="T29" s="72"/>
    </row>
    <row r="30" spans="1:25" ht="16.2" thickBot="1">
      <c r="A30" s="71" t="s">
        <v>228</v>
      </c>
      <c r="B30" s="72"/>
      <c r="C30" s="646" t="str">
        <f>IF(B14=D30,"OK","ERROR")</f>
        <v>OK</v>
      </c>
      <c r="D30" s="73">
        <f>SUM(D21:D29)</f>
        <v>3032137075.3569989</v>
      </c>
      <c r="E30" s="637"/>
      <c r="F30" s="74">
        <f>SUM(F21:F29)</f>
        <v>1</v>
      </c>
      <c r="G30" s="75">
        <f>SUM(G21:G29)</f>
        <v>4750998.4092946388</v>
      </c>
      <c r="H30" s="398"/>
      <c r="I30" s="398"/>
      <c r="J30" s="106"/>
      <c r="K30" s="106"/>
      <c r="S30" s="104"/>
    </row>
    <row r="31" spans="1:25" ht="16.2" thickTop="1">
      <c r="A31" s="438"/>
      <c r="B31" s="439"/>
      <c r="C31" s="647"/>
      <c r="D31" s="440"/>
      <c r="E31" s="713"/>
      <c r="F31" s="441"/>
      <c r="G31" s="442"/>
      <c r="H31" s="398"/>
      <c r="I31" s="404"/>
      <c r="S31" s="104"/>
    </row>
    <row r="32" spans="1:25">
      <c r="A32" s="65" t="s">
        <v>208</v>
      </c>
      <c r="D32" s="120"/>
      <c r="E32" s="660"/>
      <c r="F32" s="120"/>
      <c r="H32" s="398"/>
      <c r="I32" s="404"/>
      <c r="O32" s="104"/>
      <c r="R32" s="104"/>
    </row>
    <row r="33" spans="1:19">
      <c r="A33" s="139" t="s">
        <v>229</v>
      </c>
      <c r="B33" s="109" t="s">
        <v>274</v>
      </c>
      <c r="C33" s="648"/>
      <c r="D33" s="109">
        <f>+'2. K0215-June 30, 2024'!Q296</f>
        <v>12606026.77353755</v>
      </c>
      <c r="E33" s="714"/>
      <c r="F33" s="397">
        <f t="shared" ref="F33:F66" si="3">D33/$D$67</f>
        <v>1.2806431310325772E-2</v>
      </c>
      <c r="G33" s="511">
        <f>F33*$F$15</f>
        <v>19752.145651776336</v>
      </c>
      <c r="H33" s="398"/>
      <c r="I33" s="404"/>
      <c r="J33" s="175"/>
      <c r="O33" s="104"/>
      <c r="R33" s="104"/>
    </row>
    <row r="34" spans="1:19">
      <c r="A34" s="139" t="s">
        <v>229</v>
      </c>
      <c r="B34" s="109" t="s">
        <v>221</v>
      </c>
      <c r="C34" s="648"/>
      <c r="D34" s="109">
        <f>+'2. K0215-June 30, 2024'!Q307</f>
        <v>5447668.2456902349</v>
      </c>
      <c r="E34" s="714"/>
      <c r="F34" s="397">
        <f t="shared" si="3"/>
        <v>5.5342726493589015E-3</v>
      </c>
      <c r="G34" s="511">
        <f t="shared" ref="G34:G66" si="4">F34*$F$15</f>
        <v>8535.848652749959</v>
      </c>
      <c r="H34" s="398"/>
      <c r="I34" s="398"/>
      <c r="O34" s="104"/>
      <c r="P34" s="104"/>
      <c r="R34" s="104"/>
    </row>
    <row r="35" spans="1:19">
      <c r="A35" s="139" t="s">
        <v>229</v>
      </c>
      <c r="B35" s="109" t="s">
        <v>230</v>
      </c>
      <c r="C35" s="648"/>
      <c r="D35" s="109">
        <f>+'2. K0215-June 30, 2024'!Q306</f>
        <v>35360537.864567623</v>
      </c>
      <c r="E35" s="714"/>
      <c r="F35" s="397">
        <f t="shared" si="3"/>
        <v>3.5922682649648263E-2</v>
      </c>
      <c r="G35" s="511">
        <f t="shared" si="4"/>
        <v>55405.760020458154</v>
      </c>
      <c r="H35" s="398"/>
      <c r="I35" s="398"/>
      <c r="P35" s="104"/>
      <c r="R35" s="104"/>
      <c r="S35" s="140"/>
    </row>
    <row r="36" spans="1:19">
      <c r="A36" s="139" t="s">
        <v>229</v>
      </c>
      <c r="B36" s="109" t="s">
        <v>222</v>
      </c>
      <c r="C36" s="648"/>
      <c r="D36" s="109">
        <f>+'2. K0215-June 30, 2024'!Q308</f>
        <v>3146933.7306296136</v>
      </c>
      <c r="E36" s="714"/>
      <c r="F36" s="397">
        <f t="shared" si="3"/>
        <v>3.196962166069235E-3</v>
      </c>
      <c r="G36" s="511">
        <f t="shared" si="4"/>
        <v>4930.8711238315746</v>
      </c>
      <c r="H36" s="398"/>
      <c r="I36" s="398"/>
      <c r="N36" s="130"/>
      <c r="O36" s="129"/>
      <c r="S36" s="104"/>
    </row>
    <row r="37" spans="1:19">
      <c r="A37" s="139" t="s">
        <v>229</v>
      </c>
      <c r="B37" s="109" t="s">
        <v>223</v>
      </c>
      <c r="C37" s="648"/>
      <c r="D37" s="109">
        <f>+'2. K0215-June 30, 2024'!Q309</f>
        <v>74358.361943413096</v>
      </c>
      <c r="E37" s="714"/>
      <c r="F37" s="397">
        <f t="shared" si="3"/>
        <v>7.5540475336419868E-5</v>
      </c>
      <c r="G37" s="511">
        <f t="shared" si="4"/>
        <v>116.51071522527282</v>
      </c>
      <c r="H37" s="398"/>
      <c r="I37" s="398"/>
      <c r="N37" s="130"/>
      <c r="O37" s="129"/>
    </row>
    <row r="38" spans="1:19">
      <c r="A38" s="139" t="s">
        <v>229</v>
      </c>
      <c r="B38" s="109" t="s">
        <v>224</v>
      </c>
      <c r="C38" s="648"/>
      <c r="D38" s="109">
        <f>+'2. K0215-June 30, 2024'!Q310</f>
        <v>410860.27663298935</v>
      </c>
      <c r="E38" s="714"/>
      <c r="F38" s="397">
        <f t="shared" si="3"/>
        <v>4.1739193525171914E-4</v>
      </c>
      <c r="G38" s="511">
        <f t="shared" si="4"/>
        <v>643.76922026055308</v>
      </c>
      <c r="H38" s="398"/>
      <c r="I38" s="398"/>
      <c r="N38" s="130"/>
      <c r="O38" s="129"/>
    </row>
    <row r="39" spans="1:19">
      <c r="A39" s="139" t="s">
        <v>231</v>
      </c>
      <c r="B39" s="83" t="s">
        <v>275</v>
      </c>
      <c r="C39" s="641"/>
      <c r="D39" s="83">
        <f>'2. K0215-June 30, 2024'!Q312</f>
        <v>3291027.7500000005</v>
      </c>
      <c r="E39" s="712"/>
      <c r="F39" s="123">
        <f t="shared" si="3"/>
        <v>3.3433469226976523E-3</v>
      </c>
      <c r="G39" s="106">
        <f>F39*$F$15</f>
        <v>5156.6493257411885</v>
      </c>
      <c r="H39" s="398"/>
      <c r="I39" s="398"/>
      <c r="J39" s="131"/>
      <c r="K39" s="76" t="s">
        <v>781</v>
      </c>
      <c r="L39" s="129"/>
      <c r="M39" s="727"/>
      <c r="N39" s="130"/>
      <c r="O39" s="129"/>
      <c r="Q39" s="104"/>
    </row>
    <row r="40" spans="1:19">
      <c r="A40" s="139" t="s">
        <v>231</v>
      </c>
      <c r="B40" s="83" t="s">
        <v>232</v>
      </c>
      <c r="C40" s="641"/>
      <c r="D40" s="83">
        <f>SUM('2. K0215-June 30, 2024'!$Q$314:Q341)</f>
        <v>207365287.25999996</v>
      </c>
      <c r="E40" s="712"/>
      <c r="F40" s="123">
        <f t="shared" si="3"/>
        <v>0.21066188063441138</v>
      </c>
      <c r="G40" s="106">
        <f>F40*$F$15</f>
        <v>324916.75852061913</v>
      </c>
      <c r="H40" s="398"/>
      <c r="I40" s="398"/>
      <c r="J40" s="131"/>
      <c r="L40" s="129"/>
      <c r="M40" s="727"/>
      <c r="N40" s="130"/>
      <c r="O40" s="129"/>
      <c r="Q40" s="104"/>
    </row>
    <row r="41" spans="1:19">
      <c r="A41" s="139" t="s">
        <v>231</v>
      </c>
      <c r="B41" s="83" t="s">
        <v>233</v>
      </c>
      <c r="C41" s="641"/>
      <c r="D41" s="83">
        <f>SUM('2. K0215-June 30, 2024'!Q344:Q348)</f>
        <v>508008934.75999999</v>
      </c>
      <c r="E41" s="712"/>
      <c r="F41" s="123">
        <f t="shared" si="3"/>
        <v>0.5160850159141801</v>
      </c>
      <c r="G41" s="106">
        <f t="shared" si="4"/>
        <v>795989.62084128673</v>
      </c>
      <c r="H41" s="398"/>
      <c r="I41" s="398"/>
      <c r="J41" s="486" t="s">
        <v>392</v>
      </c>
      <c r="K41" s="141">
        <f>G30</f>
        <v>4750998.4092946388</v>
      </c>
      <c r="L41" s="141" t="s">
        <v>207</v>
      </c>
      <c r="M41" s="729"/>
      <c r="N41" s="130"/>
      <c r="O41" s="129"/>
    </row>
    <row r="42" spans="1:19">
      <c r="A42" s="139" t="s">
        <v>231</v>
      </c>
      <c r="B42" s="83" t="s">
        <v>1342</v>
      </c>
      <c r="C42" s="641"/>
      <c r="D42" s="83">
        <f>+'2. K0215-June 30, 2024'!Q342</f>
        <v>100516088.2</v>
      </c>
      <c r="E42" s="712"/>
      <c r="F42" s="123">
        <f t="shared" si="3"/>
        <v>0.10211404451544834</v>
      </c>
      <c r="G42" s="106">
        <f t="shared" si="4"/>
        <v>157496.76326572202</v>
      </c>
      <c r="H42" s="398"/>
      <c r="I42" s="398"/>
      <c r="J42" s="486"/>
      <c r="K42" s="141">
        <f>G67</f>
        <v>1542361.4255323624</v>
      </c>
      <c r="L42" s="141" t="s">
        <v>208</v>
      </c>
      <c r="M42" s="729"/>
    </row>
    <row r="43" spans="1:19">
      <c r="A43" s="139" t="s">
        <v>234</v>
      </c>
      <c r="B43" s="83" t="s">
        <v>276</v>
      </c>
      <c r="C43" s="641"/>
      <c r="D43" s="83">
        <f>+'2. K0215-June 30, 2024'!Q352</f>
        <v>6666335.0800000001</v>
      </c>
      <c r="E43" s="712"/>
      <c r="F43" s="123">
        <f t="shared" si="3"/>
        <v>6.772313261530355E-3</v>
      </c>
      <c r="G43" s="106">
        <f t="shared" si="4"/>
        <v>10445.354736205682</v>
      </c>
      <c r="H43" s="398"/>
      <c r="I43" s="398"/>
      <c r="J43" s="486"/>
      <c r="K43" s="141">
        <f>D86</f>
        <v>0</v>
      </c>
      <c r="L43" s="141" t="s">
        <v>459</v>
      </c>
      <c r="M43" s="729"/>
    </row>
    <row r="44" spans="1:19">
      <c r="A44" s="139" t="s">
        <v>234</v>
      </c>
      <c r="B44" s="83" t="s">
        <v>277</v>
      </c>
      <c r="C44" s="641"/>
      <c r="D44" s="83">
        <f>+'2. K0215-June 30, 2024'!Q351</f>
        <v>6843951.4000000004</v>
      </c>
      <c r="E44" s="712"/>
      <c r="F44" s="123">
        <f t="shared" si="3"/>
        <v>6.9527532401640457E-3</v>
      </c>
      <c r="G44" s="106">
        <f t="shared" si="4"/>
        <v>10723.65839887417</v>
      </c>
      <c r="H44" s="398"/>
      <c r="I44" s="398"/>
      <c r="J44" s="147"/>
      <c r="K44" s="604">
        <f>SUM(K41:K43)</f>
        <v>6293359.8348270012</v>
      </c>
      <c r="L44" s="142" t="s">
        <v>393</v>
      </c>
      <c r="M44" s="723"/>
      <c r="O44" s="104"/>
      <c r="R44" s="104"/>
    </row>
    <row r="45" spans="1:19">
      <c r="A45" s="139" t="s">
        <v>234</v>
      </c>
      <c r="B45" s="83" t="s">
        <v>467</v>
      </c>
      <c r="C45" s="641"/>
      <c r="D45" s="83">
        <f>+'2. K0215-June 30, 2024'!Q353</f>
        <v>0</v>
      </c>
      <c r="E45" s="712"/>
      <c r="F45" s="123">
        <f t="shared" si="3"/>
        <v>0</v>
      </c>
      <c r="G45" s="106">
        <f t="shared" si="4"/>
        <v>0</v>
      </c>
      <c r="H45" s="398"/>
      <c r="I45" s="398"/>
      <c r="J45" s="147"/>
      <c r="K45" s="142"/>
      <c r="L45" s="142"/>
      <c r="M45" s="723"/>
      <c r="O45" s="104"/>
      <c r="R45" s="104"/>
    </row>
    <row r="46" spans="1:19">
      <c r="A46" s="139" t="s">
        <v>234</v>
      </c>
      <c r="B46" s="83" t="s">
        <v>816</v>
      </c>
      <c r="C46" s="641"/>
      <c r="D46" s="83">
        <f>'2. K0215-June 30, 2024'!Q354</f>
        <v>1597975.9500000002</v>
      </c>
      <c r="E46" s="712"/>
      <c r="F46" s="123">
        <f t="shared" si="3"/>
        <v>1.6233798013332941E-3</v>
      </c>
      <c r="G46" s="106">
        <f>F46*$F$15</f>
        <v>2503.8383845648627</v>
      </c>
      <c r="H46" s="398"/>
      <c r="I46" s="398"/>
      <c r="J46" s="147" t="s">
        <v>391</v>
      </c>
      <c r="K46" s="142">
        <f>G89</f>
        <v>-6293359.8348270012</v>
      </c>
      <c r="L46" s="142"/>
      <c r="M46" s="723"/>
      <c r="O46" s="104"/>
      <c r="R46" s="104"/>
    </row>
    <row r="47" spans="1:19" ht="16.2" thickBot="1">
      <c r="A47" s="139" t="s">
        <v>234</v>
      </c>
      <c r="B47" s="83" t="s">
        <v>235</v>
      </c>
      <c r="C47" s="641"/>
      <c r="D47" s="83">
        <f>+'2. K0215-June 30, 2024'!Q358</f>
        <v>0</v>
      </c>
      <c r="E47" s="712"/>
      <c r="F47" s="123">
        <f t="shared" si="3"/>
        <v>0</v>
      </c>
      <c r="G47" s="106">
        <f t="shared" si="4"/>
        <v>0</v>
      </c>
      <c r="H47" s="398"/>
      <c r="I47" s="398"/>
      <c r="J47" s="142"/>
      <c r="K47" s="143">
        <f>SUM(K44:K46)</f>
        <v>0</v>
      </c>
      <c r="L47" s="142"/>
      <c r="M47" s="723"/>
      <c r="O47" s="104"/>
      <c r="R47" s="104"/>
    </row>
    <row r="48" spans="1:19" ht="16.2" thickTop="1">
      <c r="A48" s="139" t="s">
        <v>234</v>
      </c>
      <c r="B48" s="83" t="s">
        <v>811</v>
      </c>
      <c r="C48" s="641"/>
      <c r="D48" s="83">
        <f>'2. K0215-June 30, 2024'!Q359</f>
        <v>258637.63</v>
      </c>
      <c r="E48" s="712"/>
      <c r="F48" s="123">
        <f t="shared" si="3"/>
        <v>2.6274932636296183E-4</v>
      </c>
      <c r="G48" s="106">
        <f>F48*$F$15</f>
        <v>405.25442556684573</v>
      </c>
      <c r="H48" s="398"/>
      <c r="I48" s="398"/>
      <c r="L48" s="104"/>
      <c r="M48" s="635"/>
      <c r="O48" s="104"/>
      <c r="R48" s="104"/>
    </row>
    <row r="49" spans="1:13">
      <c r="A49" s="139" t="s">
        <v>234</v>
      </c>
      <c r="B49" s="83" t="s">
        <v>606</v>
      </c>
      <c r="C49" s="641"/>
      <c r="D49" s="83">
        <f>+'2. K0215-June 30, 2024'!Q363+'2. K0215-June 30, 2024'!Q364+'2. K0215-June 30, 2024'!Q365</f>
        <v>1608120.18</v>
      </c>
      <c r="E49" s="712"/>
      <c r="F49" s="123">
        <f t="shared" si="3"/>
        <v>1.6336852994117094E-3</v>
      </c>
      <c r="G49" s="106">
        <f t="shared" si="4"/>
        <v>2519.7331872719083</v>
      </c>
      <c r="H49" s="398"/>
      <c r="I49" s="398"/>
    </row>
    <row r="50" spans="1:13">
      <c r="A50" s="139" t="s">
        <v>234</v>
      </c>
      <c r="B50" s="83" t="s">
        <v>840</v>
      </c>
      <c r="C50" s="641"/>
      <c r="D50" s="83">
        <f>+'2. K0215-June 30, 2024'!Q366</f>
        <v>309527.01999999996</v>
      </c>
      <c r="E50" s="712"/>
      <c r="F50" s="123">
        <f t="shared" si="3"/>
        <v>3.1444773135345775E-4</v>
      </c>
      <c r="G50" s="106">
        <f>F50*$F$15</f>
        <v>484.99205118573644</v>
      </c>
      <c r="H50" s="398"/>
      <c r="I50" s="398"/>
    </row>
    <row r="51" spans="1:13">
      <c r="A51" s="139" t="s">
        <v>234</v>
      </c>
      <c r="B51" s="83" t="s">
        <v>797</v>
      </c>
      <c r="C51" s="641"/>
      <c r="D51" s="83">
        <f>'2. K0215-June 30, 2024'!Q369</f>
        <v>51658.01</v>
      </c>
      <c r="E51" s="712"/>
      <c r="F51" s="123">
        <f t="shared" si="3"/>
        <v>5.2479244140735227E-5</v>
      </c>
      <c r="G51" s="106">
        <f>F51*$F$15</f>
        <v>80.941961803765267</v>
      </c>
      <c r="H51" s="398"/>
      <c r="I51" s="398"/>
    </row>
    <row r="52" spans="1:13">
      <c r="A52" s="139" t="s">
        <v>234</v>
      </c>
      <c r="B52" s="83" t="s">
        <v>1236</v>
      </c>
      <c r="C52" s="641"/>
      <c r="D52" s="83">
        <f>'2. K0215-June 30, 2024'!Q367+'2. K0215-June 30, 2024'!Q368</f>
        <v>8069555.7799999993</v>
      </c>
      <c r="E52" s="712"/>
      <c r="F52" s="123">
        <f t="shared" si="3"/>
        <v>8.1978416877828055E-3</v>
      </c>
      <c r="G52" s="106">
        <f>F52*$F$15</f>
        <v>12644.034791857315</v>
      </c>
      <c r="H52" s="398"/>
      <c r="I52" s="398"/>
    </row>
    <row r="53" spans="1:13">
      <c r="A53" s="139" t="s">
        <v>234</v>
      </c>
      <c r="B53" s="83" t="s">
        <v>603</v>
      </c>
      <c r="C53" s="641"/>
      <c r="D53" s="83">
        <f>+'2. K0215-June 30, 2024'!Q370+'2. K0215-June 30, 2024'!Q371</f>
        <v>2627389.4</v>
      </c>
      <c r="E53" s="712"/>
      <c r="F53" s="123">
        <f t="shared" si="3"/>
        <v>2.6691583701226556E-3</v>
      </c>
      <c r="G53" s="106">
        <f>F53*$F$15</f>
        <v>4116.8069087140166</v>
      </c>
      <c r="H53" s="398"/>
      <c r="I53" s="398"/>
    </row>
    <row r="54" spans="1:13">
      <c r="A54" s="139" t="s">
        <v>236</v>
      </c>
      <c r="B54" s="83" t="s">
        <v>0</v>
      </c>
      <c r="C54" s="641"/>
      <c r="D54" s="83">
        <f>+'2. K0215-June 30, 2024'!Q389</f>
        <v>3562884.16</v>
      </c>
      <c r="E54" s="712"/>
      <c r="F54" s="123">
        <f t="shared" si="3"/>
        <v>3.619525174852813E-3</v>
      </c>
      <c r="G54" s="106">
        <f t="shared" si="4"/>
        <v>5582.6160084362582</v>
      </c>
      <c r="H54" s="398"/>
      <c r="I54" s="398"/>
    </row>
    <row r="55" spans="1:13">
      <c r="A55" s="139" t="s">
        <v>236</v>
      </c>
      <c r="B55" s="83" t="s">
        <v>1238</v>
      </c>
      <c r="C55" s="641"/>
      <c r="D55" s="83">
        <f>+'2. K0215-June 30, 2024'!Q379</f>
        <v>595331.86</v>
      </c>
      <c r="E55" s="712"/>
      <c r="F55" s="123">
        <f t="shared" si="3"/>
        <v>6.0479615892478251E-4</v>
      </c>
      <c r="G55" s="106">
        <f t="shared" si="4"/>
        <v>932.81426583572477</v>
      </c>
      <c r="H55" s="398"/>
      <c r="I55" s="398"/>
    </row>
    <row r="56" spans="1:13">
      <c r="A56" s="139" t="s">
        <v>236</v>
      </c>
      <c r="B56" s="83" t="s">
        <v>631</v>
      </c>
      <c r="C56" s="641"/>
      <c r="D56" s="83">
        <f>'2. K0215-June 30, 2024'!Q376+'2. K0215-June 30, 2024'!Q382+'2. K0215-June 30, 2024'!Q383+'2. K0215-June 30, 2024'!Q384</f>
        <v>71272.739999999991</v>
      </c>
      <c r="E56" s="712"/>
      <c r="F56" s="123">
        <f t="shared" si="3"/>
        <v>7.2405799662804367E-5</v>
      </c>
      <c r="G56" s="106">
        <f t="shared" si="4"/>
        <v>111.67591238473359</v>
      </c>
      <c r="H56" s="398"/>
      <c r="I56" s="398"/>
    </row>
    <row r="57" spans="1:13">
      <c r="A57" s="139" t="s">
        <v>236</v>
      </c>
      <c r="B57" s="83" t="s">
        <v>1</v>
      </c>
      <c r="C57" s="641"/>
      <c r="D57" s="83">
        <f>+'2. K0215-June 30, 2024'!Q380+'2. K0215-June 30, 2024'!Q381</f>
        <v>16534331.710000001</v>
      </c>
      <c r="E57" s="712"/>
      <c r="F57" s="123">
        <f t="shared" si="3"/>
        <v>1.6797186544990607E-2</v>
      </c>
      <c r="G57" s="106">
        <f t="shared" si="4"/>
        <v>25907.33258446473</v>
      </c>
      <c r="H57" s="398"/>
      <c r="I57" s="398"/>
    </row>
    <row r="58" spans="1:13">
      <c r="A58" s="139" t="s">
        <v>236</v>
      </c>
      <c r="B58" s="83" t="s">
        <v>1237</v>
      </c>
      <c r="C58" s="641"/>
      <c r="D58" s="83">
        <f>+'2. K0215-June 30, 2024'!Q377+'2. K0215-June 30, 2024'!Q378</f>
        <v>292687.24</v>
      </c>
      <c r="E58" s="712"/>
      <c r="F58" s="123">
        <f t="shared" si="3"/>
        <v>2.9734024064879706E-4</v>
      </c>
      <c r="G58" s="106">
        <f t="shared" si="4"/>
        <v>458.60611743521434</v>
      </c>
      <c r="H58" s="398"/>
      <c r="I58" s="398"/>
      <c r="J58" s="72"/>
      <c r="K58" s="74"/>
      <c r="L58" s="72"/>
      <c r="M58" s="637"/>
    </row>
    <row r="59" spans="1:13">
      <c r="A59" s="139" t="s">
        <v>236</v>
      </c>
      <c r="B59" s="83" t="s">
        <v>2</v>
      </c>
      <c r="C59" s="641"/>
      <c r="D59" s="83">
        <f>+'2. K0215-June 30, 2024'!Q385</f>
        <v>1831474.96</v>
      </c>
      <c r="E59" s="712"/>
      <c r="F59" s="123">
        <f t="shared" si="3"/>
        <v>1.8605908660338111E-3</v>
      </c>
      <c r="G59" s="106">
        <f t="shared" si="4"/>
        <v>2869.7035804684019</v>
      </c>
      <c r="H59" s="398"/>
      <c r="I59" s="398"/>
      <c r="J59" s="134"/>
      <c r="K59" s="134"/>
      <c r="L59" s="134"/>
      <c r="M59" s="645"/>
    </row>
    <row r="60" spans="1:13">
      <c r="A60" s="139" t="s">
        <v>236</v>
      </c>
      <c r="B60" s="83" t="s">
        <v>3</v>
      </c>
      <c r="C60" s="641"/>
      <c r="D60" s="83">
        <f>+'2. K0215-June 30, 2024'!Q386+'2. K0215-June 30, 2024'!Q388+'2. K0215-June 30, 2024'!Q387</f>
        <v>2662317.0499999998</v>
      </c>
      <c r="E60" s="712"/>
      <c r="F60" s="123">
        <f t="shared" si="3"/>
        <v>2.7046412830651428E-3</v>
      </c>
      <c r="G60" s="106">
        <f t="shared" si="4"/>
        <v>4171.534384902031</v>
      </c>
      <c r="H60" s="398"/>
      <c r="I60" s="398"/>
      <c r="J60" s="120"/>
      <c r="K60" s="120"/>
      <c r="L60" s="79"/>
      <c r="M60" s="637"/>
    </row>
    <row r="61" spans="1:13">
      <c r="A61" s="139" t="s">
        <v>237</v>
      </c>
      <c r="B61" s="83" t="s">
        <v>632</v>
      </c>
      <c r="C61" s="641"/>
      <c r="D61" s="83">
        <f>+'2. K0215-June 30, 2024'!Q397</f>
        <v>0</v>
      </c>
      <c r="E61" s="712"/>
      <c r="F61" s="123">
        <f t="shared" si="3"/>
        <v>0</v>
      </c>
      <c r="G61" s="106">
        <f t="shared" si="4"/>
        <v>0</v>
      </c>
      <c r="H61" s="398"/>
      <c r="I61" s="398"/>
      <c r="J61" s="80"/>
      <c r="K61" s="80"/>
      <c r="L61" s="81"/>
      <c r="M61" s="635"/>
    </row>
    <row r="62" spans="1:13">
      <c r="A62" s="139" t="s">
        <v>237</v>
      </c>
      <c r="B62" s="83" t="s">
        <v>605</v>
      </c>
      <c r="C62" s="641"/>
      <c r="D62" s="83">
        <f>+'2. K0215-June 30, 2024'!Q400</f>
        <v>826879.55999999994</v>
      </c>
      <c r="E62" s="712"/>
      <c r="F62" s="123">
        <f t="shared" si="3"/>
        <v>8.4002489263956782E-4</v>
      </c>
      <c r="G62" s="106">
        <f t="shared" si="4"/>
        <v>1295.6219908942335</v>
      </c>
      <c r="H62" s="398"/>
      <c r="I62" s="398"/>
      <c r="J62" s="120"/>
      <c r="K62" s="120"/>
      <c r="L62" s="81"/>
      <c r="M62" s="635"/>
    </row>
    <row r="63" spans="1:13">
      <c r="A63" s="139" t="s">
        <v>301</v>
      </c>
      <c r="B63" s="83" t="s">
        <v>302</v>
      </c>
      <c r="C63" s="641"/>
      <c r="D63" s="83">
        <f>+'2. K0215-June 30, 2024'!Q402</f>
        <v>0</v>
      </c>
      <c r="E63" s="712"/>
      <c r="F63" s="123">
        <f t="shared" si="3"/>
        <v>0</v>
      </c>
      <c r="G63" s="106">
        <f t="shared" si="4"/>
        <v>0</v>
      </c>
      <c r="H63" s="398"/>
      <c r="I63" s="398"/>
      <c r="J63" s="120"/>
      <c r="K63" s="120"/>
      <c r="L63" s="81"/>
      <c r="M63" s="635"/>
    </row>
    <row r="64" spans="1:13">
      <c r="A64" s="139" t="s">
        <v>238</v>
      </c>
      <c r="B64" s="83" t="s">
        <v>4</v>
      </c>
      <c r="C64" s="641"/>
      <c r="D64" s="83">
        <f>+'2. K0215-June 30, 2024'!Q407</f>
        <v>496412.41000000003</v>
      </c>
      <c r="E64" s="712"/>
      <c r="F64" s="123">
        <f t="shared" si="3"/>
        <v>5.0430413519376288E-4</v>
      </c>
      <c r="G64" s="106">
        <f t="shared" si="4"/>
        <v>777.81924485931734</v>
      </c>
      <c r="H64" s="398"/>
      <c r="I64" s="398"/>
      <c r="J64" s="120"/>
      <c r="K64" s="120"/>
      <c r="L64" s="81"/>
      <c r="M64" s="635"/>
    </row>
    <row r="65" spans="1:20">
      <c r="A65" s="139" t="s">
        <v>238</v>
      </c>
      <c r="B65" s="83" t="s">
        <v>1239</v>
      </c>
      <c r="C65" s="641"/>
      <c r="D65" s="83">
        <f>'2. K0215-June 30, 2024'!$Q$408</f>
        <v>36861087.25</v>
      </c>
      <c r="E65" s="712"/>
      <c r="F65" s="123">
        <f t="shared" si="3"/>
        <v>3.7447087045855858E-2</v>
      </c>
      <c r="G65" s="106">
        <f>F65*$F$15</f>
        <v>57756.9425580807</v>
      </c>
      <c r="H65" s="398"/>
      <c r="I65" s="398"/>
      <c r="J65" s="120"/>
      <c r="K65" s="120"/>
      <c r="L65" s="81"/>
      <c r="M65" s="635"/>
    </row>
    <row r="66" spans="1:20">
      <c r="A66" s="139" t="s">
        <v>238</v>
      </c>
      <c r="B66" s="83" t="s">
        <v>5</v>
      </c>
      <c r="C66" s="641"/>
      <c r="D66" s="451">
        <f>+'2. K0215-June 30, 2024'!Q412</f>
        <v>16355705.6</v>
      </c>
      <c r="E66" s="715"/>
      <c r="F66" s="144">
        <f t="shared" si="3"/>
        <v>1.6615720723202273E-2</v>
      </c>
      <c r="G66" s="786">
        <f t="shared" si="4"/>
        <v>25627.446700885874</v>
      </c>
      <c r="H66" s="398"/>
      <c r="I66" s="398"/>
      <c r="J66" s="120"/>
      <c r="K66" s="120"/>
      <c r="L66" s="81"/>
      <c r="M66" s="635"/>
    </row>
    <row r="67" spans="1:20" ht="15.75" customHeight="1" thickBot="1">
      <c r="A67" s="65" t="s">
        <v>239</v>
      </c>
      <c r="B67" s="72"/>
      <c r="C67" s="646" t="str">
        <f>IF(B15=D67,"OK","ERROR")</f>
        <v>OK</v>
      </c>
      <c r="D67" s="66">
        <f>SUM(D33:D66)</f>
        <v>984351258.21300137</v>
      </c>
      <c r="E67" s="662"/>
      <c r="F67" s="77">
        <f>SUM(F33:F66)</f>
        <v>1.0000000000000002</v>
      </c>
      <c r="G67" s="78">
        <f>SUM(G33:G66)</f>
        <v>1542361.4255323624</v>
      </c>
      <c r="H67" s="398"/>
      <c r="I67" s="398"/>
    </row>
    <row r="68" spans="1:20" ht="16.8" thickTop="1" thickBot="1">
      <c r="A68" s="443"/>
      <c r="B68" s="407"/>
      <c r="C68" s="649"/>
      <c r="D68" s="407"/>
      <c r="E68" s="663"/>
      <c r="F68" s="444"/>
      <c r="G68" s="445"/>
      <c r="H68" s="398"/>
      <c r="I68" s="398"/>
      <c r="J68" s="481" t="s">
        <v>472</v>
      </c>
      <c r="K68" s="482"/>
      <c r="L68" s="483"/>
      <c r="M68" s="744"/>
      <c r="N68" s="398"/>
      <c r="O68" s="398"/>
      <c r="P68" s="398"/>
      <c r="Q68" s="398"/>
      <c r="R68" s="398"/>
      <c r="S68" s="398"/>
      <c r="T68" s="398"/>
    </row>
    <row r="69" spans="1:20">
      <c r="A69" s="524" t="s">
        <v>806</v>
      </c>
      <c r="B69" s="522"/>
      <c r="C69" s="650"/>
      <c r="D69" s="522"/>
      <c r="E69" s="664"/>
      <c r="F69" s="522"/>
      <c r="G69" s="523"/>
      <c r="H69" s="398"/>
      <c r="I69" s="398"/>
      <c r="J69" s="85" t="s">
        <v>448</v>
      </c>
      <c r="K69" s="82"/>
      <c r="L69" s="86"/>
      <c r="M69" s="635"/>
      <c r="N69" s="7"/>
      <c r="O69" s="7"/>
      <c r="P69" s="7"/>
      <c r="Q69" s="7"/>
      <c r="R69" s="7"/>
    </row>
    <row r="70" spans="1:20">
      <c r="A70" s="408"/>
      <c r="B70" s="409"/>
      <c r="C70" s="651"/>
      <c r="D70" s="410" t="s">
        <v>32</v>
      </c>
      <c r="E70" s="716"/>
      <c r="F70" s="410" t="s">
        <v>33</v>
      </c>
      <c r="G70" s="411" t="s">
        <v>360</v>
      </c>
      <c r="H70" s="398"/>
      <c r="I70" s="398"/>
      <c r="J70" s="80">
        <f>G89</f>
        <v>-6293359.8348270012</v>
      </c>
      <c r="K70" s="80" t="s">
        <v>368</v>
      </c>
      <c r="L70" s="84"/>
      <c r="M70" s="634"/>
    </row>
    <row r="71" spans="1:20">
      <c r="A71" s="412" t="s">
        <v>204</v>
      </c>
      <c r="B71" s="409"/>
      <c r="C71" s="651"/>
      <c r="D71" s="413"/>
      <c r="E71" s="717"/>
      <c r="F71" s="413"/>
      <c r="G71" s="414"/>
      <c r="H71" s="398"/>
      <c r="I71" s="398"/>
      <c r="J71" s="80"/>
      <c r="K71" s="80"/>
      <c r="L71" s="84"/>
      <c r="M71" s="634"/>
    </row>
    <row r="72" spans="1:20" s="7" customFormat="1">
      <c r="A72" s="415" t="s">
        <v>1450</v>
      </c>
      <c r="B72" s="109" t="s">
        <v>97</v>
      </c>
      <c r="C72" s="648"/>
      <c r="D72" s="416">
        <f>IFERROR(VLOOKUP('1. Summary 2324'!A72&amp;"06550000000",Table_CY_GAAP[[#All],[Fund&amp;Glccount]:[Amount]],2,FALSE),0)</f>
        <v>0</v>
      </c>
      <c r="E72" s="735" t="s">
        <v>1365</v>
      </c>
      <c r="F72" s="416">
        <f>-(IFERROR(VLOOKUP('1. Summary 2324'!A72&amp;"06920000000",Table_CY_GAAP[[#All],[Fund&amp;Glccount]:[Amount]],2,FALSE),0))</f>
        <v>8337000</v>
      </c>
      <c r="G72" s="417">
        <f>+F72+D72</f>
        <v>8337000</v>
      </c>
      <c r="H72" s="405"/>
      <c r="I72" s="398"/>
      <c r="J72" s="565">
        <f>-F86</f>
        <v>-42479487</v>
      </c>
      <c r="K72" s="87" t="s">
        <v>471</v>
      </c>
      <c r="L72" s="72"/>
      <c r="M72" s="637"/>
      <c r="N72" s="105"/>
      <c r="O72" s="105"/>
      <c r="P72" s="105"/>
      <c r="Q72" s="105"/>
      <c r="R72" s="105"/>
      <c r="S72" s="105"/>
    </row>
    <row r="73" spans="1:20" ht="16.2" thickBot="1">
      <c r="A73" s="415" t="s">
        <v>1446</v>
      </c>
      <c r="B73" s="109" t="s">
        <v>592</v>
      </c>
      <c r="C73" s="648"/>
      <c r="D73" s="416">
        <f>IFERROR(VLOOKUP('1. Summary 2324'!A73&amp;"06550000000",Table_CY_GAAP[[#All],[Fund&amp;Glccount]:[Amount]],2,FALSE),0)</f>
        <v>0</v>
      </c>
      <c r="E73" s="735" t="s">
        <v>1364</v>
      </c>
      <c r="F73" s="416">
        <f>-(IFERROR(VLOOKUP('1. Summary 2324'!A73&amp;"06920000000",Table_CY_GAAP[[#All],[Fund&amp;Glccount]:[Amount]],2,FALSE),0))</f>
        <v>4378000</v>
      </c>
      <c r="G73" s="417">
        <f>+F73+D73</f>
        <v>4378000</v>
      </c>
      <c r="H73" s="398"/>
      <c r="I73" s="398"/>
      <c r="J73" s="794">
        <f>SUM(J70:J72)</f>
        <v>-48772846.834826998</v>
      </c>
      <c r="K73" s="88" t="s">
        <v>474</v>
      </c>
      <c r="L73" s="72"/>
      <c r="M73" s="637"/>
    </row>
    <row r="74" spans="1:20" ht="16.8" thickTop="1" thickBot="1">
      <c r="A74" s="419" t="s">
        <v>240</v>
      </c>
      <c r="B74" s="409"/>
      <c r="C74" s="651"/>
      <c r="D74" s="420">
        <f>SUM(D72:D73)</f>
        <v>0</v>
      </c>
      <c r="E74" s="665"/>
      <c r="F74" s="420">
        <f>SUM(F72:F73)</f>
        <v>12715000</v>
      </c>
      <c r="G74" s="421">
        <f>SUM(G72:G73)</f>
        <v>12715000</v>
      </c>
      <c r="H74" s="398"/>
      <c r="I74" s="398"/>
      <c r="O74" s="175"/>
    </row>
    <row r="75" spans="1:20" ht="16.2" thickTop="1">
      <c r="A75" s="408"/>
      <c r="B75" s="409"/>
      <c r="C75" s="651"/>
      <c r="D75" s="422"/>
      <c r="E75" s="666"/>
      <c r="F75" s="422"/>
      <c r="G75" s="784" t="s">
        <v>1402</v>
      </c>
      <c r="H75" s="398"/>
      <c r="I75" s="398"/>
    </row>
    <row r="76" spans="1:20">
      <c r="A76" s="412" t="s">
        <v>241</v>
      </c>
      <c r="B76" s="409"/>
      <c r="C76" s="651"/>
      <c r="D76" s="422"/>
      <c r="E76" s="666"/>
      <c r="F76" s="422"/>
      <c r="G76" s="418"/>
      <c r="H76" s="398"/>
      <c r="I76" s="398"/>
      <c r="J76" s="145" t="s">
        <v>369</v>
      </c>
    </row>
    <row r="77" spans="1:20">
      <c r="A77" s="415" t="s">
        <v>1451</v>
      </c>
      <c r="B77" s="109" t="s">
        <v>48</v>
      </c>
      <c r="C77" s="648"/>
      <c r="D77" s="416">
        <f>IFERROR(VLOOKUP('1. Summary 2324'!A77&amp;"06550000000",Table_CY_GAAP[[#All],[Fund&amp;Glccount]:[Amount]],2,FALSE),0)</f>
        <v>0</v>
      </c>
      <c r="E77" s="735" t="s">
        <v>324</v>
      </c>
      <c r="F77" s="797">
        <f>-(IFERROR(VLOOKUP('1. Summary 2324'!A77&amp;"06920000000",Table_CY_GAAP[[#All],[Fund&amp;Glccount]:[Amount]],2,FALSE),0))</f>
        <v>28118000</v>
      </c>
      <c r="G77" s="418">
        <f t="shared" ref="G77:G83" si="5">+F77+D77</f>
        <v>28118000</v>
      </c>
      <c r="H77" s="398"/>
      <c r="I77" s="405"/>
      <c r="J77" s="568">
        <f>G91-G89</f>
        <v>6293359.8348270012</v>
      </c>
      <c r="K77" s="105" t="s">
        <v>368</v>
      </c>
    </row>
    <row r="78" spans="1:20">
      <c r="A78" s="415" t="s">
        <v>1452</v>
      </c>
      <c r="B78" s="109" t="s">
        <v>49</v>
      </c>
      <c r="C78" s="648"/>
      <c r="D78" s="416">
        <f>IFERROR(VLOOKUP('1. Summary 2324'!A78&amp;"06550000000",Table_CY_GAAP[[#All],[Fund&amp;Glccount]:[Amount]],2,FALSE),0)</f>
        <v>0</v>
      </c>
      <c r="E78" s="735" t="s">
        <v>1366</v>
      </c>
      <c r="F78" s="416">
        <f>-(IFERROR(VLOOKUP('1. Summary 2324'!A78&amp;"06920000000",Table_CY_GAAP[[#All],[Fund&amp;Glccount]:[Amount]],2,FALSE),0))</f>
        <v>136487</v>
      </c>
      <c r="G78" s="417">
        <f t="shared" si="5"/>
        <v>136487</v>
      </c>
      <c r="H78" s="398"/>
      <c r="I78" s="398"/>
      <c r="J78" s="567">
        <f>-D86</f>
        <v>0</v>
      </c>
      <c r="K78" s="146" t="s">
        <v>471</v>
      </c>
      <c r="S78" s="7"/>
    </row>
    <row r="79" spans="1:20" ht="16.2" thickBot="1">
      <c r="A79" s="415" t="s">
        <v>1453</v>
      </c>
      <c r="B79" s="109" t="s">
        <v>103</v>
      </c>
      <c r="C79" s="702" t="s">
        <v>339</v>
      </c>
      <c r="D79" s="796"/>
      <c r="E79" s="798"/>
      <c r="F79" s="796"/>
      <c r="G79" s="417">
        <f t="shared" si="5"/>
        <v>0</v>
      </c>
      <c r="H79" s="398"/>
      <c r="I79" s="398"/>
      <c r="J79" s="569">
        <f>SUM(J77:J78)</f>
        <v>6293359.8348270012</v>
      </c>
      <c r="K79" s="105" t="s">
        <v>474</v>
      </c>
    </row>
    <row r="80" spans="1:20" ht="16.2" thickTop="1">
      <c r="A80" s="415" t="s">
        <v>1454</v>
      </c>
      <c r="B80" s="109" t="s">
        <v>57</v>
      </c>
      <c r="C80" s="648"/>
      <c r="D80" s="416">
        <f>IFERROR(VLOOKUP('1. Summary 2324'!A80&amp;"06550000000",Table_CY_GAAP[[#All],[Fund&amp;Glccount]:[Amount]],2,FALSE),0)</f>
        <v>0</v>
      </c>
      <c r="E80" s="735" t="s">
        <v>1367</v>
      </c>
      <c r="F80" s="416">
        <f>-(IFERROR(VLOOKUP('1. Summary 2324'!A80&amp;"06920000000",Table_CY_GAAP[[#All],[Fund&amp;Glccount]:[Amount]],2,FALSE),0))</f>
        <v>290000</v>
      </c>
      <c r="G80" s="417">
        <f t="shared" si="5"/>
        <v>290000</v>
      </c>
      <c r="H80" s="398"/>
      <c r="I80" s="398"/>
    </row>
    <row r="81" spans="1:11">
      <c r="A81" s="415" t="s">
        <v>1455</v>
      </c>
      <c r="B81" s="109" t="s">
        <v>630</v>
      </c>
      <c r="C81" s="648"/>
      <c r="D81" s="416">
        <f>IFERROR(VLOOKUP('1. Summary 2324'!A81&amp;"06550000000",Table_CY_GAAP[[#All],[Fund&amp;Glccount]:[Amount]],2,FALSE),0)</f>
        <v>0</v>
      </c>
      <c r="E81" s="735" t="s">
        <v>1368</v>
      </c>
      <c r="F81" s="416">
        <f>-(IFERROR(VLOOKUP('1. Summary 2324'!A81&amp;"06920000000",Table_CY_GAAP[[#All],[Fund&amp;Glccount]:[Amount]],2,FALSE),0))</f>
        <v>1210000</v>
      </c>
      <c r="G81" s="417">
        <f t="shared" si="5"/>
        <v>1210000</v>
      </c>
      <c r="H81" s="398"/>
      <c r="I81" s="398"/>
    </row>
    <row r="82" spans="1:11">
      <c r="A82" s="415" t="s">
        <v>1448</v>
      </c>
      <c r="B82" s="109" t="s">
        <v>630</v>
      </c>
      <c r="C82" s="648"/>
      <c r="D82" s="416">
        <f>IFERROR(VLOOKUP('1. Summary 2324'!A82&amp;"06550000000",Table_CY_GAAP[[#All],[Fund&amp;Glccount]:[Amount]],2,FALSE),0)</f>
        <v>0</v>
      </c>
      <c r="E82" s="735" t="s">
        <v>1369</v>
      </c>
      <c r="F82" s="416">
        <f>-(IFERROR(VLOOKUP('1. Summary 2324'!A82&amp;"06920000000",Table_CY_GAAP[[#All],[Fund&amp;Glccount]:[Amount]],2,FALSE),0))</f>
        <v>3000</v>
      </c>
      <c r="G82" s="417">
        <f t="shared" si="5"/>
        <v>3000</v>
      </c>
      <c r="H82" s="398"/>
      <c r="I82" s="398"/>
    </row>
    <row r="83" spans="1:11">
      <c r="A83" s="415" t="s">
        <v>1456</v>
      </c>
      <c r="B83" s="109" t="s">
        <v>630</v>
      </c>
      <c r="C83" s="648"/>
      <c r="D83" s="416">
        <f>IFERROR(VLOOKUP('1. Summary 2324'!A83&amp;"06550000000",Table_CY_GAAP[[#All],[Fund&amp;Glccount]:[Amount]],2,FALSE),0)</f>
        <v>0</v>
      </c>
      <c r="E83" s="735" t="s">
        <v>346</v>
      </c>
      <c r="F83" s="416">
        <f>-(IFERROR(VLOOKUP('1. Summary 2324'!A83&amp;"06920000000",Table_CY_GAAP[[#All],[Fund&amp;Glccount]:[Amount]],2,FALSE),0))</f>
        <v>7000</v>
      </c>
      <c r="G83" s="417">
        <f t="shared" si="5"/>
        <v>7000</v>
      </c>
      <c r="H83" s="398"/>
      <c r="I83" s="398"/>
    </row>
    <row r="84" spans="1:11" ht="16.2" thickBot="1">
      <c r="A84" s="412" t="s">
        <v>242</v>
      </c>
      <c r="B84" s="423"/>
      <c r="C84" s="652"/>
      <c r="D84" s="420">
        <f>SUM(D77:D80)</f>
        <v>0</v>
      </c>
      <c r="E84" s="420"/>
      <c r="F84" s="420">
        <f>SUM(F77:F83)</f>
        <v>29764487</v>
      </c>
      <c r="G84" s="421">
        <f>SUM(G77:G83)</f>
        <v>29764487</v>
      </c>
      <c r="H84" s="398"/>
      <c r="I84" s="398"/>
      <c r="J84" s="145" t="s">
        <v>473</v>
      </c>
    </row>
    <row r="85" spans="1:11" ht="16.2" thickTop="1">
      <c r="A85" s="412"/>
      <c r="B85" s="423"/>
      <c r="C85" s="652"/>
      <c r="D85" s="424"/>
      <c r="E85" s="666"/>
      <c r="F85" s="424"/>
      <c r="G85" s="425"/>
      <c r="H85" s="398"/>
      <c r="I85" s="398"/>
      <c r="J85" s="148">
        <f>J70+J77</f>
        <v>0</v>
      </c>
      <c r="K85" s="105" t="s">
        <v>368</v>
      </c>
    </row>
    <row r="86" spans="1:11">
      <c r="A86" s="426" t="s">
        <v>243</v>
      </c>
      <c r="B86" s="424"/>
      <c r="C86" s="653"/>
      <c r="D86" s="424">
        <f>+D84+D74</f>
        <v>0</v>
      </c>
      <c r="E86" s="666"/>
      <c r="F86" s="424">
        <f>+F84+F74</f>
        <v>42479487</v>
      </c>
      <c r="G86" s="425">
        <f>+G74+G84</f>
        <v>42479487</v>
      </c>
      <c r="H86" s="398"/>
      <c r="I86" s="398"/>
      <c r="J86" s="566">
        <f>J72+J78</f>
        <v>-42479487</v>
      </c>
      <c r="K86" s="146" t="s">
        <v>471</v>
      </c>
    </row>
    <row r="87" spans="1:11" ht="16.2" thickBot="1">
      <c r="A87" s="427"/>
      <c r="B87" s="428"/>
      <c r="C87" s="654"/>
      <c r="D87" s="428"/>
      <c r="E87" s="718"/>
      <c r="F87" s="428"/>
      <c r="G87" s="429"/>
      <c r="H87" s="406"/>
      <c r="I87" s="398"/>
      <c r="J87" s="149">
        <f>J73+J79</f>
        <v>-42479487</v>
      </c>
      <c r="K87" s="105" t="s">
        <v>474</v>
      </c>
    </row>
    <row r="88" spans="1:11">
      <c r="A88" s="97"/>
      <c r="B88" s="97"/>
      <c r="C88" s="655"/>
      <c r="D88" s="97"/>
      <c r="E88" s="667"/>
      <c r="F88" s="97"/>
      <c r="H88" s="398"/>
      <c r="I88" s="398"/>
    </row>
    <row r="89" spans="1:11">
      <c r="A89" s="89" t="s">
        <v>1271</v>
      </c>
      <c r="B89" s="90"/>
      <c r="C89" s="656"/>
      <c r="D89" s="90"/>
      <c r="E89" s="667"/>
      <c r="F89" s="90"/>
      <c r="G89" s="463">
        <f>+G91-G30-G67-D86</f>
        <v>-6293359.8348270012</v>
      </c>
      <c r="H89" s="398"/>
      <c r="I89" s="398"/>
      <c r="J89" s="106"/>
    </row>
    <row r="90" spans="1:11" ht="21" customHeight="1">
      <c r="A90" s="97"/>
      <c r="B90" s="97"/>
      <c r="C90" s="655"/>
      <c r="D90" s="97"/>
      <c r="E90" s="667"/>
      <c r="F90" s="97"/>
      <c r="G90" s="785" t="s">
        <v>1403</v>
      </c>
      <c r="H90" s="398"/>
      <c r="I90" s="398"/>
    </row>
    <row r="91" spans="1:11" ht="16.2" thickBot="1">
      <c r="A91" s="90" t="s">
        <v>244</v>
      </c>
      <c r="B91" s="90"/>
      <c r="C91" s="656"/>
      <c r="D91" s="90"/>
      <c r="E91" s="667"/>
      <c r="F91" s="90"/>
      <c r="G91" s="78">
        <f>+J112*1000</f>
        <v>0</v>
      </c>
      <c r="H91" s="406"/>
      <c r="I91" s="398"/>
      <c r="K91" s="106"/>
    </row>
    <row r="92" spans="1:11" ht="16.2" thickTop="1">
      <c r="A92" s="97"/>
      <c r="B92" s="97"/>
      <c r="C92" s="655"/>
      <c r="D92" s="97"/>
      <c r="E92" s="667"/>
      <c r="F92" s="90"/>
      <c r="G92" s="138"/>
      <c r="H92" s="398"/>
      <c r="I92" s="398"/>
    </row>
    <row r="93" spans="1:11">
      <c r="A93" s="91"/>
      <c r="B93" s="92"/>
      <c r="C93" s="657"/>
      <c r="D93" s="93"/>
      <c r="E93" s="667"/>
      <c r="F93" s="93"/>
      <c r="G93" s="94"/>
      <c r="H93" s="398"/>
      <c r="I93" s="398"/>
    </row>
    <row r="94" spans="1:11">
      <c r="A94" s="142"/>
      <c r="B94" s="95"/>
      <c r="C94" s="657"/>
      <c r="D94" s="96" t="s">
        <v>821</v>
      </c>
      <c r="E94" s="668"/>
      <c r="F94" s="97">
        <f>+J106*1000</f>
        <v>0</v>
      </c>
      <c r="G94" s="706"/>
      <c r="H94" s="398"/>
      <c r="I94" s="398"/>
    </row>
    <row r="95" spans="1:11" ht="19.5" customHeight="1">
      <c r="A95" s="147"/>
      <c r="B95" s="98" t="s">
        <v>830</v>
      </c>
      <c r="C95" s="658"/>
      <c r="D95" s="394" t="e">
        <f>-F95/F94</f>
        <v>#DIV/0!</v>
      </c>
      <c r="E95" s="669"/>
      <c r="F95" s="99">
        <f>-F94+J112*1000</f>
        <v>0</v>
      </c>
      <c r="G95" s="100"/>
      <c r="H95" s="398"/>
      <c r="I95" s="398"/>
    </row>
    <row r="96" spans="1:11" ht="19.5" customHeight="1" thickBot="1">
      <c r="A96" s="97"/>
      <c r="B96" s="97"/>
      <c r="C96" s="655"/>
      <c r="D96" s="98" t="s">
        <v>822</v>
      </c>
      <c r="E96" s="667"/>
      <c r="F96" s="101">
        <f>SUM(F94:F95)</f>
        <v>0</v>
      </c>
      <c r="G96" s="94"/>
    </row>
    <row r="97" spans="1:14" ht="19.5" customHeight="1" thickTop="1">
      <c r="A97" s="93"/>
      <c r="B97" s="93"/>
      <c r="C97" s="655"/>
      <c r="D97" s="93"/>
      <c r="E97" s="667"/>
      <c r="F97" s="93"/>
      <c r="G97" s="94"/>
    </row>
    <row r="98" spans="1:14" ht="19.5" customHeight="1" thickBot="1">
      <c r="B98" s="102"/>
      <c r="D98" s="7"/>
      <c r="F98" s="7"/>
      <c r="G98" s="94"/>
      <c r="K98" s="132"/>
    </row>
    <row r="99" spans="1:14" ht="19.5" customHeight="1">
      <c r="A99" s="103"/>
      <c r="B99" s="102"/>
      <c r="D99" s="513" t="s">
        <v>1421</v>
      </c>
      <c r="E99" s="670"/>
      <c r="F99" s="504"/>
      <c r="G99" s="505"/>
      <c r="H99" s="506"/>
      <c r="I99" s="506"/>
      <c r="J99" s="514"/>
      <c r="K99" s="515"/>
      <c r="L99" s="515"/>
      <c r="M99" s="743"/>
      <c r="N99" s="516"/>
    </row>
    <row r="100" spans="1:14" ht="15.6" customHeight="1">
      <c r="A100" s="103"/>
      <c r="B100" s="102"/>
      <c r="D100" s="509"/>
      <c r="E100" s="719"/>
      <c r="F100" s="507"/>
      <c r="G100" s="508"/>
      <c r="H100" s="116"/>
      <c r="I100" s="116"/>
      <c r="J100" s="116"/>
      <c r="K100" s="116"/>
      <c r="L100" s="115"/>
      <c r="M100" s="719"/>
      <c r="N100" s="517"/>
    </row>
    <row r="101" spans="1:14">
      <c r="A101" s="103"/>
      <c r="B101" s="102"/>
      <c r="D101" s="509"/>
      <c r="E101" s="719"/>
      <c r="F101" s="510"/>
      <c r="G101" s="511"/>
      <c r="H101" s="116"/>
      <c r="I101" s="116"/>
      <c r="J101" s="116"/>
      <c r="K101" s="115" t="s">
        <v>212</v>
      </c>
      <c r="L101" s="115" t="s">
        <v>804</v>
      </c>
      <c r="M101" s="719"/>
      <c r="N101" s="517"/>
    </row>
    <row r="102" spans="1:14">
      <c r="A102" s="103"/>
      <c r="D102" s="509"/>
      <c r="E102" s="719"/>
      <c r="F102" s="512"/>
      <c r="G102" s="511"/>
      <c r="H102" s="526"/>
      <c r="I102" s="507"/>
      <c r="J102" s="116"/>
      <c r="K102" s="115" t="s">
        <v>216</v>
      </c>
      <c r="L102" s="115" t="s">
        <v>805</v>
      </c>
      <c r="M102" s="719"/>
      <c r="N102" s="517"/>
    </row>
    <row r="103" spans="1:14">
      <c r="D103" s="518"/>
      <c r="E103" s="696"/>
      <c r="F103" s="519"/>
      <c r="G103" s="520"/>
      <c r="H103" s="494" t="s">
        <v>809</v>
      </c>
      <c r="I103" s="696" t="s">
        <v>1359</v>
      </c>
      <c r="J103" s="695"/>
      <c r="K103" s="521">
        <f>+J103-L103</f>
        <v>0</v>
      </c>
      <c r="L103" s="695"/>
      <c r="M103" s="730"/>
      <c r="N103" s="694" t="s">
        <v>1359</v>
      </c>
    </row>
    <row r="104" spans="1:14">
      <c r="D104" s="490"/>
      <c r="G104" s="492"/>
      <c r="I104" s="692" t="s">
        <v>1358</v>
      </c>
      <c r="J104" s="525"/>
      <c r="K104" s="493">
        <f>+J104-L104</f>
        <v>0</v>
      </c>
      <c r="L104" s="525">
        <f>J110</f>
        <v>0</v>
      </c>
      <c r="M104" s="712"/>
      <c r="N104" s="489"/>
    </row>
    <row r="105" spans="1:14">
      <c r="D105" s="490"/>
      <c r="K105" s="104"/>
      <c r="L105" s="104"/>
      <c r="M105" s="635"/>
      <c r="N105" s="489"/>
    </row>
    <row r="106" spans="1:14">
      <c r="D106" s="490"/>
      <c r="H106" s="494" t="s">
        <v>226</v>
      </c>
      <c r="J106" s="72">
        <f>+J103+J104</f>
        <v>0</v>
      </c>
      <c r="K106" s="72">
        <f>+J106-L106</f>
        <v>0</v>
      </c>
      <c r="L106" s="72">
        <f>+L103+L104</f>
        <v>0</v>
      </c>
      <c r="M106" s="637"/>
      <c r="N106" s="495"/>
    </row>
    <row r="107" spans="1:14">
      <c r="D107" s="490"/>
      <c r="H107" s="311"/>
      <c r="J107" s="104"/>
      <c r="K107" s="104"/>
      <c r="L107" s="104"/>
      <c r="M107" s="635"/>
      <c r="N107" s="495"/>
    </row>
    <row r="108" spans="1:14">
      <c r="D108" s="490"/>
      <c r="J108" s="104"/>
      <c r="K108" s="104"/>
      <c r="N108" s="495" t="s">
        <v>1256</v>
      </c>
    </row>
    <row r="109" spans="1:14">
      <c r="D109" s="490"/>
      <c r="G109" s="496" t="s">
        <v>1257</v>
      </c>
      <c r="H109" s="556" t="e">
        <f>N109</f>
        <v>#DIV/0!</v>
      </c>
      <c r="I109" s="298"/>
      <c r="J109" s="491">
        <f>L103</f>
        <v>0</v>
      </c>
      <c r="K109" s="104"/>
      <c r="N109" s="497" t="e">
        <f>+K103/J103</f>
        <v>#DIV/0!</v>
      </c>
    </row>
    <row r="110" spans="1:14">
      <c r="D110" s="490"/>
      <c r="H110" s="496" t="s">
        <v>747</v>
      </c>
      <c r="I110" s="104"/>
      <c r="J110" s="491">
        <v>0</v>
      </c>
      <c r="K110" s="104"/>
      <c r="N110" s="497" t="e">
        <f>+K104/J104</f>
        <v>#DIV/0!</v>
      </c>
    </row>
    <row r="111" spans="1:14">
      <c r="D111" s="490"/>
      <c r="J111" s="104"/>
      <c r="K111" s="104"/>
      <c r="L111" s="104"/>
      <c r="M111" s="635"/>
      <c r="N111" s="497"/>
    </row>
    <row r="112" spans="1:14" ht="16.2" thickBot="1">
      <c r="D112" s="498"/>
      <c r="E112" s="720"/>
      <c r="F112" s="499"/>
      <c r="G112" s="500" t="s">
        <v>1258</v>
      </c>
      <c r="H112" s="557" t="e">
        <f>N112</f>
        <v>#DIV/0!</v>
      </c>
      <c r="I112" s="501"/>
      <c r="J112" s="502">
        <f>+J109+J110</f>
        <v>0</v>
      </c>
      <c r="K112" s="499"/>
      <c r="L112" s="501"/>
      <c r="M112" s="731"/>
      <c r="N112" s="503" t="e">
        <f>+K106/J106</f>
        <v>#DIV/0!</v>
      </c>
    </row>
    <row r="113" spans="1:9">
      <c r="A113" s="108" t="s">
        <v>1272</v>
      </c>
    </row>
    <row r="118" spans="1:9">
      <c r="I118" s="104"/>
    </row>
    <row r="119" spans="1:9">
      <c r="I119" s="104"/>
    </row>
    <row r="120" spans="1:9">
      <c r="F120" s="108"/>
    </row>
    <row r="121" spans="1:9">
      <c r="F121" s="108"/>
    </row>
    <row r="122" spans="1:9">
      <c r="F122" s="108"/>
    </row>
    <row r="123" spans="1:9">
      <c r="F123" s="108"/>
    </row>
    <row r="124" spans="1:9">
      <c r="F124" s="108"/>
    </row>
    <row r="125" spans="1:9">
      <c r="F125" s="108"/>
    </row>
    <row r="126" spans="1:9">
      <c r="F126" s="108"/>
    </row>
    <row r="127" spans="1:9">
      <c r="F127" s="108"/>
    </row>
    <row r="128" spans="1:9">
      <c r="F128" s="108"/>
    </row>
    <row r="129" spans="6:6">
      <c r="F129" s="108"/>
    </row>
    <row r="130" spans="6:6">
      <c r="F130" s="108"/>
    </row>
    <row r="131" spans="6:6">
      <c r="F131" s="108"/>
    </row>
    <row r="132" spans="6:6">
      <c r="F132" s="108"/>
    </row>
    <row r="133" spans="6:6">
      <c r="F133" s="108"/>
    </row>
  </sheetData>
  <mergeCells count="2">
    <mergeCell ref="L26:L27"/>
    <mergeCell ref="N26:N27"/>
  </mergeCells>
  <phoneticPr fontId="16" type="noConversion"/>
  <printOptions horizontalCentered="1" gridLines="1"/>
  <pageMargins left="0.74803149606299213" right="0.74803149606299213" top="0.27559055118110237" bottom="0.19685039370078741" header="0.51181102362204722" footer="0.15748031496062992"/>
  <pageSetup paperSize="5" scale="38" fitToHeight="0" orientation="landscape" cellComments="asDisplayed" r:id="rId1"/>
  <headerFooter alignWithMargins="0">
    <oddFooter>&amp;L&amp;F, &amp;A&amp;R&amp;D</oddFooter>
  </headerFooter>
  <rowBreaks count="1" manualBreakCount="1">
    <brk id="66" max="16383" man="1"/>
  </rowBreaks>
  <ignoredErrors>
    <ignoredError sqref="B25"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L493"/>
  <sheetViews>
    <sheetView tabSelected="1" zoomScale="80" zoomScaleNormal="80" workbookViewId="0">
      <selection activeCell="K14" sqref="K14"/>
    </sheetView>
  </sheetViews>
  <sheetFormatPr defaultColWidth="7.08984375" defaultRowHeight="13.8" outlineLevelRow="4" outlineLevelCol="1"/>
  <cols>
    <col min="1" max="1" width="8.54296875" style="16" bestFit="1" customWidth="1"/>
    <col min="2" max="2" width="39.1796875" style="17" customWidth="1"/>
    <col min="3" max="3" width="8.6328125" style="19" customWidth="1"/>
    <col min="4" max="4" width="7.90625" style="19" customWidth="1"/>
    <col min="5" max="5" width="6.08984375" style="19" customWidth="1"/>
    <col min="6" max="6" width="5" style="19" customWidth="1"/>
    <col min="7" max="7" width="9.81640625" style="19" customWidth="1"/>
    <col min="8" max="8" width="18.1796875" style="20" customWidth="1"/>
    <col min="9" max="9" width="19.54296875" style="20" customWidth="1"/>
    <col min="10" max="10" width="20.90625" style="22" customWidth="1"/>
    <col min="11" max="11" width="15.453125" style="3" customWidth="1" outlineLevel="1"/>
    <col min="12" max="12" width="12.6328125" style="3" customWidth="1" outlineLevel="1"/>
    <col min="13" max="13" width="17.6328125" style="2" customWidth="1" outlineLevel="1"/>
    <col min="14" max="14" width="18" style="5" customWidth="1"/>
    <col min="15" max="15" width="21.81640625" style="2" customWidth="1"/>
    <col min="16" max="16" width="17.08984375" style="4" customWidth="1"/>
    <col min="17" max="17" width="20.54296875" style="2" customWidth="1"/>
    <col min="18" max="18" width="21.81640625" style="2" customWidth="1"/>
    <col min="19" max="20" width="7.08984375" style="2" customWidth="1"/>
    <col min="21" max="16384" width="7.08984375" style="2"/>
  </cols>
  <sheetData>
    <row r="1" spans="1:20" s="1" customFormat="1" ht="52.5" customHeight="1" thickBot="1">
      <c r="A1" s="153" t="s">
        <v>110</v>
      </c>
      <c r="B1" s="153" t="s">
        <v>31</v>
      </c>
      <c r="C1" s="154" t="s">
        <v>116</v>
      </c>
      <c r="D1" s="154" t="s">
        <v>117</v>
      </c>
      <c r="E1" s="154" t="s">
        <v>118</v>
      </c>
      <c r="F1" s="154" t="s">
        <v>119</v>
      </c>
      <c r="G1" s="154" t="s">
        <v>120</v>
      </c>
      <c r="H1" s="155" t="s">
        <v>111</v>
      </c>
      <c r="I1" s="156" t="s">
        <v>112</v>
      </c>
      <c r="J1" s="622" t="s">
        <v>113</v>
      </c>
      <c r="K1" s="157" t="s">
        <v>832</v>
      </c>
      <c r="L1" s="158" t="s">
        <v>833</v>
      </c>
      <c r="M1" s="159" t="s">
        <v>187</v>
      </c>
      <c r="N1" s="159" t="s">
        <v>1234</v>
      </c>
      <c r="O1" s="159" t="s">
        <v>1235</v>
      </c>
      <c r="P1" s="159" t="s">
        <v>175</v>
      </c>
      <c r="Q1" s="159" t="s">
        <v>176</v>
      </c>
      <c r="R1" s="803">
        <f>'3. K0215-REFERENCE'!E287</f>
        <v>3986300689.5299978</v>
      </c>
      <c r="S1" s="160" t="s">
        <v>1380</v>
      </c>
      <c r="T1" s="15"/>
    </row>
    <row r="2" spans="1:20" s="14" customFormat="1" ht="15.6" outlineLevel="4">
      <c r="A2" s="169" t="s">
        <v>856</v>
      </c>
      <c r="B2" s="162" t="s">
        <v>67</v>
      </c>
      <c r="C2" s="163" t="s">
        <v>121</v>
      </c>
      <c r="D2" s="163" t="s">
        <v>106</v>
      </c>
      <c r="E2" s="163" t="s">
        <v>121</v>
      </c>
      <c r="F2" s="163" t="s">
        <v>101</v>
      </c>
      <c r="G2" s="163" t="s">
        <v>101</v>
      </c>
      <c r="H2" s="164"/>
      <c r="I2" s="164"/>
      <c r="J2" s="537">
        <f t="shared" ref="J2:J44" si="0">SUM(H2+I2)</f>
        <v>0</v>
      </c>
      <c r="K2" s="454">
        <v>0</v>
      </c>
      <c r="L2" s="389">
        <v>0</v>
      </c>
      <c r="M2" s="172">
        <f>IFERROR(+L2/(L2+K2),0)</f>
        <v>0</v>
      </c>
      <c r="N2" s="173">
        <f>+J2*M2</f>
        <v>0</v>
      </c>
      <c r="O2" s="164">
        <f>+J2-N2</f>
        <v>0</v>
      </c>
      <c r="P2" s="167">
        <f>ROUND(((O2/$R$1)*$R$2),2)</f>
        <v>0</v>
      </c>
      <c r="Q2" s="164">
        <f>+O2+P2</f>
        <v>0</v>
      </c>
      <c r="R2" s="538">
        <f>+R11-R1</f>
        <v>76491269.420001984</v>
      </c>
      <c r="S2" s="539" t="s">
        <v>188</v>
      </c>
    </row>
    <row r="3" spans="1:20" s="14" customFormat="1" ht="15.6" outlineLevel="4">
      <c r="A3" s="169" t="s">
        <v>857</v>
      </c>
      <c r="B3" s="162" t="s">
        <v>35</v>
      </c>
      <c r="C3" s="163" t="s">
        <v>121</v>
      </c>
      <c r="D3" s="163" t="s">
        <v>106</v>
      </c>
      <c r="E3" s="163" t="s">
        <v>121</v>
      </c>
      <c r="F3" s="163" t="s">
        <v>101</v>
      </c>
      <c r="G3" s="163" t="s">
        <v>101</v>
      </c>
      <c r="H3" s="164"/>
      <c r="I3" s="164"/>
      <c r="J3" s="537">
        <f t="shared" si="0"/>
        <v>0</v>
      </c>
      <c r="K3" s="454">
        <v>0</v>
      </c>
      <c r="L3" s="389">
        <v>0</v>
      </c>
      <c r="M3" s="172">
        <f>IFERROR(+L3/(L3+K3),0)</f>
        <v>0</v>
      </c>
      <c r="N3" s="173">
        <f>+J3*M3</f>
        <v>0</v>
      </c>
      <c r="O3" s="164">
        <f>+J3-N3</f>
        <v>0</v>
      </c>
      <c r="P3" s="167">
        <f t="shared" ref="P3:P44" si="1">ROUND(((O3/$R$1)*$R$2),2)</f>
        <v>0</v>
      </c>
      <c r="Q3" s="164">
        <f t="shared" ref="Q3:Q44" si="2">+O3+P3</f>
        <v>0</v>
      </c>
      <c r="R3" s="538"/>
      <c r="S3" s="165"/>
    </row>
    <row r="4" spans="1:20" ht="15.6" outlineLevel="4">
      <c r="A4" s="169" t="s">
        <v>858</v>
      </c>
      <c r="B4" s="162" t="s">
        <v>640</v>
      </c>
      <c r="C4" s="163" t="s">
        <v>122</v>
      </c>
      <c r="D4" s="163" t="s">
        <v>106</v>
      </c>
      <c r="E4" s="163" t="s">
        <v>121</v>
      </c>
      <c r="F4" s="163" t="s">
        <v>101</v>
      </c>
      <c r="G4" s="163" t="s">
        <v>101</v>
      </c>
      <c r="H4" s="164">
        <f>VLOOKUP(A4,'3. K0215-REFERENCE'!A:D,3,FALSE)</f>
        <v>48431.85</v>
      </c>
      <c r="I4" s="164">
        <f>VLOOKUP(A4,'3. K0215-REFERENCE'!A:D,4,FALSE)</f>
        <v>351671.68</v>
      </c>
      <c r="J4" s="537">
        <f t="shared" si="0"/>
        <v>400103.52999999997</v>
      </c>
      <c r="K4" s="389">
        <v>177325</v>
      </c>
      <c r="L4" s="389">
        <v>0</v>
      </c>
      <c r="M4" s="172">
        <f>IFERROR(+L4/(L4+K4),0)</f>
        <v>0</v>
      </c>
      <c r="N4" s="173">
        <f>+J4*M4</f>
        <v>0</v>
      </c>
      <c r="O4" s="164">
        <f>+J4-N4</f>
        <v>400103.52999999997</v>
      </c>
      <c r="P4" s="167">
        <f t="shared" si="1"/>
        <v>7677.4</v>
      </c>
      <c r="Q4" s="164">
        <f t="shared" si="2"/>
        <v>407780.93</v>
      </c>
      <c r="R4" s="174"/>
      <c r="S4" s="172"/>
    </row>
    <row r="5" spans="1:20" ht="15.6" outlineLevel="4">
      <c r="A5" s="169" t="s">
        <v>1301</v>
      </c>
      <c r="B5" s="162" t="s">
        <v>1302</v>
      </c>
      <c r="C5" s="163" t="s">
        <v>853</v>
      </c>
      <c r="D5" s="163" t="s">
        <v>106</v>
      </c>
      <c r="E5" s="163" t="s">
        <v>121</v>
      </c>
      <c r="F5" s="163" t="s">
        <v>101</v>
      </c>
      <c r="G5" s="163" t="s">
        <v>101</v>
      </c>
      <c r="H5" s="164"/>
      <c r="I5" s="164"/>
      <c r="J5" s="537">
        <f t="shared" si="0"/>
        <v>0</v>
      </c>
      <c r="K5" s="389">
        <v>233648</v>
      </c>
      <c r="L5" s="389">
        <v>0</v>
      </c>
      <c r="M5" s="172">
        <f>IFERROR(+L5/(L5+K5),0)</f>
        <v>0</v>
      </c>
      <c r="N5" s="173">
        <f>+J5*M5</f>
        <v>0</v>
      </c>
      <c r="O5" s="164">
        <f>+J5-N5</f>
        <v>0</v>
      </c>
      <c r="P5" s="167">
        <f t="shared" si="1"/>
        <v>0</v>
      </c>
      <c r="Q5" s="164">
        <f t="shared" ref="Q5" si="3">+O5+P5</f>
        <v>0</v>
      </c>
      <c r="R5" s="174"/>
      <c r="S5" s="172"/>
    </row>
    <row r="6" spans="1:20" ht="15.6" outlineLevel="4">
      <c r="A6" s="169" t="s">
        <v>859</v>
      </c>
      <c r="B6" s="162" t="s">
        <v>641</v>
      </c>
      <c r="C6" s="163" t="s">
        <v>853</v>
      </c>
      <c r="D6" s="163" t="s">
        <v>106</v>
      </c>
      <c r="E6" s="163" t="s">
        <v>121</v>
      </c>
      <c r="F6" s="163" t="s">
        <v>101</v>
      </c>
      <c r="G6" s="163" t="s">
        <v>101</v>
      </c>
      <c r="H6" s="164">
        <f>VLOOKUP(A6,'3. K0215-REFERENCE'!A:D,3,FALSE)</f>
        <v>145094.09</v>
      </c>
      <c r="I6" s="164">
        <f>VLOOKUP(A6,'3. K0215-REFERENCE'!A:D,4,FALSE)</f>
        <v>787574.88</v>
      </c>
      <c r="J6" s="537">
        <f t="shared" si="0"/>
        <v>932668.97</v>
      </c>
      <c r="K6" s="389">
        <v>233648</v>
      </c>
      <c r="L6" s="389">
        <v>0</v>
      </c>
      <c r="M6" s="172">
        <f>IFERROR(+L6/(L6+K6),0)</f>
        <v>0</v>
      </c>
      <c r="N6" s="173">
        <f>+J6*M6</f>
        <v>0</v>
      </c>
      <c r="O6" s="164">
        <f>+J6-N6</f>
        <v>932668.97</v>
      </c>
      <c r="P6" s="167">
        <f t="shared" si="1"/>
        <v>17896.55</v>
      </c>
      <c r="Q6" s="164">
        <f t="shared" si="2"/>
        <v>950565.52</v>
      </c>
      <c r="R6" s="175"/>
      <c r="S6" s="172"/>
    </row>
    <row r="7" spans="1:20" s="23" customFormat="1" ht="15.6" outlineLevel="4">
      <c r="A7" s="169" t="s">
        <v>860</v>
      </c>
      <c r="B7" s="162" t="s">
        <v>640</v>
      </c>
      <c r="C7" s="163" t="s">
        <v>122</v>
      </c>
      <c r="D7" s="163" t="s">
        <v>106</v>
      </c>
      <c r="E7" s="163" t="s">
        <v>121</v>
      </c>
      <c r="F7" s="163" t="s">
        <v>101</v>
      </c>
      <c r="G7" s="163" t="s">
        <v>101</v>
      </c>
      <c r="H7" s="164"/>
      <c r="I7" s="164"/>
      <c r="J7" s="537">
        <f t="shared" si="0"/>
        <v>0</v>
      </c>
      <c r="K7" s="389">
        <v>177325</v>
      </c>
      <c r="L7" s="389">
        <v>0</v>
      </c>
      <c r="M7" s="172">
        <f>IFERROR(+L7/(L7+K7),0)</f>
        <v>0</v>
      </c>
      <c r="N7" s="173">
        <f>+J7*M7</f>
        <v>0</v>
      </c>
      <c r="O7" s="164">
        <f>+J7-N7</f>
        <v>0</v>
      </c>
      <c r="P7" s="167">
        <f t="shared" si="1"/>
        <v>0</v>
      </c>
      <c r="Q7" s="164">
        <f t="shared" si="2"/>
        <v>0</v>
      </c>
      <c r="R7" s="178"/>
      <c r="S7" s="176"/>
    </row>
    <row r="8" spans="1:20" ht="15.6" outlineLevel="4">
      <c r="A8" s="169" t="s">
        <v>861</v>
      </c>
      <c r="B8" s="162" t="s">
        <v>42</v>
      </c>
      <c r="C8" s="163" t="s">
        <v>124</v>
      </c>
      <c r="D8" s="163" t="s">
        <v>106</v>
      </c>
      <c r="E8" s="163" t="s">
        <v>121</v>
      </c>
      <c r="F8" s="163" t="s">
        <v>101</v>
      </c>
      <c r="G8" s="163" t="s">
        <v>101</v>
      </c>
      <c r="H8" s="164"/>
      <c r="I8" s="164"/>
      <c r="J8" s="537">
        <f t="shared" si="0"/>
        <v>0</v>
      </c>
      <c r="K8" s="389">
        <v>177027</v>
      </c>
      <c r="L8" s="389">
        <v>0</v>
      </c>
      <c r="M8" s="172">
        <f>IFERROR(+L8/(L8+K8),0)</f>
        <v>0</v>
      </c>
      <c r="N8" s="173">
        <f>+J8*M8</f>
        <v>0</v>
      </c>
      <c r="O8" s="164">
        <f>+J8-N8</f>
        <v>0</v>
      </c>
      <c r="P8" s="167">
        <f t="shared" si="1"/>
        <v>0</v>
      </c>
      <c r="Q8" s="164">
        <f t="shared" si="2"/>
        <v>0</v>
      </c>
      <c r="R8" s="175"/>
      <c r="S8" s="172"/>
    </row>
    <row r="9" spans="1:20" ht="15.6" outlineLevel="4">
      <c r="A9" s="169" t="s">
        <v>862</v>
      </c>
      <c r="B9" s="162" t="s">
        <v>53</v>
      </c>
      <c r="C9" s="163" t="s">
        <v>124</v>
      </c>
      <c r="D9" s="163" t="s">
        <v>106</v>
      </c>
      <c r="E9" s="163" t="s">
        <v>121</v>
      </c>
      <c r="F9" s="163" t="s">
        <v>101</v>
      </c>
      <c r="G9" s="163" t="s">
        <v>101</v>
      </c>
      <c r="H9" s="164">
        <f>VLOOKUP(A9,'3. K0215-REFERENCE'!A:D,3,FALSE)</f>
        <v>56303.53</v>
      </c>
      <c r="I9" s="164">
        <f>VLOOKUP(A9,'3. K0215-REFERENCE'!A:D,4,FALSE)</f>
        <v>545184.56000000006</v>
      </c>
      <c r="J9" s="537">
        <f t="shared" si="0"/>
        <v>601488.09000000008</v>
      </c>
      <c r="K9" s="389">
        <v>177027</v>
      </c>
      <c r="L9" s="389">
        <v>0</v>
      </c>
      <c r="M9" s="172">
        <f>IFERROR(+L9/(L9+K9),0)</f>
        <v>0</v>
      </c>
      <c r="N9" s="173">
        <f>+J9*M9</f>
        <v>0</v>
      </c>
      <c r="O9" s="164">
        <f>+J9-N9</f>
        <v>601488.09000000008</v>
      </c>
      <c r="P9" s="167">
        <f t="shared" si="1"/>
        <v>11541.68</v>
      </c>
      <c r="Q9" s="164">
        <f t="shared" si="2"/>
        <v>613029.77000000014</v>
      </c>
      <c r="R9" s="172"/>
      <c r="S9" s="172"/>
    </row>
    <row r="10" spans="1:20" s="14" customFormat="1" ht="15.6" outlineLevel="4">
      <c r="A10" s="179" t="s">
        <v>863</v>
      </c>
      <c r="B10" s="162" t="s">
        <v>655</v>
      </c>
      <c r="C10" s="163" t="s">
        <v>168</v>
      </c>
      <c r="D10" s="163" t="s">
        <v>106</v>
      </c>
      <c r="E10" s="163" t="s">
        <v>121</v>
      </c>
      <c r="F10" s="163" t="s">
        <v>101</v>
      </c>
      <c r="G10" s="163" t="s">
        <v>101</v>
      </c>
      <c r="H10" s="164"/>
      <c r="I10" s="164"/>
      <c r="J10" s="537">
        <f t="shared" si="0"/>
        <v>0</v>
      </c>
      <c r="K10" s="389">
        <v>26617</v>
      </c>
      <c r="L10" s="389">
        <v>0</v>
      </c>
      <c r="M10" s="172">
        <f>IFERROR(+L10/(L10+K10),0)</f>
        <v>0</v>
      </c>
      <c r="N10" s="173">
        <f>+J10*M10</f>
        <v>0</v>
      </c>
      <c r="O10" s="164">
        <f>+J10-N10</f>
        <v>0</v>
      </c>
      <c r="P10" s="167">
        <f t="shared" si="1"/>
        <v>0</v>
      </c>
      <c r="Q10" s="164">
        <f t="shared" si="2"/>
        <v>0</v>
      </c>
      <c r="R10" s="165"/>
      <c r="S10" s="165"/>
    </row>
    <row r="11" spans="1:20" ht="15.6" outlineLevel="4">
      <c r="A11" s="169" t="s">
        <v>864</v>
      </c>
      <c r="B11" s="162" t="s">
        <v>52</v>
      </c>
      <c r="C11" s="163" t="s">
        <v>168</v>
      </c>
      <c r="D11" s="163" t="s">
        <v>106</v>
      </c>
      <c r="E11" s="163" t="s">
        <v>121</v>
      </c>
      <c r="F11" s="163" t="s">
        <v>101</v>
      </c>
      <c r="G11" s="163" t="s">
        <v>101</v>
      </c>
      <c r="H11" s="164"/>
      <c r="I11" s="164"/>
      <c r="J11" s="537">
        <f t="shared" si="0"/>
        <v>0</v>
      </c>
      <c r="K11" s="389">
        <v>26617</v>
      </c>
      <c r="L11" s="389">
        <v>0</v>
      </c>
      <c r="M11" s="172">
        <f>IFERROR(+L11/(L11+K11),0)</f>
        <v>0</v>
      </c>
      <c r="N11" s="173">
        <f>+J11*M11</f>
        <v>0</v>
      </c>
      <c r="O11" s="164">
        <f>+J11-N11</f>
        <v>0</v>
      </c>
      <c r="P11" s="167">
        <f t="shared" si="1"/>
        <v>0</v>
      </c>
      <c r="Q11" s="164">
        <f t="shared" si="2"/>
        <v>0</v>
      </c>
      <c r="R11" s="799">
        <v>4062791958.9499998</v>
      </c>
      <c r="S11" s="672" t="s">
        <v>1379</v>
      </c>
    </row>
    <row r="12" spans="1:20" ht="15.6" outlineLevel="4">
      <c r="A12" s="169" t="s">
        <v>865</v>
      </c>
      <c r="B12" s="162" t="s">
        <v>662</v>
      </c>
      <c r="C12" s="163" t="s">
        <v>130</v>
      </c>
      <c r="D12" s="163" t="s">
        <v>106</v>
      </c>
      <c r="E12" s="163" t="s">
        <v>121</v>
      </c>
      <c r="F12" s="163" t="s">
        <v>101</v>
      </c>
      <c r="G12" s="163" t="s">
        <v>101</v>
      </c>
      <c r="H12" s="164">
        <f>VLOOKUP(A12,'3. K0215-REFERENCE'!A:D,3,FALSE)</f>
        <v>62263.34</v>
      </c>
      <c r="I12" s="164">
        <f>VLOOKUP(A12,'3. K0215-REFERENCE'!A:D,4,FALSE)</f>
        <v>142282.46</v>
      </c>
      <c r="J12" s="537">
        <f t="shared" si="0"/>
        <v>204545.8</v>
      </c>
      <c r="K12" s="389">
        <v>39601</v>
      </c>
      <c r="L12" s="389">
        <v>0</v>
      </c>
      <c r="M12" s="172">
        <f>IFERROR(+L12/(L12+K12),0)</f>
        <v>0</v>
      </c>
      <c r="N12" s="173">
        <f>+J12*M12</f>
        <v>0</v>
      </c>
      <c r="O12" s="164">
        <f>+J12-N12</f>
        <v>204545.8</v>
      </c>
      <c r="P12" s="167">
        <f t="shared" si="1"/>
        <v>3924.93</v>
      </c>
      <c r="Q12" s="164">
        <f t="shared" si="2"/>
        <v>208470.72999999998</v>
      </c>
      <c r="R12" s="172"/>
      <c r="S12" s="276" t="s">
        <v>1233</v>
      </c>
    </row>
    <row r="13" spans="1:20" s="42" customFormat="1" ht="15.6" outlineLevel="4">
      <c r="A13" s="180" t="s">
        <v>866</v>
      </c>
      <c r="B13" s="181" t="s">
        <v>852</v>
      </c>
      <c r="C13" s="182" t="s">
        <v>463</v>
      </c>
      <c r="D13" s="182" t="s">
        <v>106</v>
      </c>
      <c r="E13" s="182" t="s">
        <v>121</v>
      </c>
      <c r="F13" s="182" t="s">
        <v>101</v>
      </c>
      <c r="G13" s="182" t="s">
        <v>101</v>
      </c>
      <c r="H13" s="164"/>
      <c r="I13" s="164"/>
      <c r="J13" s="537">
        <f t="shared" si="0"/>
        <v>0</v>
      </c>
      <c r="K13" s="535">
        <v>1471</v>
      </c>
      <c r="L13" s="535">
        <v>0</v>
      </c>
      <c r="M13" s="172">
        <f>IFERROR(+L13/(L13+K13),0)</f>
        <v>0</v>
      </c>
      <c r="N13" s="173">
        <f>+J13*M13</f>
        <v>0</v>
      </c>
      <c r="O13" s="164">
        <f>+J13-N13</f>
        <v>0</v>
      </c>
      <c r="P13" s="167">
        <f t="shared" si="1"/>
        <v>0</v>
      </c>
      <c r="Q13" s="164">
        <f t="shared" si="2"/>
        <v>0</v>
      </c>
      <c r="R13" s="181"/>
      <c r="S13" s="172" t="s">
        <v>1330</v>
      </c>
    </row>
    <row r="14" spans="1:20" ht="15.6" outlineLevel="4">
      <c r="A14" s="169" t="s">
        <v>867</v>
      </c>
      <c r="B14" s="162" t="s">
        <v>659</v>
      </c>
      <c r="C14" s="163" t="s">
        <v>126</v>
      </c>
      <c r="D14" s="163" t="s">
        <v>106</v>
      </c>
      <c r="E14" s="163" t="s">
        <v>121</v>
      </c>
      <c r="F14" s="163" t="s">
        <v>101</v>
      </c>
      <c r="G14" s="163" t="s">
        <v>101</v>
      </c>
      <c r="H14" s="164">
        <f>VLOOKUP(A14,'3. K0215-REFERENCE'!A:D,3,FALSE)</f>
        <v>2266882.42</v>
      </c>
      <c r="I14" s="164">
        <f>VLOOKUP(A14,'3. K0215-REFERENCE'!A:D,4,FALSE)</f>
        <v>3908668.49</v>
      </c>
      <c r="J14" s="537">
        <f t="shared" si="0"/>
        <v>6175550.9100000001</v>
      </c>
      <c r="K14" s="389">
        <v>215558</v>
      </c>
      <c r="L14" s="389">
        <v>2607520</v>
      </c>
      <c r="M14" s="172">
        <f>+L14/(L14+K14)</f>
        <v>0.92364433430461357</v>
      </c>
      <c r="N14" s="173">
        <f>+J14*M14</f>
        <v>5704012.609231201</v>
      </c>
      <c r="O14" s="164">
        <f>+J14-N14</f>
        <v>471538.30076879915</v>
      </c>
      <c r="P14" s="167">
        <f t="shared" si="1"/>
        <v>9048.1299999999992</v>
      </c>
      <c r="Q14" s="164">
        <f t="shared" si="2"/>
        <v>480586.43076879915</v>
      </c>
      <c r="R14" s="172"/>
      <c r="S14" s="181" t="s">
        <v>1331</v>
      </c>
    </row>
    <row r="15" spans="1:20" ht="15.6" outlineLevel="4">
      <c r="A15" s="169" t="s">
        <v>868</v>
      </c>
      <c r="B15" s="162" t="s">
        <v>548</v>
      </c>
      <c r="C15" s="163" t="s">
        <v>136</v>
      </c>
      <c r="D15" s="163" t="s">
        <v>106</v>
      </c>
      <c r="E15" s="163" t="s">
        <v>121</v>
      </c>
      <c r="F15" s="163" t="s">
        <v>101</v>
      </c>
      <c r="G15" s="163" t="s">
        <v>101</v>
      </c>
      <c r="H15" s="164">
        <f>VLOOKUP(A15,'3. K0215-REFERENCE'!A:D,3,FALSE)</f>
        <v>6005897.4800000004</v>
      </c>
      <c r="I15" s="164">
        <f>VLOOKUP(A15,'3. K0215-REFERENCE'!A:D,4,FALSE)</f>
        <v>12956128.460000001</v>
      </c>
      <c r="J15" s="537">
        <f t="shared" si="0"/>
        <v>18962025.940000001</v>
      </c>
      <c r="K15" s="389">
        <v>486805</v>
      </c>
      <c r="L15" s="389">
        <v>59756</v>
      </c>
      <c r="M15" s="172">
        <f>+L15/(L15+K15)</f>
        <v>0.10933088895841453</v>
      </c>
      <c r="N15" s="173">
        <f>+J15*M15</f>
        <v>2073135.1524727161</v>
      </c>
      <c r="O15" s="164">
        <f>+J15-N15</f>
        <v>16888890.787527286</v>
      </c>
      <c r="P15" s="167">
        <f t="shared" si="1"/>
        <v>324073.07</v>
      </c>
      <c r="Q15" s="164">
        <f t="shared" si="2"/>
        <v>17212963.857527286</v>
      </c>
      <c r="R15" s="172"/>
      <c r="S15" s="172"/>
    </row>
    <row r="16" spans="1:20" ht="15.6" outlineLevel="4">
      <c r="A16" s="169" t="s">
        <v>869</v>
      </c>
      <c r="B16" s="162" t="s">
        <v>721</v>
      </c>
      <c r="C16" s="163" t="s">
        <v>136</v>
      </c>
      <c r="D16" s="163" t="s">
        <v>106</v>
      </c>
      <c r="E16" s="163" t="s">
        <v>121</v>
      </c>
      <c r="F16" s="163" t="s">
        <v>101</v>
      </c>
      <c r="G16" s="163" t="s">
        <v>101</v>
      </c>
      <c r="H16" s="164">
        <f>VLOOKUP(A16,'3. K0215-REFERENCE'!A:D,3,FALSE)</f>
        <v>2366682.81</v>
      </c>
      <c r="I16" s="164">
        <f>VLOOKUP(A16,'3. K0215-REFERENCE'!A:D,4,FALSE)</f>
        <v>5838936.9800000004</v>
      </c>
      <c r="J16" s="537">
        <f t="shared" si="0"/>
        <v>8205619.790000001</v>
      </c>
      <c r="K16" s="389">
        <v>486805</v>
      </c>
      <c r="L16" s="389">
        <v>59756</v>
      </c>
      <c r="M16" s="172">
        <f>+L16/(L16+K16)</f>
        <v>0.10933088895841453</v>
      </c>
      <c r="N16" s="173">
        <f>+J16*M16</f>
        <v>897127.70609545882</v>
      </c>
      <c r="O16" s="164">
        <f>+J16-N16</f>
        <v>7308492.083904542</v>
      </c>
      <c r="P16" s="167">
        <f t="shared" si="1"/>
        <v>140239.25</v>
      </c>
      <c r="Q16" s="164">
        <f t="shared" si="2"/>
        <v>7448731.333904542</v>
      </c>
      <c r="R16" s="172"/>
      <c r="S16" s="172"/>
    </row>
    <row r="17" spans="1:19" ht="15.6" outlineLevel="4">
      <c r="A17" s="169" t="s">
        <v>870</v>
      </c>
      <c r="B17" s="162" t="s">
        <v>549</v>
      </c>
      <c r="C17" s="163" t="s">
        <v>136</v>
      </c>
      <c r="D17" s="163" t="s">
        <v>106</v>
      </c>
      <c r="E17" s="163" t="s">
        <v>121</v>
      </c>
      <c r="F17" s="163" t="s">
        <v>101</v>
      </c>
      <c r="G17" s="163" t="s">
        <v>101</v>
      </c>
      <c r="H17" s="164">
        <f>VLOOKUP(A17,'3. K0215-REFERENCE'!A:D,3,FALSE)</f>
        <v>462699.35</v>
      </c>
      <c r="I17" s="164">
        <f>VLOOKUP(A17,'3. K0215-REFERENCE'!A:D,4,FALSE)</f>
        <v>445177.89</v>
      </c>
      <c r="J17" s="537">
        <f t="shared" si="0"/>
        <v>907877.24</v>
      </c>
      <c r="K17" s="389">
        <v>486805</v>
      </c>
      <c r="L17" s="389">
        <v>59756</v>
      </c>
      <c r="M17" s="172">
        <f>+L17/(L17+K17)</f>
        <v>0.10933088895841453</v>
      </c>
      <c r="N17" s="173">
        <f>+J17*M17</f>
        <v>99259.025714311851</v>
      </c>
      <c r="O17" s="164">
        <f>+J17-N17</f>
        <v>808618.21428568813</v>
      </c>
      <c r="P17" s="167">
        <f t="shared" si="1"/>
        <v>15516.2</v>
      </c>
      <c r="Q17" s="164">
        <f t="shared" si="2"/>
        <v>824134.41428568808</v>
      </c>
      <c r="R17" s="172"/>
      <c r="S17" s="172"/>
    </row>
    <row r="18" spans="1:19" ht="15.6" outlineLevel="4">
      <c r="A18" s="169" t="s">
        <v>871</v>
      </c>
      <c r="B18" s="162" t="s">
        <v>60</v>
      </c>
      <c r="C18" s="163" t="s">
        <v>123</v>
      </c>
      <c r="D18" s="163" t="s">
        <v>106</v>
      </c>
      <c r="E18" s="163" t="s">
        <v>121</v>
      </c>
      <c r="F18" s="163" t="s">
        <v>101</v>
      </c>
      <c r="G18" s="163" t="s">
        <v>101</v>
      </c>
      <c r="H18" s="164">
        <f>VLOOKUP(A18,'3. K0215-REFERENCE'!A:D,3,FALSE)</f>
        <v>101038.58</v>
      </c>
      <c r="I18" s="164">
        <f>VLOOKUP(A18,'3. K0215-REFERENCE'!A:D,4,FALSE)</f>
        <v>619570.53</v>
      </c>
      <c r="J18" s="537">
        <f t="shared" si="0"/>
        <v>720609.11</v>
      </c>
      <c r="K18" s="389">
        <v>123122</v>
      </c>
      <c r="L18" s="389">
        <v>1320</v>
      </c>
      <c r="M18" s="172">
        <f>+L18/(L18+K18)</f>
        <v>1.0607351215827454E-2</v>
      </c>
      <c r="N18" s="173">
        <f>+J18*M18</f>
        <v>7643.7539190948391</v>
      </c>
      <c r="O18" s="164">
        <f>+J18-N18</f>
        <v>712965.35608090519</v>
      </c>
      <c r="P18" s="167">
        <f t="shared" si="1"/>
        <v>13680.76</v>
      </c>
      <c r="Q18" s="164">
        <f t="shared" si="2"/>
        <v>726646.11608090519</v>
      </c>
      <c r="R18" s="172"/>
      <c r="S18" s="172"/>
    </row>
    <row r="19" spans="1:19" s="52" customFormat="1" ht="15.6" outlineLevel="4">
      <c r="A19" s="161" t="s">
        <v>872</v>
      </c>
      <c r="B19" s="183" t="s">
        <v>580</v>
      </c>
      <c r="C19" s="163" t="s">
        <v>475</v>
      </c>
      <c r="D19" s="184" t="s">
        <v>106</v>
      </c>
      <c r="E19" s="184" t="s">
        <v>121</v>
      </c>
      <c r="F19" s="184" t="s">
        <v>101</v>
      </c>
      <c r="G19" s="163" t="s">
        <v>101</v>
      </c>
      <c r="H19" s="164"/>
      <c r="I19" s="164"/>
      <c r="J19" s="537">
        <f t="shared" si="0"/>
        <v>0</v>
      </c>
      <c r="K19" s="389">
        <v>72904</v>
      </c>
      <c r="L19" s="389">
        <v>0</v>
      </c>
      <c r="M19" s="172">
        <f>IFERROR(+L19/(L19+K19),0)</f>
        <v>0</v>
      </c>
      <c r="N19" s="173">
        <f>+J19*M19</f>
        <v>0</v>
      </c>
      <c r="O19" s="164">
        <f>+J19-N19</f>
        <v>0</v>
      </c>
      <c r="P19" s="167">
        <f t="shared" si="1"/>
        <v>0</v>
      </c>
      <c r="Q19" s="164">
        <f t="shared" si="2"/>
        <v>0</v>
      </c>
      <c r="R19" s="186"/>
      <c r="S19" s="186"/>
    </row>
    <row r="20" spans="1:19" ht="15.6" outlineLevel="4">
      <c r="A20" s="169" t="s">
        <v>873</v>
      </c>
      <c r="B20" s="162" t="s">
        <v>712</v>
      </c>
      <c r="C20" s="163" t="s">
        <v>174</v>
      </c>
      <c r="D20" s="163" t="s">
        <v>106</v>
      </c>
      <c r="E20" s="163" t="s">
        <v>121</v>
      </c>
      <c r="F20" s="184" t="s">
        <v>101</v>
      </c>
      <c r="G20" s="163" t="s">
        <v>101</v>
      </c>
      <c r="H20" s="164">
        <f>VLOOKUP(A20,'3. K0215-REFERENCE'!A:D,3,FALSE)</f>
        <v>18995</v>
      </c>
      <c r="I20" s="164">
        <f>VLOOKUP(A20,'3. K0215-REFERENCE'!A:D,4,FALSE)</f>
        <v>15801.57</v>
      </c>
      <c r="J20" s="537">
        <f t="shared" si="0"/>
        <v>34796.57</v>
      </c>
      <c r="K20" s="389">
        <v>26934</v>
      </c>
      <c r="L20" s="389">
        <v>0</v>
      </c>
      <c r="M20" s="172">
        <f>IFERROR(+L20/(L20+K20),0)</f>
        <v>0</v>
      </c>
      <c r="N20" s="173">
        <f>+J20*M20</f>
        <v>0</v>
      </c>
      <c r="O20" s="164">
        <f>+J20-N20</f>
        <v>34796.57</v>
      </c>
      <c r="P20" s="167">
        <f t="shared" si="1"/>
        <v>667.7</v>
      </c>
      <c r="Q20" s="164">
        <f t="shared" si="2"/>
        <v>35464.269999999997</v>
      </c>
      <c r="R20" s="172"/>
      <c r="S20" s="172"/>
    </row>
    <row r="21" spans="1:19" ht="15.6" outlineLevel="4">
      <c r="A21" s="169" t="s">
        <v>874</v>
      </c>
      <c r="B21" s="162" t="s">
        <v>650</v>
      </c>
      <c r="C21" s="163" t="s">
        <v>651</v>
      </c>
      <c r="D21" s="163" t="s">
        <v>106</v>
      </c>
      <c r="E21" s="163" t="s">
        <v>121</v>
      </c>
      <c r="F21" s="184" t="s">
        <v>101</v>
      </c>
      <c r="G21" s="163" t="s">
        <v>101</v>
      </c>
      <c r="H21" s="164">
        <f>VLOOKUP(A21,'3. K0215-REFERENCE'!A:D,3,FALSE)</f>
        <v>4903844.1100000003</v>
      </c>
      <c r="I21" s="164">
        <f>VLOOKUP(A21,'3. K0215-REFERENCE'!A:D,4,FALSE)</f>
        <v>7984474.1500000004</v>
      </c>
      <c r="J21" s="537">
        <f t="shared" si="0"/>
        <v>12888318.260000002</v>
      </c>
      <c r="K21" s="389">
        <v>494836</v>
      </c>
      <c r="L21" s="389">
        <v>154</v>
      </c>
      <c r="M21" s="172">
        <f>+L21/(L21+K21)</f>
        <v>3.1111739631103658E-4</v>
      </c>
      <c r="N21" s="173">
        <f>+J21*M21</f>
        <v>4009.7800198791901</v>
      </c>
      <c r="O21" s="164">
        <f>+J21-N21</f>
        <v>12884308.479980122</v>
      </c>
      <c r="P21" s="167">
        <f t="shared" si="1"/>
        <v>247231</v>
      </c>
      <c r="Q21" s="164">
        <f t="shared" si="2"/>
        <v>13131539.479980122</v>
      </c>
      <c r="R21" s="172"/>
      <c r="S21" s="172"/>
    </row>
    <row r="22" spans="1:19" ht="15.6" outlineLevel="4">
      <c r="A22" s="161" t="s">
        <v>875</v>
      </c>
      <c r="B22" s="162" t="s">
        <v>613</v>
      </c>
      <c r="C22" s="163" t="s">
        <v>623</v>
      </c>
      <c r="D22" s="163" t="s">
        <v>106</v>
      </c>
      <c r="E22" s="163" t="s">
        <v>121</v>
      </c>
      <c r="F22" s="163" t="s">
        <v>101</v>
      </c>
      <c r="G22" s="163" t="s">
        <v>101</v>
      </c>
      <c r="H22" s="164"/>
      <c r="I22" s="164"/>
      <c r="J22" s="537">
        <f t="shared" si="0"/>
        <v>0</v>
      </c>
      <c r="K22" s="389">
        <v>21697</v>
      </c>
      <c r="L22" s="389">
        <v>0</v>
      </c>
      <c r="M22" s="172">
        <f>IFERROR(+L22/(L22+K22),0)</f>
        <v>0</v>
      </c>
      <c r="N22" s="173">
        <f>+J22*M22</f>
        <v>0</v>
      </c>
      <c r="O22" s="164">
        <f>+J22-N22</f>
        <v>0</v>
      </c>
      <c r="P22" s="167">
        <f t="shared" si="1"/>
        <v>0</v>
      </c>
      <c r="Q22" s="164">
        <f t="shared" si="2"/>
        <v>0</v>
      </c>
      <c r="R22" s="172"/>
      <c r="S22" s="172"/>
    </row>
    <row r="23" spans="1:19" ht="15.6" outlineLevel="4">
      <c r="A23" s="169" t="s">
        <v>876</v>
      </c>
      <c r="B23" s="162" t="s">
        <v>495</v>
      </c>
      <c r="C23" s="163" t="s">
        <v>132</v>
      </c>
      <c r="D23" s="163" t="s">
        <v>106</v>
      </c>
      <c r="E23" s="163" t="s">
        <v>121</v>
      </c>
      <c r="F23" s="163" t="s">
        <v>101</v>
      </c>
      <c r="G23" s="163" t="s">
        <v>101</v>
      </c>
      <c r="H23" s="164">
        <f>VLOOKUP(A23,'3. K0215-REFERENCE'!A:D,3,FALSE)</f>
        <v>477.9</v>
      </c>
      <c r="I23" s="164">
        <f>VLOOKUP(A23,'3. K0215-REFERENCE'!A:D,4,FALSE)</f>
        <v>11712.77</v>
      </c>
      <c r="J23" s="537">
        <f t="shared" si="0"/>
        <v>12190.67</v>
      </c>
      <c r="K23" s="389">
        <v>11525</v>
      </c>
      <c r="L23" s="389">
        <v>1180</v>
      </c>
      <c r="M23" s="172">
        <f>IFERROR(+L23/(L23+K23),0)</f>
        <v>9.2876820149547429E-2</v>
      </c>
      <c r="N23" s="173">
        <f>+J23*M23</f>
        <v>1132.2306650924834</v>
      </c>
      <c r="O23" s="164">
        <f>+J23-N23</f>
        <v>11058.439334907516</v>
      </c>
      <c r="P23" s="167">
        <f t="shared" si="1"/>
        <v>212.2</v>
      </c>
      <c r="Q23" s="164">
        <f t="shared" si="2"/>
        <v>11270.639334907517</v>
      </c>
      <c r="R23" s="172"/>
      <c r="S23" s="172"/>
    </row>
    <row r="24" spans="1:19" ht="15.6" outlineLevel="4">
      <c r="A24" s="169" t="s">
        <v>877</v>
      </c>
      <c r="B24" s="162" t="s">
        <v>496</v>
      </c>
      <c r="C24" s="163" t="s">
        <v>768</v>
      </c>
      <c r="D24" s="163" t="s">
        <v>106</v>
      </c>
      <c r="E24" s="163" t="s">
        <v>121</v>
      </c>
      <c r="F24" s="163" t="s">
        <v>101</v>
      </c>
      <c r="G24" s="163" t="s">
        <v>101</v>
      </c>
      <c r="H24" s="164">
        <f>VLOOKUP(A24,'3. K0215-REFERENCE'!A:D,3,FALSE)</f>
        <v>456946.58</v>
      </c>
      <c r="I24" s="164">
        <f>VLOOKUP(A24,'3. K0215-REFERENCE'!A:D,4,FALSE)</f>
        <v>379220.01</v>
      </c>
      <c r="J24" s="537">
        <f t="shared" si="0"/>
        <v>836166.59000000008</v>
      </c>
      <c r="K24" s="389">
        <v>30450</v>
      </c>
      <c r="L24" s="389">
        <v>0</v>
      </c>
      <c r="M24" s="172">
        <f>IFERROR(+L24/(L24+K24),0)</f>
        <v>0</v>
      </c>
      <c r="N24" s="173">
        <f>+J24*M24</f>
        <v>0</v>
      </c>
      <c r="O24" s="164">
        <f>+J24-N24</f>
        <v>836166.59000000008</v>
      </c>
      <c r="P24" s="167">
        <f t="shared" si="1"/>
        <v>16044.81</v>
      </c>
      <c r="Q24" s="164">
        <f t="shared" si="2"/>
        <v>852211.40000000014</v>
      </c>
      <c r="R24" s="172"/>
      <c r="S24" s="172"/>
    </row>
    <row r="25" spans="1:19" ht="15.6" outlineLevel="4">
      <c r="A25" s="169" t="s">
        <v>878</v>
      </c>
      <c r="B25" s="162" t="s">
        <v>664</v>
      </c>
      <c r="C25" s="163" t="s">
        <v>167</v>
      </c>
      <c r="D25" s="163" t="s">
        <v>106</v>
      </c>
      <c r="E25" s="163" t="s">
        <v>121</v>
      </c>
      <c r="F25" s="163" t="s">
        <v>101</v>
      </c>
      <c r="G25" s="163" t="s">
        <v>101</v>
      </c>
      <c r="H25" s="164">
        <f>VLOOKUP(A25,'3. K0215-REFERENCE'!A:D,3,FALSE)</f>
        <v>4500</v>
      </c>
      <c r="I25" s="164">
        <f>VLOOKUP(A25,'3. K0215-REFERENCE'!A:D,4,FALSE)</f>
        <v>45411.22</v>
      </c>
      <c r="J25" s="537">
        <f t="shared" si="0"/>
        <v>49911.22</v>
      </c>
      <c r="K25" s="389">
        <v>18308</v>
      </c>
      <c r="L25" s="389">
        <v>0</v>
      </c>
      <c r="M25" s="172">
        <f>IFERROR(+L25/(L25+K25),0)</f>
        <v>0</v>
      </c>
      <c r="N25" s="173">
        <f>+J25*M25</f>
        <v>0</v>
      </c>
      <c r="O25" s="164">
        <f>+J25-N25</f>
        <v>49911.22</v>
      </c>
      <c r="P25" s="167">
        <f t="shared" si="1"/>
        <v>957.72</v>
      </c>
      <c r="Q25" s="164">
        <f t="shared" si="2"/>
        <v>50868.94</v>
      </c>
      <c r="R25" s="172"/>
      <c r="S25" s="172"/>
    </row>
    <row r="26" spans="1:19" ht="15.6" outlineLevel="4">
      <c r="A26" s="169" t="s">
        <v>879</v>
      </c>
      <c r="B26" s="162" t="s">
        <v>654</v>
      </c>
      <c r="C26" s="163" t="s">
        <v>45</v>
      </c>
      <c r="D26" s="163" t="s">
        <v>106</v>
      </c>
      <c r="E26" s="163" t="s">
        <v>121</v>
      </c>
      <c r="F26" s="163" t="s">
        <v>101</v>
      </c>
      <c r="G26" s="163" t="s">
        <v>101</v>
      </c>
      <c r="H26" s="164"/>
      <c r="I26" s="164"/>
      <c r="J26" s="537">
        <f t="shared" si="0"/>
        <v>0</v>
      </c>
      <c r="K26" s="389">
        <v>24194</v>
      </c>
      <c r="L26" s="389">
        <v>0</v>
      </c>
      <c r="M26" s="172">
        <f>IFERROR(+L26/(L26+K26),0)</f>
        <v>0</v>
      </c>
      <c r="N26" s="173">
        <f>+J26*M26</f>
        <v>0</v>
      </c>
      <c r="O26" s="164">
        <f>+J26-N26</f>
        <v>0</v>
      </c>
      <c r="P26" s="167">
        <f t="shared" si="1"/>
        <v>0</v>
      </c>
      <c r="Q26" s="164">
        <f t="shared" si="2"/>
        <v>0</v>
      </c>
      <c r="R26" s="172"/>
      <c r="S26" s="172"/>
    </row>
    <row r="27" spans="1:19" ht="15.6" outlineLevel="4">
      <c r="A27" s="161" t="s">
        <v>1295</v>
      </c>
      <c r="B27" s="162" t="s">
        <v>1296</v>
      </c>
      <c r="C27" s="430" t="s">
        <v>1297</v>
      </c>
      <c r="D27" s="163" t="s">
        <v>106</v>
      </c>
      <c r="E27" s="163" t="s">
        <v>121</v>
      </c>
      <c r="F27" s="163" t="s">
        <v>101</v>
      </c>
      <c r="G27" s="163" t="s">
        <v>101</v>
      </c>
      <c r="H27" s="164">
        <f>VLOOKUP(A27,'3. K0215-REFERENCE'!A:D,3,FALSE)</f>
        <v>0</v>
      </c>
      <c r="I27" s="164">
        <f>VLOOKUP(A27,'3. K0215-REFERENCE'!A:D,4,FALSE)</f>
        <v>9304.2000000000007</v>
      </c>
      <c r="J27" s="537">
        <f t="shared" si="0"/>
        <v>9304.2000000000007</v>
      </c>
      <c r="K27" s="389">
        <v>3117</v>
      </c>
      <c r="L27" s="389">
        <v>0</v>
      </c>
      <c r="M27" s="172">
        <f>IFERROR(+L27/(L27+K27),0)</f>
        <v>0</v>
      </c>
      <c r="N27" s="173">
        <f>+J27*M27</f>
        <v>0</v>
      </c>
      <c r="O27" s="164">
        <f>+J27-N27</f>
        <v>9304.2000000000007</v>
      </c>
      <c r="P27" s="167">
        <f t="shared" si="1"/>
        <v>178.53</v>
      </c>
      <c r="Q27" s="164">
        <f t="shared" si="2"/>
        <v>9482.7300000000014</v>
      </c>
      <c r="R27" s="172"/>
      <c r="S27" s="172"/>
    </row>
    <row r="28" spans="1:19" ht="15.6" outlineLevel="4">
      <c r="A28" s="169" t="s">
        <v>880</v>
      </c>
      <c r="B28" s="162" t="s">
        <v>569</v>
      </c>
      <c r="C28" s="163" t="s">
        <v>769</v>
      </c>
      <c r="D28" s="163" t="s">
        <v>106</v>
      </c>
      <c r="E28" s="163" t="s">
        <v>121</v>
      </c>
      <c r="F28" s="163" t="s">
        <v>101</v>
      </c>
      <c r="G28" s="163" t="s">
        <v>101</v>
      </c>
      <c r="H28" s="164">
        <f>VLOOKUP(A28,'3. K0215-REFERENCE'!A:D,3,FALSE)</f>
        <v>3790117.95</v>
      </c>
      <c r="I28" s="164">
        <f>VLOOKUP(A28,'3. K0215-REFERENCE'!A:D,4,FALSE)</f>
        <v>4888208.62</v>
      </c>
      <c r="J28" s="537">
        <f t="shared" si="0"/>
        <v>8678326.5700000003</v>
      </c>
      <c r="K28" s="389">
        <v>537853</v>
      </c>
      <c r="L28" s="389">
        <v>0</v>
      </c>
      <c r="M28" s="172">
        <f>+L28/(L28+K28)</f>
        <v>0</v>
      </c>
      <c r="N28" s="173">
        <f>+J28*M28</f>
        <v>0</v>
      </c>
      <c r="O28" s="164">
        <f>+J28-N28</f>
        <v>8678326.5700000003</v>
      </c>
      <c r="P28" s="167">
        <f t="shared" si="1"/>
        <v>166524.37</v>
      </c>
      <c r="Q28" s="164">
        <f t="shared" si="2"/>
        <v>8844850.9399999995</v>
      </c>
      <c r="R28" s="172"/>
      <c r="S28" s="172"/>
    </row>
    <row r="29" spans="1:19" ht="15.6" outlineLevel="4">
      <c r="A29" s="169" t="s">
        <v>881</v>
      </c>
      <c r="B29" s="162" t="s">
        <v>570</v>
      </c>
      <c r="C29" s="163" t="s">
        <v>769</v>
      </c>
      <c r="D29" s="163" t="s">
        <v>106</v>
      </c>
      <c r="E29" s="163" t="s">
        <v>121</v>
      </c>
      <c r="F29" s="163" t="s">
        <v>101</v>
      </c>
      <c r="G29" s="163" t="s">
        <v>101</v>
      </c>
      <c r="H29" s="164">
        <f>VLOOKUP(A29,'3. K0215-REFERENCE'!A:D,3,FALSE)</f>
        <v>70915.360000000001</v>
      </c>
      <c r="I29" s="164">
        <f>VLOOKUP(A29,'3. K0215-REFERENCE'!A:D,4,FALSE)</f>
        <v>894968.77</v>
      </c>
      <c r="J29" s="537">
        <f t="shared" si="0"/>
        <v>965884.13</v>
      </c>
      <c r="K29" s="389">
        <v>537853</v>
      </c>
      <c r="L29" s="389">
        <v>0</v>
      </c>
      <c r="M29" s="172">
        <f>+L29/(L29+K29)</f>
        <v>0</v>
      </c>
      <c r="N29" s="173">
        <f>+J29*M29</f>
        <v>0</v>
      </c>
      <c r="O29" s="164">
        <f>+J29-N29</f>
        <v>965884.13</v>
      </c>
      <c r="P29" s="167">
        <f t="shared" si="1"/>
        <v>18533.900000000001</v>
      </c>
      <c r="Q29" s="164">
        <f t="shared" si="2"/>
        <v>984418.03</v>
      </c>
      <c r="R29" s="172"/>
      <c r="S29" s="172"/>
    </row>
    <row r="30" spans="1:19" ht="15.6" outlineLevel="4">
      <c r="A30" s="169" t="s">
        <v>882</v>
      </c>
      <c r="B30" s="162" t="s">
        <v>571</v>
      </c>
      <c r="C30" s="163" t="s">
        <v>769</v>
      </c>
      <c r="D30" s="163" t="s">
        <v>106</v>
      </c>
      <c r="E30" s="163" t="s">
        <v>121</v>
      </c>
      <c r="F30" s="163" t="s">
        <v>101</v>
      </c>
      <c r="G30" s="163" t="s">
        <v>101</v>
      </c>
      <c r="H30" s="164">
        <f>VLOOKUP(A30,'3. K0215-REFERENCE'!A:D,3,FALSE)</f>
        <v>388607.87</v>
      </c>
      <c r="I30" s="164">
        <f>VLOOKUP(A30,'3. K0215-REFERENCE'!A:D,4,FALSE)</f>
        <v>2347917.36</v>
      </c>
      <c r="J30" s="537">
        <f t="shared" si="0"/>
        <v>2736525.23</v>
      </c>
      <c r="K30" s="389">
        <v>537853</v>
      </c>
      <c r="L30" s="389">
        <v>0</v>
      </c>
      <c r="M30" s="172">
        <f>+L30/(L30+K30)</f>
        <v>0</v>
      </c>
      <c r="N30" s="173">
        <f>+J30*M30</f>
        <v>0</v>
      </c>
      <c r="O30" s="164">
        <f>+J30-N30</f>
        <v>2736525.23</v>
      </c>
      <c r="P30" s="167">
        <f t="shared" si="1"/>
        <v>52509.91</v>
      </c>
      <c r="Q30" s="164">
        <f t="shared" si="2"/>
        <v>2789035.14</v>
      </c>
      <c r="R30" s="172"/>
      <c r="S30" s="172"/>
    </row>
    <row r="31" spans="1:19" s="41" customFormat="1" ht="15.6" outlineLevel="4">
      <c r="A31" s="180" t="s">
        <v>883</v>
      </c>
      <c r="B31" s="181" t="s">
        <v>572</v>
      </c>
      <c r="C31" s="182" t="s">
        <v>769</v>
      </c>
      <c r="D31" s="182" t="s">
        <v>106</v>
      </c>
      <c r="E31" s="182" t="s">
        <v>121</v>
      </c>
      <c r="F31" s="182" t="s">
        <v>101</v>
      </c>
      <c r="G31" s="182" t="s">
        <v>101</v>
      </c>
      <c r="H31" s="164">
        <f>VLOOKUP(A31,'3. K0215-REFERENCE'!A:D,3,FALSE)</f>
        <v>1123946.17</v>
      </c>
      <c r="I31" s="164">
        <f>VLOOKUP(A31,'3. K0215-REFERENCE'!A:D,4,FALSE)</f>
        <v>4783625.2</v>
      </c>
      <c r="J31" s="537">
        <f t="shared" si="0"/>
        <v>5907571.3700000001</v>
      </c>
      <c r="K31" s="389">
        <v>537853</v>
      </c>
      <c r="L31" s="389">
        <v>0</v>
      </c>
      <c r="M31" s="172">
        <f>+L31/(L31+K31)</f>
        <v>0</v>
      </c>
      <c r="N31" s="173">
        <f>+J31*M31</f>
        <v>0</v>
      </c>
      <c r="O31" s="164">
        <f>+J31-N31</f>
        <v>5907571.3700000001</v>
      </c>
      <c r="P31" s="167">
        <f t="shared" si="1"/>
        <v>113357.64</v>
      </c>
      <c r="Q31" s="164">
        <f t="shared" si="2"/>
        <v>6020929.0099999998</v>
      </c>
      <c r="R31" s="187"/>
      <c r="S31" s="187"/>
    </row>
    <row r="32" spans="1:19" s="54" customFormat="1" ht="15.6" outlineLevel="4">
      <c r="A32" s="180" t="s">
        <v>884</v>
      </c>
      <c r="B32" s="188" t="s">
        <v>586</v>
      </c>
      <c r="C32" s="182" t="s">
        <v>769</v>
      </c>
      <c r="D32" s="189" t="s">
        <v>106</v>
      </c>
      <c r="E32" s="189" t="s">
        <v>121</v>
      </c>
      <c r="F32" s="189" t="s">
        <v>101</v>
      </c>
      <c r="G32" s="189" t="s">
        <v>101</v>
      </c>
      <c r="H32" s="164">
        <f>VLOOKUP(A32,'3. K0215-REFERENCE'!A:D,3,FALSE)</f>
        <v>262570.98</v>
      </c>
      <c r="I32" s="164">
        <f>VLOOKUP(A32,'3. K0215-REFERENCE'!A:D,4,FALSE)</f>
        <v>1881971.25</v>
      </c>
      <c r="J32" s="537">
        <f t="shared" si="0"/>
        <v>2144542.23</v>
      </c>
      <c r="K32" s="389">
        <v>537853</v>
      </c>
      <c r="L32" s="389">
        <v>0</v>
      </c>
      <c r="M32" s="172">
        <f>+L32/(L32+K32)</f>
        <v>0</v>
      </c>
      <c r="N32" s="173">
        <f>+J32*M32</f>
        <v>0</v>
      </c>
      <c r="O32" s="164">
        <f>+J32-N32</f>
        <v>2144542.23</v>
      </c>
      <c r="P32" s="167">
        <f t="shared" si="1"/>
        <v>41150.620000000003</v>
      </c>
      <c r="Q32" s="164">
        <f t="shared" si="2"/>
        <v>2185692.85</v>
      </c>
      <c r="R32" s="190"/>
      <c r="S32" s="190"/>
    </row>
    <row r="33" spans="1:116" s="41" customFormat="1" ht="15.6" outlineLevel="4">
      <c r="A33" s="180" t="s">
        <v>885</v>
      </c>
      <c r="B33" s="181" t="s">
        <v>573</v>
      </c>
      <c r="C33" s="182" t="s">
        <v>769</v>
      </c>
      <c r="D33" s="182" t="s">
        <v>106</v>
      </c>
      <c r="E33" s="182" t="s">
        <v>121</v>
      </c>
      <c r="F33" s="182" t="s">
        <v>101</v>
      </c>
      <c r="G33" s="182" t="s">
        <v>101</v>
      </c>
      <c r="H33" s="164">
        <f>VLOOKUP(A33,'3. K0215-REFERENCE'!A:D,3,FALSE)</f>
        <v>272343.99</v>
      </c>
      <c r="I33" s="164">
        <f>VLOOKUP(A33,'3. K0215-REFERENCE'!A:D,4,FALSE)</f>
        <v>1666427.52</v>
      </c>
      <c r="J33" s="537">
        <f t="shared" si="0"/>
        <v>1938771.51</v>
      </c>
      <c r="K33" s="389">
        <v>537853</v>
      </c>
      <c r="L33" s="389">
        <v>0</v>
      </c>
      <c r="M33" s="172">
        <f>+L33/(L33+K33)</f>
        <v>0</v>
      </c>
      <c r="N33" s="173">
        <f>+J33*M33</f>
        <v>0</v>
      </c>
      <c r="O33" s="164">
        <f>+J33-N33</f>
        <v>1938771.51</v>
      </c>
      <c r="P33" s="167">
        <f t="shared" si="1"/>
        <v>37202.18</v>
      </c>
      <c r="Q33" s="164">
        <f t="shared" si="2"/>
        <v>1975973.69</v>
      </c>
      <c r="R33" s="187"/>
      <c r="S33" s="187"/>
    </row>
    <row r="34" spans="1:116" s="41" customFormat="1" ht="15.6" outlineLevel="4">
      <c r="A34" s="180" t="s">
        <v>1310</v>
      </c>
      <c r="B34" s="188" t="s">
        <v>1309</v>
      </c>
      <c r="C34" s="182" t="s">
        <v>769</v>
      </c>
      <c r="D34" s="182" t="s">
        <v>106</v>
      </c>
      <c r="E34" s="182" t="s">
        <v>121</v>
      </c>
      <c r="F34" s="182" t="s">
        <v>101</v>
      </c>
      <c r="G34" s="182" t="s">
        <v>101</v>
      </c>
      <c r="H34" s="164">
        <f>VLOOKUP(A34,'3. K0215-REFERENCE'!A:D,3,FALSE)</f>
        <v>0.5</v>
      </c>
      <c r="I34" s="164">
        <f>VLOOKUP(A34,'3. K0215-REFERENCE'!A:D,4,FALSE)</f>
        <v>15167.13</v>
      </c>
      <c r="J34" s="537">
        <f t="shared" si="0"/>
        <v>15167.63</v>
      </c>
      <c r="K34" s="389">
        <v>537853</v>
      </c>
      <c r="L34" s="389">
        <v>0</v>
      </c>
      <c r="M34" s="172">
        <f>+L34/(L34+K34)</f>
        <v>0</v>
      </c>
      <c r="N34" s="173">
        <f>+J34*M34</f>
        <v>0</v>
      </c>
      <c r="O34" s="164">
        <f>+J34-N34</f>
        <v>15167.63</v>
      </c>
      <c r="P34" s="167">
        <f t="shared" si="1"/>
        <v>291.04000000000002</v>
      </c>
      <c r="Q34" s="164">
        <f t="shared" si="2"/>
        <v>15458.67</v>
      </c>
      <c r="R34" s="187"/>
      <c r="S34" s="187"/>
    </row>
    <row r="35" spans="1:116" ht="15.6" outlineLevel="4">
      <c r="A35" s="180" t="s">
        <v>886</v>
      </c>
      <c r="B35" s="188" t="s">
        <v>89</v>
      </c>
      <c r="C35" s="163" t="s">
        <v>769</v>
      </c>
      <c r="D35" s="163" t="s">
        <v>106</v>
      </c>
      <c r="E35" s="163" t="s">
        <v>121</v>
      </c>
      <c r="F35" s="163" t="s">
        <v>101</v>
      </c>
      <c r="G35" s="163" t="s">
        <v>101</v>
      </c>
      <c r="H35" s="164">
        <f>VLOOKUP(A35,'3. K0215-REFERENCE'!A:D,3,FALSE)</f>
        <v>2420.7600000000002</v>
      </c>
      <c r="I35" s="164">
        <f>VLOOKUP(A35,'3. K0215-REFERENCE'!A:D,4,FALSE)</f>
        <v>393689.25</v>
      </c>
      <c r="J35" s="537">
        <f t="shared" si="0"/>
        <v>396110.01</v>
      </c>
      <c r="K35" s="389">
        <v>537853</v>
      </c>
      <c r="L35" s="389">
        <v>0</v>
      </c>
      <c r="M35" s="172">
        <f>+L35/(L35+K35)</f>
        <v>0</v>
      </c>
      <c r="N35" s="173">
        <f>+J35*M35</f>
        <v>0</v>
      </c>
      <c r="O35" s="164">
        <f>+J35-N35</f>
        <v>396110.01</v>
      </c>
      <c r="P35" s="167">
        <f t="shared" si="1"/>
        <v>7600.77</v>
      </c>
      <c r="Q35" s="164">
        <f t="shared" si="2"/>
        <v>403710.78</v>
      </c>
      <c r="R35" s="172"/>
      <c r="S35" s="172"/>
    </row>
    <row r="36" spans="1:116" ht="15.6" outlineLevel="4">
      <c r="A36" s="180" t="s">
        <v>887</v>
      </c>
      <c r="B36" s="188" t="s">
        <v>83</v>
      </c>
      <c r="C36" s="163" t="s">
        <v>774</v>
      </c>
      <c r="D36" s="163" t="s">
        <v>106</v>
      </c>
      <c r="E36" s="163" t="s">
        <v>121</v>
      </c>
      <c r="F36" s="163" t="s">
        <v>101</v>
      </c>
      <c r="G36" s="163" t="s">
        <v>101</v>
      </c>
      <c r="H36" s="164">
        <f>VLOOKUP(A36,'3. K0215-REFERENCE'!A:D,3,FALSE)</f>
        <v>939583.82</v>
      </c>
      <c r="I36" s="164">
        <f>VLOOKUP(A36,'3. K0215-REFERENCE'!A:D,4,FALSE)</f>
        <v>4686414.82</v>
      </c>
      <c r="J36" s="537">
        <f t="shared" si="0"/>
        <v>5625998.6400000006</v>
      </c>
      <c r="K36" s="389">
        <v>722099</v>
      </c>
      <c r="L36" s="389">
        <v>0</v>
      </c>
      <c r="M36" s="172">
        <f>+L36/(L36+K36)</f>
        <v>0</v>
      </c>
      <c r="N36" s="173">
        <f>+J36*M36</f>
        <v>0</v>
      </c>
      <c r="O36" s="164">
        <f>+J36-N36</f>
        <v>5625998.6400000006</v>
      </c>
      <c r="P36" s="167">
        <f t="shared" si="1"/>
        <v>107954.67</v>
      </c>
      <c r="Q36" s="164">
        <f t="shared" si="2"/>
        <v>5733953.3100000005</v>
      </c>
      <c r="R36" s="172"/>
      <c r="S36" s="172"/>
    </row>
    <row r="37" spans="1:116" ht="15.6" outlineLevel="4">
      <c r="A37" s="169" t="s">
        <v>888</v>
      </c>
      <c r="B37" s="162" t="s">
        <v>493</v>
      </c>
      <c r="C37" s="163" t="s">
        <v>634</v>
      </c>
      <c r="D37" s="163" t="s">
        <v>106</v>
      </c>
      <c r="E37" s="163" t="s">
        <v>121</v>
      </c>
      <c r="F37" s="163" t="s">
        <v>101</v>
      </c>
      <c r="G37" s="163" t="s">
        <v>101</v>
      </c>
      <c r="H37" s="164">
        <f>VLOOKUP(A37,'3. K0215-REFERENCE'!A:D,3,FALSE)</f>
        <v>19.52</v>
      </c>
      <c r="I37" s="164">
        <f>VLOOKUP(A37,'3. K0215-REFERENCE'!A:D,4,FALSE)</f>
        <v>172597.25</v>
      </c>
      <c r="J37" s="537">
        <f t="shared" si="0"/>
        <v>172616.77</v>
      </c>
      <c r="K37" s="389">
        <v>808</v>
      </c>
      <c r="L37" s="389">
        <v>657</v>
      </c>
      <c r="M37" s="172">
        <f>+L37/(L37+K37)</f>
        <v>0.44846416382252557</v>
      </c>
      <c r="N37" s="173">
        <f>+J37*M37</f>
        <v>77412.43541979522</v>
      </c>
      <c r="O37" s="164">
        <f>+J37-N37</f>
        <v>95204.33458020477</v>
      </c>
      <c r="P37" s="167">
        <f t="shared" si="1"/>
        <v>1826.83</v>
      </c>
      <c r="Q37" s="164">
        <f t="shared" si="2"/>
        <v>97031.164580204771</v>
      </c>
      <c r="R37" s="172"/>
      <c r="S37" s="172"/>
    </row>
    <row r="38" spans="1:116" ht="15.6" outlineLevel="4">
      <c r="A38" s="169" t="s">
        <v>889</v>
      </c>
      <c r="B38" s="162" t="s">
        <v>595</v>
      </c>
      <c r="C38" s="163" t="s">
        <v>475</v>
      </c>
      <c r="D38" s="163" t="s">
        <v>106</v>
      </c>
      <c r="E38" s="163" t="s">
        <v>121</v>
      </c>
      <c r="F38" s="163" t="s">
        <v>101</v>
      </c>
      <c r="G38" s="163" t="s">
        <v>101</v>
      </c>
      <c r="H38" s="164">
        <f>VLOOKUP(A38,'3. K0215-REFERENCE'!A:D,3,FALSE)</f>
        <v>72183.8</v>
      </c>
      <c r="I38" s="164">
        <f>VLOOKUP(A38,'3. K0215-REFERENCE'!A:D,4,FALSE)</f>
        <v>71128.05</v>
      </c>
      <c r="J38" s="537">
        <f t="shared" si="0"/>
        <v>143311.85</v>
      </c>
      <c r="K38" s="389">
        <v>72904</v>
      </c>
      <c r="L38" s="389">
        <v>0</v>
      </c>
      <c r="M38" s="172">
        <f>+L38/(L38+K38)</f>
        <v>0</v>
      </c>
      <c r="N38" s="173">
        <f>+J38*M38</f>
        <v>0</v>
      </c>
      <c r="O38" s="164">
        <f>+J38-N38</f>
        <v>143311.85</v>
      </c>
      <c r="P38" s="167">
        <f t="shared" si="1"/>
        <v>2749.94</v>
      </c>
      <c r="Q38" s="164">
        <f t="shared" si="2"/>
        <v>146061.79</v>
      </c>
      <c r="R38" s="172"/>
      <c r="S38" s="172"/>
    </row>
    <row r="39" spans="1:116" ht="15.6" outlineLevel="4">
      <c r="A39" s="169" t="s">
        <v>890</v>
      </c>
      <c r="B39" s="162" t="s">
        <v>55</v>
      </c>
      <c r="C39" s="163" t="s">
        <v>831</v>
      </c>
      <c r="D39" s="163" t="s">
        <v>106</v>
      </c>
      <c r="E39" s="163" t="s">
        <v>121</v>
      </c>
      <c r="F39" s="163" t="s">
        <v>101</v>
      </c>
      <c r="G39" s="163" t="s">
        <v>101</v>
      </c>
      <c r="H39" s="164">
        <f>VLOOKUP(A39,'3. K0215-REFERENCE'!A:D,3,FALSE)</f>
        <v>1562466.49</v>
      </c>
      <c r="I39" s="164">
        <f>VLOOKUP(A39,'3. K0215-REFERENCE'!A:D,4,FALSE)</f>
        <v>332405.75</v>
      </c>
      <c r="J39" s="537">
        <f t="shared" si="0"/>
        <v>1894872.24</v>
      </c>
      <c r="K39" s="389">
        <v>2519</v>
      </c>
      <c r="L39" s="389">
        <v>0</v>
      </c>
      <c r="M39" s="172">
        <f>+L39/(L39+K39)</f>
        <v>0</v>
      </c>
      <c r="N39" s="173">
        <f>+J39*M39</f>
        <v>0</v>
      </c>
      <c r="O39" s="164">
        <f>+J39-N39</f>
        <v>1894872.24</v>
      </c>
      <c r="P39" s="167">
        <f t="shared" si="1"/>
        <v>36359.82</v>
      </c>
      <c r="Q39" s="164">
        <f t="shared" si="2"/>
        <v>1931232.06</v>
      </c>
      <c r="R39" s="172"/>
      <c r="S39" s="172"/>
    </row>
    <row r="40" spans="1:116" ht="15.6" outlineLevel="4">
      <c r="A40" s="169" t="s">
        <v>891</v>
      </c>
      <c r="B40" s="162" t="s">
        <v>576</v>
      </c>
      <c r="C40" s="163" t="s">
        <v>775</v>
      </c>
      <c r="D40" s="163" t="s">
        <v>106</v>
      </c>
      <c r="E40" s="163" t="s">
        <v>121</v>
      </c>
      <c r="F40" s="163" t="s">
        <v>101</v>
      </c>
      <c r="G40" s="163" t="s">
        <v>101</v>
      </c>
      <c r="H40" s="164">
        <f>VLOOKUP(A40,'3. K0215-REFERENCE'!A:D,3,FALSE)</f>
        <v>1872848.11</v>
      </c>
      <c r="I40" s="164">
        <f>VLOOKUP(A40,'3. K0215-REFERENCE'!A:D,4,FALSE)</f>
        <v>1347131.52</v>
      </c>
      <c r="J40" s="537">
        <f t="shared" si="0"/>
        <v>3219979.63</v>
      </c>
      <c r="K40" s="389">
        <v>1657000</v>
      </c>
      <c r="L40" s="389">
        <v>0</v>
      </c>
      <c r="M40" s="172">
        <f>+L40/(L40+K40)</f>
        <v>0</v>
      </c>
      <c r="N40" s="173">
        <f>+J40*M40</f>
        <v>0</v>
      </c>
      <c r="O40" s="164">
        <f>+J40-N40</f>
        <v>3219979.63</v>
      </c>
      <c r="P40" s="167">
        <f t="shared" si="1"/>
        <v>61786.69</v>
      </c>
      <c r="Q40" s="164">
        <f t="shared" si="2"/>
        <v>3281766.32</v>
      </c>
      <c r="R40" s="172"/>
      <c r="S40" s="172"/>
    </row>
    <row r="41" spans="1:116" s="13" customFormat="1" ht="15.6" outlineLevel="4">
      <c r="A41" s="169" t="s">
        <v>892</v>
      </c>
      <c r="B41" s="162" t="s">
        <v>674</v>
      </c>
      <c r="C41" s="163" t="s">
        <v>776</v>
      </c>
      <c r="D41" s="163" t="s">
        <v>106</v>
      </c>
      <c r="E41" s="163" t="s">
        <v>121</v>
      </c>
      <c r="F41" s="163" t="s">
        <v>101</v>
      </c>
      <c r="G41" s="163" t="s">
        <v>101</v>
      </c>
      <c r="H41" s="164">
        <f>VLOOKUP(A41,'3. K0215-REFERENCE'!A:D,3,FALSE)</f>
        <v>143999.07999999999</v>
      </c>
      <c r="I41" s="164">
        <f>VLOOKUP(A41,'3. K0215-REFERENCE'!A:D,4,FALSE)</f>
        <v>316965.59999999998</v>
      </c>
      <c r="J41" s="537">
        <f t="shared" si="0"/>
        <v>460964.67999999993</v>
      </c>
      <c r="K41" s="389">
        <v>0</v>
      </c>
      <c r="L41" s="389">
        <v>0</v>
      </c>
      <c r="M41" s="172">
        <v>0</v>
      </c>
      <c r="N41" s="173">
        <f>+J41*M41</f>
        <v>0</v>
      </c>
      <c r="O41" s="164">
        <f>+J41-N41</f>
        <v>460964.67999999993</v>
      </c>
      <c r="P41" s="167">
        <f t="shared" si="1"/>
        <v>8845.24</v>
      </c>
      <c r="Q41" s="164">
        <f t="shared" si="2"/>
        <v>469809.91999999993</v>
      </c>
      <c r="R41" s="172"/>
      <c r="S41" s="17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row>
    <row r="42" spans="1:116" ht="15.6" outlineLevel="4">
      <c r="A42" s="169" t="s">
        <v>893</v>
      </c>
      <c r="B42" s="162" t="s">
        <v>713</v>
      </c>
      <c r="C42" s="163" t="s">
        <v>789</v>
      </c>
      <c r="D42" s="163" t="s">
        <v>106</v>
      </c>
      <c r="E42" s="163" t="s">
        <v>121</v>
      </c>
      <c r="F42" s="163" t="s">
        <v>101</v>
      </c>
      <c r="G42" s="163" t="s">
        <v>101</v>
      </c>
      <c r="H42" s="164">
        <f>VLOOKUP(A42,'3. K0215-REFERENCE'!A:D,3,FALSE)</f>
        <v>1174.51</v>
      </c>
      <c r="I42" s="164">
        <f>VLOOKUP(A42,'3. K0215-REFERENCE'!A:D,4,FALSE)</f>
        <v>107569.41</v>
      </c>
      <c r="J42" s="537">
        <f t="shared" si="0"/>
        <v>108743.92</v>
      </c>
      <c r="K42" s="389">
        <v>43554</v>
      </c>
      <c r="L42" s="389">
        <v>0</v>
      </c>
      <c r="M42" s="172">
        <f>+L42/(L42+K42)</f>
        <v>0</v>
      </c>
      <c r="N42" s="173">
        <f>+J42*M42</f>
        <v>0</v>
      </c>
      <c r="O42" s="164">
        <f>+J42-N42</f>
        <v>108743.92</v>
      </c>
      <c r="P42" s="167">
        <f t="shared" si="1"/>
        <v>2086.64</v>
      </c>
      <c r="Q42" s="164">
        <f t="shared" si="2"/>
        <v>110830.56</v>
      </c>
      <c r="R42" s="447"/>
      <c r="S42" s="172"/>
    </row>
    <row r="43" spans="1:116" ht="15.6" outlineLevel="4">
      <c r="A43" s="169" t="s">
        <v>894</v>
      </c>
      <c r="B43" s="162" t="s">
        <v>491</v>
      </c>
      <c r="C43" s="163" t="s">
        <v>125</v>
      </c>
      <c r="D43" s="163" t="s">
        <v>106</v>
      </c>
      <c r="E43" s="163" t="s">
        <v>121</v>
      </c>
      <c r="F43" s="163" t="s">
        <v>101</v>
      </c>
      <c r="G43" s="163" t="s">
        <v>101</v>
      </c>
      <c r="H43" s="164"/>
      <c r="I43" s="164"/>
      <c r="J43" s="537">
        <f t="shared" si="0"/>
        <v>0</v>
      </c>
      <c r="K43" s="535">
        <v>21606</v>
      </c>
      <c r="L43" s="389">
        <v>0</v>
      </c>
      <c r="M43" s="172">
        <f>+L43/(L43+K43)</f>
        <v>0</v>
      </c>
      <c r="N43" s="173">
        <f>+J43*M43</f>
        <v>0</v>
      </c>
      <c r="O43" s="164">
        <f>+J43-N43</f>
        <v>0</v>
      </c>
      <c r="P43" s="167">
        <f t="shared" si="1"/>
        <v>0</v>
      </c>
      <c r="Q43" s="164">
        <f t="shared" si="2"/>
        <v>0</v>
      </c>
      <c r="R43" s="172"/>
      <c r="S43" s="172"/>
    </row>
    <row r="44" spans="1:116" ht="15.6" outlineLevel="4">
      <c r="A44" s="169" t="s">
        <v>895</v>
      </c>
      <c r="B44" s="162" t="s">
        <v>50</v>
      </c>
      <c r="C44" s="163" t="s">
        <v>841</v>
      </c>
      <c r="D44" s="163" t="s">
        <v>106</v>
      </c>
      <c r="E44" s="163" t="s">
        <v>121</v>
      </c>
      <c r="F44" s="163" t="s">
        <v>101</v>
      </c>
      <c r="G44" s="163" t="s">
        <v>101</v>
      </c>
      <c r="H44" s="164"/>
      <c r="I44" s="164"/>
      <c r="J44" s="537">
        <f t="shared" si="0"/>
        <v>0</v>
      </c>
      <c r="K44" s="535">
        <v>3032</v>
      </c>
      <c r="L44" s="209">
        <v>0</v>
      </c>
      <c r="M44" s="172">
        <f>IFERROR(+L44/(L44+K44),0)</f>
        <v>0</v>
      </c>
      <c r="N44" s="173">
        <f>+J44*M44</f>
        <v>0</v>
      </c>
      <c r="O44" s="164">
        <f>+J44-N44</f>
        <v>0</v>
      </c>
      <c r="P44" s="167">
        <f t="shared" si="1"/>
        <v>0</v>
      </c>
      <c r="Q44" s="164">
        <f t="shared" si="2"/>
        <v>0</v>
      </c>
      <c r="R44" s="172"/>
      <c r="S44" s="172"/>
    </row>
    <row r="45" spans="1:116" s="43" customFormat="1" ht="15.6" outlineLevel="3">
      <c r="A45" s="191"/>
      <c r="B45" s="192"/>
      <c r="C45" s="193"/>
      <c r="D45" s="191" t="s">
        <v>267</v>
      </c>
      <c r="E45" s="193"/>
      <c r="F45" s="193"/>
      <c r="G45" s="193"/>
      <c r="H45" s="236">
        <f>SUBTOTAL(9,H2:H44)</f>
        <v>27403255.949999999</v>
      </c>
      <c r="I45" s="236">
        <f>SUBTOTAL(9,I2:I44)</f>
        <v>57947307.350000016</v>
      </c>
      <c r="J45" s="619">
        <f t="shared" ref="J45:L45" si="4">SUBTOTAL(9,J2:J44)</f>
        <v>85350563.300000012</v>
      </c>
      <c r="K45" s="618">
        <f t="shared" si="4"/>
        <v>10599712</v>
      </c>
      <c r="L45" s="618">
        <f t="shared" si="4"/>
        <v>2790099</v>
      </c>
      <c r="M45" s="196">
        <f t="shared" ref="M45:Q45" si="5">SUBTOTAL(9,M2:M44)</f>
        <v>1.8038964537640685</v>
      </c>
      <c r="N45" s="197">
        <f t="shared" si="5"/>
        <v>8863732.69353755</v>
      </c>
      <c r="O45" s="197">
        <f t="shared" si="5"/>
        <v>76486830.606462434</v>
      </c>
      <c r="P45" s="198">
        <f t="shared" si="5"/>
        <v>1467670.19</v>
      </c>
      <c r="Q45" s="198">
        <f t="shared" si="5"/>
        <v>77954500.796462461</v>
      </c>
      <c r="R45" s="675" t="s">
        <v>1350</v>
      </c>
      <c r="S45" s="196"/>
    </row>
    <row r="46" spans="1:116" ht="15.6" outlineLevel="4">
      <c r="A46" s="169" t="s">
        <v>896</v>
      </c>
      <c r="B46" s="162" t="s">
        <v>76</v>
      </c>
      <c r="C46" s="163" t="s">
        <v>770</v>
      </c>
      <c r="D46" s="163" t="s">
        <v>107</v>
      </c>
      <c r="E46" s="163" t="s">
        <v>121</v>
      </c>
      <c r="F46" s="163" t="s">
        <v>101</v>
      </c>
      <c r="G46" s="163" t="s">
        <v>101</v>
      </c>
      <c r="H46" s="164">
        <f>VLOOKUP(A46,'3. K0215-REFERENCE'!A:D,3,FALSE)</f>
        <v>582837.31000000006</v>
      </c>
      <c r="I46" s="164">
        <f>VLOOKUP(A46,'3. K0215-REFERENCE'!A:D,4,FALSE)</f>
        <v>1521469.18</v>
      </c>
      <c r="J46" s="168">
        <f t="shared" ref="J46:J62" si="6">SUM(H46+I46)</f>
        <v>2104306.4900000002</v>
      </c>
      <c r="K46" s="389">
        <v>185843</v>
      </c>
      <c r="L46" s="389">
        <v>160713</v>
      </c>
      <c r="M46" s="172">
        <f>+L46/(L46+K46)</f>
        <v>0.4637432334168215</v>
      </c>
      <c r="N46" s="173">
        <f>+J46*M46</f>
        <v>975857.89577260241</v>
      </c>
      <c r="O46" s="164">
        <f>+J46-N46</f>
        <v>1128448.5942273978</v>
      </c>
      <c r="P46" s="167">
        <f t="shared" ref="P46:P62" si="7">ROUND(((O46/$R$1)*$R$2),2)</f>
        <v>21653.279999999999</v>
      </c>
      <c r="Q46" s="164">
        <f t="shared" ref="Q46:Q62" si="8">+O46+P46</f>
        <v>1150101.8742273978</v>
      </c>
      <c r="R46" s="172"/>
      <c r="S46" s="172"/>
    </row>
    <row r="47" spans="1:116" ht="15.6" outlineLevel="4">
      <c r="A47" s="169" t="s">
        <v>897</v>
      </c>
      <c r="B47" s="162" t="s">
        <v>707</v>
      </c>
      <c r="C47" s="163" t="s">
        <v>770</v>
      </c>
      <c r="D47" s="163" t="s">
        <v>107</v>
      </c>
      <c r="E47" s="163" t="s">
        <v>121</v>
      </c>
      <c r="F47" s="163" t="s">
        <v>101</v>
      </c>
      <c r="G47" s="163" t="s">
        <v>101</v>
      </c>
      <c r="H47" s="164">
        <f>VLOOKUP(A47,'3. K0215-REFERENCE'!A:D,3,FALSE)</f>
        <v>59823.29</v>
      </c>
      <c r="I47" s="164">
        <f>VLOOKUP(A47,'3. K0215-REFERENCE'!A:D,4,FALSE)</f>
        <v>481975.96</v>
      </c>
      <c r="J47" s="168">
        <f t="shared" si="6"/>
        <v>541799.25</v>
      </c>
      <c r="K47" s="389">
        <v>185843</v>
      </c>
      <c r="L47" s="389">
        <v>160713</v>
      </c>
      <c r="M47" s="172">
        <f>+L47/(L47+K47)</f>
        <v>0.4637432334168215</v>
      </c>
      <c r="N47" s="173">
        <f>+J47*M47</f>
        <v>251255.73605780883</v>
      </c>
      <c r="O47" s="164">
        <f>+J47-N47</f>
        <v>290543.51394219114</v>
      </c>
      <c r="P47" s="167">
        <f t="shared" si="7"/>
        <v>5575.1</v>
      </c>
      <c r="Q47" s="164">
        <f t="shared" si="8"/>
        <v>296118.61394219112</v>
      </c>
      <c r="R47" s="172"/>
      <c r="S47" s="172"/>
    </row>
    <row r="48" spans="1:116" ht="15.6" outlineLevel="4">
      <c r="A48" s="169" t="s">
        <v>898</v>
      </c>
      <c r="B48" s="162" t="s">
        <v>708</v>
      </c>
      <c r="C48" s="163" t="s">
        <v>770</v>
      </c>
      <c r="D48" s="163" t="s">
        <v>107</v>
      </c>
      <c r="E48" s="163" t="s">
        <v>121</v>
      </c>
      <c r="F48" s="163" t="s">
        <v>101</v>
      </c>
      <c r="G48" s="163" t="s">
        <v>101</v>
      </c>
      <c r="H48" s="164">
        <f>VLOOKUP(A48,'3. K0215-REFERENCE'!A:D,3,FALSE)</f>
        <v>99163.72</v>
      </c>
      <c r="I48" s="164">
        <f>VLOOKUP(A48,'3. K0215-REFERENCE'!A:D,4,FALSE)</f>
        <v>89203.17</v>
      </c>
      <c r="J48" s="168">
        <f t="shared" si="6"/>
        <v>188366.89</v>
      </c>
      <c r="K48" s="389">
        <v>185843</v>
      </c>
      <c r="L48" s="389">
        <v>160713</v>
      </c>
      <c r="M48" s="172">
        <f>+L48/(L48+K48)</f>
        <v>0.4637432334168215</v>
      </c>
      <c r="N48" s="173">
        <f>+J48*M48</f>
        <v>87353.870637270753</v>
      </c>
      <c r="O48" s="164">
        <f>+J48-N48</f>
        <v>101013.01936272926</v>
      </c>
      <c r="P48" s="167">
        <f t="shared" si="7"/>
        <v>1938.29</v>
      </c>
      <c r="Q48" s="164">
        <f t="shared" si="8"/>
        <v>102951.30936272925</v>
      </c>
      <c r="R48" s="172"/>
      <c r="S48" s="172"/>
    </row>
    <row r="49" spans="1:19" ht="15.6" outlineLevel="4">
      <c r="A49" s="169" t="s">
        <v>899</v>
      </c>
      <c r="B49" s="162" t="s">
        <v>709</v>
      </c>
      <c r="C49" s="163" t="s">
        <v>770</v>
      </c>
      <c r="D49" s="163" t="s">
        <v>107</v>
      </c>
      <c r="E49" s="163" t="s">
        <v>121</v>
      </c>
      <c r="F49" s="163" t="s">
        <v>101</v>
      </c>
      <c r="G49" s="163" t="s">
        <v>101</v>
      </c>
      <c r="H49" s="164">
        <f>VLOOKUP(A49,'3. K0215-REFERENCE'!A:D,3,FALSE)</f>
        <v>0</v>
      </c>
      <c r="I49" s="164">
        <f>VLOOKUP(A49,'3. K0215-REFERENCE'!A:D,4,FALSE)</f>
        <v>51637.75</v>
      </c>
      <c r="J49" s="168">
        <f t="shared" si="6"/>
        <v>51637.75</v>
      </c>
      <c r="K49" s="389">
        <v>185843</v>
      </c>
      <c r="L49" s="389">
        <v>160713</v>
      </c>
      <c r="M49" s="172">
        <f>+L49/(L49+K49)</f>
        <v>0.4637432334168215</v>
      </c>
      <c r="N49" s="173">
        <f>+J49*M49</f>
        <v>23946.657151369473</v>
      </c>
      <c r="O49" s="164">
        <f>+J49-N49</f>
        <v>27691.092848630527</v>
      </c>
      <c r="P49" s="167">
        <f t="shared" si="7"/>
        <v>531.35</v>
      </c>
      <c r="Q49" s="164">
        <f t="shared" si="8"/>
        <v>28222.442848630526</v>
      </c>
      <c r="R49" s="172"/>
      <c r="S49" s="172"/>
    </row>
    <row r="50" spans="1:19" s="14" customFormat="1" ht="15.6" outlineLevel="4">
      <c r="A50" s="169" t="s">
        <v>900</v>
      </c>
      <c r="B50" s="162" t="s">
        <v>77</v>
      </c>
      <c r="C50" s="163" t="s">
        <v>770</v>
      </c>
      <c r="D50" s="163" t="s">
        <v>107</v>
      </c>
      <c r="E50" s="163" t="s">
        <v>121</v>
      </c>
      <c r="F50" s="163" t="s">
        <v>101</v>
      </c>
      <c r="G50" s="163" t="s">
        <v>101</v>
      </c>
      <c r="H50" s="164">
        <f>VLOOKUP(A50,'3. K0215-REFERENCE'!A:D,3,FALSE)</f>
        <v>7044.08</v>
      </c>
      <c r="I50" s="164">
        <f>VLOOKUP(A50,'3. K0215-REFERENCE'!A:D,4,FALSE)</f>
        <v>63375.16</v>
      </c>
      <c r="J50" s="168">
        <f t="shared" si="6"/>
        <v>70419.240000000005</v>
      </c>
      <c r="K50" s="389">
        <v>185843</v>
      </c>
      <c r="L50" s="389">
        <v>160713</v>
      </c>
      <c r="M50" s="172">
        <f>+L50/(L50+K50)</f>
        <v>0.4637432334168215</v>
      </c>
      <c r="N50" s="173">
        <f>+J50*M50</f>
        <v>32656.446052355175</v>
      </c>
      <c r="O50" s="164">
        <f>+J50-N50</f>
        <v>37762.79394764483</v>
      </c>
      <c r="P50" s="167">
        <f t="shared" si="7"/>
        <v>724.61</v>
      </c>
      <c r="Q50" s="164">
        <f t="shared" si="8"/>
        <v>38487.403947644831</v>
      </c>
      <c r="R50" s="165"/>
      <c r="S50" s="165"/>
    </row>
    <row r="51" spans="1:19" ht="15.6" outlineLevel="4">
      <c r="A51" s="169" t="s">
        <v>901</v>
      </c>
      <c r="B51" s="162" t="s">
        <v>710</v>
      </c>
      <c r="C51" s="163" t="s">
        <v>770</v>
      </c>
      <c r="D51" s="163" t="s">
        <v>107</v>
      </c>
      <c r="E51" s="163" t="s">
        <v>121</v>
      </c>
      <c r="F51" s="163" t="s">
        <v>101</v>
      </c>
      <c r="G51" s="163" t="s">
        <v>101</v>
      </c>
      <c r="H51" s="164">
        <f>VLOOKUP(A51,'3. K0215-REFERENCE'!A:D,3,FALSE)</f>
        <v>88099.54</v>
      </c>
      <c r="I51" s="164">
        <f>VLOOKUP(A51,'3. K0215-REFERENCE'!A:D,4,FALSE)</f>
        <v>426659.05</v>
      </c>
      <c r="J51" s="168">
        <f t="shared" si="6"/>
        <v>514758.58999999997</v>
      </c>
      <c r="K51" s="389">
        <v>185843</v>
      </c>
      <c r="L51" s="389">
        <v>160713</v>
      </c>
      <c r="M51" s="172">
        <f>+L51/(L51+K51)</f>
        <v>0.4637432334168215</v>
      </c>
      <c r="N51" s="173">
        <f>+J51*M51</f>
        <v>238715.81295568391</v>
      </c>
      <c r="O51" s="164">
        <f>+J51-N51</f>
        <v>276042.77704431606</v>
      </c>
      <c r="P51" s="167">
        <f t="shared" si="7"/>
        <v>5296.86</v>
      </c>
      <c r="Q51" s="164">
        <f t="shared" si="8"/>
        <v>281339.63704431604</v>
      </c>
      <c r="R51" s="172"/>
      <c r="S51" s="172"/>
    </row>
    <row r="52" spans="1:19" ht="15.6" outlineLevel="4">
      <c r="A52" s="169" t="s">
        <v>902</v>
      </c>
      <c r="B52" s="162" t="s">
        <v>711</v>
      </c>
      <c r="C52" s="163" t="s">
        <v>770</v>
      </c>
      <c r="D52" s="163" t="s">
        <v>107</v>
      </c>
      <c r="E52" s="163" t="s">
        <v>121</v>
      </c>
      <c r="F52" s="163" t="s">
        <v>101</v>
      </c>
      <c r="G52" s="163" t="s">
        <v>101</v>
      </c>
      <c r="H52" s="164">
        <f>VLOOKUP(A52,'3. K0215-REFERENCE'!A:D,3,FALSE)</f>
        <v>1905710.9</v>
      </c>
      <c r="I52" s="164">
        <f>VLOOKUP(A52,'3. K0215-REFERENCE'!A:D,4,FALSE)</f>
        <v>6139760.2300000004</v>
      </c>
      <c r="J52" s="168">
        <f t="shared" si="6"/>
        <v>8045471.1300000008</v>
      </c>
      <c r="K52" s="389">
        <v>185843</v>
      </c>
      <c r="L52" s="389">
        <v>160713</v>
      </c>
      <c r="M52" s="172">
        <f>+L52/(L52+K52)</f>
        <v>0.4637432334168215</v>
      </c>
      <c r="N52" s="173">
        <f>+J52*M52</f>
        <v>3731032.7961878888</v>
      </c>
      <c r="O52" s="164">
        <f>+J52-N52</f>
        <v>4314438.333812112</v>
      </c>
      <c r="P52" s="167">
        <f t="shared" si="7"/>
        <v>82787.75</v>
      </c>
      <c r="Q52" s="164">
        <f t="shared" si="8"/>
        <v>4397226.083812112</v>
      </c>
      <c r="R52" s="172"/>
      <c r="S52" s="172"/>
    </row>
    <row r="53" spans="1:19" s="14" customFormat="1" ht="15.6" outlineLevel="4">
      <c r="A53" s="161" t="s">
        <v>903</v>
      </c>
      <c r="B53" s="162" t="s">
        <v>87</v>
      </c>
      <c r="C53" s="163" t="s">
        <v>808</v>
      </c>
      <c r="D53" s="163" t="s">
        <v>107</v>
      </c>
      <c r="E53" s="163" t="s">
        <v>121</v>
      </c>
      <c r="F53" s="163" t="s">
        <v>101</v>
      </c>
      <c r="G53" s="163" t="s">
        <v>101</v>
      </c>
      <c r="H53" s="164"/>
      <c r="I53" s="164"/>
      <c r="J53" s="168">
        <f t="shared" si="6"/>
        <v>0</v>
      </c>
      <c r="K53" s="534">
        <v>5024184</v>
      </c>
      <c r="L53" s="534">
        <v>0</v>
      </c>
      <c r="M53" s="172">
        <f>IFERROR(+L53/(L53+K53),0)</f>
        <v>0</v>
      </c>
      <c r="N53" s="173">
        <f>+J53*M53</f>
        <v>0</v>
      </c>
      <c r="O53" s="164">
        <f>+J53-N53</f>
        <v>0</v>
      </c>
      <c r="P53" s="167">
        <f t="shared" si="7"/>
        <v>0</v>
      </c>
      <c r="Q53" s="164">
        <f t="shared" si="8"/>
        <v>0</v>
      </c>
      <c r="R53" s="165"/>
      <c r="S53" s="165"/>
    </row>
    <row r="54" spans="1:19" s="14" customFormat="1" ht="15.6" outlineLevel="4">
      <c r="A54" s="161" t="s">
        <v>904</v>
      </c>
      <c r="B54" s="162" t="s">
        <v>652</v>
      </c>
      <c r="C54" s="163" t="s">
        <v>653</v>
      </c>
      <c r="D54" s="163" t="s">
        <v>107</v>
      </c>
      <c r="E54" s="163" t="s">
        <v>121</v>
      </c>
      <c r="F54" s="163" t="s">
        <v>101</v>
      </c>
      <c r="G54" s="163" t="s">
        <v>101</v>
      </c>
      <c r="H54" s="164"/>
      <c r="I54" s="164"/>
      <c r="J54" s="168">
        <f t="shared" si="6"/>
        <v>0</v>
      </c>
      <c r="K54" s="389">
        <v>0</v>
      </c>
      <c r="L54" s="389">
        <v>0</v>
      </c>
      <c r="M54" s="172">
        <f>IFERROR(+L54/(L54+K54),0)</f>
        <v>0</v>
      </c>
      <c r="N54" s="173">
        <f>+J54*M54</f>
        <v>0</v>
      </c>
      <c r="O54" s="164">
        <f>+J54-N54</f>
        <v>0</v>
      </c>
      <c r="P54" s="167">
        <f t="shared" si="7"/>
        <v>0</v>
      </c>
      <c r="Q54" s="164">
        <f t="shared" si="8"/>
        <v>0</v>
      </c>
      <c r="R54" s="165"/>
      <c r="S54" s="165"/>
    </row>
    <row r="55" spans="1:19" s="14" customFormat="1" ht="15.6" outlineLevel="4">
      <c r="A55" s="201" t="s">
        <v>905</v>
      </c>
      <c r="B55" s="181" t="s">
        <v>362</v>
      </c>
      <c r="C55" s="182" t="s">
        <v>807</v>
      </c>
      <c r="D55" s="182" t="s">
        <v>107</v>
      </c>
      <c r="E55" s="182" t="s">
        <v>121</v>
      </c>
      <c r="F55" s="163" t="s">
        <v>101</v>
      </c>
      <c r="G55" s="163" t="s">
        <v>101</v>
      </c>
      <c r="H55" s="164"/>
      <c r="I55" s="164"/>
      <c r="J55" s="168">
        <f t="shared" si="6"/>
        <v>0</v>
      </c>
      <c r="K55" s="534">
        <v>0</v>
      </c>
      <c r="L55" s="534">
        <v>0</v>
      </c>
      <c r="M55" s="172">
        <f>IFERROR(+L55/(L55+K55),0)</f>
        <v>0</v>
      </c>
      <c r="N55" s="173">
        <f>+J55*M55</f>
        <v>0</v>
      </c>
      <c r="O55" s="164">
        <f>+J55-N55</f>
        <v>0</v>
      </c>
      <c r="P55" s="167">
        <f t="shared" si="7"/>
        <v>0</v>
      </c>
      <c r="Q55" s="164">
        <f t="shared" si="8"/>
        <v>0</v>
      </c>
      <c r="R55" s="165"/>
      <c r="S55" s="165"/>
    </row>
    <row r="56" spans="1:19" s="14" customFormat="1" ht="15.6" outlineLevel="4">
      <c r="A56" s="161" t="s">
        <v>906</v>
      </c>
      <c r="B56" s="162" t="s">
        <v>88</v>
      </c>
      <c r="C56" s="163" t="s">
        <v>144</v>
      </c>
      <c r="D56" s="163" t="s">
        <v>107</v>
      </c>
      <c r="E56" s="163" t="s">
        <v>121</v>
      </c>
      <c r="F56" s="163" t="s">
        <v>101</v>
      </c>
      <c r="G56" s="163" t="s">
        <v>101</v>
      </c>
      <c r="H56" s="164"/>
      <c r="I56" s="164"/>
      <c r="J56" s="168">
        <f t="shared" si="6"/>
        <v>0</v>
      </c>
      <c r="K56" s="534">
        <v>0</v>
      </c>
      <c r="L56" s="534">
        <v>0</v>
      </c>
      <c r="M56" s="172">
        <f>IFERROR(+L56/(L56+K56),0)</f>
        <v>0</v>
      </c>
      <c r="N56" s="173">
        <f>+J56*M56</f>
        <v>0</v>
      </c>
      <c r="O56" s="164">
        <f>+J56-N56</f>
        <v>0</v>
      </c>
      <c r="P56" s="167">
        <f t="shared" si="7"/>
        <v>0</v>
      </c>
      <c r="Q56" s="164">
        <f t="shared" si="8"/>
        <v>0</v>
      </c>
      <c r="R56" s="165"/>
      <c r="S56" s="165"/>
    </row>
    <row r="57" spans="1:19" s="53" customFormat="1" ht="15.6" outlineLevel="4">
      <c r="A57" s="161" t="s">
        <v>907</v>
      </c>
      <c r="B57" s="183" t="s">
        <v>476</v>
      </c>
      <c r="C57" s="163" t="s">
        <v>477</v>
      </c>
      <c r="D57" s="184" t="s">
        <v>107</v>
      </c>
      <c r="E57" s="184" t="s">
        <v>121</v>
      </c>
      <c r="F57" s="184" t="s">
        <v>101</v>
      </c>
      <c r="G57" s="184" t="s">
        <v>101</v>
      </c>
      <c r="H57" s="164"/>
      <c r="I57" s="164"/>
      <c r="J57" s="168">
        <f t="shared" si="6"/>
        <v>0</v>
      </c>
      <c r="K57" s="534">
        <v>0</v>
      </c>
      <c r="L57" s="534">
        <v>0</v>
      </c>
      <c r="M57" s="172">
        <f>IFERROR(+L57/(L57+K57),0)</f>
        <v>0</v>
      </c>
      <c r="N57" s="173">
        <f>+J57*M57</f>
        <v>0</v>
      </c>
      <c r="O57" s="164">
        <f>+J57-N57</f>
        <v>0</v>
      </c>
      <c r="P57" s="167">
        <f t="shared" si="7"/>
        <v>0</v>
      </c>
      <c r="Q57" s="164">
        <f t="shared" si="8"/>
        <v>0</v>
      </c>
      <c r="R57" s="203"/>
      <c r="S57" s="203"/>
    </row>
    <row r="58" spans="1:19" s="14" customFormat="1" ht="15.6" outlineLevel="4">
      <c r="A58" s="161" t="s">
        <v>908</v>
      </c>
      <c r="B58" s="183" t="s">
        <v>114</v>
      </c>
      <c r="C58" s="163" t="s">
        <v>143</v>
      </c>
      <c r="D58" s="163" t="s">
        <v>107</v>
      </c>
      <c r="E58" s="163" t="s">
        <v>121</v>
      </c>
      <c r="F58" s="163" t="s">
        <v>101</v>
      </c>
      <c r="G58" s="163" t="s">
        <v>101</v>
      </c>
      <c r="H58" s="164"/>
      <c r="I58" s="164"/>
      <c r="J58" s="168">
        <f t="shared" si="6"/>
        <v>0</v>
      </c>
      <c r="K58" s="534">
        <v>0</v>
      </c>
      <c r="L58" s="534">
        <v>0</v>
      </c>
      <c r="M58" s="172">
        <f>IFERROR(+L58/(L58+K58),0)</f>
        <v>0</v>
      </c>
      <c r="N58" s="173">
        <f>+J58*M58</f>
        <v>0</v>
      </c>
      <c r="O58" s="164">
        <f>+J58-N58</f>
        <v>0</v>
      </c>
      <c r="P58" s="167">
        <f t="shared" si="7"/>
        <v>0</v>
      </c>
      <c r="Q58" s="164">
        <f t="shared" si="8"/>
        <v>0</v>
      </c>
      <c r="R58" s="447" t="s">
        <v>1344</v>
      </c>
      <c r="S58" s="165"/>
    </row>
    <row r="59" spans="1:19" s="14" customFormat="1" ht="15.6" outlineLevel="4">
      <c r="A59" s="161" t="s">
        <v>1308</v>
      </c>
      <c r="B59" s="183" t="s">
        <v>1307</v>
      </c>
      <c r="C59" s="163" t="s">
        <v>1332</v>
      </c>
      <c r="D59" s="163" t="s">
        <v>107</v>
      </c>
      <c r="E59" s="163" t="s">
        <v>1340</v>
      </c>
      <c r="F59" s="163" t="s">
        <v>101</v>
      </c>
      <c r="G59" s="163" t="s">
        <v>101</v>
      </c>
      <c r="H59" s="164"/>
      <c r="I59" s="164"/>
      <c r="J59" s="168">
        <f t="shared" si="6"/>
        <v>0</v>
      </c>
      <c r="K59" s="389">
        <v>0</v>
      </c>
      <c r="L59" s="389">
        <v>0</v>
      </c>
      <c r="M59" s="172">
        <f>IFERROR(+L59/(L59+K59),0)</f>
        <v>0</v>
      </c>
      <c r="N59" s="173">
        <f>+J59*M59</f>
        <v>0</v>
      </c>
      <c r="O59" s="164">
        <f>+J59-N59</f>
        <v>0</v>
      </c>
      <c r="P59" s="167">
        <f t="shared" si="7"/>
        <v>0</v>
      </c>
      <c r="Q59" s="164">
        <f t="shared" si="8"/>
        <v>0</v>
      </c>
      <c r="R59" s="676">
        <f>SUMIF($E$46:$E$62,"1031",$Q$46:$Q$62)</f>
        <v>0</v>
      </c>
      <c r="S59" s="672" t="s">
        <v>1350</v>
      </c>
    </row>
    <row r="60" spans="1:19" s="14" customFormat="1" ht="15.6" outlineLevel="4">
      <c r="A60" s="169" t="s">
        <v>909</v>
      </c>
      <c r="B60" s="162" t="s">
        <v>93</v>
      </c>
      <c r="C60" s="163" t="s">
        <v>139</v>
      </c>
      <c r="D60" s="163" t="s">
        <v>107</v>
      </c>
      <c r="E60" s="163" t="s">
        <v>121</v>
      </c>
      <c r="F60" s="163" t="s">
        <v>101</v>
      </c>
      <c r="G60" s="163" t="s">
        <v>101</v>
      </c>
      <c r="H60" s="164">
        <f>VLOOKUP(A60,'3. K0215-REFERENCE'!A:D,3,FALSE)</f>
        <v>0</v>
      </c>
      <c r="I60" s="164">
        <f>VLOOKUP(A60,'3. K0215-REFERENCE'!A:D,4,FALSE)</f>
        <v>30705.54</v>
      </c>
      <c r="J60" s="168">
        <f t="shared" si="6"/>
        <v>30705.54</v>
      </c>
      <c r="K60" s="389">
        <v>31951</v>
      </c>
      <c r="L60" s="389">
        <v>5181</v>
      </c>
      <c r="M60" s="172">
        <f>+L60/(L60+K60)</f>
        <v>0.13952924701066466</v>
      </c>
      <c r="N60" s="173">
        <f>+J60*M60</f>
        <v>4284.3208752558439</v>
      </c>
      <c r="O60" s="164">
        <f>+J60-N60</f>
        <v>26421.219124744159</v>
      </c>
      <c r="P60" s="167">
        <f t="shared" si="7"/>
        <v>506.98</v>
      </c>
      <c r="Q60" s="164">
        <f t="shared" si="8"/>
        <v>26928.199124744158</v>
      </c>
      <c r="R60" s="165"/>
      <c r="S60" s="165"/>
    </row>
    <row r="61" spans="1:19" ht="15.6" outlineLevel="4">
      <c r="A61" s="169" t="s">
        <v>910</v>
      </c>
      <c r="B61" s="162" t="s">
        <v>497</v>
      </c>
      <c r="C61" s="163" t="s">
        <v>133</v>
      </c>
      <c r="D61" s="163" t="s">
        <v>107</v>
      </c>
      <c r="E61" s="163" t="s">
        <v>121</v>
      </c>
      <c r="F61" s="163" t="s">
        <v>101</v>
      </c>
      <c r="G61" s="163" t="s">
        <v>101</v>
      </c>
      <c r="H61" s="164">
        <f>VLOOKUP(A61,'3. K0215-REFERENCE'!A:D,3,FALSE)</f>
        <v>0</v>
      </c>
      <c r="I61" s="164">
        <f>VLOOKUP(A61,'3. K0215-REFERENCE'!A:D,4,FALSE)</f>
        <v>7923.52</v>
      </c>
      <c r="J61" s="168">
        <f t="shared" si="6"/>
        <v>7923.52</v>
      </c>
      <c r="K61" s="389">
        <v>77594</v>
      </c>
      <c r="L61" s="389">
        <v>0</v>
      </c>
      <c r="M61" s="172">
        <f>+L61/(L61+K61)</f>
        <v>0</v>
      </c>
      <c r="N61" s="173">
        <f>+J61*M61</f>
        <v>0</v>
      </c>
      <c r="O61" s="164">
        <f>+J61-N61</f>
        <v>7923.52</v>
      </c>
      <c r="P61" s="167">
        <f t="shared" si="7"/>
        <v>152.04</v>
      </c>
      <c r="Q61" s="164">
        <f t="shared" si="8"/>
        <v>8075.56</v>
      </c>
      <c r="R61" s="447" t="s">
        <v>1345</v>
      </c>
      <c r="S61" s="172"/>
    </row>
    <row r="62" spans="1:19" ht="15.6" outlineLevel="4">
      <c r="A62" s="169" t="s">
        <v>911</v>
      </c>
      <c r="B62" s="162" t="s">
        <v>660</v>
      </c>
      <c r="C62" s="163" t="s">
        <v>487</v>
      </c>
      <c r="D62" s="163" t="s">
        <v>107</v>
      </c>
      <c r="E62" s="163" t="s">
        <v>121</v>
      </c>
      <c r="F62" s="163" t="s">
        <v>101</v>
      </c>
      <c r="G62" s="163" t="s">
        <v>101</v>
      </c>
      <c r="H62" s="164">
        <f>VLOOKUP(A62,'3. K0215-REFERENCE'!A:D,3,FALSE)</f>
        <v>28178.01</v>
      </c>
      <c r="I62" s="164">
        <f>VLOOKUP(A62,'3. K0215-REFERENCE'!A:D,4,FALSE)</f>
        <v>150310.88</v>
      </c>
      <c r="J62" s="168">
        <f t="shared" si="6"/>
        <v>178488.89</v>
      </c>
      <c r="K62" s="389">
        <v>24360</v>
      </c>
      <c r="L62" s="389">
        <v>0</v>
      </c>
      <c r="M62" s="172">
        <f>+L62/(L62+K62)</f>
        <v>0</v>
      </c>
      <c r="N62" s="173">
        <f>+J62*M62</f>
        <v>0</v>
      </c>
      <c r="O62" s="164">
        <f>+J62-N62</f>
        <v>178488.89</v>
      </c>
      <c r="P62" s="167">
        <f t="shared" si="7"/>
        <v>3424.94</v>
      </c>
      <c r="Q62" s="164">
        <f t="shared" si="8"/>
        <v>181913.83000000002</v>
      </c>
      <c r="R62" s="676">
        <f>SUMIF($E$46:$E$62,"0001",$Q$46:$Q$62)</f>
        <v>6511364.9543097662</v>
      </c>
      <c r="S62" s="672" t="s">
        <v>1350</v>
      </c>
    </row>
    <row r="63" spans="1:19" s="43" customFormat="1" ht="15.6" outlineLevel="3">
      <c r="A63" s="191"/>
      <c r="B63" s="192"/>
      <c r="C63" s="193"/>
      <c r="D63" s="193" t="s">
        <v>268</v>
      </c>
      <c r="E63" s="193"/>
      <c r="F63" s="193"/>
      <c r="G63" s="193"/>
      <c r="H63" s="236">
        <f t="shared" ref="H63:L63" si="9">SUBTOTAL(9,H46:H62)</f>
        <v>2770856.8499999996</v>
      </c>
      <c r="I63" s="236">
        <f t="shared" si="9"/>
        <v>8963020.4399999995</v>
      </c>
      <c r="J63" s="574">
        <f t="shared" si="9"/>
        <v>11733877.290000001</v>
      </c>
      <c r="K63" s="618">
        <f>SUBTOTAL(9,K46:K62)</f>
        <v>6458990</v>
      </c>
      <c r="L63" s="618">
        <f t="shared" si="9"/>
        <v>1130172</v>
      </c>
      <c r="M63" s="196">
        <f t="shared" ref="M63:Q63" si="10">SUBTOTAL(9,M46:M62)</f>
        <v>3.3857318809284154</v>
      </c>
      <c r="N63" s="197">
        <f t="shared" si="10"/>
        <v>5345103.535690235</v>
      </c>
      <c r="O63" s="197">
        <f>SUBTOTAL(9,O46:O62)</f>
        <v>6388773.7543097651</v>
      </c>
      <c r="P63" s="198">
        <f t="shared" si="10"/>
        <v>122591.19999999998</v>
      </c>
      <c r="Q63" s="198">
        <f t="shared" si="10"/>
        <v>6511364.9543097662</v>
      </c>
      <c r="R63" s="196"/>
      <c r="S63" s="196"/>
    </row>
    <row r="64" spans="1:19" s="52" customFormat="1" ht="15.6" outlineLevel="4">
      <c r="A64" s="161" t="s">
        <v>912</v>
      </c>
      <c r="B64" s="183" t="s">
        <v>673</v>
      </c>
      <c r="C64" s="163" t="s">
        <v>146</v>
      </c>
      <c r="D64" s="184" t="s">
        <v>99</v>
      </c>
      <c r="E64" s="184" t="s">
        <v>121</v>
      </c>
      <c r="F64" s="184" t="s">
        <v>101</v>
      </c>
      <c r="G64" s="184" t="s">
        <v>101</v>
      </c>
      <c r="H64" s="164">
        <f>VLOOKUP(A64,'3. K0215-REFERENCE'!A:D,3,FALSE)</f>
        <v>66159.899999999994</v>
      </c>
      <c r="I64" s="164">
        <f>VLOOKUP(A64,'3. K0215-REFERENCE'!A:D,4,FALSE)</f>
        <v>153022.47</v>
      </c>
      <c r="J64" s="204">
        <f t="shared" ref="J64:J110" si="11">SUM(H64:I64)</f>
        <v>219182.37</v>
      </c>
      <c r="K64" s="389">
        <v>40215</v>
      </c>
      <c r="L64" s="389">
        <v>18945</v>
      </c>
      <c r="M64" s="172">
        <f>+L64/(L64+K64)</f>
        <v>0.32023326572008115</v>
      </c>
      <c r="N64" s="173">
        <f>+J64*M64</f>
        <v>70189.486133367143</v>
      </c>
      <c r="O64" s="164">
        <f>+J64-N64</f>
        <v>148992.88386663285</v>
      </c>
      <c r="P64" s="167">
        <f t="shared" ref="P64:P110" si="12">ROUND(((O64/$R$1)*$R$2),2)</f>
        <v>2858.96</v>
      </c>
      <c r="Q64" s="164">
        <f t="shared" ref="Q64:Q110" si="13">+O64+P64</f>
        <v>151851.84386663284</v>
      </c>
      <c r="R64" s="186"/>
      <c r="S64" s="186"/>
    </row>
    <row r="65" spans="1:21" ht="15.6" outlineLevel="4">
      <c r="A65" s="169" t="s">
        <v>913</v>
      </c>
      <c r="B65" s="162" t="s">
        <v>643</v>
      </c>
      <c r="C65" s="163" t="s">
        <v>792</v>
      </c>
      <c r="D65" s="163" t="s">
        <v>99</v>
      </c>
      <c r="E65" s="163" t="s">
        <v>121</v>
      </c>
      <c r="F65" s="163" t="s">
        <v>101</v>
      </c>
      <c r="G65" s="163" t="s">
        <v>101</v>
      </c>
      <c r="H65" s="164">
        <f>VLOOKUP(A65,'3. K0215-REFERENCE'!A:D,3,FALSE)</f>
        <v>1531.66</v>
      </c>
      <c r="I65" s="164">
        <f>VLOOKUP(A65,'3. K0215-REFERENCE'!A:D,4,FALSE)</f>
        <v>66845.09</v>
      </c>
      <c r="J65" s="204">
        <f t="shared" si="11"/>
        <v>68376.75</v>
      </c>
      <c r="K65" s="389">
        <v>3729</v>
      </c>
      <c r="L65" s="389">
        <v>0</v>
      </c>
      <c r="M65" s="172">
        <f>+L65/(L65+K65)</f>
        <v>0</v>
      </c>
      <c r="N65" s="173">
        <f>+J65*M65</f>
        <v>0</v>
      </c>
      <c r="O65" s="164">
        <f>+J65-N65</f>
        <v>68376.75</v>
      </c>
      <c r="P65" s="167">
        <f t="shared" si="12"/>
        <v>1312.05</v>
      </c>
      <c r="Q65" s="164">
        <f t="shared" si="13"/>
        <v>69688.800000000003</v>
      </c>
      <c r="R65" s="205"/>
      <c r="S65" s="206"/>
      <c r="T65" s="39"/>
      <c r="U65" s="39"/>
    </row>
    <row r="66" spans="1:21" s="17" customFormat="1" ht="15.6" outlineLevel="4">
      <c r="A66" s="169" t="s">
        <v>914</v>
      </c>
      <c r="B66" s="162" t="s">
        <v>299</v>
      </c>
      <c r="C66" s="163" t="s">
        <v>165</v>
      </c>
      <c r="D66" s="163" t="s">
        <v>99</v>
      </c>
      <c r="E66" s="163" t="s">
        <v>45</v>
      </c>
      <c r="F66" s="163" t="s">
        <v>101</v>
      </c>
      <c r="G66" s="163" t="s">
        <v>101</v>
      </c>
      <c r="H66" s="164"/>
      <c r="I66" s="164"/>
      <c r="J66" s="204">
        <f t="shared" si="11"/>
        <v>0</v>
      </c>
      <c r="K66" s="389">
        <v>0</v>
      </c>
      <c r="L66" s="389">
        <v>0</v>
      </c>
      <c r="M66" s="172">
        <f>IFERROR(+L66/(L66+K66),0)</f>
        <v>0</v>
      </c>
      <c r="N66" s="173">
        <f>+J66*M66</f>
        <v>0</v>
      </c>
      <c r="O66" s="164">
        <f>+J66-N66</f>
        <v>0</v>
      </c>
      <c r="P66" s="167">
        <f t="shared" si="12"/>
        <v>0</v>
      </c>
      <c r="Q66" s="164">
        <f t="shared" si="13"/>
        <v>0</v>
      </c>
      <c r="S66" s="162"/>
    </row>
    <row r="67" spans="1:21" s="17" customFormat="1" ht="15.6" outlineLevel="4">
      <c r="A67" s="169" t="s">
        <v>915</v>
      </c>
      <c r="B67" s="162" t="s">
        <v>661</v>
      </c>
      <c r="C67" s="163" t="s">
        <v>165</v>
      </c>
      <c r="D67" s="163" t="s">
        <v>99</v>
      </c>
      <c r="E67" s="163" t="s">
        <v>45</v>
      </c>
      <c r="F67" s="163" t="s">
        <v>101</v>
      </c>
      <c r="G67" s="163" t="s">
        <v>101</v>
      </c>
      <c r="H67" s="164">
        <f>VLOOKUP(A67,'3. K0215-REFERENCE'!A:D,3,FALSE)</f>
        <v>677732.25</v>
      </c>
      <c r="I67" s="164">
        <f>VLOOKUP(A67,'3. K0215-REFERENCE'!A:D,4,FALSE)</f>
        <v>1606791.78</v>
      </c>
      <c r="J67" s="204">
        <f t="shared" si="11"/>
        <v>2284524.0300000003</v>
      </c>
      <c r="K67" s="389">
        <v>0</v>
      </c>
      <c r="L67" s="389">
        <v>0</v>
      </c>
      <c r="M67" s="172">
        <f>IF((L67+K67)=0, 0, L67/(L67+K67))</f>
        <v>0</v>
      </c>
      <c r="N67" s="173">
        <f>+J67*M67</f>
        <v>0</v>
      </c>
      <c r="O67" s="164">
        <f>+J67-N67</f>
        <v>2284524.0300000003</v>
      </c>
      <c r="P67" s="167">
        <f t="shared" si="12"/>
        <v>43836.67</v>
      </c>
      <c r="Q67" s="164">
        <f t="shared" si="13"/>
        <v>2328360.7000000002</v>
      </c>
      <c r="S67" s="162"/>
    </row>
    <row r="68" spans="1:21" ht="15.6" outlineLevel="4">
      <c r="A68" s="169" t="s">
        <v>916</v>
      </c>
      <c r="B68" s="162" t="s">
        <v>90</v>
      </c>
      <c r="C68" s="163" t="s">
        <v>165</v>
      </c>
      <c r="D68" s="163" t="s">
        <v>99</v>
      </c>
      <c r="E68" s="163" t="s">
        <v>45</v>
      </c>
      <c r="F68" s="163" t="s">
        <v>101</v>
      </c>
      <c r="G68" s="163" t="s">
        <v>101</v>
      </c>
      <c r="H68" s="164">
        <f>VLOOKUP(A68,'3. K0215-REFERENCE'!A:D,3,FALSE)</f>
        <v>20758144.440000001</v>
      </c>
      <c r="I68" s="164">
        <f>VLOOKUP(A68,'3. K0215-REFERENCE'!A:D,4,FALSE)</f>
        <v>49517617.149999999</v>
      </c>
      <c r="J68" s="204">
        <f t="shared" si="11"/>
        <v>70275761.590000004</v>
      </c>
      <c r="K68" s="389">
        <v>0</v>
      </c>
      <c r="L68" s="389">
        <v>0</v>
      </c>
      <c r="M68" s="172">
        <f t="shared" ref="M68:M70" si="14">IF((L68+K68)=0, 0, L68/(L68+K68))</f>
        <v>0</v>
      </c>
      <c r="N68" s="173">
        <f>+J68*M68</f>
        <v>0</v>
      </c>
      <c r="O68" s="164">
        <f>+J68-N68</f>
        <v>70275761.590000004</v>
      </c>
      <c r="P68" s="167">
        <f t="shared" si="12"/>
        <v>1348488.9</v>
      </c>
      <c r="Q68" s="164">
        <f t="shared" si="13"/>
        <v>71624250.49000001</v>
      </c>
      <c r="R68" s="447" t="s">
        <v>813</v>
      </c>
      <c r="S68" s="172"/>
    </row>
    <row r="69" spans="1:21" ht="15.6" outlineLevel="4">
      <c r="A69" s="169" t="s">
        <v>917</v>
      </c>
      <c r="B69" s="162" t="s">
        <v>738</v>
      </c>
      <c r="C69" s="163" t="s">
        <v>165</v>
      </c>
      <c r="D69" s="163" t="s">
        <v>99</v>
      </c>
      <c r="E69" s="163" t="s">
        <v>45</v>
      </c>
      <c r="F69" s="163" t="s">
        <v>101</v>
      </c>
      <c r="G69" s="163" t="s">
        <v>101</v>
      </c>
      <c r="H69" s="164">
        <f>VLOOKUP(A69,'3. K0215-REFERENCE'!A:D,3,FALSE)</f>
        <v>0</v>
      </c>
      <c r="I69" s="164">
        <f>VLOOKUP(A69,'3. K0215-REFERENCE'!A:D,4,FALSE)</f>
        <v>51523.98</v>
      </c>
      <c r="J69" s="204">
        <f t="shared" si="11"/>
        <v>51523.98</v>
      </c>
      <c r="K69" s="389">
        <v>0</v>
      </c>
      <c r="L69" s="389">
        <v>0</v>
      </c>
      <c r="M69" s="172">
        <f t="shared" si="14"/>
        <v>0</v>
      </c>
      <c r="N69" s="173">
        <f>+J69*M69</f>
        <v>0</v>
      </c>
      <c r="O69" s="164">
        <f>+J69-N69</f>
        <v>51523.98</v>
      </c>
      <c r="P69" s="167">
        <f t="shared" si="12"/>
        <v>988.67</v>
      </c>
      <c r="Q69" s="164">
        <f t="shared" si="13"/>
        <v>52512.65</v>
      </c>
      <c r="R69" s="527">
        <f>SUM(Q66:Q69)</f>
        <v>74005123.840000018</v>
      </c>
      <c r="S69" s="672" t="s">
        <v>1350</v>
      </c>
    </row>
    <row r="70" spans="1:21" ht="15.6" outlineLevel="4">
      <c r="A70" s="169" t="s">
        <v>918</v>
      </c>
      <c r="B70" s="162" t="s">
        <v>663</v>
      </c>
      <c r="C70" s="163" t="s">
        <v>767</v>
      </c>
      <c r="D70" s="163" t="s">
        <v>99</v>
      </c>
      <c r="E70" s="163" t="s">
        <v>121</v>
      </c>
      <c r="F70" s="163" t="s">
        <v>101</v>
      </c>
      <c r="G70" s="163" t="s">
        <v>101</v>
      </c>
      <c r="H70" s="164">
        <f>VLOOKUP(A70,'3. K0215-REFERENCE'!A:D,3,FALSE)</f>
        <v>0</v>
      </c>
      <c r="I70" s="164">
        <f>VLOOKUP(A70,'3. K0215-REFERENCE'!A:D,4,FALSE)</f>
        <v>7914.61</v>
      </c>
      <c r="J70" s="204">
        <f t="shared" si="11"/>
        <v>7914.61</v>
      </c>
      <c r="K70" s="389">
        <v>17712</v>
      </c>
      <c r="L70" s="389">
        <v>0</v>
      </c>
      <c r="M70" s="172">
        <f t="shared" si="14"/>
        <v>0</v>
      </c>
      <c r="N70" s="173">
        <f>+J70*M70</f>
        <v>0</v>
      </c>
      <c r="O70" s="164">
        <f>+J70-N70</f>
        <v>7914.61</v>
      </c>
      <c r="P70" s="167">
        <f t="shared" si="12"/>
        <v>151.87</v>
      </c>
      <c r="Q70" s="164">
        <f t="shared" si="13"/>
        <v>8066.48</v>
      </c>
      <c r="R70" s="172"/>
      <c r="S70" s="172"/>
    </row>
    <row r="71" spans="1:21" s="50" customFormat="1" ht="15.6" outlineLevel="4">
      <c r="A71" s="180" t="s">
        <v>921</v>
      </c>
      <c r="B71" s="181" t="s">
        <v>568</v>
      </c>
      <c r="C71" s="182" t="s">
        <v>305</v>
      </c>
      <c r="D71" s="182" t="s">
        <v>99</v>
      </c>
      <c r="E71" s="182" t="s">
        <v>121</v>
      </c>
      <c r="F71" s="182" t="s">
        <v>101</v>
      </c>
      <c r="G71" s="182" t="s">
        <v>101</v>
      </c>
      <c r="H71" s="164">
        <f>VLOOKUP(A71,'3. K0215-REFERENCE'!A:D,3,FALSE)</f>
        <v>2343117.84</v>
      </c>
      <c r="I71" s="164">
        <f>VLOOKUP(A71,'3. K0215-REFERENCE'!A:D,4,FALSE)</f>
        <v>11600029.390000001</v>
      </c>
      <c r="J71" s="204">
        <f t="shared" si="11"/>
        <v>13943147.23</v>
      </c>
      <c r="K71" s="389">
        <v>717149</v>
      </c>
      <c r="L71" s="389">
        <v>408790</v>
      </c>
      <c r="M71" s="172">
        <f>+L71/(L71+K71)</f>
        <v>0.36306584992615054</v>
      </c>
      <c r="N71" s="173">
        <f>+J71*M71</f>
        <v>5062280.5997054018</v>
      </c>
      <c r="O71" s="164">
        <f>+J71-N71</f>
        <v>8880866.6302945986</v>
      </c>
      <c r="P71" s="167">
        <f t="shared" si="12"/>
        <v>170410.82</v>
      </c>
      <c r="Q71" s="164">
        <f t="shared" si="13"/>
        <v>9051277.4502945989</v>
      </c>
      <c r="R71" s="207"/>
      <c r="S71" s="207"/>
    </row>
    <row r="72" spans="1:21" s="42" customFormat="1" ht="15.6" outlineLevel="4">
      <c r="A72" s="180" t="s">
        <v>922</v>
      </c>
      <c r="B72" s="181" t="s">
        <v>568</v>
      </c>
      <c r="C72" s="182" t="s">
        <v>305</v>
      </c>
      <c r="D72" s="182" t="s">
        <v>99</v>
      </c>
      <c r="E72" s="182" t="s">
        <v>121</v>
      </c>
      <c r="F72" s="182" t="s">
        <v>101</v>
      </c>
      <c r="G72" s="182" t="s">
        <v>101</v>
      </c>
      <c r="H72" s="164"/>
      <c r="I72" s="164"/>
      <c r="J72" s="204">
        <f t="shared" si="11"/>
        <v>0</v>
      </c>
      <c r="K72" s="389">
        <v>717149</v>
      </c>
      <c r="L72" s="389">
        <v>408790</v>
      </c>
      <c r="M72" s="172">
        <f>+L72/(L72+K72)</f>
        <v>0.36306584992615054</v>
      </c>
      <c r="N72" s="173">
        <f>+J72*M72</f>
        <v>0</v>
      </c>
      <c r="O72" s="164">
        <f>+J72-N72</f>
        <v>0</v>
      </c>
      <c r="P72" s="167">
        <f t="shared" si="12"/>
        <v>0</v>
      </c>
      <c r="Q72" s="164">
        <f t="shared" si="13"/>
        <v>0</v>
      </c>
      <c r="R72" s="181"/>
      <c r="S72" s="181"/>
    </row>
    <row r="73" spans="1:21" s="42" customFormat="1" ht="15.6" outlineLevel="4">
      <c r="A73" s="180" t="s">
        <v>855</v>
      </c>
      <c r="B73" s="181" t="s">
        <v>464</v>
      </c>
      <c r="C73" s="182" t="s">
        <v>465</v>
      </c>
      <c r="D73" s="182" t="s">
        <v>99</v>
      </c>
      <c r="E73" s="182" t="s">
        <v>121</v>
      </c>
      <c r="F73" s="182" t="s">
        <v>101</v>
      </c>
      <c r="G73" s="182" t="s">
        <v>101</v>
      </c>
      <c r="H73" s="164"/>
      <c r="I73" s="164"/>
      <c r="J73" s="204">
        <f t="shared" si="11"/>
        <v>0</v>
      </c>
      <c r="K73" s="389">
        <v>0</v>
      </c>
      <c r="L73" s="389">
        <v>0</v>
      </c>
      <c r="M73" s="172">
        <f>IFERROR(+L73/(L73+K73),0)</f>
        <v>0</v>
      </c>
      <c r="N73" s="173">
        <f>+J73*M73</f>
        <v>0</v>
      </c>
      <c r="O73" s="164">
        <f>+J73-N73</f>
        <v>0</v>
      </c>
      <c r="P73" s="167">
        <f t="shared" si="12"/>
        <v>0</v>
      </c>
      <c r="Q73" s="164">
        <f t="shared" si="13"/>
        <v>0</v>
      </c>
      <c r="R73" s="181"/>
      <c r="S73" s="181"/>
    </row>
    <row r="74" spans="1:21" s="42" customFormat="1" ht="15.6" outlineLevel="4">
      <c r="A74" s="180" t="s">
        <v>1409</v>
      </c>
      <c r="B74" s="181" t="s">
        <v>1410</v>
      </c>
      <c r="C74" s="182" t="s">
        <v>1463</v>
      </c>
      <c r="D74" s="182" t="s">
        <v>99</v>
      </c>
      <c r="E74" s="182" t="s">
        <v>121</v>
      </c>
      <c r="F74" s="182" t="s">
        <v>101</v>
      </c>
      <c r="G74" s="182" t="s">
        <v>101</v>
      </c>
      <c r="H74" s="164">
        <f>VLOOKUP(A74,'3. K0215-REFERENCE'!A:D,3,FALSE)</f>
        <v>0</v>
      </c>
      <c r="I74" s="164">
        <f>VLOOKUP(A74,'3. K0215-REFERENCE'!A:D,4,FALSE)</f>
        <v>33538.36</v>
      </c>
      <c r="J74" s="704">
        <f t="shared" si="11"/>
        <v>33538.36</v>
      </c>
      <c r="K74" s="389">
        <v>64583</v>
      </c>
      <c r="L74" s="389">
        <v>6931</v>
      </c>
      <c r="M74" s="172">
        <f>IFERROR(+L74/(L74+K74),0)</f>
        <v>9.6918085969180862E-2</v>
      </c>
      <c r="N74" s="173">
        <f>+J74*M74</f>
        <v>3250.4736577453368</v>
      </c>
      <c r="O74" s="164">
        <f>+J74-N74</f>
        <v>30287.886342254664</v>
      </c>
      <c r="P74" s="167">
        <f t="shared" ref="P74" si="15">ROUND(((O74/$R$1)*$R$2),2)</f>
        <v>581.17999999999995</v>
      </c>
      <c r="Q74" s="164">
        <f t="shared" ref="Q74" si="16">+O74+P74</f>
        <v>30869.066342254664</v>
      </c>
      <c r="R74" s="181"/>
      <c r="S74" s="181"/>
    </row>
    <row r="75" spans="1:21" ht="15.6" outlineLevel="4">
      <c r="A75" s="169" t="s">
        <v>923</v>
      </c>
      <c r="B75" s="162" t="s">
        <v>723</v>
      </c>
      <c r="C75" s="163" t="s">
        <v>152</v>
      </c>
      <c r="D75" s="163" t="s">
        <v>99</v>
      </c>
      <c r="E75" s="163" t="s">
        <v>121</v>
      </c>
      <c r="F75" s="163" t="s">
        <v>101</v>
      </c>
      <c r="G75" s="163" t="s">
        <v>101</v>
      </c>
      <c r="H75" s="164">
        <f>VLOOKUP(A75,'3. K0215-REFERENCE'!A:D,3,FALSE)</f>
        <v>314645</v>
      </c>
      <c r="I75" s="164">
        <f>VLOOKUP(A75,'3. K0215-REFERENCE'!A:D,4,FALSE)</f>
        <v>193322.46</v>
      </c>
      <c r="J75" s="204">
        <f t="shared" si="11"/>
        <v>507967.45999999996</v>
      </c>
      <c r="K75" s="389">
        <v>421416</v>
      </c>
      <c r="L75" s="389">
        <v>548422</v>
      </c>
      <c r="M75" s="172">
        <f>+L75/(L75+K75)</f>
        <v>0.56547794580125754</v>
      </c>
      <c r="N75" s="173">
        <f>+J75*M75</f>
        <v>287244.39581468242</v>
      </c>
      <c r="O75" s="164">
        <f>+J75-N75</f>
        <v>220723.06418531755</v>
      </c>
      <c r="P75" s="167">
        <f t="shared" si="12"/>
        <v>4235.3500000000004</v>
      </c>
      <c r="Q75" s="164">
        <f t="shared" si="13"/>
        <v>224958.41418531755</v>
      </c>
      <c r="R75" s="172"/>
      <c r="S75" s="172"/>
    </row>
    <row r="76" spans="1:21" ht="15.6" outlineLevel="4">
      <c r="A76" s="169" t="s">
        <v>924</v>
      </c>
      <c r="B76" s="162" t="s">
        <v>723</v>
      </c>
      <c r="C76" s="163" t="s">
        <v>152</v>
      </c>
      <c r="D76" s="163" t="s">
        <v>99</v>
      </c>
      <c r="E76" s="163" t="s">
        <v>121</v>
      </c>
      <c r="F76" s="163" t="s">
        <v>101</v>
      </c>
      <c r="G76" s="163" t="s">
        <v>101</v>
      </c>
      <c r="H76" s="164"/>
      <c r="I76" s="164"/>
      <c r="J76" s="204">
        <f t="shared" si="11"/>
        <v>0</v>
      </c>
      <c r="K76" s="389">
        <v>421416</v>
      </c>
      <c r="L76" s="389">
        <v>548422</v>
      </c>
      <c r="M76" s="172">
        <v>0</v>
      </c>
      <c r="N76" s="173">
        <f>+J76*M76</f>
        <v>0</v>
      </c>
      <c r="O76" s="164">
        <f>+J76-N76</f>
        <v>0</v>
      </c>
      <c r="P76" s="167">
        <f t="shared" si="12"/>
        <v>0</v>
      </c>
      <c r="Q76" s="164">
        <f t="shared" si="13"/>
        <v>0</v>
      </c>
      <c r="R76" s="172"/>
      <c r="S76" s="172"/>
    </row>
    <row r="77" spans="1:21" ht="15.6" outlineLevel="4">
      <c r="A77" s="169" t="s">
        <v>925</v>
      </c>
      <c r="B77" s="162" t="s">
        <v>723</v>
      </c>
      <c r="C77" s="163" t="s">
        <v>152</v>
      </c>
      <c r="D77" s="163" t="s">
        <v>99</v>
      </c>
      <c r="E77" s="163" t="s">
        <v>121</v>
      </c>
      <c r="F77" s="163" t="s">
        <v>101</v>
      </c>
      <c r="G77" s="163" t="s">
        <v>101</v>
      </c>
      <c r="H77" s="164"/>
      <c r="I77" s="164"/>
      <c r="J77" s="204">
        <f t="shared" si="11"/>
        <v>0</v>
      </c>
      <c r="K77" s="389">
        <v>421416</v>
      </c>
      <c r="L77" s="389">
        <v>548422</v>
      </c>
      <c r="M77" s="172">
        <f>IFERROR(+L77/(L77+K77),0)</f>
        <v>0.56547794580125754</v>
      </c>
      <c r="N77" s="173">
        <f>+J77*M77</f>
        <v>0</v>
      </c>
      <c r="O77" s="164">
        <f>+J77-N77</f>
        <v>0</v>
      </c>
      <c r="P77" s="167">
        <f t="shared" si="12"/>
        <v>0</v>
      </c>
      <c r="Q77" s="164">
        <f t="shared" si="13"/>
        <v>0</v>
      </c>
      <c r="R77" s="172"/>
      <c r="S77" s="172"/>
    </row>
    <row r="78" spans="1:21" ht="15.6" outlineLevel="4">
      <c r="A78" s="169" t="s">
        <v>926</v>
      </c>
      <c r="B78" s="162" t="s">
        <v>723</v>
      </c>
      <c r="C78" s="163" t="s">
        <v>152</v>
      </c>
      <c r="D78" s="163" t="s">
        <v>99</v>
      </c>
      <c r="E78" s="163" t="s">
        <v>121</v>
      </c>
      <c r="F78" s="163" t="s">
        <v>101</v>
      </c>
      <c r="G78" s="163" t="s">
        <v>101</v>
      </c>
      <c r="H78" s="164">
        <f>VLOOKUP(A78,'3. K0215-REFERENCE'!A:D,3,FALSE)</f>
        <v>297101.2</v>
      </c>
      <c r="I78" s="164">
        <f>VLOOKUP(A78,'3. K0215-REFERENCE'!A:D,4,FALSE)</f>
        <v>1391561.57</v>
      </c>
      <c r="J78" s="204">
        <f t="shared" si="11"/>
        <v>1688662.77</v>
      </c>
      <c r="K78" s="389">
        <v>421416</v>
      </c>
      <c r="L78" s="389">
        <v>548422</v>
      </c>
      <c r="M78" s="172">
        <f>+L78/(L78+K78)</f>
        <v>0.56547794580125754</v>
      </c>
      <c r="N78" s="173">
        <f>+J78*M78</f>
        <v>954901.55433066143</v>
      </c>
      <c r="O78" s="164">
        <f>+J78-N78</f>
        <v>733761.21566933859</v>
      </c>
      <c r="P78" s="167">
        <f t="shared" si="12"/>
        <v>14079.8</v>
      </c>
      <c r="Q78" s="164">
        <f t="shared" si="13"/>
        <v>747841.01566933864</v>
      </c>
      <c r="R78" s="172"/>
      <c r="S78" s="172"/>
    </row>
    <row r="79" spans="1:21" ht="15.6" outlineLevel="4">
      <c r="A79" s="169" t="s">
        <v>927</v>
      </c>
      <c r="B79" s="162" t="s">
        <v>723</v>
      </c>
      <c r="C79" s="163" t="s">
        <v>152</v>
      </c>
      <c r="D79" s="163" t="s">
        <v>99</v>
      </c>
      <c r="E79" s="163" t="s">
        <v>121</v>
      </c>
      <c r="F79" s="163" t="s">
        <v>101</v>
      </c>
      <c r="G79" s="163" t="s">
        <v>101</v>
      </c>
      <c r="H79" s="164">
        <f>VLOOKUP(A79,'3. K0215-REFERENCE'!A:D,3,FALSE)</f>
        <v>1284096.8799999999</v>
      </c>
      <c r="I79" s="164">
        <f>VLOOKUP(A79,'3. K0215-REFERENCE'!A:D,4,FALSE)</f>
        <v>1623771.28</v>
      </c>
      <c r="J79" s="204">
        <f t="shared" si="11"/>
        <v>2907868.16</v>
      </c>
      <c r="K79" s="389">
        <v>421416</v>
      </c>
      <c r="L79" s="389">
        <v>548422</v>
      </c>
      <c r="M79" s="172">
        <f>+L79/(L79+K79)</f>
        <v>0.56547794580125754</v>
      </c>
      <c r="N79" s="173">
        <f>+J79*M79</f>
        <v>1644335.3137776826</v>
      </c>
      <c r="O79" s="164">
        <f>+J79-N79</f>
        <v>1263532.8462223175</v>
      </c>
      <c r="P79" s="167">
        <f t="shared" si="12"/>
        <v>24245.34</v>
      </c>
      <c r="Q79" s="164">
        <f t="shared" si="13"/>
        <v>1287778.1862223176</v>
      </c>
      <c r="R79" s="172"/>
      <c r="S79" s="172"/>
    </row>
    <row r="80" spans="1:21" ht="15.6" outlineLevel="4">
      <c r="A80" s="169" t="s">
        <v>928</v>
      </c>
      <c r="B80" s="162" t="s">
        <v>723</v>
      </c>
      <c r="C80" s="163" t="s">
        <v>152</v>
      </c>
      <c r="D80" s="163" t="s">
        <v>99</v>
      </c>
      <c r="E80" s="163" t="s">
        <v>121</v>
      </c>
      <c r="F80" s="163" t="s">
        <v>101</v>
      </c>
      <c r="G80" s="163" t="s">
        <v>101</v>
      </c>
      <c r="H80" s="164"/>
      <c r="I80" s="164"/>
      <c r="J80" s="204">
        <f t="shared" si="11"/>
        <v>0</v>
      </c>
      <c r="K80" s="389">
        <v>421416</v>
      </c>
      <c r="L80" s="389">
        <v>548422</v>
      </c>
      <c r="M80" s="172">
        <f>IFERROR(+L80/(L80+K80),0)</f>
        <v>0.56547794580125754</v>
      </c>
      <c r="N80" s="173">
        <f>+J80*M80</f>
        <v>0</v>
      </c>
      <c r="O80" s="164">
        <f>+J80-N80</f>
        <v>0</v>
      </c>
      <c r="P80" s="167">
        <f t="shared" si="12"/>
        <v>0</v>
      </c>
      <c r="Q80" s="164">
        <f t="shared" si="13"/>
        <v>0</v>
      </c>
      <c r="R80" s="172"/>
      <c r="S80" s="172"/>
    </row>
    <row r="81" spans="1:19" ht="15.6" outlineLevel="4">
      <c r="A81" s="169" t="s">
        <v>929</v>
      </c>
      <c r="B81" s="162" t="s">
        <v>723</v>
      </c>
      <c r="C81" s="163" t="s">
        <v>152</v>
      </c>
      <c r="D81" s="163" t="s">
        <v>99</v>
      </c>
      <c r="E81" s="163" t="s">
        <v>121</v>
      </c>
      <c r="F81" s="163" t="s">
        <v>101</v>
      </c>
      <c r="G81" s="163" t="s">
        <v>101</v>
      </c>
      <c r="H81" s="164">
        <f>VLOOKUP(A81,'3. K0215-REFERENCE'!A:D,3,FALSE)</f>
        <v>202667.79</v>
      </c>
      <c r="I81" s="164">
        <f>VLOOKUP(A81,'3. K0215-REFERENCE'!A:D,4,FALSE)</f>
        <v>485794.34</v>
      </c>
      <c r="J81" s="204">
        <f t="shared" si="11"/>
        <v>688462.13</v>
      </c>
      <c r="K81" s="389">
        <v>421416</v>
      </c>
      <c r="L81" s="389">
        <v>548422</v>
      </c>
      <c r="M81" s="172">
        <f>+L81/(L81+K81)</f>
        <v>0.56547794580125754</v>
      </c>
      <c r="N81" s="173">
        <f>+J81*M81</f>
        <v>389310.15103435831</v>
      </c>
      <c r="O81" s="164">
        <f>+J81-N81</f>
        <v>299151.9789656417</v>
      </c>
      <c r="P81" s="167">
        <f t="shared" si="12"/>
        <v>5740.29</v>
      </c>
      <c r="Q81" s="164">
        <f t="shared" si="13"/>
        <v>304892.26896564168</v>
      </c>
      <c r="R81" s="172"/>
      <c r="S81" s="172"/>
    </row>
    <row r="82" spans="1:19" ht="15.6" outlineLevel="4">
      <c r="A82" s="169" t="s">
        <v>930</v>
      </c>
      <c r="B82" s="162" t="s">
        <v>723</v>
      </c>
      <c r="C82" s="163" t="s">
        <v>152</v>
      </c>
      <c r="D82" s="163" t="s">
        <v>99</v>
      </c>
      <c r="E82" s="163" t="s">
        <v>121</v>
      </c>
      <c r="F82" s="163" t="s">
        <v>101</v>
      </c>
      <c r="G82" s="163" t="s">
        <v>101</v>
      </c>
      <c r="H82" s="164"/>
      <c r="I82" s="164"/>
      <c r="J82" s="204">
        <f t="shared" si="11"/>
        <v>0</v>
      </c>
      <c r="K82" s="389">
        <v>421416</v>
      </c>
      <c r="L82" s="389">
        <v>548422</v>
      </c>
      <c r="M82" s="172">
        <f>IFERROR(+L82/(L82+K82),0)</f>
        <v>0.56547794580125754</v>
      </c>
      <c r="N82" s="173">
        <f>+J82*M82</f>
        <v>0</v>
      </c>
      <c r="O82" s="164">
        <f>+J82-N82</f>
        <v>0</v>
      </c>
      <c r="P82" s="167">
        <f t="shared" si="12"/>
        <v>0</v>
      </c>
      <c r="Q82" s="164">
        <f t="shared" si="13"/>
        <v>0</v>
      </c>
      <c r="R82" s="172"/>
      <c r="S82" s="172"/>
    </row>
    <row r="83" spans="1:19" ht="15.6" outlineLevel="4">
      <c r="A83" s="169" t="s">
        <v>931</v>
      </c>
      <c r="B83" s="162" t="s">
        <v>562</v>
      </c>
      <c r="C83" s="163" t="s">
        <v>793</v>
      </c>
      <c r="D83" s="163" t="s">
        <v>99</v>
      </c>
      <c r="E83" s="163" t="s">
        <v>121</v>
      </c>
      <c r="F83" s="163" t="s">
        <v>101</v>
      </c>
      <c r="G83" s="163" t="s">
        <v>101</v>
      </c>
      <c r="H83" s="164">
        <f>VLOOKUP(A83,'3. K0215-REFERENCE'!A:D,3,FALSE)</f>
        <v>8219.74</v>
      </c>
      <c r="I83" s="164">
        <f>VLOOKUP(A83,'3. K0215-REFERENCE'!A:D,4,FALSE)</f>
        <v>197518.63</v>
      </c>
      <c r="J83" s="204">
        <f t="shared" si="11"/>
        <v>205738.37</v>
      </c>
      <c r="K83" s="389">
        <v>354587</v>
      </c>
      <c r="L83" s="389">
        <v>2777</v>
      </c>
      <c r="M83" s="172">
        <f>+L83/(L83+K83)</f>
        <v>7.7707883278673841E-3</v>
      </c>
      <c r="N83" s="173">
        <f>+J83*M83</f>
        <v>1598.749324190461</v>
      </c>
      <c r="O83" s="164">
        <f>+J83-N83</f>
        <v>204139.62067580954</v>
      </c>
      <c r="P83" s="167">
        <f t="shared" si="12"/>
        <v>3917.14</v>
      </c>
      <c r="Q83" s="164">
        <f t="shared" si="13"/>
        <v>208056.76067580955</v>
      </c>
      <c r="R83" s="172"/>
      <c r="S83" s="172"/>
    </row>
    <row r="84" spans="1:19" ht="15.6" outlineLevel="4">
      <c r="A84" s="169" t="s">
        <v>932</v>
      </c>
      <c r="B84" s="162" t="s">
        <v>79</v>
      </c>
      <c r="C84" s="163" t="s">
        <v>793</v>
      </c>
      <c r="D84" s="163" t="s">
        <v>99</v>
      </c>
      <c r="E84" s="163" t="s">
        <v>121</v>
      </c>
      <c r="F84" s="163" t="s">
        <v>101</v>
      </c>
      <c r="G84" s="163" t="s">
        <v>101</v>
      </c>
      <c r="H84" s="164"/>
      <c r="I84" s="164"/>
      <c r="J84" s="204">
        <f t="shared" si="11"/>
        <v>0</v>
      </c>
      <c r="K84" s="389">
        <v>354587</v>
      </c>
      <c r="L84" s="389">
        <v>2777</v>
      </c>
      <c r="M84" s="172">
        <f>IFERROR(+L84/(L84+K84),0)</f>
        <v>7.7707883278673841E-3</v>
      </c>
      <c r="N84" s="173">
        <f>+J84*M84</f>
        <v>0</v>
      </c>
      <c r="O84" s="164">
        <f>+J84-N84</f>
        <v>0</v>
      </c>
      <c r="P84" s="167">
        <f t="shared" si="12"/>
        <v>0</v>
      </c>
      <c r="Q84" s="164">
        <f t="shared" si="13"/>
        <v>0</v>
      </c>
      <c r="R84" s="172"/>
      <c r="S84" s="172"/>
    </row>
    <row r="85" spans="1:19" ht="15.6" outlineLevel="4">
      <c r="A85" s="169" t="s">
        <v>933</v>
      </c>
      <c r="B85" s="162" t="s">
        <v>559</v>
      </c>
      <c r="C85" s="163" t="s">
        <v>793</v>
      </c>
      <c r="D85" s="163" t="s">
        <v>99</v>
      </c>
      <c r="E85" s="163" t="s">
        <v>121</v>
      </c>
      <c r="F85" s="163" t="s">
        <v>101</v>
      </c>
      <c r="G85" s="163" t="s">
        <v>101</v>
      </c>
      <c r="H85" s="164">
        <f>VLOOKUP(A85,'3. K0215-REFERENCE'!A:D,3,FALSE)</f>
        <v>664548.47</v>
      </c>
      <c r="I85" s="164">
        <f>VLOOKUP(A85,'3. K0215-REFERENCE'!A:D,4,FALSE)</f>
        <v>1845850.41</v>
      </c>
      <c r="J85" s="204">
        <f t="shared" si="11"/>
        <v>2510398.88</v>
      </c>
      <c r="K85" s="389">
        <v>354587</v>
      </c>
      <c r="L85" s="389">
        <v>2777</v>
      </c>
      <c r="M85" s="172">
        <f>+L85/(L85+K85)</f>
        <v>7.7707883278673841E-3</v>
      </c>
      <c r="N85" s="173">
        <f>+J85*M85</f>
        <v>19507.778314995354</v>
      </c>
      <c r="O85" s="164">
        <f>+J85-N85</f>
        <v>2490891.1016850043</v>
      </c>
      <c r="P85" s="167">
        <f t="shared" si="12"/>
        <v>47796.55</v>
      </c>
      <c r="Q85" s="164">
        <f t="shared" si="13"/>
        <v>2538687.6516850041</v>
      </c>
      <c r="R85" s="172"/>
      <c r="S85" s="172"/>
    </row>
    <row r="86" spans="1:19" ht="15.6" outlineLevel="4">
      <c r="A86" s="169" t="s">
        <v>934</v>
      </c>
      <c r="B86" s="162" t="s">
        <v>557</v>
      </c>
      <c r="C86" s="163" t="s">
        <v>793</v>
      </c>
      <c r="D86" s="163" t="s">
        <v>99</v>
      </c>
      <c r="E86" s="163" t="s">
        <v>121</v>
      </c>
      <c r="F86" s="163" t="s">
        <v>101</v>
      </c>
      <c r="G86" s="163" t="s">
        <v>101</v>
      </c>
      <c r="H86" s="164">
        <f>VLOOKUP(A86,'3. K0215-REFERENCE'!A:D,3,FALSE)</f>
        <v>1097315.3400000001</v>
      </c>
      <c r="I86" s="164">
        <f>VLOOKUP(A86,'3. K0215-REFERENCE'!A:D,4,FALSE)</f>
        <v>514906.49</v>
      </c>
      <c r="J86" s="204">
        <f t="shared" si="11"/>
        <v>1612221.83</v>
      </c>
      <c r="K86" s="389">
        <v>354587</v>
      </c>
      <c r="L86" s="389">
        <v>2777</v>
      </c>
      <c r="M86" s="172">
        <f>+L86/(L86+K86)</f>
        <v>7.7707883278673841E-3</v>
      </c>
      <c r="N86" s="173">
        <f>+J86*M86</f>
        <v>12528.234578496995</v>
      </c>
      <c r="O86" s="164">
        <f>+J86-N86</f>
        <v>1599693.5954215031</v>
      </c>
      <c r="P86" s="167">
        <f t="shared" si="12"/>
        <v>30695.78</v>
      </c>
      <c r="Q86" s="164">
        <f t="shared" si="13"/>
        <v>1630389.3754215031</v>
      </c>
      <c r="R86" s="172"/>
      <c r="S86" s="172"/>
    </row>
    <row r="87" spans="1:19" ht="15.6" outlineLevel="4">
      <c r="A87" s="169" t="s">
        <v>935</v>
      </c>
      <c r="B87" s="162" t="s">
        <v>566</v>
      </c>
      <c r="C87" s="163" t="s">
        <v>793</v>
      </c>
      <c r="D87" s="163" t="s">
        <v>99</v>
      </c>
      <c r="E87" s="163" t="s">
        <v>121</v>
      </c>
      <c r="F87" s="163" t="s">
        <v>101</v>
      </c>
      <c r="G87" s="163" t="s">
        <v>101</v>
      </c>
      <c r="H87" s="164">
        <f>VLOOKUP(A87,'3. K0215-REFERENCE'!A:D,3,FALSE)</f>
        <v>5424086.2400000002</v>
      </c>
      <c r="I87" s="164">
        <f>VLOOKUP(A87,'3. K0215-REFERENCE'!A:D,4,FALSE)</f>
        <v>15985551.789999999</v>
      </c>
      <c r="J87" s="204">
        <f t="shared" si="11"/>
        <v>21409638.030000001</v>
      </c>
      <c r="K87" s="389">
        <v>354587</v>
      </c>
      <c r="L87" s="389">
        <v>2777</v>
      </c>
      <c r="M87" s="172">
        <f>+L87/(L87+K87)</f>
        <v>7.7707883278673841E-3</v>
      </c>
      <c r="N87" s="173">
        <f>+J87*M87</f>
        <v>166369.76530738967</v>
      </c>
      <c r="O87" s="164">
        <f>+J87-N87</f>
        <v>21243268.264692612</v>
      </c>
      <c r="P87" s="167">
        <f t="shared" si="12"/>
        <v>407627.19</v>
      </c>
      <c r="Q87" s="164">
        <f t="shared" si="13"/>
        <v>21650895.454692613</v>
      </c>
      <c r="R87" s="172"/>
      <c r="S87" s="172"/>
    </row>
    <row r="88" spans="1:19" ht="15.6" outlineLevel="4">
      <c r="A88" s="169" t="s">
        <v>936</v>
      </c>
      <c r="B88" s="162" t="s">
        <v>560</v>
      </c>
      <c r="C88" s="163" t="s">
        <v>793</v>
      </c>
      <c r="D88" s="163" t="s">
        <v>99</v>
      </c>
      <c r="E88" s="163" t="s">
        <v>121</v>
      </c>
      <c r="F88" s="163" t="s">
        <v>101</v>
      </c>
      <c r="G88" s="163" t="s">
        <v>101</v>
      </c>
      <c r="H88" s="164">
        <f>VLOOKUP(A88,'3. K0215-REFERENCE'!A:D,3,FALSE)</f>
        <v>1650440.47</v>
      </c>
      <c r="I88" s="164">
        <f>VLOOKUP(A88,'3. K0215-REFERENCE'!A:D,4,FALSE)</f>
        <v>3847833.78</v>
      </c>
      <c r="J88" s="204">
        <f t="shared" si="11"/>
        <v>5498274.25</v>
      </c>
      <c r="K88" s="389">
        <v>354587</v>
      </c>
      <c r="L88" s="389">
        <v>2777</v>
      </c>
      <c r="M88" s="172">
        <f>+L88/(L88+K88)</f>
        <v>7.7707883278673841E-3</v>
      </c>
      <c r="N88" s="173">
        <f>+J88*M88</f>
        <v>42725.925365313793</v>
      </c>
      <c r="O88" s="164">
        <f>+J88-N88</f>
        <v>5455548.3246346861</v>
      </c>
      <c r="P88" s="167">
        <f t="shared" si="12"/>
        <v>104683.98</v>
      </c>
      <c r="Q88" s="164">
        <f t="shared" si="13"/>
        <v>5560232.3046346866</v>
      </c>
      <c r="R88" s="172"/>
      <c r="S88" s="172"/>
    </row>
    <row r="89" spans="1:19" ht="15.6" outlineLevel="4">
      <c r="A89" s="169" t="s">
        <v>937</v>
      </c>
      <c r="B89" s="162" t="s">
        <v>561</v>
      </c>
      <c r="C89" s="163" t="s">
        <v>793</v>
      </c>
      <c r="D89" s="163" t="s">
        <v>99</v>
      </c>
      <c r="E89" s="163" t="s">
        <v>121</v>
      </c>
      <c r="F89" s="163" t="s">
        <v>101</v>
      </c>
      <c r="G89" s="163" t="s">
        <v>101</v>
      </c>
      <c r="H89" s="164">
        <f>VLOOKUP(A89,'3. K0215-REFERENCE'!A:D,3,FALSE)</f>
        <v>504429.09</v>
      </c>
      <c r="I89" s="164">
        <f>VLOOKUP(A89,'3. K0215-REFERENCE'!A:D,4,FALSE)</f>
        <v>1741235.16</v>
      </c>
      <c r="J89" s="204">
        <f t="shared" si="11"/>
        <v>2245664.25</v>
      </c>
      <c r="K89" s="389">
        <v>354587</v>
      </c>
      <c r="L89" s="389">
        <v>2777</v>
      </c>
      <c r="M89" s="172">
        <f>+L89/(L89+K89)</f>
        <v>7.7707883278673841E-3</v>
      </c>
      <c r="N89" s="173">
        <f>+J89*M89</f>
        <v>17450.581542209064</v>
      </c>
      <c r="O89" s="164">
        <f>+J89-N89</f>
        <v>2228213.6684577907</v>
      </c>
      <c r="P89" s="167">
        <f t="shared" si="12"/>
        <v>42756.160000000003</v>
      </c>
      <c r="Q89" s="164">
        <f t="shared" si="13"/>
        <v>2270969.8284577909</v>
      </c>
      <c r="R89" s="172"/>
      <c r="S89" s="172"/>
    </row>
    <row r="90" spans="1:19" ht="15.6" outlineLevel="4">
      <c r="A90" s="169" t="s">
        <v>938</v>
      </c>
      <c r="B90" s="162" t="s">
        <v>565</v>
      </c>
      <c r="C90" s="163" t="s">
        <v>793</v>
      </c>
      <c r="D90" s="163" t="s">
        <v>99</v>
      </c>
      <c r="E90" s="163" t="s">
        <v>121</v>
      </c>
      <c r="F90" s="163" t="s">
        <v>101</v>
      </c>
      <c r="G90" s="163" t="s">
        <v>101</v>
      </c>
      <c r="H90" s="164">
        <f>VLOOKUP(A90,'3. K0215-REFERENCE'!A:D,3,FALSE)</f>
        <v>4582984.84</v>
      </c>
      <c r="I90" s="164">
        <f>VLOOKUP(A90,'3. K0215-REFERENCE'!A:D,4,FALSE)</f>
        <v>18827126.699999999</v>
      </c>
      <c r="J90" s="204">
        <f t="shared" si="11"/>
        <v>23410111.539999999</v>
      </c>
      <c r="K90" s="389">
        <v>354587</v>
      </c>
      <c r="L90" s="389">
        <v>2777</v>
      </c>
      <c r="M90" s="172">
        <f>+L90/(L90+K90)</f>
        <v>7.7707883278673841E-3</v>
      </c>
      <c r="N90" s="173">
        <f>+J90*M90</f>
        <v>181915.02150910554</v>
      </c>
      <c r="O90" s="164">
        <f>+J90-N90</f>
        <v>23228196.518490892</v>
      </c>
      <c r="P90" s="167">
        <f t="shared" si="12"/>
        <v>445715.06</v>
      </c>
      <c r="Q90" s="164">
        <f t="shared" si="13"/>
        <v>23673911.578490891</v>
      </c>
      <c r="R90" s="172"/>
      <c r="S90" s="172"/>
    </row>
    <row r="91" spans="1:19" ht="15.6" outlineLevel="4">
      <c r="A91" s="169" t="s">
        <v>939</v>
      </c>
      <c r="B91" s="162" t="s">
        <v>550</v>
      </c>
      <c r="C91" s="163" t="s">
        <v>157</v>
      </c>
      <c r="D91" s="163" t="s">
        <v>99</v>
      </c>
      <c r="E91" s="163" t="s">
        <v>121</v>
      </c>
      <c r="F91" s="163" t="s">
        <v>101</v>
      </c>
      <c r="G91" s="163" t="s">
        <v>101</v>
      </c>
      <c r="H91" s="164">
        <f>VLOOKUP(A91,'3. K0215-REFERENCE'!A:D,3,FALSE)</f>
        <v>12914271.51</v>
      </c>
      <c r="I91" s="164">
        <f>VLOOKUP(A91,'3. K0215-REFERENCE'!A:D,4,FALSE)</f>
        <v>31057257.420000002</v>
      </c>
      <c r="J91" s="204">
        <f t="shared" si="11"/>
        <v>43971528.93</v>
      </c>
      <c r="K91" s="389">
        <v>3197474</v>
      </c>
      <c r="L91" s="389">
        <v>0</v>
      </c>
      <c r="M91" s="172">
        <f>+L91/(L91+K91)</f>
        <v>0</v>
      </c>
      <c r="N91" s="173">
        <f>+J91*M91</f>
        <v>0</v>
      </c>
      <c r="O91" s="164">
        <f>+J91-N91</f>
        <v>43971528.93</v>
      </c>
      <c r="P91" s="167">
        <f t="shared" si="12"/>
        <v>843749.21</v>
      </c>
      <c r="Q91" s="164">
        <f t="shared" si="13"/>
        <v>44815278.140000001</v>
      </c>
      <c r="R91" s="172"/>
      <c r="S91" s="172"/>
    </row>
    <row r="92" spans="1:19" s="17" customFormat="1" ht="15.6" outlineLevel="4">
      <c r="A92" s="169" t="s">
        <v>940</v>
      </c>
      <c r="B92" s="162" t="s">
        <v>80</v>
      </c>
      <c r="C92" s="163" t="s">
        <v>793</v>
      </c>
      <c r="D92" s="163" t="s">
        <v>99</v>
      </c>
      <c r="E92" s="163" t="s">
        <v>121</v>
      </c>
      <c r="F92" s="163" t="s">
        <v>101</v>
      </c>
      <c r="G92" s="163" t="s">
        <v>101</v>
      </c>
      <c r="H92" s="164"/>
      <c r="I92" s="164"/>
      <c r="J92" s="204">
        <f t="shared" si="11"/>
        <v>0</v>
      </c>
      <c r="K92" s="395">
        <v>354587</v>
      </c>
      <c r="L92" s="395">
        <v>2777</v>
      </c>
      <c r="M92" s="172">
        <f>IFERROR(+L92/(L92+K92),0)</f>
        <v>7.7707883278673841E-3</v>
      </c>
      <c r="N92" s="173">
        <f>+J92*M92</f>
        <v>0</v>
      </c>
      <c r="O92" s="164">
        <f>+J92-N92</f>
        <v>0</v>
      </c>
      <c r="P92" s="167">
        <f t="shared" si="12"/>
        <v>0</v>
      </c>
      <c r="Q92" s="164">
        <f t="shared" si="13"/>
        <v>0</v>
      </c>
      <c r="R92" s="162"/>
      <c r="S92" s="162"/>
    </row>
    <row r="93" spans="1:19" ht="15.6" outlineLevel="4">
      <c r="A93" s="169" t="s">
        <v>941</v>
      </c>
      <c r="B93" s="162" t="s">
        <v>563</v>
      </c>
      <c r="C93" s="163" t="s">
        <v>793</v>
      </c>
      <c r="D93" s="163" t="s">
        <v>99</v>
      </c>
      <c r="E93" s="163" t="s">
        <v>121</v>
      </c>
      <c r="F93" s="163" t="s">
        <v>101</v>
      </c>
      <c r="G93" s="163" t="s">
        <v>101</v>
      </c>
      <c r="H93" s="164">
        <f>VLOOKUP(A93,'3. K0215-REFERENCE'!A:D,3,FALSE)</f>
        <v>5196560.1500000004</v>
      </c>
      <c r="I93" s="164">
        <f>VLOOKUP(A93,'3. K0215-REFERENCE'!A:D,4,FALSE)</f>
        <v>4775677.3</v>
      </c>
      <c r="J93" s="204">
        <f t="shared" si="11"/>
        <v>9972237.4499999993</v>
      </c>
      <c r="K93" s="389">
        <v>354587</v>
      </c>
      <c r="L93" s="389">
        <v>2777</v>
      </c>
      <c r="M93" s="172">
        <f>+L93/(L93+K93)</f>
        <v>7.7707883278673841E-3</v>
      </c>
      <c r="N93" s="173">
        <f>+J93*M93</f>
        <v>77492.146379181999</v>
      </c>
      <c r="O93" s="164">
        <f>+J93-N93</f>
        <v>9894745.3036208171</v>
      </c>
      <c r="P93" s="167">
        <f t="shared" si="12"/>
        <v>189865.66</v>
      </c>
      <c r="Q93" s="164">
        <f t="shared" si="13"/>
        <v>10084610.963620817</v>
      </c>
      <c r="R93" s="172"/>
      <c r="S93" s="172"/>
    </row>
    <row r="94" spans="1:19" ht="15.6" outlineLevel="4">
      <c r="A94" s="169" t="s">
        <v>942</v>
      </c>
      <c r="B94" s="162" t="s">
        <v>611</v>
      </c>
      <c r="C94" s="163" t="s">
        <v>157</v>
      </c>
      <c r="D94" s="163" t="s">
        <v>99</v>
      </c>
      <c r="E94" s="163" t="s">
        <v>121</v>
      </c>
      <c r="F94" s="163" t="s">
        <v>101</v>
      </c>
      <c r="G94" s="163" t="s">
        <v>101</v>
      </c>
      <c r="H94" s="164">
        <f>VLOOKUP(A94,'3. K0215-REFERENCE'!A:D,3,FALSE)</f>
        <v>350126.79</v>
      </c>
      <c r="I94" s="164">
        <f>VLOOKUP(A94,'3. K0215-REFERENCE'!A:D,4,FALSE)</f>
        <v>650067.05000000005</v>
      </c>
      <c r="J94" s="204">
        <f t="shared" si="11"/>
        <v>1000193.8400000001</v>
      </c>
      <c r="K94" s="389">
        <v>3197474</v>
      </c>
      <c r="L94" s="389">
        <v>0</v>
      </c>
      <c r="M94" s="172">
        <f>+L94/(L94+K94)</f>
        <v>0</v>
      </c>
      <c r="N94" s="173">
        <f>+J94*M94</f>
        <v>0</v>
      </c>
      <c r="O94" s="164">
        <f>+J94-N94</f>
        <v>1000193.8400000001</v>
      </c>
      <c r="P94" s="167">
        <f t="shared" si="12"/>
        <v>19192.25</v>
      </c>
      <c r="Q94" s="164">
        <f t="shared" si="13"/>
        <v>1019386.0900000001</v>
      </c>
      <c r="R94" s="172"/>
      <c r="S94" s="172"/>
    </row>
    <row r="95" spans="1:19" ht="15.6" outlineLevel="4">
      <c r="A95" s="161" t="s">
        <v>943</v>
      </c>
      <c r="B95" s="162" t="s">
        <v>484</v>
      </c>
      <c r="C95" s="163" t="s">
        <v>157</v>
      </c>
      <c r="D95" s="163" t="s">
        <v>99</v>
      </c>
      <c r="E95" s="163" t="s">
        <v>121</v>
      </c>
      <c r="F95" s="163" t="s">
        <v>101</v>
      </c>
      <c r="G95" s="163" t="s">
        <v>101</v>
      </c>
      <c r="H95" s="164"/>
      <c r="I95" s="164"/>
      <c r="J95" s="204">
        <f t="shared" si="11"/>
        <v>0</v>
      </c>
      <c r="K95" s="389">
        <v>3197474</v>
      </c>
      <c r="L95" s="389">
        <v>0</v>
      </c>
      <c r="M95" s="172">
        <f>IFERROR(+L95/(L95+K95),0)</f>
        <v>0</v>
      </c>
      <c r="N95" s="173">
        <f>+J95*M95</f>
        <v>0</v>
      </c>
      <c r="O95" s="164">
        <f>+J95-N95</f>
        <v>0</v>
      </c>
      <c r="P95" s="167">
        <f t="shared" si="12"/>
        <v>0</v>
      </c>
      <c r="Q95" s="164">
        <f t="shared" si="13"/>
        <v>0</v>
      </c>
      <c r="R95" s="172"/>
      <c r="S95" s="172"/>
    </row>
    <row r="96" spans="1:19" ht="15.6" outlineLevel="4">
      <c r="A96" s="169" t="s">
        <v>944</v>
      </c>
      <c r="B96" s="162" t="s">
        <v>551</v>
      </c>
      <c r="C96" s="163" t="s">
        <v>157</v>
      </c>
      <c r="D96" s="163" t="s">
        <v>99</v>
      </c>
      <c r="E96" s="163" t="s">
        <v>121</v>
      </c>
      <c r="F96" s="163" t="s">
        <v>101</v>
      </c>
      <c r="G96" s="163" t="s">
        <v>101</v>
      </c>
      <c r="H96" s="164">
        <f>VLOOKUP(A96,'3. K0215-REFERENCE'!A:D,3,FALSE)</f>
        <v>22185219.52</v>
      </c>
      <c r="I96" s="164">
        <f>VLOOKUP(A96,'3. K0215-REFERENCE'!A:D,4,FALSE)</f>
        <v>31923085.350000001</v>
      </c>
      <c r="J96" s="204">
        <f t="shared" si="11"/>
        <v>54108304.870000005</v>
      </c>
      <c r="K96" s="389">
        <v>3197474</v>
      </c>
      <c r="L96" s="389">
        <v>0</v>
      </c>
      <c r="M96" s="172">
        <f>+L96/(L96+K96)</f>
        <v>0</v>
      </c>
      <c r="N96" s="173">
        <f>+J96*M96</f>
        <v>0</v>
      </c>
      <c r="O96" s="164">
        <f>+J96-N96</f>
        <v>54108304.870000005</v>
      </c>
      <c r="P96" s="167">
        <f t="shared" si="12"/>
        <v>1038259.09</v>
      </c>
      <c r="Q96" s="164">
        <f t="shared" si="13"/>
        <v>55146563.960000008</v>
      </c>
      <c r="R96" s="172"/>
      <c r="S96" s="172"/>
    </row>
    <row r="97" spans="1:19" ht="15.6" outlineLevel="4">
      <c r="A97" s="169" t="s">
        <v>945</v>
      </c>
      <c r="B97" s="162" t="s">
        <v>558</v>
      </c>
      <c r="C97" s="163" t="s">
        <v>157</v>
      </c>
      <c r="D97" s="163" t="s">
        <v>99</v>
      </c>
      <c r="E97" s="163" t="s">
        <v>121</v>
      </c>
      <c r="F97" s="163" t="s">
        <v>101</v>
      </c>
      <c r="G97" s="163" t="s">
        <v>101</v>
      </c>
      <c r="H97" s="164">
        <f>VLOOKUP(A97,'3. K0215-REFERENCE'!A:D,3,FALSE)</f>
        <v>1000254.84</v>
      </c>
      <c r="I97" s="164">
        <f>VLOOKUP(A97,'3. K0215-REFERENCE'!A:D,4,FALSE)</f>
        <v>2389072.7999999998</v>
      </c>
      <c r="J97" s="204">
        <f t="shared" si="11"/>
        <v>3389327.6399999997</v>
      </c>
      <c r="K97" s="389">
        <v>3197474</v>
      </c>
      <c r="L97" s="389">
        <v>0</v>
      </c>
      <c r="M97" s="172">
        <f>+L97/(L97+K97)</f>
        <v>0</v>
      </c>
      <c r="N97" s="173">
        <f>+J97*M97</f>
        <v>0</v>
      </c>
      <c r="O97" s="164">
        <f>+J97-N97</f>
        <v>3389327.6399999997</v>
      </c>
      <c r="P97" s="167">
        <f t="shared" si="12"/>
        <v>65036.23</v>
      </c>
      <c r="Q97" s="164">
        <f t="shared" si="13"/>
        <v>3454363.8699999996</v>
      </c>
      <c r="R97" s="172"/>
      <c r="S97" s="172"/>
    </row>
    <row r="98" spans="1:19" ht="15.6" outlineLevel="4">
      <c r="A98" s="169" t="s">
        <v>946</v>
      </c>
      <c r="B98" s="162" t="s">
        <v>554</v>
      </c>
      <c r="C98" s="163" t="s">
        <v>157</v>
      </c>
      <c r="D98" s="163" t="s">
        <v>99</v>
      </c>
      <c r="E98" s="163" t="s">
        <v>121</v>
      </c>
      <c r="F98" s="163" t="s">
        <v>101</v>
      </c>
      <c r="G98" s="163" t="s">
        <v>101</v>
      </c>
      <c r="H98" s="164">
        <f>VLOOKUP(A98,'3. K0215-REFERENCE'!A:D,3,FALSE)</f>
        <v>8620581.1899999995</v>
      </c>
      <c r="I98" s="164">
        <f>VLOOKUP(A98,'3. K0215-REFERENCE'!A:D,4,FALSE)</f>
        <v>24767468.41</v>
      </c>
      <c r="J98" s="204">
        <f t="shared" si="11"/>
        <v>33388049.600000001</v>
      </c>
      <c r="K98" s="389">
        <v>3197474</v>
      </c>
      <c r="L98" s="389">
        <v>0</v>
      </c>
      <c r="M98" s="172">
        <f>+L98/(L98+K98)</f>
        <v>0</v>
      </c>
      <c r="N98" s="173">
        <f>+J98*M98</f>
        <v>0</v>
      </c>
      <c r="O98" s="164">
        <f>+J98-N98</f>
        <v>33388049.600000001</v>
      </c>
      <c r="P98" s="167">
        <f t="shared" si="12"/>
        <v>640667.75</v>
      </c>
      <c r="Q98" s="164">
        <f t="shared" si="13"/>
        <v>34028717.350000001</v>
      </c>
      <c r="R98" s="172"/>
      <c r="S98" s="172"/>
    </row>
    <row r="99" spans="1:19" ht="15.6" outlineLevel="4">
      <c r="A99" s="169" t="s">
        <v>947</v>
      </c>
      <c r="B99" s="162" t="s">
        <v>552</v>
      </c>
      <c r="C99" s="163" t="s">
        <v>157</v>
      </c>
      <c r="D99" s="163" t="s">
        <v>99</v>
      </c>
      <c r="E99" s="163" t="s">
        <v>121</v>
      </c>
      <c r="F99" s="163" t="s">
        <v>101</v>
      </c>
      <c r="G99" s="163" t="s">
        <v>101</v>
      </c>
      <c r="H99" s="164">
        <f>VLOOKUP(A99,'3. K0215-REFERENCE'!A:D,3,FALSE)</f>
        <v>15793063.869999999</v>
      </c>
      <c r="I99" s="164">
        <f>VLOOKUP(A99,'3. K0215-REFERENCE'!A:D,4,FALSE)</f>
        <v>21254121.800000001</v>
      </c>
      <c r="J99" s="204">
        <f t="shared" si="11"/>
        <v>37047185.670000002</v>
      </c>
      <c r="K99" s="389">
        <v>3197474</v>
      </c>
      <c r="L99" s="389">
        <v>0</v>
      </c>
      <c r="M99" s="172">
        <f>+L99/(L99+K99)</f>
        <v>0</v>
      </c>
      <c r="N99" s="173">
        <f>+J99*M99</f>
        <v>0</v>
      </c>
      <c r="O99" s="164">
        <f>+J99-N99</f>
        <v>37047185.670000002</v>
      </c>
      <c r="P99" s="167">
        <f t="shared" si="12"/>
        <v>710881.21</v>
      </c>
      <c r="Q99" s="164">
        <f t="shared" si="13"/>
        <v>37758066.880000003</v>
      </c>
      <c r="R99" s="172"/>
      <c r="S99" s="172"/>
    </row>
    <row r="100" spans="1:19" ht="15.6" outlineLevel="4">
      <c r="A100" s="169" t="s">
        <v>948</v>
      </c>
      <c r="B100" s="162" t="s">
        <v>722</v>
      </c>
      <c r="C100" s="163" t="s">
        <v>157</v>
      </c>
      <c r="D100" s="163" t="s">
        <v>99</v>
      </c>
      <c r="E100" s="163" t="s">
        <v>121</v>
      </c>
      <c r="F100" s="163" t="s">
        <v>101</v>
      </c>
      <c r="G100" s="163" t="s">
        <v>101</v>
      </c>
      <c r="H100" s="164"/>
      <c r="I100" s="164"/>
      <c r="J100" s="204">
        <f t="shared" si="11"/>
        <v>0</v>
      </c>
      <c r="K100" s="389">
        <v>3197474</v>
      </c>
      <c r="L100" s="389">
        <v>0</v>
      </c>
      <c r="M100" s="172">
        <f>IFERROR(+L100/(L100+K100),0)</f>
        <v>0</v>
      </c>
      <c r="N100" s="173">
        <f>+J100*M100</f>
        <v>0</v>
      </c>
      <c r="O100" s="164">
        <f>+J100-N100</f>
        <v>0</v>
      </c>
      <c r="P100" s="167">
        <f t="shared" si="12"/>
        <v>0</v>
      </c>
      <c r="Q100" s="164">
        <f t="shared" si="13"/>
        <v>0</v>
      </c>
      <c r="R100" s="172"/>
      <c r="S100" s="172"/>
    </row>
    <row r="101" spans="1:19" ht="15.6" outlineLevel="4">
      <c r="A101" s="169" t="s">
        <v>949</v>
      </c>
      <c r="B101" s="162" t="s">
        <v>556</v>
      </c>
      <c r="C101" s="163" t="s">
        <v>157</v>
      </c>
      <c r="D101" s="163" t="s">
        <v>99</v>
      </c>
      <c r="E101" s="163" t="s">
        <v>121</v>
      </c>
      <c r="F101" s="163" t="s">
        <v>101</v>
      </c>
      <c r="G101" s="163" t="s">
        <v>101</v>
      </c>
      <c r="H101" s="164">
        <f>VLOOKUP(A101,'3. K0215-REFERENCE'!A:D,3,FALSE)</f>
        <v>11325614.949999999</v>
      </c>
      <c r="I101" s="164">
        <f>VLOOKUP(A101,'3. K0215-REFERENCE'!A:D,4,FALSE)</f>
        <v>30115104.120000001</v>
      </c>
      <c r="J101" s="204">
        <f t="shared" si="11"/>
        <v>41440719.07</v>
      </c>
      <c r="K101" s="389">
        <v>3197474</v>
      </c>
      <c r="L101" s="389">
        <v>0</v>
      </c>
      <c r="M101" s="172">
        <f>+L101/(L101+K101)</f>
        <v>0</v>
      </c>
      <c r="N101" s="173">
        <f>+J101*M101</f>
        <v>0</v>
      </c>
      <c r="O101" s="164">
        <f>+J101-N101</f>
        <v>41440719.07</v>
      </c>
      <c r="P101" s="167">
        <f t="shared" si="12"/>
        <v>795186.68</v>
      </c>
      <c r="Q101" s="164">
        <f t="shared" si="13"/>
        <v>42235905.75</v>
      </c>
      <c r="R101" s="172"/>
      <c r="S101" s="172"/>
    </row>
    <row r="102" spans="1:19" ht="15.6" outlineLevel="4">
      <c r="A102" s="169" t="s">
        <v>950</v>
      </c>
      <c r="B102" s="162" t="s">
        <v>564</v>
      </c>
      <c r="C102" s="163" t="s">
        <v>793</v>
      </c>
      <c r="D102" s="163" t="s">
        <v>99</v>
      </c>
      <c r="E102" s="163" t="s">
        <v>121</v>
      </c>
      <c r="F102" s="163" t="s">
        <v>101</v>
      </c>
      <c r="G102" s="163" t="s">
        <v>101</v>
      </c>
      <c r="H102" s="164"/>
      <c r="I102" s="164"/>
      <c r="J102" s="204">
        <f t="shared" si="11"/>
        <v>0</v>
      </c>
      <c r="K102" s="389">
        <v>354587</v>
      </c>
      <c r="L102" s="389">
        <v>2777</v>
      </c>
      <c r="M102" s="172">
        <v>0</v>
      </c>
      <c r="N102" s="173">
        <f>+J102*M102</f>
        <v>0</v>
      </c>
      <c r="O102" s="164">
        <f>+J102-N102</f>
        <v>0</v>
      </c>
      <c r="P102" s="167">
        <f t="shared" si="12"/>
        <v>0</v>
      </c>
      <c r="Q102" s="164">
        <f t="shared" si="13"/>
        <v>0</v>
      </c>
      <c r="R102" s="172"/>
      <c r="S102" s="172"/>
    </row>
    <row r="103" spans="1:19" ht="15.6" outlineLevel="4">
      <c r="A103" s="169" t="s">
        <v>951</v>
      </c>
      <c r="B103" s="162" t="s">
        <v>564</v>
      </c>
      <c r="C103" s="163" t="s">
        <v>793</v>
      </c>
      <c r="D103" s="163" t="s">
        <v>99</v>
      </c>
      <c r="E103" s="163" t="s">
        <v>121</v>
      </c>
      <c r="F103" s="163" t="s">
        <v>101</v>
      </c>
      <c r="G103" s="163" t="s">
        <v>101</v>
      </c>
      <c r="H103" s="164">
        <f>VLOOKUP(A103,'3. K0215-REFERENCE'!A:D,3,FALSE)</f>
        <v>130938.08</v>
      </c>
      <c r="I103" s="164">
        <f>VLOOKUP(A103,'3. K0215-REFERENCE'!A:D,4,FALSE)</f>
        <v>36821.42</v>
      </c>
      <c r="J103" s="204">
        <f t="shared" si="11"/>
        <v>167759.5</v>
      </c>
      <c r="K103" s="389">
        <v>354587</v>
      </c>
      <c r="L103" s="389">
        <v>2777</v>
      </c>
      <c r="M103" s="172">
        <f>+L103/(L103+K103)</f>
        <v>7.7707883278673841E-3</v>
      </c>
      <c r="N103" s="173">
        <f>+J103*M103</f>
        <v>1303.6235644888684</v>
      </c>
      <c r="O103" s="164">
        <f>+J103-N103</f>
        <v>166455.87643551113</v>
      </c>
      <c r="P103" s="167">
        <f t="shared" si="12"/>
        <v>3194.04</v>
      </c>
      <c r="Q103" s="164">
        <f t="shared" si="13"/>
        <v>169649.91643551114</v>
      </c>
      <c r="R103" s="172"/>
      <c r="S103" s="172"/>
    </row>
    <row r="104" spans="1:19" ht="15.6" outlineLevel="4">
      <c r="A104" s="169" t="s">
        <v>952</v>
      </c>
      <c r="B104" s="162" t="s">
        <v>688</v>
      </c>
      <c r="C104" s="163" t="s">
        <v>157</v>
      </c>
      <c r="D104" s="163" t="s">
        <v>99</v>
      </c>
      <c r="E104" s="163" t="s">
        <v>121</v>
      </c>
      <c r="F104" s="163" t="s">
        <v>101</v>
      </c>
      <c r="G104" s="163" t="s">
        <v>101</v>
      </c>
      <c r="H104" s="164">
        <f>VLOOKUP(A104,'3. K0215-REFERENCE'!A:D,3,FALSE)</f>
        <v>41224173</v>
      </c>
      <c r="I104" s="164">
        <f>VLOOKUP(A104,'3. K0215-REFERENCE'!A:D,4,FALSE)</f>
        <v>32245864.050000001</v>
      </c>
      <c r="J104" s="204">
        <f t="shared" si="11"/>
        <v>73470037.049999997</v>
      </c>
      <c r="K104" s="389">
        <v>3197474</v>
      </c>
      <c r="L104" s="389">
        <v>0</v>
      </c>
      <c r="M104" s="172">
        <f>+L104/(L104+K104)</f>
        <v>0</v>
      </c>
      <c r="N104" s="173">
        <f>+J104*M104</f>
        <v>0</v>
      </c>
      <c r="O104" s="164">
        <f>+J104-N104</f>
        <v>73470037.049999997</v>
      </c>
      <c r="P104" s="167">
        <f t="shared" si="12"/>
        <v>1409782.36</v>
      </c>
      <c r="Q104" s="164">
        <f t="shared" si="13"/>
        <v>74879819.409999996</v>
      </c>
      <c r="R104" s="172"/>
      <c r="S104" s="172"/>
    </row>
    <row r="105" spans="1:19" ht="15.6" outlineLevel="4">
      <c r="A105" s="208" t="s">
        <v>953</v>
      </c>
      <c r="B105" s="162" t="s">
        <v>584</v>
      </c>
      <c r="C105" s="163" t="s">
        <v>157</v>
      </c>
      <c r="D105" s="163" t="s">
        <v>99</v>
      </c>
      <c r="E105" s="163" t="s">
        <v>121</v>
      </c>
      <c r="F105" s="163" t="s">
        <v>101</v>
      </c>
      <c r="G105" s="163" t="s">
        <v>101</v>
      </c>
      <c r="H105" s="164">
        <f>VLOOKUP(A105,'3. K0215-REFERENCE'!A:D,3,FALSE)</f>
        <v>6963.42</v>
      </c>
      <c r="I105" s="164">
        <f>VLOOKUP(A105,'3. K0215-REFERENCE'!A:D,4,FALSE)</f>
        <v>64788.63</v>
      </c>
      <c r="J105" s="704">
        <f t="shared" si="11"/>
        <v>71752.05</v>
      </c>
      <c r="K105" s="389">
        <v>3197474</v>
      </c>
      <c r="L105" s="389">
        <v>0</v>
      </c>
      <c r="M105" s="172">
        <f>+L105/(L105+K105)</f>
        <v>0</v>
      </c>
      <c r="N105" s="173">
        <f>+J105*M105</f>
        <v>0</v>
      </c>
      <c r="O105" s="164">
        <f>+J105-N105</f>
        <v>71752.05</v>
      </c>
      <c r="P105" s="167">
        <f t="shared" si="12"/>
        <v>1376.82</v>
      </c>
      <c r="Q105" s="164">
        <f t="shared" si="13"/>
        <v>73128.87000000001</v>
      </c>
      <c r="R105" s="172"/>
      <c r="S105" s="172"/>
    </row>
    <row r="106" spans="1:19" ht="15.6" outlineLevel="4">
      <c r="A106" s="169" t="s">
        <v>954</v>
      </c>
      <c r="B106" s="162" t="s">
        <v>553</v>
      </c>
      <c r="C106" s="163" t="s">
        <v>157</v>
      </c>
      <c r="D106" s="163" t="s">
        <v>99</v>
      </c>
      <c r="E106" s="163" t="s">
        <v>121</v>
      </c>
      <c r="F106" s="163" t="s">
        <v>101</v>
      </c>
      <c r="G106" s="163" t="s">
        <v>101</v>
      </c>
      <c r="H106" s="164"/>
      <c r="I106" s="164"/>
      <c r="J106" s="204">
        <f t="shared" si="11"/>
        <v>0</v>
      </c>
      <c r="K106" s="389">
        <v>3197474</v>
      </c>
      <c r="L106" s="389">
        <v>0</v>
      </c>
      <c r="M106" s="172">
        <f>IFERROR(+L106/(L106+K106),0)</f>
        <v>0</v>
      </c>
      <c r="N106" s="173">
        <f>+J106*M106</f>
        <v>0</v>
      </c>
      <c r="O106" s="164">
        <f>+J106-N106</f>
        <v>0</v>
      </c>
      <c r="P106" s="167">
        <f t="shared" si="12"/>
        <v>0</v>
      </c>
      <c r="Q106" s="164">
        <f t="shared" si="13"/>
        <v>0</v>
      </c>
      <c r="R106" s="172"/>
      <c r="S106" s="172"/>
    </row>
    <row r="107" spans="1:19" ht="15.6" outlineLevel="4">
      <c r="A107" s="169" t="s">
        <v>955</v>
      </c>
      <c r="B107" s="162" t="s">
        <v>555</v>
      </c>
      <c r="C107" s="163" t="s">
        <v>157</v>
      </c>
      <c r="D107" s="163" t="s">
        <v>99</v>
      </c>
      <c r="E107" s="163" t="s">
        <v>121</v>
      </c>
      <c r="F107" s="163" t="s">
        <v>101</v>
      </c>
      <c r="G107" s="163" t="s">
        <v>101</v>
      </c>
      <c r="H107" s="164"/>
      <c r="I107" s="164"/>
      <c r="J107" s="204">
        <f t="shared" si="11"/>
        <v>0</v>
      </c>
      <c r="K107" s="389">
        <v>3197474</v>
      </c>
      <c r="L107" s="389">
        <v>0</v>
      </c>
      <c r="M107" s="172">
        <f>IFERROR(+L107/(L107+K107),0)</f>
        <v>0</v>
      </c>
      <c r="N107" s="173">
        <f>+J107*M107</f>
        <v>0</v>
      </c>
      <c r="O107" s="164">
        <f>+J107-N107</f>
        <v>0</v>
      </c>
      <c r="P107" s="167">
        <f t="shared" si="12"/>
        <v>0</v>
      </c>
      <c r="Q107" s="164">
        <f t="shared" si="13"/>
        <v>0</v>
      </c>
      <c r="R107" s="172"/>
      <c r="S107" s="172"/>
    </row>
    <row r="108" spans="1:19" ht="15.6" outlineLevel="4">
      <c r="A108" s="169" t="s">
        <v>1204</v>
      </c>
      <c r="B108" s="162" t="s">
        <v>290</v>
      </c>
      <c r="C108" s="163" t="s">
        <v>291</v>
      </c>
      <c r="D108" s="163" t="s">
        <v>99</v>
      </c>
      <c r="E108" s="163" t="s">
        <v>121</v>
      </c>
      <c r="F108" s="163" t="s">
        <v>101</v>
      </c>
      <c r="G108" s="163" t="s">
        <v>101</v>
      </c>
      <c r="H108" s="164"/>
      <c r="I108" s="164"/>
      <c r="J108" s="204">
        <f t="shared" si="11"/>
        <v>0</v>
      </c>
      <c r="K108" s="389">
        <v>213</v>
      </c>
      <c r="L108" s="389">
        <v>0</v>
      </c>
      <c r="M108" s="172">
        <f>IFERROR(+L108/(L108+K108),0)</f>
        <v>0</v>
      </c>
      <c r="N108" s="173">
        <f>+J108*M108</f>
        <v>0</v>
      </c>
      <c r="O108" s="164">
        <f>+J108-N108</f>
        <v>0</v>
      </c>
      <c r="P108" s="167">
        <f t="shared" si="12"/>
        <v>0</v>
      </c>
      <c r="Q108" s="164">
        <f t="shared" si="13"/>
        <v>0</v>
      </c>
      <c r="R108" s="172"/>
      <c r="S108" s="172"/>
    </row>
    <row r="109" spans="1:19" ht="15.6" outlineLevel="4">
      <c r="A109" s="169" t="s">
        <v>956</v>
      </c>
      <c r="B109" s="162" t="s">
        <v>834</v>
      </c>
      <c r="C109" s="163" t="s">
        <v>36</v>
      </c>
      <c r="D109" s="163" t="s">
        <v>99</v>
      </c>
      <c r="E109" s="163" t="s">
        <v>121</v>
      </c>
      <c r="F109" s="163" t="s">
        <v>101</v>
      </c>
      <c r="G109" s="163" t="s">
        <v>101</v>
      </c>
      <c r="H109" s="164">
        <f>VLOOKUP(A109,'3. K0215-REFERENCE'!A:D,3,FALSE)</f>
        <v>100</v>
      </c>
      <c r="I109" s="164">
        <f>VLOOKUP(A109,'3. K0215-REFERENCE'!A:D,4,FALSE)</f>
        <v>55847.14</v>
      </c>
      <c r="J109" s="204">
        <f t="shared" si="11"/>
        <v>55947.14</v>
      </c>
      <c r="K109" s="389">
        <v>4727</v>
      </c>
      <c r="L109" s="389">
        <v>24027</v>
      </c>
      <c r="M109" s="172">
        <f>IFERROR(+L109/(L109+K109),0)</f>
        <v>0.83560548097655973</v>
      </c>
      <c r="N109" s="173">
        <f>+J109*M109</f>
        <v>46749.736828962923</v>
      </c>
      <c r="O109" s="164">
        <f>+J109-N109</f>
        <v>9197.4031710370764</v>
      </c>
      <c r="P109" s="167">
        <f t="shared" si="12"/>
        <v>176.48</v>
      </c>
      <c r="Q109" s="164">
        <f t="shared" si="13"/>
        <v>9373.883171037076</v>
      </c>
      <c r="R109" s="447" t="s">
        <v>814</v>
      </c>
      <c r="S109" s="172"/>
    </row>
    <row r="110" spans="1:19" ht="15.6" outlineLevel="4">
      <c r="A110" s="169" t="s">
        <v>957</v>
      </c>
      <c r="B110" s="162" t="s">
        <v>85</v>
      </c>
      <c r="C110" s="163" t="s">
        <v>161</v>
      </c>
      <c r="D110" s="163" t="s">
        <v>99</v>
      </c>
      <c r="E110" s="163" t="s">
        <v>121</v>
      </c>
      <c r="F110" s="163" t="s">
        <v>101</v>
      </c>
      <c r="G110" s="163" t="s">
        <v>101</v>
      </c>
      <c r="H110" s="164">
        <f>VLOOKUP(A110,'3. K0215-REFERENCE'!A:D,3,FALSE)</f>
        <v>7190964.1900000004</v>
      </c>
      <c r="I110" s="164">
        <f>VLOOKUP(A110,'3. K0215-REFERENCE'!A:D,4,FALSE)</f>
        <v>19460996.27</v>
      </c>
      <c r="J110" s="204">
        <f t="shared" si="11"/>
        <v>26651960.460000001</v>
      </c>
      <c r="K110" s="389">
        <v>374271</v>
      </c>
      <c r="L110" s="389">
        <v>483224</v>
      </c>
      <c r="M110" s="172">
        <f>+L110/(L110+K110)</f>
        <v>0.5635298165003878</v>
      </c>
      <c r="N110" s="173">
        <f>+J110*M110</f>
        <v>15019174.387399392</v>
      </c>
      <c r="O110" s="164">
        <f>+J110-N110</f>
        <v>11632786.072600609</v>
      </c>
      <c r="P110" s="167">
        <f t="shared" si="12"/>
        <v>223216.12</v>
      </c>
      <c r="Q110" s="164">
        <f t="shared" si="13"/>
        <v>11856002.192600608</v>
      </c>
      <c r="R110" s="527">
        <f>SUM(Q70:Q110)+SUM(Q64:Q65)</f>
        <v>384941233.75543243</v>
      </c>
      <c r="S110" s="672" t="s">
        <v>1350</v>
      </c>
    </row>
    <row r="111" spans="1:19" s="43" customFormat="1" ht="15.6" outlineLevel="3">
      <c r="A111" s="191"/>
      <c r="B111" s="192"/>
      <c r="C111" s="193"/>
      <c r="D111" s="193" t="s">
        <v>269</v>
      </c>
      <c r="E111" s="193"/>
      <c r="F111" s="193"/>
      <c r="G111" s="193"/>
      <c r="H111" s="236">
        <f>SUBTOTAL(9,H64:H110)</f>
        <v>165816052.66</v>
      </c>
      <c r="I111" s="236">
        <f t="shared" ref="I111:J111" si="17">SUBTOTAL(9,I64:I110)</f>
        <v>308487927.19999999</v>
      </c>
      <c r="J111" s="194">
        <f t="shared" si="17"/>
        <v>474303979.86000001</v>
      </c>
      <c r="K111" s="195">
        <f t="shared" ref="K111:Q111" si="18">SUBTOTAL(9,K64:K110)</f>
        <v>51133282</v>
      </c>
      <c r="L111" s="195">
        <f t="shared" si="18"/>
        <v>5771407</v>
      </c>
      <c r="M111" s="196">
        <f t="shared" si="18"/>
        <v>6.5862426412338575</v>
      </c>
      <c r="N111" s="197">
        <f t="shared" si="18"/>
        <v>23998327.924567625</v>
      </c>
      <c r="O111" s="197">
        <f t="shared" si="18"/>
        <v>450305651.93543243</v>
      </c>
      <c r="P111" s="198">
        <f t="shared" si="18"/>
        <v>8640705.6600000001</v>
      </c>
      <c r="Q111" s="198">
        <f t="shared" si="18"/>
        <v>458946357.59543246</v>
      </c>
      <c r="R111" s="196"/>
      <c r="S111" s="196"/>
    </row>
    <row r="112" spans="1:19" ht="15.6" outlineLevel="4">
      <c r="A112" s="161" t="s">
        <v>1303</v>
      </c>
      <c r="B112" s="162" t="s">
        <v>43</v>
      </c>
      <c r="C112" s="163" t="s">
        <v>129</v>
      </c>
      <c r="D112" s="163" t="s">
        <v>10</v>
      </c>
      <c r="E112" s="163" t="s">
        <v>121</v>
      </c>
      <c r="F112" s="163" t="s">
        <v>101</v>
      </c>
      <c r="G112" s="163" t="s">
        <v>101</v>
      </c>
      <c r="H112" s="164">
        <f>VLOOKUP(A112,'3. K0215-REFERENCE'!A:D,3,FALSE)</f>
        <v>57910.32</v>
      </c>
      <c r="I112" s="164">
        <f>VLOOKUP(A112,'3. K0215-REFERENCE'!A:D,4,FALSE)</f>
        <v>20363.849999999999</v>
      </c>
      <c r="J112" s="168">
        <f t="shared" ref="J112:J131" si="19">SUM(H112+I112)</f>
        <v>78274.17</v>
      </c>
      <c r="K112" s="389">
        <v>0</v>
      </c>
      <c r="L112" s="389">
        <v>0</v>
      </c>
      <c r="M112" s="172">
        <f>IFERROR(+L112/(L112+K112),0)</f>
        <v>0</v>
      </c>
      <c r="N112" s="173">
        <f>+J112*M112</f>
        <v>0</v>
      </c>
      <c r="O112" s="164">
        <f>+J112-N112</f>
        <v>78274.17</v>
      </c>
      <c r="P112" s="167">
        <f t="shared" ref="P112:P131" si="20">ROUND(((O112/$R$1)*$R$2),2)</f>
        <v>1501.97</v>
      </c>
      <c r="Q112" s="164">
        <f t="shared" ref="Q112:Q131" si="21">+O112+P112</f>
        <v>79776.14</v>
      </c>
      <c r="R112" s="172"/>
      <c r="S112" s="172"/>
    </row>
    <row r="113" spans="1:19" ht="15.6" outlineLevel="4">
      <c r="A113" s="169" t="s">
        <v>958</v>
      </c>
      <c r="B113" s="162" t="s">
        <v>726</v>
      </c>
      <c r="C113" s="163" t="s">
        <v>135</v>
      </c>
      <c r="D113" s="163" t="s">
        <v>10</v>
      </c>
      <c r="E113" s="163" t="s">
        <v>121</v>
      </c>
      <c r="F113" s="163" t="s">
        <v>101</v>
      </c>
      <c r="G113" s="163" t="s">
        <v>101</v>
      </c>
      <c r="H113" s="164">
        <f>VLOOKUP(A113,'3. K0215-REFERENCE'!A:D,3,FALSE)</f>
        <v>1009932.6</v>
      </c>
      <c r="I113" s="164">
        <f>VLOOKUP(A113,'3. K0215-REFERENCE'!A:D,4,FALSE)</f>
        <v>2964728.97</v>
      </c>
      <c r="J113" s="168">
        <f t="shared" si="19"/>
        <v>3974661.5700000003</v>
      </c>
      <c r="K113" s="389">
        <v>2671223</v>
      </c>
      <c r="L113" s="389">
        <v>25608</v>
      </c>
      <c r="M113" s="172">
        <f>+L113/(L113+K113)</f>
        <v>9.4955894529542267E-3</v>
      </c>
      <c r="N113" s="173">
        <f>+J113*M113</f>
        <v>37741.754483154487</v>
      </c>
      <c r="O113" s="164">
        <f>+J113-N113</f>
        <v>3936919.8155168458</v>
      </c>
      <c r="P113" s="167">
        <f t="shared" si="20"/>
        <v>75543.72</v>
      </c>
      <c r="Q113" s="164">
        <f t="shared" si="21"/>
        <v>4012463.535516846</v>
      </c>
      <c r="R113" s="172"/>
      <c r="S113" s="172"/>
    </row>
    <row r="114" spans="1:19" ht="15.6" outlineLevel="4">
      <c r="A114" s="169" t="s">
        <v>959</v>
      </c>
      <c r="B114" s="162" t="s">
        <v>726</v>
      </c>
      <c r="C114" s="163" t="s">
        <v>135</v>
      </c>
      <c r="D114" s="163" t="s">
        <v>10</v>
      </c>
      <c r="E114" s="163" t="s">
        <v>121</v>
      </c>
      <c r="F114" s="163" t="s">
        <v>101</v>
      </c>
      <c r="G114" s="163" t="s">
        <v>101</v>
      </c>
      <c r="H114" s="164">
        <f>VLOOKUP(A114,'3. K0215-REFERENCE'!A:D,3,FALSE)</f>
        <v>116137792.41</v>
      </c>
      <c r="I114" s="164">
        <f>VLOOKUP(A114,'3. K0215-REFERENCE'!A:D,4,FALSE)</f>
        <v>133218701.66</v>
      </c>
      <c r="J114" s="168">
        <f t="shared" si="19"/>
        <v>249356494.06999999</v>
      </c>
      <c r="K114" s="389">
        <v>2671223</v>
      </c>
      <c r="L114" s="389">
        <v>25608</v>
      </c>
      <c r="M114" s="172">
        <f>+L114/(L114+K114)</f>
        <v>9.4955894529542267E-3</v>
      </c>
      <c r="N114" s="173">
        <f>+J114*M114</f>
        <v>2367786.8951167352</v>
      </c>
      <c r="O114" s="164">
        <f>+J114-N114</f>
        <v>246988707.17488325</v>
      </c>
      <c r="P114" s="167">
        <f t="shared" si="20"/>
        <v>4739351.4000000004</v>
      </c>
      <c r="Q114" s="164">
        <f t="shared" si="21"/>
        <v>251728058.57488325</v>
      </c>
      <c r="R114" s="172"/>
      <c r="S114" s="172"/>
    </row>
    <row r="115" spans="1:19" ht="15.6" outlineLevel="4">
      <c r="A115" s="169" t="s">
        <v>960</v>
      </c>
      <c r="B115" s="162" t="s">
        <v>726</v>
      </c>
      <c r="C115" s="163" t="s">
        <v>135</v>
      </c>
      <c r="D115" s="163" t="s">
        <v>10</v>
      </c>
      <c r="E115" s="163" t="s">
        <v>121</v>
      </c>
      <c r="F115" s="163" t="s">
        <v>101</v>
      </c>
      <c r="G115" s="163" t="s">
        <v>101</v>
      </c>
      <c r="H115" s="164"/>
      <c r="I115" s="164"/>
      <c r="J115" s="168">
        <f t="shared" si="19"/>
        <v>0</v>
      </c>
      <c r="K115" s="389">
        <v>2671223</v>
      </c>
      <c r="L115" s="389">
        <v>25608</v>
      </c>
      <c r="M115" s="172">
        <v>0</v>
      </c>
      <c r="N115" s="173">
        <f>+J115*M115</f>
        <v>0</v>
      </c>
      <c r="O115" s="164">
        <f>+J115-N115</f>
        <v>0</v>
      </c>
      <c r="P115" s="167">
        <f t="shared" si="20"/>
        <v>0</v>
      </c>
      <c r="Q115" s="164">
        <f t="shared" si="21"/>
        <v>0</v>
      </c>
      <c r="R115" s="172"/>
      <c r="S115" s="172"/>
    </row>
    <row r="116" spans="1:19" ht="15.6" outlineLevel="4">
      <c r="A116" s="169" t="s">
        <v>961</v>
      </c>
      <c r="B116" s="162" t="s">
        <v>726</v>
      </c>
      <c r="C116" s="163" t="s">
        <v>135</v>
      </c>
      <c r="D116" s="163" t="s">
        <v>10</v>
      </c>
      <c r="E116" s="163" t="s">
        <v>121</v>
      </c>
      <c r="F116" s="163" t="s">
        <v>101</v>
      </c>
      <c r="G116" s="163" t="s">
        <v>101</v>
      </c>
      <c r="H116" s="164">
        <f>VLOOKUP(A116,'3. K0215-REFERENCE'!A:D,3,FALSE)</f>
        <v>1498979.33</v>
      </c>
      <c r="I116" s="164">
        <f>VLOOKUP(A116,'3. K0215-REFERENCE'!A:D,4,FALSE)</f>
        <v>426567.35</v>
      </c>
      <c r="J116" s="168">
        <f t="shared" si="19"/>
        <v>1925546.6800000002</v>
      </c>
      <c r="K116" s="389">
        <v>2671223</v>
      </c>
      <c r="L116" s="389">
        <v>25608</v>
      </c>
      <c r="M116" s="172">
        <f>+L116/(L116+K116)</f>
        <v>9.4955894529542267E-3</v>
      </c>
      <c r="N116" s="173">
        <f>+J116*M116</f>
        <v>18284.200745779028</v>
      </c>
      <c r="O116" s="164">
        <f>+J116-N116</f>
        <v>1907262.4792542211</v>
      </c>
      <c r="P116" s="167">
        <f t="shared" si="20"/>
        <v>36597.57</v>
      </c>
      <c r="Q116" s="164">
        <f t="shared" si="21"/>
        <v>1943860.0492542211</v>
      </c>
      <c r="R116" s="172"/>
      <c r="S116" s="172"/>
    </row>
    <row r="117" spans="1:19" ht="15.6" outlineLevel="4">
      <c r="A117" s="169" t="s">
        <v>962</v>
      </c>
      <c r="B117" s="162" t="s">
        <v>726</v>
      </c>
      <c r="C117" s="163" t="s">
        <v>135</v>
      </c>
      <c r="D117" s="163" t="s">
        <v>10</v>
      </c>
      <c r="E117" s="163" t="s">
        <v>121</v>
      </c>
      <c r="F117" s="163" t="s">
        <v>101</v>
      </c>
      <c r="G117" s="163" t="s">
        <v>101</v>
      </c>
      <c r="H117" s="164">
        <f>VLOOKUP(A117,'3. K0215-REFERENCE'!A:D,3,FALSE)</f>
        <v>1632901.21</v>
      </c>
      <c r="I117" s="164">
        <f>VLOOKUP(A117,'3. K0215-REFERENCE'!A:D,4,FALSE)</f>
        <v>10214566.01</v>
      </c>
      <c r="J117" s="168">
        <f t="shared" si="19"/>
        <v>11847467.219999999</v>
      </c>
      <c r="K117" s="389">
        <v>2671223</v>
      </c>
      <c r="L117" s="389">
        <v>25608</v>
      </c>
      <c r="M117" s="172">
        <f>+L117/(L117+K117)</f>
        <v>9.4955894529542267E-3</v>
      </c>
      <c r="N117" s="173">
        <f>+J117*M117</f>
        <v>112498.68477845292</v>
      </c>
      <c r="O117" s="164">
        <f>+J117-N117</f>
        <v>11734968.535221545</v>
      </c>
      <c r="P117" s="167">
        <f t="shared" si="20"/>
        <v>225176.85</v>
      </c>
      <c r="Q117" s="164">
        <f t="shared" si="21"/>
        <v>11960145.385221545</v>
      </c>
      <c r="R117" s="172"/>
      <c r="S117" s="172"/>
    </row>
    <row r="118" spans="1:19" ht="15.6" outlineLevel="4">
      <c r="A118" s="169" t="s">
        <v>963</v>
      </c>
      <c r="B118" s="162" t="s">
        <v>726</v>
      </c>
      <c r="C118" s="163" t="s">
        <v>135</v>
      </c>
      <c r="D118" s="163" t="s">
        <v>10</v>
      </c>
      <c r="E118" s="163" t="s">
        <v>121</v>
      </c>
      <c r="F118" s="163" t="s">
        <v>101</v>
      </c>
      <c r="G118" s="163" t="s">
        <v>101</v>
      </c>
      <c r="H118" s="164">
        <f>VLOOKUP(A118,'3. K0215-REFERENCE'!A:D,3,FALSE)</f>
        <v>1286058.29</v>
      </c>
      <c r="I118" s="164">
        <f>VLOOKUP(A118,'3. K0215-REFERENCE'!A:D,4,FALSE)</f>
        <v>4584680.22</v>
      </c>
      <c r="J118" s="168">
        <f t="shared" si="19"/>
        <v>5870738.5099999998</v>
      </c>
      <c r="K118" s="389">
        <v>2671223</v>
      </c>
      <c r="L118" s="389">
        <v>25608</v>
      </c>
      <c r="M118" s="172">
        <f>+L118/(L118+K118)</f>
        <v>9.4955894529542267E-3</v>
      </c>
      <c r="N118" s="173">
        <f>+J118*M118</f>
        <v>55746.122676608211</v>
      </c>
      <c r="O118" s="164">
        <f>+J118-N118</f>
        <v>5814992.3873233916</v>
      </c>
      <c r="P118" s="167">
        <f t="shared" si="20"/>
        <v>111581.18</v>
      </c>
      <c r="Q118" s="164">
        <f t="shared" si="21"/>
        <v>5926573.5673233913</v>
      </c>
      <c r="R118" s="172"/>
      <c r="S118" s="172"/>
    </row>
    <row r="119" spans="1:19" ht="15.6" outlineLevel="4">
      <c r="A119" s="169" t="s">
        <v>964</v>
      </c>
      <c r="B119" s="162" t="s">
        <v>51</v>
      </c>
      <c r="C119" s="163" t="s">
        <v>6</v>
      </c>
      <c r="D119" s="163" t="s">
        <v>10</v>
      </c>
      <c r="E119" s="163" t="s">
        <v>121</v>
      </c>
      <c r="F119" s="163" t="s">
        <v>101</v>
      </c>
      <c r="G119" s="163" t="s">
        <v>101</v>
      </c>
      <c r="H119" s="164">
        <f>VLOOKUP(A119,'3. K0215-REFERENCE'!A:D,3,FALSE)</f>
        <v>734065</v>
      </c>
      <c r="I119" s="164">
        <f>VLOOKUP(A119,'3. K0215-REFERENCE'!A:D,4,FALSE)</f>
        <v>200197.87</v>
      </c>
      <c r="J119" s="168">
        <f t="shared" si="19"/>
        <v>934262.87</v>
      </c>
      <c r="K119" s="389">
        <v>40856</v>
      </c>
      <c r="L119" s="389">
        <v>1132</v>
      </c>
      <c r="M119" s="172">
        <f>+L119/(L119+K119)</f>
        <v>2.6960083833476232E-2</v>
      </c>
      <c r="N119" s="173">
        <f>+J119*M119</f>
        <v>25187.805297704108</v>
      </c>
      <c r="O119" s="164">
        <f>+J119-N119</f>
        <v>909075.06470229593</v>
      </c>
      <c r="P119" s="167">
        <f t="shared" si="20"/>
        <v>17443.82</v>
      </c>
      <c r="Q119" s="164">
        <f t="shared" si="21"/>
        <v>926518.88470229588</v>
      </c>
      <c r="R119" s="172"/>
      <c r="S119" s="172"/>
    </row>
    <row r="120" spans="1:19" ht="15.6" outlineLevel="4">
      <c r="A120" s="169" t="s">
        <v>965</v>
      </c>
      <c r="B120" s="162" t="s">
        <v>579</v>
      </c>
      <c r="C120" s="163" t="s">
        <v>184</v>
      </c>
      <c r="D120" s="163" t="s">
        <v>10</v>
      </c>
      <c r="E120" s="163" t="s">
        <v>121</v>
      </c>
      <c r="F120" s="163" t="s">
        <v>101</v>
      </c>
      <c r="G120" s="163" t="s">
        <v>101</v>
      </c>
      <c r="H120" s="164"/>
      <c r="I120" s="164"/>
      <c r="J120" s="168">
        <f t="shared" si="19"/>
        <v>0</v>
      </c>
      <c r="K120" s="389">
        <v>3775</v>
      </c>
      <c r="L120" s="389">
        <v>300</v>
      </c>
      <c r="M120" s="172">
        <f>IFERROR(+L120/(L120+K120),0)</f>
        <v>7.3619631901840496E-2</v>
      </c>
      <c r="N120" s="173">
        <f>+J120*M120</f>
        <v>0</v>
      </c>
      <c r="O120" s="164">
        <f>+J120-N120</f>
        <v>0</v>
      </c>
      <c r="P120" s="167">
        <f t="shared" si="20"/>
        <v>0</v>
      </c>
      <c r="Q120" s="164">
        <f t="shared" ref="Q120:Q122" si="22">+O120+P120</f>
        <v>0</v>
      </c>
      <c r="R120" s="172"/>
      <c r="S120" s="172"/>
    </row>
    <row r="121" spans="1:19" ht="15.6" outlineLevel="4">
      <c r="A121" s="169" t="s">
        <v>966</v>
      </c>
      <c r="B121" s="162" t="s">
        <v>666</v>
      </c>
      <c r="C121" s="163" t="s">
        <v>134</v>
      </c>
      <c r="D121" s="163" t="s">
        <v>10</v>
      </c>
      <c r="E121" s="163" t="s">
        <v>121</v>
      </c>
      <c r="F121" s="163" t="s">
        <v>101</v>
      </c>
      <c r="G121" s="163" t="s">
        <v>101</v>
      </c>
      <c r="H121" s="164">
        <f>VLOOKUP(A121,'3. K0215-REFERENCE'!A:D,3,FALSE)</f>
        <v>0</v>
      </c>
      <c r="I121" s="164">
        <f>VLOOKUP(A121,'3. K0215-REFERENCE'!A:D,4,FALSE)</f>
        <v>17452.46</v>
      </c>
      <c r="J121" s="168">
        <f t="shared" si="19"/>
        <v>17452.46</v>
      </c>
      <c r="K121" s="389">
        <v>33304</v>
      </c>
      <c r="L121" s="389">
        <v>3666</v>
      </c>
      <c r="M121" s="172">
        <f>IFERROR(+L121/(L121+K121),0)</f>
        <v>9.9161482282932104E-2</v>
      </c>
      <c r="N121" s="173">
        <f>+J121*M121</f>
        <v>1730.6118030835812</v>
      </c>
      <c r="O121" s="164">
        <f>+J121-N121</f>
        <v>15721.848196916419</v>
      </c>
      <c r="P121" s="167">
        <f t="shared" si="20"/>
        <v>301.68</v>
      </c>
      <c r="Q121" s="164">
        <f t="shared" si="22"/>
        <v>16023.528196916419</v>
      </c>
      <c r="R121" s="172"/>
      <c r="S121" s="172"/>
    </row>
    <row r="122" spans="1:19" ht="15.6" outlineLevel="4">
      <c r="A122" s="169" t="s">
        <v>967</v>
      </c>
      <c r="B122" s="162" t="s">
        <v>671</v>
      </c>
      <c r="C122" s="163" t="s">
        <v>173</v>
      </c>
      <c r="D122" s="163" t="s">
        <v>10</v>
      </c>
      <c r="E122" s="163" t="s">
        <v>121</v>
      </c>
      <c r="F122" s="163" t="s">
        <v>101</v>
      </c>
      <c r="G122" s="163" t="s">
        <v>101</v>
      </c>
      <c r="H122" s="164"/>
      <c r="I122" s="164"/>
      <c r="J122" s="168">
        <f t="shared" si="19"/>
        <v>0</v>
      </c>
      <c r="K122" s="389">
        <v>8467</v>
      </c>
      <c r="L122" s="389">
        <v>144</v>
      </c>
      <c r="M122" s="172">
        <f>IFERROR(+L122/(L122+K122),0)</f>
        <v>1.6722796423179653E-2</v>
      </c>
      <c r="N122" s="173">
        <f>+J122*M122</f>
        <v>0</v>
      </c>
      <c r="O122" s="164">
        <f>+J122-N122</f>
        <v>0</v>
      </c>
      <c r="P122" s="167">
        <f t="shared" si="20"/>
        <v>0</v>
      </c>
      <c r="Q122" s="164">
        <f t="shared" si="22"/>
        <v>0</v>
      </c>
      <c r="R122" s="172"/>
      <c r="S122" s="172"/>
    </row>
    <row r="123" spans="1:19" s="17" customFormat="1" ht="15.6" outlineLevel="4">
      <c r="A123" s="169" t="s">
        <v>968</v>
      </c>
      <c r="B123" s="162" t="s">
        <v>602</v>
      </c>
      <c r="C123" s="163" t="s">
        <v>773</v>
      </c>
      <c r="D123" s="163" t="s">
        <v>10</v>
      </c>
      <c r="E123" s="163" t="s">
        <v>121</v>
      </c>
      <c r="F123" s="163" t="s">
        <v>101</v>
      </c>
      <c r="G123" s="163" t="s">
        <v>101</v>
      </c>
      <c r="H123" s="164"/>
      <c r="I123" s="164"/>
      <c r="J123" s="168">
        <f t="shared" si="19"/>
        <v>0</v>
      </c>
      <c r="K123" s="453">
        <v>3567</v>
      </c>
      <c r="L123" s="453">
        <v>0</v>
      </c>
      <c r="M123" s="172">
        <v>0</v>
      </c>
      <c r="N123" s="173">
        <f>+J123*M123</f>
        <v>0</v>
      </c>
      <c r="O123" s="164">
        <f>+J123-N123</f>
        <v>0</v>
      </c>
      <c r="P123" s="167">
        <f t="shared" si="20"/>
        <v>0</v>
      </c>
      <c r="Q123" s="164">
        <f t="shared" si="21"/>
        <v>0</v>
      </c>
      <c r="R123" s="162"/>
      <c r="S123" s="162"/>
    </row>
    <row r="124" spans="1:19" ht="15.6" outlineLevel="4">
      <c r="A124" s="169" t="s">
        <v>969</v>
      </c>
      <c r="B124" s="162" t="s">
        <v>1259</v>
      </c>
      <c r="C124" s="163" t="s">
        <v>771</v>
      </c>
      <c r="D124" s="163" t="s">
        <v>10</v>
      </c>
      <c r="E124" s="163" t="s">
        <v>121</v>
      </c>
      <c r="F124" s="163" t="s">
        <v>101</v>
      </c>
      <c r="G124" s="163" t="s">
        <v>101</v>
      </c>
      <c r="H124" s="164">
        <f>VLOOKUP(A124,'3. K0215-REFERENCE'!A:D,3,FALSE)</f>
        <v>681409.4</v>
      </c>
      <c r="I124" s="164">
        <f>VLOOKUP(A124,'3. K0215-REFERENCE'!A:D,4,FALSE)</f>
        <v>426354.78</v>
      </c>
      <c r="J124" s="168">
        <f t="shared" si="19"/>
        <v>1107764.1800000002</v>
      </c>
      <c r="K124" s="453">
        <v>31708</v>
      </c>
      <c r="L124" s="453">
        <v>57</v>
      </c>
      <c r="M124" s="172">
        <f>+L124/(L124+K124)</f>
        <v>1.7944278293719502E-3</v>
      </c>
      <c r="N124" s="173">
        <f>+J124*M124</f>
        <v>1987.8028729733985</v>
      </c>
      <c r="O124" s="164">
        <f>+J124-N124</f>
        <v>1105776.3771270267</v>
      </c>
      <c r="P124" s="167">
        <f t="shared" si="20"/>
        <v>21218.23</v>
      </c>
      <c r="Q124" s="164">
        <f t="shared" si="21"/>
        <v>1126994.6071270267</v>
      </c>
      <c r="R124" s="172"/>
      <c r="S124" s="172"/>
    </row>
    <row r="125" spans="1:19" ht="15.6" outlineLevel="4">
      <c r="A125" s="169" t="s">
        <v>970</v>
      </c>
      <c r="B125" s="162" t="s">
        <v>96</v>
      </c>
      <c r="C125" s="163" t="s">
        <v>159</v>
      </c>
      <c r="D125" s="163" t="s">
        <v>10</v>
      </c>
      <c r="E125" s="163" t="s">
        <v>121</v>
      </c>
      <c r="F125" s="163" t="s">
        <v>101</v>
      </c>
      <c r="G125" s="163" t="s">
        <v>101</v>
      </c>
      <c r="H125" s="164"/>
      <c r="I125" s="164"/>
      <c r="J125" s="168">
        <f t="shared" si="19"/>
        <v>0</v>
      </c>
      <c r="K125" s="453">
        <v>688237</v>
      </c>
      <c r="L125" s="453">
        <v>16906</v>
      </c>
      <c r="M125" s="172">
        <v>0</v>
      </c>
      <c r="N125" s="173">
        <f>+J125*M125</f>
        <v>0</v>
      </c>
      <c r="O125" s="164">
        <f>+J125-N125</f>
        <v>0</v>
      </c>
      <c r="P125" s="167">
        <f t="shared" si="20"/>
        <v>0</v>
      </c>
      <c r="Q125" s="164">
        <f t="shared" si="21"/>
        <v>0</v>
      </c>
      <c r="R125" s="172"/>
      <c r="S125" s="172"/>
    </row>
    <row r="126" spans="1:19" ht="15.6" outlineLevel="4">
      <c r="A126" s="169" t="s">
        <v>971</v>
      </c>
      <c r="B126" s="162" t="s">
        <v>81</v>
      </c>
      <c r="C126" s="163" t="s">
        <v>159</v>
      </c>
      <c r="D126" s="163" t="s">
        <v>10</v>
      </c>
      <c r="E126" s="163" t="s">
        <v>121</v>
      </c>
      <c r="F126" s="163" t="s">
        <v>101</v>
      </c>
      <c r="G126" s="163" t="s">
        <v>101</v>
      </c>
      <c r="H126" s="164">
        <f>VLOOKUP(A126,'3. K0215-REFERENCE'!A:D,3,FALSE)</f>
        <v>1277362.6100000001</v>
      </c>
      <c r="I126" s="164">
        <f>VLOOKUP(A126,'3. K0215-REFERENCE'!A:D,4,FALSE)</f>
        <v>3555134.02</v>
      </c>
      <c r="J126" s="168">
        <f t="shared" si="19"/>
        <v>4832496.63</v>
      </c>
      <c r="K126" s="453">
        <v>688237</v>
      </c>
      <c r="L126" s="453">
        <v>16906</v>
      </c>
      <c r="M126" s="172">
        <f>+L126/(L126+K126)</f>
        <v>2.3975278773241741E-2</v>
      </c>
      <c r="N126" s="173">
        <f>+J126*M126</f>
        <v>115860.45387500124</v>
      </c>
      <c r="O126" s="164">
        <f>+J126-N126</f>
        <v>4716636.1761249984</v>
      </c>
      <c r="P126" s="167">
        <f t="shared" si="20"/>
        <v>90505.34</v>
      </c>
      <c r="Q126" s="164">
        <f t="shared" si="21"/>
        <v>4807141.5161249982</v>
      </c>
      <c r="R126" s="172"/>
      <c r="S126" s="172"/>
    </row>
    <row r="127" spans="1:19" ht="15.6" outlineLevel="4">
      <c r="A127" s="169" t="s">
        <v>972</v>
      </c>
      <c r="B127" s="162" t="s">
        <v>81</v>
      </c>
      <c r="C127" s="163" t="s">
        <v>159</v>
      </c>
      <c r="D127" s="163" t="s">
        <v>10</v>
      </c>
      <c r="E127" s="163" t="s">
        <v>121</v>
      </c>
      <c r="F127" s="163" t="s">
        <v>101</v>
      </c>
      <c r="G127" s="163" t="s">
        <v>101</v>
      </c>
      <c r="H127" s="164">
        <f>VLOOKUP(A127,'3. K0215-REFERENCE'!A:D,3,FALSE)</f>
        <v>4691354.43</v>
      </c>
      <c r="I127" s="164">
        <f>VLOOKUP(A127,'3. K0215-REFERENCE'!A:D,4,FALSE)</f>
        <v>9590745.2400000002</v>
      </c>
      <c r="J127" s="168">
        <f t="shared" si="19"/>
        <v>14282099.67</v>
      </c>
      <c r="K127" s="453">
        <v>688237</v>
      </c>
      <c r="L127" s="453">
        <v>16906</v>
      </c>
      <c r="M127" s="172">
        <f>+L127/(L127+K127)</f>
        <v>2.3975278773241741E-2</v>
      </c>
      <c r="N127" s="173">
        <f>+J127*M127</f>
        <v>342417.32105547388</v>
      </c>
      <c r="O127" s="164">
        <f>+J127-N127</f>
        <v>13939682.348944526</v>
      </c>
      <c r="P127" s="167">
        <f t="shared" si="20"/>
        <v>267482.08</v>
      </c>
      <c r="Q127" s="164">
        <f t="shared" si="21"/>
        <v>14207164.428944526</v>
      </c>
      <c r="R127" s="172"/>
      <c r="S127" s="172"/>
    </row>
    <row r="128" spans="1:19" ht="15.6" outlineLevel="4">
      <c r="A128" s="201" t="s">
        <v>973</v>
      </c>
      <c r="B128" s="162" t="s">
        <v>81</v>
      </c>
      <c r="C128" s="182" t="s">
        <v>159</v>
      </c>
      <c r="D128" s="189" t="s">
        <v>10</v>
      </c>
      <c r="E128" s="189" t="s">
        <v>121</v>
      </c>
      <c r="F128" s="163" t="s">
        <v>101</v>
      </c>
      <c r="G128" s="163" t="s">
        <v>101</v>
      </c>
      <c r="H128" s="164"/>
      <c r="I128" s="164"/>
      <c r="J128" s="168">
        <f t="shared" si="19"/>
        <v>0</v>
      </c>
      <c r="K128" s="453">
        <v>688237</v>
      </c>
      <c r="L128" s="453">
        <v>16906</v>
      </c>
      <c r="M128" s="172">
        <f>IFERROR(+L128/(L128+K128),0)</f>
        <v>2.3975278773241741E-2</v>
      </c>
      <c r="N128" s="173">
        <f>+J128*M128</f>
        <v>0</v>
      </c>
      <c r="O128" s="164">
        <f>+J128-N128</f>
        <v>0</v>
      </c>
      <c r="P128" s="167">
        <f t="shared" si="20"/>
        <v>0</v>
      </c>
      <c r="Q128" s="164">
        <f t="shared" si="21"/>
        <v>0</v>
      </c>
      <c r="R128" s="172"/>
      <c r="S128" s="172"/>
    </row>
    <row r="129" spans="1:19" ht="15.6" outlineLevel="4">
      <c r="A129" s="201" t="s">
        <v>974</v>
      </c>
      <c r="B129" s="162" t="s">
        <v>81</v>
      </c>
      <c r="C129" s="182" t="s">
        <v>159</v>
      </c>
      <c r="D129" s="189" t="s">
        <v>10</v>
      </c>
      <c r="E129" s="189" t="s">
        <v>121</v>
      </c>
      <c r="F129" s="163" t="s">
        <v>101</v>
      </c>
      <c r="G129" s="163" t="s">
        <v>101</v>
      </c>
      <c r="H129" s="164">
        <f>VLOOKUP(A129,'3. K0215-REFERENCE'!A:D,3,FALSE)</f>
        <v>209649.41</v>
      </c>
      <c r="I129" s="164">
        <f>VLOOKUP(A129,'3. K0215-REFERENCE'!A:D,4,FALSE)</f>
        <v>142543.28</v>
      </c>
      <c r="J129" s="168">
        <f t="shared" si="19"/>
        <v>352192.69</v>
      </c>
      <c r="K129" s="453">
        <v>688237</v>
      </c>
      <c r="L129" s="453">
        <v>16906</v>
      </c>
      <c r="M129" s="172">
        <f>+L129/(L129+K129)</f>
        <v>2.3975278773241741E-2</v>
      </c>
      <c r="N129" s="173">
        <f>+J129*M129</f>
        <v>8443.9179246479089</v>
      </c>
      <c r="O129" s="164">
        <f>+J129-N129</f>
        <v>343748.77207535208</v>
      </c>
      <c r="P129" s="167">
        <f t="shared" si="20"/>
        <v>6596.04</v>
      </c>
      <c r="Q129" s="164">
        <f t="shared" si="21"/>
        <v>350344.81207535206</v>
      </c>
      <c r="R129" s="172"/>
      <c r="S129" s="172"/>
    </row>
    <row r="130" spans="1:19" s="17" customFormat="1" ht="15.6" outlineLevel="4">
      <c r="A130" s="169" t="s">
        <v>975</v>
      </c>
      <c r="B130" s="162" t="s">
        <v>494</v>
      </c>
      <c r="C130" s="163" t="s">
        <v>772</v>
      </c>
      <c r="D130" s="163" t="s">
        <v>10</v>
      </c>
      <c r="E130" s="163" t="s">
        <v>121</v>
      </c>
      <c r="F130" s="163" t="s">
        <v>101</v>
      </c>
      <c r="G130" s="163" t="s">
        <v>101</v>
      </c>
      <c r="H130" s="164">
        <f>VLOOKUP(A130,'3. K0215-REFERENCE'!A:D,3,FALSE)</f>
        <v>6000</v>
      </c>
      <c r="I130" s="164">
        <f>VLOOKUP(A130,'3. K0215-REFERENCE'!A:D,4,FALSE)</f>
        <v>41269.589999999997</v>
      </c>
      <c r="J130" s="168">
        <f t="shared" si="19"/>
        <v>47269.59</v>
      </c>
      <c r="K130" s="453">
        <v>0</v>
      </c>
      <c r="L130" s="453">
        <v>0</v>
      </c>
      <c r="M130" s="172">
        <f>IFERROR(+L130/(L130+K130),0)</f>
        <v>0</v>
      </c>
      <c r="N130" s="173">
        <f>+J130*M130</f>
        <v>0</v>
      </c>
      <c r="O130" s="164">
        <f>+J130-N130</f>
        <v>47269.59</v>
      </c>
      <c r="P130" s="167">
        <f t="shared" si="20"/>
        <v>907.03</v>
      </c>
      <c r="Q130" s="164">
        <f t="shared" si="21"/>
        <v>48176.619999999995</v>
      </c>
      <c r="R130" s="162"/>
      <c r="S130" s="162"/>
    </row>
    <row r="131" spans="1:19" ht="15.6" outlineLevel="4">
      <c r="A131" s="169" t="s">
        <v>976</v>
      </c>
      <c r="B131" s="162" t="s">
        <v>578</v>
      </c>
      <c r="C131" s="163" t="s">
        <v>166</v>
      </c>
      <c r="D131" s="163" t="s">
        <v>10</v>
      </c>
      <c r="E131" s="163" t="s">
        <v>121</v>
      </c>
      <c r="F131" s="163" t="s">
        <v>101</v>
      </c>
      <c r="G131" s="163" t="s">
        <v>101</v>
      </c>
      <c r="H131" s="164">
        <f>VLOOKUP(A131,'3. K0215-REFERENCE'!A:D,3,FALSE)</f>
        <v>31775.69</v>
      </c>
      <c r="I131" s="164">
        <f>VLOOKUP(A131,'3. K0215-REFERENCE'!A:D,4,FALSE)</f>
        <v>51722.45</v>
      </c>
      <c r="J131" s="168">
        <f t="shared" si="19"/>
        <v>83498.14</v>
      </c>
      <c r="K131" s="389">
        <v>13099</v>
      </c>
      <c r="L131" s="389">
        <v>0</v>
      </c>
      <c r="M131" s="172">
        <f>+L131/(L131+K131)</f>
        <v>0</v>
      </c>
      <c r="N131" s="173">
        <f>+J131*M131</f>
        <v>0</v>
      </c>
      <c r="O131" s="164">
        <f>+J131-N131</f>
        <v>83498.14</v>
      </c>
      <c r="P131" s="167">
        <f t="shared" si="20"/>
        <v>1602.21</v>
      </c>
      <c r="Q131" s="164">
        <f t="shared" si="21"/>
        <v>85100.35</v>
      </c>
      <c r="R131" s="172"/>
      <c r="S131" s="172"/>
    </row>
    <row r="132" spans="1:19" s="43" customFormat="1" ht="15.6" outlineLevel="3">
      <c r="A132" s="191"/>
      <c r="B132" s="192"/>
      <c r="C132" s="193"/>
      <c r="D132" s="193" t="s">
        <v>270</v>
      </c>
      <c r="E132" s="193"/>
      <c r="F132" s="193"/>
      <c r="G132" s="193"/>
      <c r="H132" s="236">
        <f t="shared" ref="H132:L132" si="23">SUBTOTAL(9,H112:H131)</f>
        <v>129255190.69999999</v>
      </c>
      <c r="I132" s="236">
        <f t="shared" si="23"/>
        <v>165455027.75</v>
      </c>
      <c r="J132" s="194">
        <f t="shared" si="23"/>
        <v>294710218.44999999</v>
      </c>
      <c r="K132" s="195">
        <f t="shared" si="23"/>
        <v>19603299</v>
      </c>
      <c r="L132" s="195">
        <f t="shared" si="23"/>
        <v>243477</v>
      </c>
      <c r="M132" s="196">
        <f t="shared" ref="M132" si="24">SUBTOTAL(9,M112:M131)</f>
        <v>0.36163748462853851</v>
      </c>
      <c r="N132" s="197">
        <f>SUBTOTAL(9,N112:N131)</f>
        <v>3087685.5706296135</v>
      </c>
      <c r="O132" s="197">
        <f>SUBTOTAL(9,O112:O131)</f>
        <v>291622532.87937033</v>
      </c>
      <c r="P132" s="198">
        <f>SUBTOTAL(9,P112:P131)</f>
        <v>5595809.120000001</v>
      </c>
      <c r="Q132" s="198">
        <f>SUBTOTAL(9,Q112:Q131)</f>
        <v>297218341.99937046</v>
      </c>
      <c r="R132" s="675" t="s">
        <v>1350</v>
      </c>
      <c r="S132" s="196"/>
    </row>
    <row r="133" spans="1:19" ht="15.6" outlineLevel="4">
      <c r="A133" s="169" t="s">
        <v>977</v>
      </c>
      <c r="B133" s="162" t="s">
        <v>1335</v>
      </c>
      <c r="C133" s="163" t="s">
        <v>149</v>
      </c>
      <c r="D133" s="163" t="s">
        <v>9</v>
      </c>
      <c r="E133" s="163" t="s">
        <v>121</v>
      </c>
      <c r="F133" s="163" t="s">
        <v>101</v>
      </c>
      <c r="G133" s="163" t="s">
        <v>101</v>
      </c>
      <c r="H133" s="164">
        <f>VLOOKUP(A133,'3. K0215-REFERENCE'!A:D,3,FALSE)</f>
        <v>88752.72</v>
      </c>
      <c r="I133" s="164">
        <f>VLOOKUP(A133,'3. K0215-REFERENCE'!A:D,4,FALSE)</f>
        <v>702553.34</v>
      </c>
      <c r="J133" s="168">
        <f>SUM(H133+I133)</f>
        <v>791306.05999999994</v>
      </c>
      <c r="K133" s="389">
        <v>59903</v>
      </c>
      <c r="L133" s="389">
        <v>6084</v>
      </c>
      <c r="M133" s="172">
        <f>+L133/(L133+K133)</f>
        <v>9.2199978783699815E-2</v>
      </c>
      <c r="N133" s="173">
        <f>+J133*M133</f>
        <v>72958.40194341309</v>
      </c>
      <c r="O133" s="164">
        <f>+J133-N133</f>
        <v>718347.65805658686</v>
      </c>
      <c r="P133" s="167">
        <f t="shared" ref="P133:P134" si="25">ROUND(((O133/$R$1)*$R$2),2)</f>
        <v>13784.04</v>
      </c>
      <c r="Q133" s="164">
        <f t="shared" ref="Q133:Q134" si="26">+O133+P133</f>
        <v>732131.6980565869</v>
      </c>
      <c r="R133" s="172"/>
      <c r="S133" s="172"/>
    </row>
    <row r="134" spans="1:19" ht="15.6" outlineLevel="4">
      <c r="A134" s="169" t="s">
        <v>978</v>
      </c>
      <c r="B134" s="162" t="s">
        <v>1335</v>
      </c>
      <c r="C134" s="163" t="s">
        <v>149</v>
      </c>
      <c r="D134" s="163" t="s">
        <v>9</v>
      </c>
      <c r="E134" s="163" t="s">
        <v>121</v>
      </c>
      <c r="F134" s="163" t="s">
        <v>101</v>
      </c>
      <c r="G134" s="163" t="s">
        <v>101</v>
      </c>
      <c r="H134" s="164"/>
      <c r="I134" s="164"/>
      <c r="J134" s="168">
        <f>SUM(H134+I134)</f>
        <v>0</v>
      </c>
      <c r="K134" s="389">
        <v>59903</v>
      </c>
      <c r="L134" s="389">
        <v>6084</v>
      </c>
      <c r="M134" s="172">
        <f>IFERROR(+L134/(L134+K134),0)</f>
        <v>9.2199978783699815E-2</v>
      </c>
      <c r="N134" s="173">
        <f>+J134*M134</f>
        <v>0</v>
      </c>
      <c r="O134" s="164">
        <f>+J134-N134</f>
        <v>0</v>
      </c>
      <c r="P134" s="167">
        <f t="shared" si="25"/>
        <v>0</v>
      </c>
      <c r="Q134" s="164">
        <f t="shared" si="26"/>
        <v>0</v>
      </c>
      <c r="R134" s="172"/>
      <c r="S134" s="172"/>
    </row>
    <row r="135" spans="1:19" s="43" customFormat="1" ht="15.6" outlineLevel="3">
      <c r="A135" s="191"/>
      <c r="B135" s="192"/>
      <c r="C135" s="193"/>
      <c r="D135" s="193" t="s">
        <v>271</v>
      </c>
      <c r="E135" s="193"/>
      <c r="F135" s="193"/>
      <c r="G135" s="193"/>
      <c r="H135" s="236">
        <f t="shared" ref="H135:K135" si="27">SUBTOTAL(9,H133:H134)</f>
        <v>88752.72</v>
      </c>
      <c r="I135" s="236">
        <f t="shared" si="27"/>
        <v>702553.34</v>
      </c>
      <c r="J135" s="194">
        <f t="shared" si="27"/>
        <v>791306.05999999994</v>
      </c>
      <c r="K135" s="195">
        <f t="shared" si="27"/>
        <v>119806</v>
      </c>
      <c r="L135" s="195">
        <f>SUBTOTAL(9,L133:L134)</f>
        <v>12168</v>
      </c>
      <c r="M135" s="196">
        <f t="shared" ref="M135:Q135" si="28">SUBTOTAL(9,M133:M134)</f>
        <v>0.18439995756739963</v>
      </c>
      <c r="N135" s="455">
        <f t="shared" si="28"/>
        <v>72958.40194341309</v>
      </c>
      <c r="O135" s="197">
        <f t="shared" si="28"/>
        <v>718347.65805658686</v>
      </c>
      <c r="P135" s="198">
        <f t="shared" si="28"/>
        <v>13784.04</v>
      </c>
      <c r="Q135" s="198">
        <f t="shared" si="28"/>
        <v>732131.6980565869</v>
      </c>
      <c r="R135" s="675" t="s">
        <v>1350</v>
      </c>
      <c r="S135" s="196"/>
    </row>
    <row r="136" spans="1:19" ht="15.6" outlineLevel="4">
      <c r="A136" s="169" t="s">
        <v>979</v>
      </c>
      <c r="B136" s="162" t="s">
        <v>492</v>
      </c>
      <c r="C136" s="163" t="s">
        <v>466</v>
      </c>
      <c r="D136" s="163" t="s">
        <v>100</v>
      </c>
      <c r="E136" s="163" t="s">
        <v>121</v>
      </c>
      <c r="F136" s="163" t="s">
        <v>101</v>
      </c>
      <c r="G136" s="163" t="s">
        <v>101</v>
      </c>
      <c r="H136" s="164">
        <f>VLOOKUP(A136,'3. K0215-REFERENCE'!A:D,3,FALSE)</f>
        <v>10007.969999999999</v>
      </c>
      <c r="I136" s="164">
        <f>VLOOKUP(A136,'3. K0215-REFERENCE'!A:D,4,FALSE)</f>
        <v>234868.94</v>
      </c>
      <c r="J136" s="168">
        <f t="shared" ref="J136:J202" si="29">SUM(H136+I136)</f>
        <v>244876.91</v>
      </c>
      <c r="K136" s="389">
        <v>14033130</v>
      </c>
      <c r="L136" s="389">
        <v>2620</v>
      </c>
      <c r="M136" s="172">
        <f>+L136/(L136+K136)</f>
        <v>1.8666619168907967E-4</v>
      </c>
      <c r="N136" s="173">
        <f>+J136*M136</f>
        <v>45.710240222289514</v>
      </c>
      <c r="O136" s="164">
        <f>+J136-N136</f>
        <v>244831.19975977772</v>
      </c>
      <c r="P136" s="167">
        <f t="shared" ref="P136:P203" si="30">ROUND(((O136/$R$1)*$R$2),2)</f>
        <v>4697.95</v>
      </c>
      <c r="Q136" s="164">
        <f t="shared" ref="Q136:Q203" si="31">+O136+P136</f>
        <v>249529.14975977773</v>
      </c>
      <c r="R136" s="172"/>
      <c r="S136" s="172"/>
    </row>
    <row r="137" spans="1:19" ht="15.6" outlineLevel="4">
      <c r="A137" s="169" t="s">
        <v>1418</v>
      </c>
      <c r="B137" s="162" t="s">
        <v>1419</v>
      </c>
      <c r="C137" s="163" t="s">
        <v>466</v>
      </c>
      <c r="D137" s="163" t="s">
        <v>100</v>
      </c>
      <c r="E137" s="163" t="s">
        <v>121</v>
      </c>
      <c r="F137" s="163" t="s">
        <v>101</v>
      </c>
      <c r="G137" s="163" t="s">
        <v>101</v>
      </c>
      <c r="H137" s="164">
        <f>VLOOKUP(A137,'3. K0215-REFERENCE'!A:D,3,FALSE)</f>
        <v>19299.599999999999</v>
      </c>
      <c r="I137" s="164">
        <f>VLOOKUP(A137,'3. K0215-REFERENCE'!A:D,4,FALSE)</f>
        <v>129847.24</v>
      </c>
      <c r="J137" s="168">
        <f t="shared" si="29"/>
        <v>149146.84</v>
      </c>
      <c r="K137" s="389">
        <v>14033130</v>
      </c>
      <c r="L137" s="389">
        <v>2620</v>
      </c>
      <c r="M137" s="172">
        <f>+L137/(L137+K137)</f>
        <v>1.8666619168907967E-4</v>
      </c>
      <c r="N137" s="173">
        <f>+J137*M137</f>
        <v>27.840672625260495</v>
      </c>
      <c r="O137" s="164">
        <f>+J137-N137</f>
        <v>149118.99932737474</v>
      </c>
      <c r="P137" s="167">
        <f t="shared" ref="P137:P139" si="32">ROUND(((O137/$R$1)*$R$2),2)</f>
        <v>2861.38</v>
      </c>
      <c r="Q137" s="164">
        <f t="shared" ref="Q137:Q139" si="33">+O137+P137</f>
        <v>151980.37932737474</v>
      </c>
      <c r="R137" s="172"/>
      <c r="S137" s="172"/>
    </row>
    <row r="138" spans="1:19" ht="15.6" outlineLevel="4">
      <c r="A138" s="169" t="s">
        <v>1412</v>
      </c>
      <c r="B138" s="162" t="s">
        <v>1413</v>
      </c>
      <c r="C138" s="163" t="s">
        <v>466</v>
      </c>
      <c r="D138" s="163" t="s">
        <v>100</v>
      </c>
      <c r="E138" s="163" t="s">
        <v>121</v>
      </c>
      <c r="F138" s="163" t="s">
        <v>101</v>
      </c>
      <c r="G138" s="163" t="s">
        <v>101</v>
      </c>
      <c r="H138" s="164">
        <f>VLOOKUP(A138,'3. K0215-REFERENCE'!A:D,3,FALSE)</f>
        <v>15432.85</v>
      </c>
      <c r="I138" s="164">
        <f>VLOOKUP(A138,'3. K0215-REFERENCE'!A:D,4,FALSE)</f>
        <v>38440.26</v>
      </c>
      <c r="J138" s="168">
        <f t="shared" si="29"/>
        <v>53873.11</v>
      </c>
      <c r="K138" s="389">
        <v>14033130</v>
      </c>
      <c r="L138" s="389">
        <v>2620</v>
      </c>
      <c r="M138" s="172">
        <f>+L138/(L138+K138)</f>
        <v>1.8666619168907967E-4</v>
      </c>
      <c r="N138" s="173">
        <f>+J138*M138</f>
        <v>10.056288278146875</v>
      </c>
      <c r="O138" s="164">
        <f>+J138-N138</f>
        <v>53863.053711721856</v>
      </c>
      <c r="P138" s="167">
        <f t="shared" si="32"/>
        <v>1033.55</v>
      </c>
      <c r="Q138" s="164">
        <f t="shared" si="33"/>
        <v>54896.603711721858</v>
      </c>
      <c r="R138" s="172"/>
      <c r="S138" s="172"/>
    </row>
    <row r="139" spans="1:19" ht="15.6" outlineLevel="4">
      <c r="A139" s="169" t="s">
        <v>1416</v>
      </c>
      <c r="B139" s="162" t="s">
        <v>1417</v>
      </c>
      <c r="C139" s="163" t="s">
        <v>466</v>
      </c>
      <c r="D139" s="163" t="s">
        <v>100</v>
      </c>
      <c r="E139" s="163" t="s">
        <v>121</v>
      </c>
      <c r="F139" s="163" t="s">
        <v>101</v>
      </c>
      <c r="G139" s="163" t="s">
        <v>101</v>
      </c>
      <c r="H139" s="164">
        <f>VLOOKUP(A139,'3. K0215-REFERENCE'!A:D,3,FALSE)</f>
        <v>0</v>
      </c>
      <c r="I139" s="164">
        <f>VLOOKUP(A139,'3. K0215-REFERENCE'!A:D,4,FALSE)</f>
        <v>15186.47</v>
      </c>
      <c r="J139" s="168">
        <f t="shared" si="29"/>
        <v>15186.47</v>
      </c>
      <c r="K139" s="389">
        <v>14033130</v>
      </c>
      <c r="L139" s="389">
        <v>2620</v>
      </c>
      <c r="M139" s="172">
        <f>+L139/(L139+K139)</f>
        <v>1.8666619168907967E-4</v>
      </c>
      <c r="N139" s="173">
        <f>+J139*M139</f>
        <v>2.8348005201004574</v>
      </c>
      <c r="O139" s="164">
        <f>+J139-N139</f>
        <v>15183.635199479899</v>
      </c>
      <c r="P139" s="167">
        <f t="shared" si="32"/>
        <v>291.35000000000002</v>
      </c>
      <c r="Q139" s="164">
        <f t="shared" si="33"/>
        <v>15474.985199479899</v>
      </c>
      <c r="R139" s="172"/>
      <c r="S139" s="172"/>
    </row>
    <row r="140" spans="1:19" ht="15.6" outlineLevel="4">
      <c r="A140" s="169" t="s">
        <v>980</v>
      </c>
      <c r="B140" s="162" t="s">
        <v>657</v>
      </c>
      <c r="C140" s="163" t="s">
        <v>466</v>
      </c>
      <c r="D140" s="163" t="s">
        <v>100</v>
      </c>
      <c r="E140" s="163" t="s">
        <v>121</v>
      </c>
      <c r="F140" s="163" t="s">
        <v>101</v>
      </c>
      <c r="G140" s="163" t="s">
        <v>101</v>
      </c>
      <c r="H140" s="164">
        <f>VLOOKUP(A140,'3. K0215-REFERENCE'!A:D,3,FALSE)</f>
        <v>7836626.29</v>
      </c>
      <c r="I140" s="164">
        <f>VLOOKUP(A140,'3. K0215-REFERENCE'!A:D,4,FALSE)</f>
        <v>14623238.84</v>
      </c>
      <c r="J140" s="168">
        <f t="shared" si="29"/>
        <v>22459865.129999999</v>
      </c>
      <c r="K140" s="389">
        <v>14033130</v>
      </c>
      <c r="L140" s="389">
        <v>2620</v>
      </c>
      <c r="M140" s="172">
        <f>+L140/(L140+K140)</f>
        <v>1.8666619168907967E-4</v>
      </c>
      <c r="N140" s="173">
        <f>+J140*M140</f>
        <v>4192.4974896674557</v>
      </c>
      <c r="O140" s="164">
        <f>+J140-N140</f>
        <v>22455672.632510331</v>
      </c>
      <c r="P140" s="167">
        <f t="shared" si="30"/>
        <v>430891.46</v>
      </c>
      <c r="Q140" s="164">
        <f t="shared" si="31"/>
        <v>22886564.092510331</v>
      </c>
      <c r="R140" s="172"/>
      <c r="S140" s="172"/>
    </row>
    <row r="141" spans="1:19" ht="15.6" outlineLevel="4">
      <c r="A141" s="169" t="s">
        <v>981</v>
      </c>
      <c r="B141" s="162" t="s">
        <v>678</v>
      </c>
      <c r="C141" s="163" t="s">
        <v>466</v>
      </c>
      <c r="D141" s="163" t="s">
        <v>100</v>
      </c>
      <c r="E141" s="163" t="s">
        <v>121</v>
      </c>
      <c r="F141" s="163" t="s">
        <v>101</v>
      </c>
      <c r="G141" s="163" t="s">
        <v>101</v>
      </c>
      <c r="H141" s="164">
        <f>VLOOKUP(A141,'3. K0215-REFERENCE'!A:D,3,FALSE)</f>
        <v>32808868.850000001</v>
      </c>
      <c r="I141" s="164">
        <f>VLOOKUP(A141,'3. K0215-REFERENCE'!A:D,4,FALSE)</f>
        <v>44796359.670000002</v>
      </c>
      <c r="J141" s="168">
        <f t="shared" si="29"/>
        <v>77605228.520000011</v>
      </c>
      <c r="K141" s="389">
        <v>14033130</v>
      </c>
      <c r="L141" s="389">
        <v>2620</v>
      </c>
      <c r="M141" s="172">
        <f>+L141/(L141+K141)</f>
        <v>1.8666619168907967E-4</v>
      </c>
      <c r="N141" s="173">
        <f>+J141*M141</f>
        <v>14486.272462989155</v>
      </c>
      <c r="O141" s="164">
        <f>+J141-N141</f>
        <v>77590742.247537017</v>
      </c>
      <c r="P141" s="167">
        <f t="shared" si="30"/>
        <v>1488852.66</v>
      </c>
      <c r="Q141" s="164">
        <f t="shared" si="31"/>
        <v>79079594.907537013</v>
      </c>
      <c r="R141" s="172"/>
      <c r="S141" s="172"/>
    </row>
    <row r="142" spans="1:19" s="52" customFormat="1" ht="15.6" outlineLevel="4">
      <c r="A142" s="161" t="s">
        <v>982</v>
      </c>
      <c r="B142" s="183" t="s">
        <v>61</v>
      </c>
      <c r="C142" s="163" t="s">
        <v>466</v>
      </c>
      <c r="D142" s="184" t="s">
        <v>100</v>
      </c>
      <c r="E142" s="184" t="s">
        <v>121</v>
      </c>
      <c r="F142" s="184" t="s">
        <v>101</v>
      </c>
      <c r="G142" s="184" t="s">
        <v>101</v>
      </c>
      <c r="H142" s="164">
        <f>VLOOKUP(A142,'3. K0215-REFERENCE'!A:D,3,FALSE)</f>
        <v>0</v>
      </c>
      <c r="I142" s="164">
        <f>VLOOKUP(A142,'3. K0215-REFERENCE'!A:D,4,FALSE)</f>
        <v>27656.41</v>
      </c>
      <c r="J142" s="168">
        <f t="shared" si="29"/>
        <v>27656.41</v>
      </c>
      <c r="K142" s="389">
        <v>14033130</v>
      </c>
      <c r="L142" s="389">
        <v>2620</v>
      </c>
      <c r="M142" s="172">
        <f>IFERROR(+L142/(L142+K142),0)</f>
        <v>1.8666619168907967E-4</v>
      </c>
      <c r="N142" s="173">
        <f>+J142*M142</f>
        <v>5.1625167304917801</v>
      </c>
      <c r="O142" s="164">
        <f>+J142-N142</f>
        <v>27651.247483269508</v>
      </c>
      <c r="P142" s="167">
        <f t="shared" si="30"/>
        <v>530.59</v>
      </c>
      <c r="Q142" s="164">
        <f t="shared" si="31"/>
        <v>28181.837483269508</v>
      </c>
      <c r="R142" s="186"/>
      <c r="S142" s="186"/>
    </row>
    <row r="143" spans="1:19" ht="15.6" outlineLevel="4">
      <c r="A143" s="169" t="s">
        <v>983</v>
      </c>
      <c r="B143" s="162" t="s">
        <v>501</v>
      </c>
      <c r="C143" s="163" t="s">
        <v>466</v>
      </c>
      <c r="D143" s="163" t="s">
        <v>100</v>
      </c>
      <c r="E143" s="163" t="s">
        <v>121</v>
      </c>
      <c r="F143" s="163" t="s">
        <v>101</v>
      </c>
      <c r="G143" s="163" t="s">
        <v>101</v>
      </c>
      <c r="H143" s="164">
        <f>VLOOKUP(A143,'3. K0215-REFERENCE'!A:D,3,FALSE)</f>
        <v>57326.64</v>
      </c>
      <c r="I143" s="164">
        <f>VLOOKUP(A143,'3. K0215-REFERENCE'!A:D,4,FALSE)</f>
        <v>203752.69</v>
      </c>
      <c r="J143" s="168">
        <f t="shared" si="29"/>
        <v>261079.33000000002</v>
      </c>
      <c r="K143" s="389">
        <v>14033130</v>
      </c>
      <c r="L143" s="389">
        <v>2620</v>
      </c>
      <c r="M143" s="172">
        <f>+L143/(L143+K143)</f>
        <v>1.8666619168907967E-4</v>
      </c>
      <c r="N143" s="173">
        <f>+J143*M143</f>
        <v>48.734684259836492</v>
      </c>
      <c r="O143" s="164">
        <f>+J143-N143</f>
        <v>261030.59531574018</v>
      </c>
      <c r="P143" s="167">
        <f t="shared" si="30"/>
        <v>5008.79</v>
      </c>
      <c r="Q143" s="164">
        <f t="shared" si="31"/>
        <v>266039.38531574019</v>
      </c>
      <c r="R143" s="172"/>
      <c r="S143" s="172"/>
    </row>
    <row r="144" spans="1:19" s="52" customFormat="1" ht="15.6" outlineLevel="4">
      <c r="A144" s="208" t="s">
        <v>984</v>
      </c>
      <c r="B144" s="183" t="s">
        <v>582</v>
      </c>
      <c r="C144" s="163" t="s">
        <v>466</v>
      </c>
      <c r="D144" s="184" t="s">
        <v>100</v>
      </c>
      <c r="E144" s="184" t="s">
        <v>121</v>
      </c>
      <c r="F144" s="184" t="s">
        <v>101</v>
      </c>
      <c r="G144" s="184" t="s">
        <v>101</v>
      </c>
      <c r="H144" s="164">
        <f>VLOOKUP(A144,'3. K0215-REFERENCE'!A:D,3,FALSE)</f>
        <v>1620.79</v>
      </c>
      <c r="I144" s="164">
        <f>VLOOKUP(A144,'3. K0215-REFERENCE'!A:D,4,FALSE)</f>
        <v>85035.15</v>
      </c>
      <c r="J144" s="168">
        <f t="shared" si="29"/>
        <v>86655.939999999988</v>
      </c>
      <c r="K144" s="389">
        <v>14033130</v>
      </c>
      <c r="L144" s="389">
        <v>2620</v>
      </c>
      <c r="M144" s="172">
        <f>+L144/(L144+K144)</f>
        <v>1.8666619168907967E-4</v>
      </c>
      <c r="N144" s="173">
        <f>+J144*M144</f>
        <v>16.175734307037384</v>
      </c>
      <c r="O144" s="164">
        <f>+J144-N144</f>
        <v>86639.764265692953</v>
      </c>
      <c r="P144" s="167">
        <f t="shared" si="30"/>
        <v>1662.49</v>
      </c>
      <c r="Q144" s="164">
        <f t="shared" si="31"/>
        <v>88302.254265692958</v>
      </c>
      <c r="R144" s="186"/>
      <c r="S144" s="186"/>
    </row>
    <row r="145" spans="1:19" s="17" customFormat="1" ht="15.6" outlineLevel="4">
      <c r="A145" s="169" t="s">
        <v>985</v>
      </c>
      <c r="B145" s="162" t="s">
        <v>681</v>
      </c>
      <c r="C145" s="163" t="s">
        <v>466</v>
      </c>
      <c r="D145" s="163" t="s">
        <v>100</v>
      </c>
      <c r="E145" s="163" t="s">
        <v>121</v>
      </c>
      <c r="F145" s="163" t="s">
        <v>101</v>
      </c>
      <c r="G145" s="163" t="s">
        <v>101</v>
      </c>
      <c r="H145" s="164">
        <f>VLOOKUP(A145,'3. K0215-REFERENCE'!A:D,3,FALSE)</f>
        <v>876949.09</v>
      </c>
      <c r="I145" s="164">
        <f>VLOOKUP(A145,'3. K0215-REFERENCE'!A:D,4,FALSE)</f>
        <v>1939299.52</v>
      </c>
      <c r="J145" s="168">
        <f t="shared" si="29"/>
        <v>2816248.61</v>
      </c>
      <c r="K145" s="389">
        <v>14033130</v>
      </c>
      <c r="L145" s="389">
        <v>2620</v>
      </c>
      <c r="M145" s="172">
        <f>+L145/(L145+K145)</f>
        <v>1.8666619168907967E-4</v>
      </c>
      <c r="N145" s="173">
        <f>+J145*M145</f>
        <v>525.69840287836416</v>
      </c>
      <c r="O145" s="164">
        <f>+J145-N145</f>
        <v>2815722.9115971215</v>
      </c>
      <c r="P145" s="167">
        <f t="shared" si="30"/>
        <v>54029.599999999999</v>
      </c>
      <c r="Q145" s="164">
        <f t="shared" si="31"/>
        <v>2869752.5115971216</v>
      </c>
      <c r="R145" s="162"/>
      <c r="S145" s="162"/>
    </row>
    <row r="146" spans="1:19" s="14" customFormat="1" ht="15.6" outlineLevel="4">
      <c r="A146" s="169" t="s">
        <v>986</v>
      </c>
      <c r="B146" s="162" t="s">
        <v>61</v>
      </c>
      <c r="C146" s="163" t="s">
        <v>466</v>
      </c>
      <c r="D146" s="163" t="s">
        <v>100</v>
      </c>
      <c r="E146" s="163" t="s">
        <v>121</v>
      </c>
      <c r="F146" s="163" t="s">
        <v>101</v>
      </c>
      <c r="G146" s="163" t="s">
        <v>101</v>
      </c>
      <c r="H146" s="164"/>
      <c r="I146" s="164"/>
      <c r="J146" s="168">
        <f t="shared" si="29"/>
        <v>0</v>
      </c>
      <c r="K146" s="389">
        <v>14033130</v>
      </c>
      <c r="L146" s="389">
        <v>2620</v>
      </c>
      <c r="M146" s="172">
        <f>IFERROR(+L146/(L146+K146),0)</f>
        <v>1.8666619168907967E-4</v>
      </c>
      <c r="N146" s="173">
        <f>+J146*M146</f>
        <v>0</v>
      </c>
      <c r="O146" s="164">
        <f>+J146-N146</f>
        <v>0</v>
      </c>
      <c r="P146" s="167">
        <f t="shared" si="30"/>
        <v>0</v>
      </c>
      <c r="Q146" s="164">
        <f t="shared" si="31"/>
        <v>0</v>
      </c>
      <c r="R146" s="165"/>
      <c r="S146" s="165"/>
    </row>
    <row r="147" spans="1:19" ht="15.6" outlineLevel="4">
      <c r="A147" s="169" t="s">
        <v>987</v>
      </c>
      <c r="B147" s="162" t="s">
        <v>503</v>
      </c>
      <c r="C147" s="163" t="s">
        <v>466</v>
      </c>
      <c r="D147" s="163" t="s">
        <v>100</v>
      </c>
      <c r="E147" s="163" t="s">
        <v>121</v>
      </c>
      <c r="F147" s="163" t="s">
        <v>101</v>
      </c>
      <c r="G147" s="163" t="s">
        <v>101</v>
      </c>
      <c r="H147" s="164">
        <f>VLOOKUP(A147,'3. K0215-REFERENCE'!A:D,3,FALSE)</f>
        <v>2367797.86</v>
      </c>
      <c r="I147" s="164">
        <f>VLOOKUP(A147,'3. K0215-REFERENCE'!A:D,4,FALSE)</f>
        <v>6828030.3700000001</v>
      </c>
      <c r="J147" s="168">
        <f t="shared" si="29"/>
        <v>9195828.2300000004</v>
      </c>
      <c r="K147" s="389">
        <v>14033130</v>
      </c>
      <c r="L147" s="389">
        <v>2620</v>
      </c>
      <c r="M147" s="172">
        <f>+L147/(L147+K147)</f>
        <v>1.8666619168907967E-4</v>
      </c>
      <c r="N147" s="173">
        <f>+J147*M147</f>
        <v>1716.5502351210303</v>
      </c>
      <c r="O147" s="164">
        <f>+J147-N147</f>
        <v>9194111.6797648799</v>
      </c>
      <c r="P147" s="167">
        <f t="shared" si="30"/>
        <v>176421.53</v>
      </c>
      <c r="Q147" s="164">
        <f t="shared" si="31"/>
        <v>9370533.2097648792</v>
      </c>
      <c r="R147" s="172"/>
      <c r="S147" s="172"/>
    </row>
    <row r="148" spans="1:19" ht="15.6" outlineLevel="4">
      <c r="A148" s="169" t="s">
        <v>1325</v>
      </c>
      <c r="B148" s="162" t="s">
        <v>1324</v>
      </c>
      <c r="C148" s="163" t="s">
        <v>466</v>
      </c>
      <c r="D148" s="163" t="s">
        <v>100</v>
      </c>
      <c r="E148" s="163" t="s">
        <v>121</v>
      </c>
      <c r="F148" s="163" t="s">
        <v>101</v>
      </c>
      <c r="G148" s="163" t="s">
        <v>101</v>
      </c>
      <c r="H148" s="164"/>
      <c r="I148" s="164"/>
      <c r="J148" s="168">
        <f t="shared" si="29"/>
        <v>0</v>
      </c>
      <c r="K148" s="389">
        <v>14033130</v>
      </c>
      <c r="L148" s="389">
        <v>2620</v>
      </c>
      <c r="M148" s="172">
        <v>0</v>
      </c>
      <c r="N148" s="173">
        <f>+J148*M148</f>
        <v>0</v>
      </c>
      <c r="O148" s="164">
        <f>+J148-N148</f>
        <v>0</v>
      </c>
      <c r="P148" s="167">
        <f t="shared" si="30"/>
        <v>0</v>
      </c>
      <c r="Q148" s="164">
        <f t="shared" si="31"/>
        <v>0</v>
      </c>
      <c r="R148" s="172"/>
      <c r="S148" s="172"/>
    </row>
    <row r="149" spans="1:19" ht="15.6" outlineLevel="4">
      <c r="A149" s="169" t="s">
        <v>988</v>
      </c>
      <c r="B149" s="162" t="s">
        <v>504</v>
      </c>
      <c r="C149" s="163" t="s">
        <v>466</v>
      </c>
      <c r="D149" s="163" t="s">
        <v>100</v>
      </c>
      <c r="E149" s="163" t="s">
        <v>121</v>
      </c>
      <c r="F149" s="163" t="s">
        <v>101</v>
      </c>
      <c r="G149" s="163" t="s">
        <v>101</v>
      </c>
      <c r="H149" s="164">
        <f>VLOOKUP(A149,'3. K0215-REFERENCE'!A:D,3,FALSE)</f>
        <v>27981058.84</v>
      </c>
      <c r="I149" s="164">
        <f>VLOOKUP(A149,'3. K0215-REFERENCE'!A:D,4,FALSE)</f>
        <v>40939333.979999997</v>
      </c>
      <c r="J149" s="168">
        <f t="shared" si="29"/>
        <v>68920392.819999993</v>
      </c>
      <c r="K149" s="389">
        <v>14033130</v>
      </c>
      <c r="L149" s="389">
        <v>2620</v>
      </c>
      <c r="M149" s="172">
        <f>+L149/(L149+K149)</f>
        <v>1.8666619168907967E-4</v>
      </c>
      <c r="N149" s="173">
        <f>+J149*M149</f>
        <v>12865.107257424788</v>
      </c>
      <c r="O149" s="164">
        <f>+J149-N149</f>
        <v>68907527.712742567</v>
      </c>
      <c r="P149" s="167">
        <f t="shared" si="30"/>
        <v>1322234.49</v>
      </c>
      <c r="Q149" s="164">
        <f t="shared" si="31"/>
        <v>70229762.202742562</v>
      </c>
      <c r="R149" s="172"/>
      <c r="S149" s="172"/>
    </row>
    <row r="150" spans="1:19" s="52" customFormat="1" ht="15.6" outlineLevel="4">
      <c r="A150" s="208" t="s">
        <v>989</v>
      </c>
      <c r="B150" s="183" t="s">
        <v>610</v>
      </c>
      <c r="C150" s="163" t="s">
        <v>466</v>
      </c>
      <c r="D150" s="184" t="s">
        <v>100</v>
      </c>
      <c r="E150" s="184" t="s">
        <v>121</v>
      </c>
      <c r="F150" s="184" t="s">
        <v>101</v>
      </c>
      <c r="G150" s="184" t="s">
        <v>101</v>
      </c>
      <c r="H150" s="164">
        <f>VLOOKUP(A150,'3. K0215-REFERENCE'!A:D,3,FALSE)</f>
        <v>0.59</v>
      </c>
      <c r="I150" s="164">
        <f>VLOOKUP(A150,'3. K0215-REFERENCE'!A:D,4,FALSE)</f>
        <v>27964.44</v>
      </c>
      <c r="J150" s="168">
        <f t="shared" si="29"/>
        <v>27965.03</v>
      </c>
      <c r="K150" s="389">
        <v>14033130</v>
      </c>
      <c r="L150" s="389">
        <v>2620</v>
      </c>
      <c r="M150" s="172">
        <f>+L150/(L150+K150)</f>
        <v>1.8666619168907967E-4</v>
      </c>
      <c r="N150" s="173">
        <f>+J150*M150</f>
        <v>5.2201256505708633</v>
      </c>
      <c r="O150" s="164">
        <f>+J150-N150</f>
        <v>27959.809874349427</v>
      </c>
      <c r="P150" s="167">
        <f t="shared" si="30"/>
        <v>536.51</v>
      </c>
      <c r="Q150" s="164">
        <f t="shared" si="31"/>
        <v>28496.319874349425</v>
      </c>
      <c r="R150" s="186"/>
      <c r="S150" s="186"/>
    </row>
    <row r="151" spans="1:19" s="39" customFormat="1" ht="15.6" outlineLevel="4">
      <c r="A151" s="179" t="s">
        <v>990</v>
      </c>
      <c r="B151" s="172" t="s">
        <v>61</v>
      </c>
      <c r="C151" s="163" t="s">
        <v>466</v>
      </c>
      <c r="D151" s="210" t="s">
        <v>100</v>
      </c>
      <c r="E151" s="210" t="s">
        <v>121</v>
      </c>
      <c r="F151" s="210" t="s">
        <v>101</v>
      </c>
      <c r="G151" s="210" t="s">
        <v>101</v>
      </c>
      <c r="H151" s="164"/>
      <c r="I151" s="164"/>
      <c r="J151" s="168">
        <f t="shared" si="29"/>
        <v>0</v>
      </c>
      <c r="K151" s="389">
        <v>14033130</v>
      </c>
      <c r="L151" s="389">
        <v>2620</v>
      </c>
      <c r="M151" s="172">
        <f>IFERROR(+L151/(L151+K151),0)</f>
        <v>1.8666619168907967E-4</v>
      </c>
      <c r="N151" s="173">
        <f>+J151*M151</f>
        <v>0</v>
      </c>
      <c r="O151" s="164">
        <f>+J151-N151</f>
        <v>0</v>
      </c>
      <c r="P151" s="167">
        <f t="shared" si="30"/>
        <v>0</v>
      </c>
      <c r="Q151" s="164">
        <f t="shared" si="31"/>
        <v>0</v>
      </c>
      <c r="R151" s="211"/>
      <c r="S151" s="211"/>
    </row>
    <row r="152" spans="1:19" ht="15.6" outlineLevel="4">
      <c r="A152" s="169" t="s">
        <v>991</v>
      </c>
      <c r="B152" s="162" t="s">
        <v>506</v>
      </c>
      <c r="C152" s="163" t="s">
        <v>466</v>
      </c>
      <c r="D152" s="163" t="s">
        <v>100</v>
      </c>
      <c r="E152" s="163" t="s">
        <v>121</v>
      </c>
      <c r="F152" s="163" t="s">
        <v>101</v>
      </c>
      <c r="G152" s="163" t="s">
        <v>101</v>
      </c>
      <c r="H152" s="164">
        <f>VLOOKUP(A152,'3. K0215-REFERENCE'!A:D,3,FALSE)</f>
        <v>55652931.409999996</v>
      </c>
      <c r="I152" s="164">
        <f>VLOOKUP(A152,'3. K0215-REFERENCE'!A:D,4,FALSE)</f>
        <v>65023866.020000003</v>
      </c>
      <c r="J152" s="168">
        <f t="shared" si="29"/>
        <v>120676797.43000001</v>
      </c>
      <c r="K152" s="389">
        <v>14033130</v>
      </c>
      <c r="L152" s="389">
        <v>2620</v>
      </c>
      <c r="M152" s="172">
        <f>+L152/(L152+K152)</f>
        <v>1.8666619168907967E-4</v>
      </c>
      <c r="N152" s="173">
        <f>+J152*M152</f>
        <v>22526.278201492616</v>
      </c>
      <c r="O152" s="164">
        <f>+J152-N152</f>
        <v>120654271.15179852</v>
      </c>
      <c r="P152" s="167">
        <f t="shared" si="30"/>
        <v>2315178.6800000002</v>
      </c>
      <c r="Q152" s="164">
        <f t="shared" si="31"/>
        <v>122969449.83179852</v>
      </c>
      <c r="R152" s="172"/>
      <c r="S152" s="172"/>
    </row>
    <row r="153" spans="1:19" ht="15.6" outlineLevel="4">
      <c r="A153" s="169" t="s">
        <v>992</v>
      </c>
      <c r="B153" s="162" t="s">
        <v>61</v>
      </c>
      <c r="C153" s="163" t="s">
        <v>466</v>
      </c>
      <c r="D153" s="163" t="s">
        <v>100</v>
      </c>
      <c r="E153" s="163" t="s">
        <v>121</v>
      </c>
      <c r="F153" s="163" t="s">
        <v>101</v>
      </c>
      <c r="G153" s="163" t="s">
        <v>101</v>
      </c>
      <c r="H153" s="164"/>
      <c r="I153" s="164"/>
      <c r="J153" s="168">
        <f t="shared" si="29"/>
        <v>0</v>
      </c>
      <c r="K153" s="389">
        <v>14033130</v>
      </c>
      <c r="L153" s="389">
        <v>2620</v>
      </c>
      <c r="M153" s="172">
        <f>IFERROR(+L153/(L153+K153),0)</f>
        <v>1.8666619168907967E-4</v>
      </c>
      <c r="N153" s="173">
        <f>+J153*M153</f>
        <v>0</v>
      </c>
      <c r="O153" s="164">
        <f>+J153-N153</f>
        <v>0</v>
      </c>
      <c r="P153" s="167">
        <f t="shared" si="30"/>
        <v>0</v>
      </c>
      <c r="Q153" s="164">
        <f t="shared" si="31"/>
        <v>0</v>
      </c>
      <c r="R153" s="172"/>
      <c r="S153" s="172"/>
    </row>
    <row r="154" spans="1:19" ht="15.6" outlineLevel="4">
      <c r="A154" s="169" t="s">
        <v>993</v>
      </c>
      <c r="B154" s="162" t="s">
        <v>681</v>
      </c>
      <c r="C154" s="163" t="s">
        <v>466</v>
      </c>
      <c r="D154" s="163" t="s">
        <v>100</v>
      </c>
      <c r="E154" s="163" t="s">
        <v>121</v>
      </c>
      <c r="F154" s="163" t="s">
        <v>101</v>
      </c>
      <c r="G154" s="163" t="s">
        <v>101</v>
      </c>
      <c r="H154" s="164">
        <f>VLOOKUP(A154,'3. K0215-REFERENCE'!A:D,3,FALSE)</f>
        <v>27768889.559999999</v>
      </c>
      <c r="I154" s="164">
        <f>VLOOKUP(A154,'3. K0215-REFERENCE'!A:D,4,FALSE)</f>
        <v>30516488.170000002</v>
      </c>
      <c r="J154" s="168">
        <f t="shared" si="29"/>
        <v>58285377.730000004</v>
      </c>
      <c r="K154" s="389">
        <v>14033130</v>
      </c>
      <c r="L154" s="389">
        <v>2620</v>
      </c>
      <c r="M154" s="172">
        <f>+L154/(L154+K154)</f>
        <v>1.8666619168907967E-4</v>
      </c>
      <c r="N154" s="173">
        <f>+J154*M154</f>
        <v>10879.909492018596</v>
      </c>
      <c r="O154" s="164">
        <f>+J154-N154</f>
        <v>58274497.820507988</v>
      </c>
      <c r="P154" s="167">
        <f t="shared" si="30"/>
        <v>1118202.23</v>
      </c>
      <c r="Q154" s="164">
        <f t="shared" si="31"/>
        <v>59392700.050507985</v>
      </c>
      <c r="R154" s="172"/>
      <c r="S154" s="172"/>
    </row>
    <row r="155" spans="1:19" ht="15.6" outlineLevel="4">
      <c r="A155" s="169" t="s">
        <v>994</v>
      </c>
      <c r="B155" s="162" t="s">
        <v>61</v>
      </c>
      <c r="C155" s="163" t="s">
        <v>466</v>
      </c>
      <c r="D155" s="163" t="s">
        <v>100</v>
      </c>
      <c r="E155" s="163" t="s">
        <v>121</v>
      </c>
      <c r="F155" s="163" t="s">
        <v>101</v>
      </c>
      <c r="G155" s="163" t="s">
        <v>101</v>
      </c>
      <c r="H155" s="164"/>
      <c r="I155" s="164"/>
      <c r="J155" s="168">
        <f t="shared" si="29"/>
        <v>0</v>
      </c>
      <c r="K155" s="389">
        <v>14033130</v>
      </c>
      <c r="L155" s="389">
        <v>2620</v>
      </c>
      <c r="M155" s="172">
        <f>IFERROR(+L155/(L155+K155),0)</f>
        <v>1.8666619168907967E-4</v>
      </c>
      <c r="N155" s="173">
        <f>+J155*M155</f>
        <v>0</v>
      </c>
      <c r="O155" s="164">
        <f>+J155-N155</f>
        <v>0</v>
      </c>
      <c r="P155" s="167">
        <f t="shared" si="30"/>
        <v>0</v>
      </c>
      <c r="Q155" s="164">
        <f t="shared" si="31"/>
        <v>0</v>
      </c>
      <c r="R155" s="172"/>
      <c r="S155" s="172"/>
    </row>
    <row r="156" spans="1:19" ht="15.6" outlineLevel="4">
      <c r="A156" s="161" t="s">
        <v>1291</v>
      </c>
      <c r="B156" s="162" t="s">
        <v>1292</v>
      </c>
      <c r="C156" s="163">
        <v>5225</v>
      </c>
      <c r="D156" s="163" t="s">
        <v>100</v>
      </c>
      <c r="E156" s="163" t="s">
        <v>121</v>
      </c>
      <c r="F156" s="163">
        <v>100</v>
      </c>
      <c r="G156" s="163">
        <v>100</v>
      </c>
      <c r="H156" s="164">
        <f>VLOOKUP(A156,'3. K0215-REFERENCE'!A:D,3,FALSE)</f>
        <v>0</v>
      </c>
      <c r="I156" s="164">
        <f>VLOOKUP(A156,'3. K0215-REFERENCE'!A:D,4,FALSE)</f>
        <v>14000.95</v>
      </c>
      <c r="J156" s="168">
        <f t="shared" si="29"/>
        <v>14000.95</v>
      </c>
      <c r="K156" s="389">
        <v>14033130</v>
      </c>
      <c r="L156" s="389">
        <v>2620</v>
      </c>
      <c r="M156" s="172">
        <f>IFERROR(+L156/(L156+K156),0)</f>
        <v>1.8666619168907967E-4</v>
      </c>
      <c r="N156" s="173">
        <f>+J156*M156</f>
        <v>2.61350401652922</v>
      </c>
      <c r="O156" s="164">
        <f>+J156-N156</f>
        <v>13998.336495983471</v>
      </c>
      <c r="P156" s="167">
        <f t="shared" si="30"/>
        <v>268.61</v>
      </c>
      <c r="Q156" s="164">
        <f t="shared" si="31"/>
        <v>14266.946495983471</v>
      </c>
      <c r="R156" s="172"/>
      <c r="S156" s="172"/>
    </row>
    <row r="157" spans="1:19" ht="15.6" outlineLevel="4">
      <c r="A157" s="169" t="s">
        <v>995</v>
      </c>
      <c r="B157" s="162" t="s">
        <v>682</v>
      </c>
      <c r="C157" s="163" t="s">
        <v>466</v>
      </c>
      <c r="D157" s="163" t="s">
        <v>100</v>
      </c>
      <c r="E157" s="163" t="s">
        <v>121</v>
      </c>
      <c r="F157" s="163" t="s">
        <v>101</v>
      </c>
      <c r="G157" s="163" t="s">
        <v>101</v>
      </c>
      <c r="H157" s="164">
        <f>VLOOKUP(A157,'3. K0215-REFERENCE'!A:D,3,FALSE)</f>
        <v>14165523.76</v>
      </c>
      <c r="I157" s="164">
        <f>VLOOKUP(A157,'3. K0215-REFERENCE'!A:D,4,FALSE)</f>
        <v>31230121.050000001</v>
      </c>
      <c r="J157" s="168">
        <f t="shared" si="29"/>
        <v>45395644.810000002</v>
      </c>
      <c r="K157" s="389">
        <v>14033130</v>
      </c>
      <c r="L157" s="389">
        <v>2620</v>
      </c>
      <c r="M157" s="172">
        <f>+L157/(L157+K157)</f>
        <v>1.8666619168907967E-4</v>
      </c>
      <c r="N157" s="173">
        <f>+J157*M157</f>
        <v>8473.8321359528345</v>
      </c>
      <c r="O157" s="164">
        <f>+J157-N157</f>
        <v>45387170.977864049</v>
      </c>
      <c r="P157" s="167">
        <f t="shared" si="30"/>
        <v>870913.31</v>
      </c>
      <c r="Q157" s="164">
        <f t="shared" si="31"/>
        <v>46258084.287864052</v>
      </c>
      <c r="R157" s="172"/>
      <c r="S157" s="172"/>
    </row>
    <row r="158" spans="1:19" ht="15.6" outlineLevel="4">
      <c r="A158" s="169" t="s">
        <v>996</v>
      </c>
      <c r="B158" s="162" t="s">
        <v>502</v>
      </c>
      <c r="C158" s="163" t="s">
        <v>466</v>
      </c>
      <c r="D158" s="163" t="s">
        <v>100</v>
      </c>
      <c r="E158" s="163" t="s">
        <v>121</v>
      </c>
      <c r="F158" s="163" t="s">
        <v>101</v>
      </c>
      <c r="G158" s="163" t="s">
        <v>101</v>
      </c>
      <c r="H158" s="164">
        <f>VLOOKUP(A158,'3. K0215-REFERENCE'!A:D,3,FALSE)</f>
        <v>27199.49</v>
      </c>
      <c r="I158" s="164">
        <f>VLOOKUP(A158,'3. K0215-REFERENCE'!A:D,4,FALSE)</f>
        <v>99745.75</v>
      </c>
      <c r="J158" s="168">
        <f t="shared" si="29"/>
        <v>126945.24</v>
      </c>
      <c r="K158" s="389">
        <v>14033130</v>
      </c>
      <c r="L158" s="389">
        <v>2620</v>
      </c>
      <c r="M158" s="172">
        <f>+L158/(L158+K158)</f>
        <v>1.8666619168907967E-4</v>
      </c>
      <c r="N158" s="173">
        <f>+J158*M158</f>
        <v>23.696384503856226</v>
      </c>
      <c r="O158" s="164">
        <f>+J158-N158</f>
        <v>126921.54361549615</v>
      </c>
      <c r="P158" s="167">
        <f t="shared" si="30"/>
        <v>2435.44</v>
      </c>
      <c r="Q158" s="164">
        <f t="shared" si="31"/>
        <v>129356.98361549615</v>
      </c>
      <c r="R158" s="172"/>
      <c r="S158" s="172"/>
    </row>
    <row r="159" spans="1:19" s="17" customFormat="1" ht="15.6" outlineLevel="4">
      <c r="A159" s="169" t="s">
        <v>997</v>
      </c>
      <c r="B159" s="162" t="s">
        <v>61</v>
      </c>
      <c r="C159" s="163" t="s">
        <v>466</v>
      </c>
      <c r="D159" s="163" t="s">
        <v>100</v>
      </c>
      <c r="E159" s="163" t="s">
        <v>121</v>
      </c>
      <c r="F159" s="163" t="s">
        <v>101</v>
      </c>
      <c r="G159" s="163" t="s">
        <v>101</v>
      </c>
      <c r="H159" s="164"/>
      <c r="I159" s="164"/>
      <c r="J159" s="168">
        <f t="shared" si="29"/>
        <v>0</v>
      </c>
      <c r="K159" s="389">
        <v>14033130</v>
      </c>
      <c r="L159" s="389">
        <v>2620</v>
      </c>
      <c r="M159" s="172">
        <f>IFERROR(+L159/(L159+K159),0)</f>
        <v>1.8666619168907967E-4</v>
      </c>
      <c r="N159" s="173">
        <f>+J159*M159</f>
        <v>0</v>
      </c>
      <c r="O159" s="164">
        <f>+J159-N159</f>
        <v>0</v>
      </c>
      <c r="P159" s="167">
        <f t="shared" si="30"/>
        <v>0</v>
      </c>
      <c r="Q159" s="164">
        <f t="shared" si="31"/>
        <v>0</v>
      </c>
      <c r="R159" s="162"/>
      <c r="S159" s="162"/>
    </row>
    <row r="160" spans="1:19" ht="15.6" outlineLevel="4">
      <c r="A160" s="169" t="s">
        <v>998</v>
      </c>
      <c r="B160" s="162" t="s">
        <v>509</v>
      </c>
      <c r="C160" s="163" t="s">
        <v>466</v>
      </c>
      <c r="D160" s="163" t="s">
        <v>100</v>
      </c>
      <c r="E160" s="163" t="s">
        <v>121</v>
      </c>
      <c r="F160" s="163" t="s">
        <v>101</v>
      </c>
      <c r="G160" s="163" t="s">
        <v>101</v>
      </c>
      <c r="H160" s="164">
        <f>VLOOKUP(A160,'3. K0215-REFERENCE'!A:D,3,FALSE)</f>
        <v>41114979.259999998</v>
      </c>
      <c r="I160" s="164">
        <f>VLOOKUP(A160,'3. K0215-REFERENCE'!A:D,4,FALSE)</f>
        <v>43814883.759999998</v>
      </c>
      <c r="J160" s="168">
        <f t="shared" si="29"/>
        <v>84929863.019999996</v>
      </c>
      <c r="K160" s="389">
        <v>14033130</v>
      </c>
      <c r="L160" s="389">
        <v>2620</v>
      </c>
      <c r="M160" s="172">
        <f>+L160/(L160+K160)</f>
        <v>1.8666619168907967E-4</v>
      </c>
      <c r="N160" s="173">
        <f>+J160*M160</f>
        <v>15853.534090618597</v>
      </c>
      <c r="O160" s="164">
        <f>+J160-N160</f>
        <v>84914009.485909373</v>
      </c>
      <c r="P160" s="167">
        <f t="shared" si="30"/>
        <v>1629375.42</v>
      </c>
      <c r="Q160" s="164">
        <f t="shared" si="31"/>
        <v>86543384.905909374</v>
      </c>
      <c r="R160" s="172"/>
      <c r="S160" s="172"/>
    </row>
    <row r="161" spans="1:19" ht="15.6" outlineLevel="4">
      <c r="A161" s="169" t="s">
        <v>999</v>
      </c>
      <c r="B161" s="162" t="s">
        <v>510</v>
      </c>
      <c r="C161" s="163" t="s">
        <v>466</v>
      </c>
      <c r="D161" s="163" t="s">
        <v>100</v>
      </c>
      <c r="E161" s="163" t="s">
        <v>121</v>
      </c>
      <c r="F161" s="163" t="s">
        <v>101</v>
      </c>
      <c r="G161" s="163" t="s">
        <v>101</v>
      </c>
      <c r="H161" s="164">
        <f>VLOOKUP(A161,'3. K0215-REFERENCE'!A:D,3,FALSE)</f>
        <v>38451041.090000004</v>
      </c>
      <c r="I161" s="164">
        <f>VLOOKUP(A161,'3. K0215-REFERENCE'!A:D,4,FALSE)</f>
        <v>50455257.939999998</v>
      </c>
      <c r="J161" s="168">
        <f t="shared" si="29"/>
        <v>88906299.030000001</v>
      </c>
      <c r="K161" s="389">
        <v>14033130</v>
      </c>
      <c r="L161" s="389">
        <v>2620</v>
      </c>
      <c r="M161" s="172">
        <f>+L161/(L161+K161)</f>
        <v>1.8666619168907967E-4</v>
      </c>
      <c r="N161" s="173">
        <f>+J161*M161</f>
        <v>16595.800257100618</v>
      </c>
      <c r="O161" s="164">
        <f>+J161-N161</f>
        <v>88889703.2297429</v>
      </c>
      <c r="P161" s="167">
        <f t="shared" si="30"/>
        <v>1705663.16</v>
      </c>
      <c r="Q161" s="164">
        <f t="shared" si="31"/>
        <v>90595366.389742896</v>
      </c>
      <c r="R161" s="172"/>
      <c r="S161" s="172"/>
    </row>
    <row r="162" spans="1:19" ht="15.6" outlineLevel="4">
      <c r="A162" s="169" t="s">
        <v>1000</v>
      </c>
      <c r="B162" s="162" t="s">
        <v>597</v>
      </c>
      <c r="C162" s="163" t="s">
        <v>466</v>
      </c>
      <c r="D162" s="163" t="s">
        <v>100</v>
      </c>
      <c r="E162" s="163" t="s">
        <v>121</v>
      </c>
      <c r="F162" s="163" t="s">
        <v>101</v>
      </c>
      <c r="G162" s="163" t="s">
        <v>101</v>
      </c>
      <c r="H162" s="164">
        <f>VLOOKUP(A162,'3. K0215-REFERENCE'!A:D,3,FALSE)</f>
        <v>140912.12</v>
      </c>
      <c r="I162" s="164">
        <f>VLOOKUP(A162,'3. K0215-REFERENCE'!A:D,4,FALSE)</f>
        <v>278924.81</v>
      </c>
      <c r="J162" s="168">
        <f t="shared" si="29"/>
        <v>419836.93</v>
      </c>
      <c r="K162" s="389">
        <v>14033130</v>
      </c>
      <c r="L162" s="389">
        <v>2620</v>
      </c>
      <c r="M162" s="172">
        <f>+L162/(L162+K162)</f>
        <v>1.8666619168907967E-4</v>
      </c>
      <c r="N162" s="173">
        <f>+J162*M162</f>
        <v>78.369360853534715</v>
      </c>
      <c r="O162" s="164">
        <f>+J162-N162</f>
        <v>419758.56063914648</v>
      </c>
      <c r="P162" s="167">
        <f t="shared" si="30"/>
        <v>8054.55</v>
      </c>
      <c r="Q162" s="164">
        <f t="shared" si="31"/>
        <v>427813.11063914647</v>
      </c>
      <c r="R162" s="172"/>
      <c r="S162" s="172"/>
    </row>
    <row r="163" spans="1:19" ht="15.6" outlineLevel="4">
      <c r="A163" s="169" t="s">
        <v>1001</v>
      </c>
      <c r="B163" s="162" t="s">
        <v>598</v>
      </c>
      <c r="C163" s="163" t="s">
        <v>466</v>
      </c>
      <c r="D163" s="163" t="s">
        <v>100</v>
      </c>
      <c r="E163" s="163" t="s">
        <v>121</v>
      </c>
      <c r="F163" s="163" t="s">
        <v>101</v>
      </c>
      <c r="G163" s="163" t="s">
        <v>101</v>
      </c>
      <c r="H163" s="164"/>
      <c r="I163" s="164"/>
      <c r="J163" s="168">
        <f t="shared" si="29"/>
        <v>0</v>
      </c>
      <c r="K163" s="389">
        <v>14033130</v>
      </c>
      <c r="L163" s="389">
        <v>2620</v>
      </c>
      <c r="M163" s="172">
        <f>IFERROR(+L163/(L163+K163),0)</f>
        <v>1.8666619168907967E-4</v>
      </c>
      <c r="N163" s="173">
        <f>+J163*M163</f>
        <v>0</v>
      </c>
      <c r="O163" s="164">
        <f>+J163-N163</f>
        <v>0</v>
      </c>
      <c r="P163" s="167">
        <f t="shared" si="30"/>
        <v>0</v>
      </c>
      <c r="Q163" s="164">
        <f t="shared" si="31"/>
        <v>0</v>
      </c>
      <c r="R163" s="172"/>
      <c r="S163" s="172"/>
    </row>
    <row r="164" spans="1:19" ht="15.6" outlineLevel="4">
      <c r="A164" s="169" t="s">
        <v>1002</v>
      </c>
      <c r="B164" s="162" t="s">
        <v>683</v>
      </c>
      <c r="C164" s="163" t="s">
        <v>466</v>
      </c>
      <c r="D164" s="163" t="s">
        <v>100</v>
      </c>
      <c r="E164" s="163" t="s">
        <v>121</v>
      </c>
      <c r="F164" s="163" t="s">
        <v>101</v>
      </c>
      <c r="G164" s="163" t="s">
        <v>101</v>
      </c>
      <c r="H164" s="164"/>
      <c r="I164" s="164"/>
      <c r="J164" s="168">
        <f t="shared" si="29"/>
        <v>0</v>
      </c>
      <c r="K164" s="389">
        <v>14033130</v>
      </c>
      <c r="L164" s="389">
        <v>2620</v>
      </c>
      <c r="M164" s="172">
        <f>IFERROR(+L164/(L164+K164),0)</f>
        <v>1.8666619168907967E-4</v>
      </c>
      <c r="N164" s="173">
        <f>+J164*M164</f>
        <v>0</v>
      </c>
      <c r="O164" s="164">
        <f>+J164-N164</f>
        <v>0</v>
      </c>
      <c r="P164" s="167">
        <f t="shared" si="30"/>
        <v>0</v>
      </c>
      <c r="Q164" s="164">
        <f t="shared" si="31"/>
        <v>0</v>
      </c>
      <c r="R164" s="172"/>
      <c r="S164" s="172"/>
    </row>
    <row r="165" spans="1:19" ht="15.6" outlineLevel="4">
      <c r="A165" s="169" t="s">
        <v>1003</v>
      </c>
      <c r="B165" s="162" t="s">
        <v>684</v>
      </c>
      <c r="C165" s="163" t="s">
        <v>466</v>
      </c>
      <c r="D165" s="163" t="s">
        <v>100</v>
      </c>
      <c r="E165" s="163" t="s">
        <v>121</v>
      </c>
      <c r="F165" s="163" t="s">
        <v>101</v>
      </c>
      <c r="G165" s="163" t="s">
        <v>101</v>
      </c>
      <c r="H165" s="164"/>
      <c r="I165" s="164"/>
      <c r="J165" s="168">
        <f t="shared" si="29"/>
        <v>0</v>
      </c>
      <c r="K165" s="389">
        <v>14033130</v>
      </c>
      <c r="L165" s="389">
        <v>2620</v>
      </c>
      <c r="M165" s="172">
        <v>0</v>
      </c>
      <c r="N165" s="173">
        <f>+J165*M165</f>
        <v>0</v>
      </c>
      <c r="O165" s="164">
        <f>+J165-N165</f>
        <v>0</v>
      </c>
      <c r="P165" s="167">
        <f t="shared" si="30"/>
        <v>0</v>
      </c>
      <c r="Q165" s="164">
        <f t="shared" si="31"/>
        <v>0</v>
      </c>
      <c r="R165" s="172"/>
      <c r="S165" s="172"/>
    </row>
    <row r="166" spans="1:19" ht="15.6" outlineLevel="4">
      <c r="A166" s="169" t="s">
        <v>1004</v>
      </c>
      <c r="B166" s="162" t="s">
        <v>583</v>
      </c>
      <c r="C166" s="163" t="s">
        <v>466</v>
      </c>
      <c r="D166" s="163" t="s">
        <v>100</v>
      </c>
      <c r="E166" s="163" t="s">
        <v>121</v>
      </c>
      <c r="F166" s="163" t="s">
        <v>101</v>
      </c>
      <c r="G166" s="163" t="s">
        <v>101</v>
      </c>
      <c r="H166" s="164"/>
      <c r="I166" s="164"/>
      <c r="J166" s="168">
        <f t="shared" si="29"/>
        <v>0</v>
      </c>
      <c r="K166" s="389">
        <v>14033130</v>
      </c>
      <c r="L166" s="389">
        <v>2620</v>
      </c>
      <c r="M166" s="172">
        <f>+L166/(L166+K166)</f>
        <v>1.8666619168907967E-4</v>
      </c>
      <c r="N166" s="173">
        <f>+J166*M166</f>
        <v>0</v>
      </c>
      <c r="O166" s="164">
        <f>+J166-N166</f>
        <v>0</v>
      </c>
      <c r="P166" s="167">
        <f t="shared" si="30"/>
        <v>0</v>
      </c>
      <c r="Q166" s="164">
        <f t="shared" si="31"/>
        <v>0</v>
      </c>
      <c r="R166" s="172"/>
      <c r="S166" s="172"/>
    </row>
    <row r="167" spans="1:19" ht="15.6" outlineLevel="4">
      <c r="A167" s="169" t="s">
        <v>1005</v>
      </c>
      <c r="B167" s="162" t="s">
        <v>685</v>
      </c>
      <c r="C167" s="163" t="s">
        <v>466</v>
      </c>
      <c r="D167" s="163" t="s">
        <v>100</v>
      </c>
      <c r="E167" s="163" t="s">
        <v>121</v>
      </c>
      <c r="F167" s="163" t="s">
        <v>101</v>
      </c>
      <c r="G167" s="163" t="s">
        <v>101</v>
      </c>
      <c r="H167" s="164">
        <f>VLOOKUP(A167,'3. K0215-REFERENCE'!A:D,3,FALSE)</f>
        <v>44388.21</v>
      </c>
      <c r="I167" s="164">
        <f>VLOOKUP(A167,'3. K0215-REFERENCE'!A:D,4,FALSE)</f>
        <v>238720.53</v>
      </c>
      <c r="J167" s="168">
        <f t="shared" si="29"/>
        <v>283108.74</v>
      </c>
      <c r="K167" s="389">
        <v>14033130</v>
      </c>
      <c r="L167" s="389">
        <v>2620</v>
      </c>
      <c r="M167" s="172">
        <f>+L167/(L167+K167)</f>
        <v>1.8666619168907967E-4</v>
      </c>
      <c r="N167" s="173">
        <f>+J167*M167</f>
        <v>52.846830329693816</v>
      </c>
      <c r="O167" s="164">
        <f>+J167-N167</f>
        <v>283055.89316967031</v>
      </c>
      <c r="P167" s="167">
        <f t="shared" si="30"/>
        <v>5431.43</v>
      </c>
      <c r="Q167" s="164">
        <f t="shared" si="31"/>
        <v>288487.3231696703</v>
      </c>
      <c r="R167" s="172"/>
      <c r="S167" s="172"/>
    </row>
    <row r="168" spans="1:19" ht="15.6" outlineLevel="4">
      <c r="A168" s="169" t="s">
        <v>1006</v>
      </c>
      <c r="B168" s="162" t="s">
        <v>599</v>
      </c>
      <c r="C168" s="163" t="s">
        <v>466</v>
      </c>
      <c r="D168" s="163" t="s">
        <v>100</v>
      </c>
      <c r="E168" s="163" t="s">
        <v>121</v>
      </c>
      <c r="F168" s="163" t="s">
        <v>101</v>
      </c>
      <c r="G168" s="163" t="s">
        <v>101</v>
      </c>
      <c r="H168" s="164">
        <f>VLOOKUP(A168,'3. K0215-REFERENCE'!A:D,3,FALSE)</f>
        <v>11680.84</v>
      </c>
      <c r="I168" s="164">
        <f>VLOOKUP(A168,'3. K0215-REFERENCE'!A:D,4,FALSE)</f>
        <v>82798.45</v>
      </c>
      <c r="J168" s="168">
        <f t="shared" si="29"/>
        <v>94479.29</v>
      </c>
      <c r="K168" s="389">
        <v>14033130</v>
      </c>
      <c r="L168" s="389">
        <v>2620</v>
      </c>
      <c r="M168" s="172">
        <f>+L168/(L168+K168)</f>
        <v>1.8666619168907967E-4</v>
      </c>
      <c r="N168" s="173">
        <f>+J168*M168</f>
        <v>17.636089257788147</v>
      </c>
      <c r="O168" s="164">
        <f>+J168-N168</f>
        <v>94461.6539107422</v>
      </c>
      <c r="P168" s="167">
        <f t="shared" si="30"/>
        <v>1812.58</v>
      </c>
      <c r="Q168" s="164">
        <f t="shared" si="31"/>
        <v>96274.233910742201</v>
      </c>
      <c r="R168" s="172"/>
      <c r="S168" s="172"/>
    </row>
    <row r="169" spans="1:19" ht="15.6" outlineLevel="4">
      <c r="A169" s="169" t="s">
        <v>1007</v>
      </c>
      <c r="B169" s="162" t="s">
        <v>686</v>
      </c>
      <c r="C169" s="163" t="s">
        <v>466</v>
      </c>
      <c r="D169" s="163" t="s">
        <v>100</v>
      </c>
      <c r="E169" s="163" t="s">
        <v>121</v>
      </c>
      <c r="F169" s="163" t="s">
        <v>101</v>
      </c>
      <c r="G169" s="163" t="s">
        <v>101</v>
      </c>
      <c r="H169" s="164">
        <f>VLOOKUP(A169,'3. K0215-REFERENCE'!A:D,3,FALSE)</f>
        <v>277843.49</v>
      </c>
      <c r="I169" s="164">
        <f>VLOOKUP(A169,'3. K0215-REFERENCE'!A:D,4,FALSE)</f>
        <v>624322.56000000006</v>
      </c>
      <c r="J169" s="168">
        <f t="shared" si="29"/>
        <v>902166.05</v>
      </c>
      <c r="K169" s="389">
        <v>14033130</v>
      </c>
      <c r="L169" s="389">
        <v>2620</v>
      </c>
      <c r="M169" s="172">
        <f>+L169/(L169+K169)</f>
        <v>1.8666619168907967E-4</v>
      </c>
      <c r="N169" s="173">
        <f>+J169*M169</f>
        <v>168.40390082467985</v>
      </c>
      <c r="O169" s="164">
        <f>+J169-N169</f>
        <v>901997.64609917533</v>
      </c>
      <c r="P169" s="167">
        <f t="shared" si="30"/>
        <v>17308.009999999998</v>
      </c>
      <c r="Q169" s="164">
        <f t="shared" si="31"/>
        <v>919305.65609917534</v>
      </c>
      <c r="R169" s="172"/>
      <c r="S169" s="172"/>
    </row>
    <row r="170" spans="1:19" ht="15.6" outlineLevel="4">
      <c r="A170" s="169" t="s">
        <v>1008</v>
      </c>
      <c r="B170" s="162" t="s">
        <v>513</v>
      </c>
      <c r="C170" s="163" t="s">
        <v>466</v>
      </c>
      <c r="D170" s="163" t="s">
        <v>100</v>
      </c>
      <c r="E170" s="163" t="s">
        <v>121</v>
      </c>
      <c r="F170" s="163" t="s">
        <v>101</v>
      </c>
      <c r="G170" s="163" t="s">
        <v>101</v>
      </c>
      <c r="H170" s="164">
        <f>VLOOKUP(A170,'3. K0215-REFERENCE'!A:D,3,FALSE)</f>
        <v>27050847.399999999</v>
      </c>
      <c r="I170" s="164">
        <f>VLOOKUP(A170,'3. K0215-REFERENCE'!A:D,4,FALSE)</f>
        <v>50188597.240000002</v>
      </c>
      <c r="J170" s="168">
        <f t="shared" si="29"/>
        <v>77239444.640000001</v>
      </c>
      <c r="K170" s="389">
        <v>14033130</v>
      </c>
      <c r="L170" s="389">
        <v>2620</v>
      </c>
      <c r="M170" s="172">
        <f>+L170/(L170+K170)</f>
        <v>1.8666619168907967E-4</v>
      </c>
      <c r="N170" s="173">
        <f>+J170*M170</f>
        <v>14417.992979128298</v>
      </c>
      <c r="O170" s="164">
        <f>+J170-N170</f>
        <v>77225026.647020876</v>
      </c>
      <c r="P170" s="167">
        <f t="shared" si="30"/>
        <v>1481835.11</v>
      </c>
      <c r="Q170" s="164">
        <f t="shared" si="31"/>
        <v>78706861.757020876</v>
      </c>
      <c r="R170" s="172"/>
      <c r="S170" s="172"/>
    </row>
    <row r="171" spans="1:19" ht="15.6" outlineLevel="4">
      <c r="A171" s="179" t="s">
        <v>1009</v>
      </c>
      <c r="B171" s="172" t="s">
        <v>63</v>
      </c>
      <c r="C171" s="163" t="s">
        <v>466</v>
      </c>
      <c r="D171" s="210" t="s">
        <v>100</v>
      </c>
      <c r="E171" s="210" t="s">
        <v>121</v>
      </c>
      <c r="F171" s="210" t="s">
        <v>101</v>
      </c>
      <c r="G171" s="210" t="s">
        <v>101</v>
      </c>
      <c r="H171" s="164">
        <f>VLOOKUP(A171,'3. K0215-REFERENCE'!A:D,3,FALSE)</f>
        <v>1868050.33</v>
      </c>
      <c r="I171" s="164">
        <f>VLOOKUP(A171,'3. K0215-REFERENCE'!A:D,4,FALSE)</f>
        <v>846824.9</v>
      </c>
      <c r="J171" s="168">
        <f t="shared" si="29"/>
        <v>2714875.23</v>
      </c>
      <c r="K171" s="389">
        <v>14033130</v>
      </c>
      <c r="L171" s="389">
        <v>2620</v>
      </c>
      <c r="M171" s="172">
        <f>+L171/(L171+K171)</f>
        <v>1.8666619168907967E-4</v>
      </c>
      <c r="N171" s="173">
        <f>+J171*M171</f>
        <v>506.77542009511427</v>
      </c>
      <c r="O171" s="164">
        <f>+J171-N171</f>
        <v>2714368.4545799047</v>
      </c>
      <c r="P171" s="167">
        <f t="shared" si="30"/>
        <v>52084.75</v>
      </c>
      <c r="Q171" s="164">
        <f t="shared" si="31"/>
        <v>2766453.2045799047</v>
      </c>
      <c r="R171" s="172"/>
      <c r="S171" s="172"/>
    </row>
    <row r="172" spans="1:19" s="38" customFormat="1" ht="15.6" outlineLevel="4">
      <c r="A172" s="169" t="s">
        <v>1010</v>
      </c>
      <c r="B172" s="162" t="s">
        <v>515</v>
      </c>
      <c r="C172" s="163" t="s">
        <v>466</v>
      </c>
      <c r="D172" s="163" t="s">
        <v>100</v>
      </c>
      <c r="E172" s="163" t="s">
        <v>121</v>
      </c>
      <c r="F172" s="163" t="s">
        <v>101</v>
      </c>
      <c r="G172" s="163" t="s">
        <v>101</v>
      </c>
      <c r="H172" s="164">
        <f>VLOOKUP(A172,'3. K0215-REFERENCE'!A:D,3,FALSE)</f>
        <v>17931286.920000002</v>
      </c>
      <c r="I172" s="164">
        <f>VLOOKUP(A172,'3. K0215-REFERENCE'!A:D,4,FALSE)</f>
        <v>24612062.899999999</v>
      </c>
      <c r="J172" s="168">
        <f t="shared" si="29"/>
        <v>42543349.82</v>
      </c>
      <c r="K172" s="389">
        <v>14033130</v>
      </c>
      <c r="L172" s="389">
        <v>2620</v>
      </c>
      <c r="M172" s="172">
        <f>+L172/(L172+K172)</f>
        <v>1.8666619168907967E-4</v>
      </c>
      <c r="N172" s="173">
        <f>+J172*M172</f>
        <v>7941.4050925956926</v>
      </c>
      <c r="O172" s="164">
        <f>+J172-N172</f>
        <v>42535408.414907403</v>
      </c>
      <c r="P172" s="167">
        <f t="shared" si="30"/>
        <v>816192.16</v>
      </c>
      <c r="Q172" s="164">
        <f t="shared" si="31"/>
        <v>43351600.5749074</v>
      </c>
      <c r="R172" s="162"/>
      <c r="S172" s="162"/>
    </row>
    <row r="173" spans="1:19" s="40" customFormat="1" ht="15.6" outlineLevel="4">
      <c r="A173" s="180" t="s">
        <v>1011</v>
      </c>
      <c r="B173" s="181" t="s">
        <v>63</v>
      </c>
      <c r="C173" s="163" t="s">
        <v>466</v>
      </c>
      <c r="D173" s="182" t="s">
        <v>100</v>
      </c>
      <c r="E173" s="182" t="s">
        <v>121</v>
      </c>
      <c r="F173" s="182" t="s">
        <v>101</v>
      </c>
      <c r="G173" s="182" t="s">
        <v>101</v>
      </c>
      <c r="H173" s="164"/>
      <c r="I173" s="164"/>
      <c r="J173" s="168">
        <f t="shared" si="29"/>
        <v>0</v>
      </c>
      <c r="K173" s="389">
        <v>14033130</v>
      </c>
      <c r="L173" s="389">
        <v>2620</v>
      </c>
      <c r="M173" s="172">
        <f>IFERROR(+L173/(L173+K173),0)</f>
        <v>1.8666619168907967E-4</v>
      </c>
      <c r="N173" s="173">
        <f>+J173*M173</f>
        <v>0</v>
      </c>
      <c r="O173" s="164">
        <f>+J173-N173</f>
        <v>0</v>
      </c>
      <c r="P173" s="167">
        <f t="shared" si="30"/>
        <v>0</v>
      </c>
      <c r="Q173" s="164">
        <f t="shared" si="31"/>
        <v>0</v>
      </c>
      <c r="R173" s="212"/>
      <c r="S173" s="212"/>
    </row>
    <row r="174" spans="1:19" ht="15.6" outlineLevel="4">
      <c r="A174" s="169" t="s">
        <v>1012</v>
      </c>
      <c r="B174" s="162" t="s">
        <v>517</v>
      </c>
      <c r="C174" s="163" t="s">
        <v>466</v>
      </c>
      <c r="D174" s="163" t="s">
        <v>100</v>
      </c>
      <c r="E174" s="163" t="s">
        <v>121</v>
      </c>
      <c r="F174" s="163" t="s">
        <v>101</v>
      </c>
      <c r="G174" s="163" t="s">
        <v>101</v>
      </c>
      <c r="H174" s="164">
        <f>VLOOKUP(A174,'3. K0215-REFERENCE'!A:D,3,FALSE)</f>
        <v>9315598.1199999992</v>
      </c>
      <c r="I174" s="164">
        <f>VLOOKUP(A174,'3. K0215-REFERENCE'!A:D,4,FALSE)</f>
        <v>11929644.439999999</v>
      </c>
      <c r="J174" s="168">
        <f t="shared" si="29"/>
        <v>21245242.559999999</v>
      </c>
      <c r="K174" s="389">
        <v>14033130</v>
      </c>
      <c r="L174" s="389">
        <v>2620</v>
      </c>
      <c r="M174" s="172">
        <f>+L174/(L174+K174)</f>
        <v>1.8666619168907967E-4</v>
      </c>
      <c r="N174" s="173">
        <f>+J174*M174</f>
        <v>3965.7685201859535</v>
      </c>
      <c r="O174" s="164">
        <f>+J174-N174</f>
        <v>21241276.791479811</v>
      </c>
      <c r="P174" s="167">
        <f t="shared" si="30"/>
        <v>407588.98</v>
      </c>
      <c r="Q174" s="164">
        <f t="shared" si="31"/>
        <v>21648865.771479812</v>
      </c>
      <c r="R174" s="172"/>
      <c r="S174" s="172"/>
    </row>
    <row r="175" spans="1:19" ht="15.6" outlineLevel="4">
      <c r="A175" s="169" t="s">
        <v>1013</v>
      </c>
      <c r="B175" s="162" t="s">
        <v>70</v>
      </c>
      <c r="C175" s="163" t="s">
        <v>466</v>
      </c>
      <c r="D175" s="163" t="s">
        <v>100</v>
      </c>
      <c r="E175" s="163" t="s">
        <v>121</v>
      </c>
      <c r="F175" s="163" t="s">
        <v>101</v>
      </c>
      <c r="G175" s="163" t="s">
        <v>101</v>
      </c>
      <c r="H175" s="164"/>
      <c r="I175" s="164"/>
      <c r="J175" s="168">
        <f t="shared" si="29"/>
        <v>0</v>
      </c>
      <c r="K175" s="389">
        <v>14033130</v>
      </c>
      <c r="L175" s="389">
        <v>2620</v>
      </c>
      <c r="M175" s="172">
        <f>IFERROR(+L175/(L175+K175),0)</f>
        <v>1.8666619168907967E-4</v>
      </c>
      <c r="N175" s="173">
        <f>+J175*M175</f>
        <v>0</v>
      </c>
      <c r="O175" s="164">
        <f>+J175-N175</f>
        <v>0</v>
      </c>
      <c r="P175" s="167">
        <f t="shared" si="30"/>
        <v>0</v>
      </c>
      <c r="Q175" s="164">
        <f t="shared" si="31"/>
        <v>0</v>
      </c>
      <c r="R175" s="172"/>
      <c r="S175" s="172"/>
    </row>
    <row r="176" spans="1:19" s="52" customFormat="1" ht="15.6" outlineLevel="4">
      <c r="A176" s="161" t="s">
        <v>1014</v>
      </c>
      <c r="B176" s="183" t="s">
        <v>511</v>
      </c>
      <c r="C176" s="163" t="s">
        <v>466</v>
      </c>
      <c r="D176" s="184" t="s">
        <v>100</v>
      </c>
      <c r="E176" s="184" t="s">
        <v>121</v>
      </c>
      <c r="F176" s="184" t="s">
        <v>101</v>
      </c>
      <c r="G176" s="184" t="s">
        <v>101</v>
      </c>
      <c r="H176" s="164">
        <f>VLOOKUP(A176,'3. K0215-REFERENCE'!A:D,3,FALSE)</f>
        <v>153497.09</v>
      </c>
      <c r="I176" s="164">
        <f>VLOOKUP(A176,'3. K0215-REFERENCE'!A:D,4,FALSE)</f>
        <v>258562.61</v>
      </c>
      <c r="J176" s="168">
        <f t="shared" si="29"/>
        <v>412059.69999999995</v>
      </c>
      <c r="K176" s="389">
        <v>14033130</v>
      </c>
      <c r="L176" s="389">
        <v>2620</v>
      </c>
      <c r="M176" s="172">
        <f>+L176/(L176+K176)</f>
        <v>1.8666619168907967E-4</v>
      </c>
      <c r="N176" s="173">
        <f>+J176*M176</f>
        <v>76.917614947544649</v>
      </c>
      <c r="O176" s="164">
        <f>+J176-N176</f>
        <v>411982.78238505241</v>
      </c>
      <c r="P176" s="167">
        <f t="shared" si="30"/>
        <v>7905.35</v>
      </c>
      <c r="Q176" s="164">
        <f t="shared" si="31"/>
        <v>419888.13238505239</v>
      </c>
      <c r="R176" s="186"/>
      <c r="S176" s="186"/>
    </row>
    <row r="177" spans="1:19" s="52" customFormat="1" ht="15.6" outlineLevel="4">
      <c r="A177" s="161" t="s">
        <v>1015</v>
      </c>
      <c r="B177" s="183" t="s">
        <v>518</v>
      </c>
      <c r="C177" s="163" t="s">
        <v>466</v>
      </c>
      <c r="D177" s="184" t="s">
        <v>100</v>
      </c>
      <c r="E177" s="184" t="s">
        <v>121</v>
      </c>
      <c r="F177" s="184" t="s">
        <v>101</v>
      </c>
      <c r="G177" s="184" t="s">
        <v>101</v>
      </c>
      <c r="H177" s="164">
        <f>VLOOKUP(A177,'3. K0215-REFERENCE'!A:D,3,FALSE)</f>
        <v>1.53</v>
      </c>
      <c r="I177" s="164">
        <f>VLOOKUP(A177,'3. K0215-REFERENCE'!A:D,4,FALSE)</f>
        <v>172089.69</v>
      </c>
      <c r="J177" s="168">
        <f t="shared" si="29"/>
        <v>172091.22</v>
      </c>
      <c r="K177" s="389">
        <v>14033130</v>
      </c>
      <c r="L177" s="389">
        <v>2620</v>
      </c>
      <c r="M177" s="172">
        <f>+L177/(L177+K177)</f>
        <v>1.8666619168907967E-4</v>
      </c>
      <c r="N177" s="173">
        <f>+J177*M177</f>
        <v>32.123612660527584</v>
      </c>
      <c r="O177" s="164">
        <f>+J177-N177</f>
        <v>172059.09638733946</v>
      </c>
      <c r="P177" s="167">
        <f t="shared" si="30"/>
        <v>3301.56</v>
      </c>
      <c r="Q177" s="164">
        <f t="shared" si="31"/>
        <v>175360.65638733946</v>
      </c>
      <c r="R177" s="186"/>
      <c r="S177" s="186"/>
    </row>
    <row r="178" spans="1:19" s="52" customFormat="1" ht="15.6" outlineLevel="4">
      <c r="A178" s="161" t="s">
        <v>1016</v>
      </c>
      <c r="B178" s="183" t="s">
        <v>523</v>
      </c>
      <c r="C178" s="163" t="s">
        <v>466</v>
      </c>
      <c r="D178" s="184" t="s">
        <v>100</v>
      </c>
      <c r="E178" s="184" t="s">
        <v>121</v>
      </c>
      <c r="F178" s="184" t="s">
        <v>101</v>
      </c>
      <c r="G178" s="184" t="s">
        <v>101</v>
      </c>
      <c r="H178" s="164">
        <f>VLOOKUP(A178,'3. K0215-REFERENCE'!A:D,3,FALSE)</f>
        <v>1418.35</v>
      </c>
      <c r="I178" s="164">
        <f>VLOOKUP(A178,'3. K0215-REFERENCE'!A:D,4,FALSE)</f>
        <v>241995.21</v>
      </c>
      <c r="J178" s="168">
        <f t="shared" si="29"/>
        <v>243413.56</v>
      </c>
      <c r="K178" s="389">
        <v>14033130</v>
      </c>
      <c r="L178" s="389">
        <v>2620</v>
      </c>
      <c r="M178" s="172">
        <f>+L178/(L178+K178)</f>
        <v>1.8666619168907967E-4</v>
      </c>
      <c r="N178" s="173">
        <f>+J178*M178</f>
        <v>45.437082250681293</v>
      </c>
      <c r="O178" s="164">
        <f>+J178-N178</f>
        <v>243368.12291774931</v>
      </c>
      <c r="P178" s="167">
        <f t="shared" si="30"/>
        <v>4669.88</v>
      </c>
      <c r="Q178" s="164">
        <f t="shared" si="31"/>
        <v>248038.00291774931</v>
      </c>
      <c r="R178" s="186"/>
      <c r="S178" s="186"/>
    </row>
    <row r="179" spans="1:19" ht="15.6" outlineLevel="4">
      <c r="A179" s="161" t="s">
        <v>1017</v>
      </c>
      <c r="B179" s="162" t="s">
        <v>680</v>
      </c>
      <c r="C179" s="163" t="s">
        <v>466</v>
      </c>
      <c r="D179" s="163" t="s">
        <v>100</v>
      </c>
      <c r="E179" s="163" t="s">
        <v>121</v>
      </c>
      <c r="F179" s="163" t="s">
        <v>101</v>
      </c>
      <c r="G179" s="163" t="s">
        <v>101</v>
      </c>
      <c r="H179" s="164">
        <f>VLOOKUP(A179,'3. K0215-REFERENCE'!A:D,3,FALSE)</f>
        <v>4547127.92</v>
      </c>
      <c r="I179" s="164">
        <f>VLOOKUP(A179,'3. K0215-REFERENCE'!A:D,4,FALSE)</f>
        <v>11574901.57</v>
      </c>
      <c r="J179" s="168">
        <f t="shared" si="29"/>
        <v>16122029.49</v>
      </c>
      <c r="K179" s="389">
        <v>14033130</v>
      </c>
      <c r="L179" s="389">
        <v>2620</v>
      </c>
      <c r="M179" s="172">
        <f>+L179/(L179+K179)</f>
        <v>1.8666619168907967E-4</v>
      </c>
      <c r="N179" s="173">
        <f>+J179*M179</f>
        <v>3009.4378471973355</v>
      </c>
      <c r="O179" s="164">
        <f>+J179-N179</f>
        <v>16119020.052152803</v>
      </c>
      <c r="P179" s="167">
        <f t="shared" si="30"/>
        <v>309300.38</v>
      </c>
      <c r="Q179" s="164">
        <f t="shared" si="31"/>
        <v>16428320.432152804</v>
      </c>
      <c r="R179" s="172"/>
      <c r="S179" s="172"/>
    </row>
    <row r="180" spans="1:19" ht="15.6" outlineLevel="4">
      <c r="A180" s="161" t="s">
        <v>1018</v>
      </c>
      <c r="B180" s="162" t="s">
        <v>304</v>
      </c>
      <c r="C180" s="163" t="s">
        <v>466</v>
      </c>
      <c r="D180" s="163" t="s">
        <v>100</v>
      </c>
      <c r="E180" s="163" t="s">
        <v>121</v>
      </c>
      <c r="F180" s="163" t="s">
        <v>101</v>
      </c>
      <c r="G180" s="163" t="s">
        <v>101</v>
      </c>
      <c r="H180" s="164">
        <f>VLOOKUP(A180,'3. K0215-REFERENCE'!A:D,3,FALSE)</f>
        <v>25475442.100000001</v>
      </c>
      <c r="I180" s="164">
        <f>VLOOKUP(A180,'3. K0215-REFERENCE'!A:D,4,FALSE)</f>
        <v>35478278.859999999</v>
      </c>
      <c r="J180" s="168">
        <f t="shared" si="29"/>
        <v>60953720.960000001</v>
      </c>
      <c r="K180" s="389">
        <v>14033130</v>
      </c>
      <c r="L180" s="389">
        <v>2620</v>
      </c>
      <c r="M180" s="172">
        <f>+L180/(L180+K180)</f>
        <v>1.8666619168907967E-4</v>
      </c>
      <c r="N180" s="173">
        <f>+J180*M180</f>
        <v>11377.998960882032</v>
      </c>
      <c r="O180" s="164">
        <f>+J180-N180</f>
        <v>60942342.961039118</v>
      </c>
      <c r="P180" s="167">
        <f t="shared" si="30"/>
        <v>1169394.27</v>
      </c>
      <c r="Q180" s="164">
        <f t="shared" si="31"/>
        <v>62111737.231039122</v>
      </c>
      <c r="R180" s="172"/>
      <c r="S180" s="172"/>
    </row>
    <row r="181" spans="1:19" ht="15.6" outlineLevel="4">
      <c r="A181" s="161" t="s">
        <v>1019</v>
      </c>
      <c r="B181" s="162" t="s">
        <v>533</v>
      </c>
      <c r="C181" s="163" t="s">
        <v>466</v>
      </c>
      <c r="D181" s="163" t="s">
        <v>100</v>
      </c>
      <c r="E181" s="163" t="s">
        <v>121</v>
      </c>
      <c r="F181" s="163" t="s">
        <v>101</v>
      </c>
      <c r="G181" s="163" t="s">
        <v>101</v>
      </c>
      <c r="H181" s="164">
        <f>VLOOKUP(A181,'3. K0215-REFERENCE'!A:D,3,FALSE)</f>
        <v>1089174.51</v>
      </c>
      <c r="I181" s="164">
        <f>VLOOKUP(A181,'3. K0215-REFERENCE'!A:D,4,FALSE)</f>
        <v>2146237.35</v>
      </c>
      <c r="J181" s="168">
        <f t="shared" si="29"/>
        <v>3235411.8600000003</v>
      </c>
      <c r="K181" s="389">
        <v>14033130</v>
      </c>
      <c r="L181" s="389">
        <v>2620</v>
      </c>
      <c r="M181" s="172">
        <f>+L181/(L181+K181)</f>
        <v>1.8666619168907967E-4</v>
      </c>
      <c r="N181" s="173">
        <f>+J181*M181</f>
        <v>603.94201045188186</v>
      </c>
      <c r="O181" s="164">
        <f>+J181-N181</f>
        <v>3234807.9179895483</v>
      </c>
      <c r="P181" s="167">
        <f t="shared" si="30"/>
        <v>62071.22</v>
      </c>
      <c r="Q181" s="164">
        <f t="shared" si="31"/>
        <v>3296879.1379895485</v>
      </c>
      <c r="R181" s="172"/>
      <c r="S181" s="172"/>
    </row>
    <row r="182" spans="1:19" ht="15.6" outlineLevel="4">
      <c r="A182" s="161" t="s">
        <v>1020</v>
      </c>
      <c r="B182" s="162" t="s">
        <v>519</v>
      </c>
      <c r="C182" s="163" t="s">
        <v>466</v>
      </c>
      <c r="D182" s="163" t="s">
        <v>100</v>
      </c>
      <c r="E182" s="163" t="s">
        <v>121</v>
      </c>
      <c r="F182" s="163" t="s">
        <v>101</v>
      </c>
      <c r="G182" s="163" t="s">
        <v>101</v>
      </c>
      <c r="H182" s="164">
        <f>VLOOKUP(A182,'3. K0215-REFERENCE'!A:D,3,FALSE)</f>
        <v>3192691.26</v>
      </c>
      <c r="I182" s="164">
        <f>VLOOKUP(A182,'3. K0215-REFERENCE'!A:D,4,FALSE)</f>
        <v>7014773.1799999997</v>
      </c>
      <c r="J182" s="168">
        <f t="shared" si="29"/>
        <v>10207464.439999999</v>
      </c>
      <c r="K182" s="389">
        <v>14033130</v>
      </c>
      <c r="L182" s="389">
        <v>2620</v>
      </c>
      <c r="M182" s="172">
        <f>+L182/(L182+K182)</f>
        <v>1.8666619168907967E-4</v>
      </c>
      <c r="N182" s="173">
        <f>+J182*M182</f>
        <v>1905.3885138165042</v>
      </c>
      <c r="O182" s="164">
        <f>+J182-N182</f>
        <v>10205559.051486183</v>
      </c>
      <c r="P182" s="167">
        <f t="shared" si="30"/>
        <v>195829.72</v>
      </c>
      <c r="Q182" s="164">
        <f t="shared" si="31"/>
        <v>10401388.771486184</v>
      </c>
      <c r="R182" s="172"/>
      <c r="S182" s="172"/>
    </row>
    <row r="183" spans="1:19" ht="15.6" outlineLevel="4">
      <c r="A183" s="161" t="s">
        <v>1021</v>
      </c>
      <c r="B183" s="162" t="s">
        <v>68</v>
      </c>
      <c r="C183" s="163" t="s">
        <v>466</v>
      </c>
      <c r="D183" s="163" t="s">
        <v>100</v>
      </c>
      <c r="E183" s="163" t="s">
        <v>121</v>
      </c>
      <c r="F183" s="163" t="s">
        <v>101</v>
      </c>
      <c r="G183" s="163" t="s">
        <v>101</v>
      </c>
      <c r="H183" s="164">
        <f>VLOOKUP(A183,'3. K0215-REFERENCE'!A:D,3,FALSE)</f>
        <v>9531410.4800000004</v>
      </c>
      <c r="I183" s="164">
        <f>VLOOKUP(A183,'3. K0215-REFERENCE'!A:D,4,FALSE)</f>
        <v>21623115.920000002</v>
      </c>
      <c r="J183" s="168">
        <f t="shared" si="29"/>
        <v>31154526.400000002</v>
      </c>
      <c r="K183" s="389">
        <v>14033130</v>
      </c>
      <c r="L183" s="389">
        <v>2620</v>
      </c>
      <c r="M183" s="172">
        <f>+L183/(L183+K183)</f>
        <v>1.8666619168907967E-4</v>
      </c>
      <c r="N183" s="173">
        <f>+J183*M183</f>
        <v>5815.4967969648933</v>
      </c>
      <c r="O183" s="164">
        <f>+J183-N183</f>
        <v>31148710.903203037</v>
      </c>
      <c r="P183" s="167">
        <f t="shared" si="30"/>
        <v>597698.12</v>
      </c>
      <c r="Q183" s="164">
        <f t="shared" si="31"/>
        <v>31746409.023203038</v>
      </c>
      <c r="R183" s="172"/>
      <c r="S183" s="172"/>
    </row>
    <row r="184" spans="1:19" ht="15.6" outlineLevel="4">
      <c r="A184" s="161" t="s">
        <v>1022</v>
      </c>
      <c r="B184" s="162" t="s">
        <v>68</v>
      </c>
      <c r="C184" s="163" t="s">
        <v>466</v>
      </c>
      <c r="D184" s="163" t="s">
        <v>100</v>
      </c>
      <c r="E184" s="163" t="s">
        <v>121</v>
      </c>
      <c r="F184" s="163" t="s">
        <v>101</v>
      </c>
      <c r="G184" s="163" t="s">
        <v>101</v>
      </c>
      <c r="H184" s="164"/>
      <c r="I184" s="164"/>
      <c r="J184" s="168">
        <f t="shared" si="29"/>
        <v>0</v>
      </c>
      <c r="K184" s="389">
        <v>14033130</v>
      </c>
      <c r="L184" s="389">
        <v>2620</v>
      </c>
      <c r="M184" s="172">
        <f>IFERROR(+L184/(L184+K184),0)</f>
        <v>1.8666619168907967E-4</v>
      </c>
      <c r="N184" s="173">
        <f>+J184*M184</f>
        <v>0</v>
      </c>
      <c r="O184" s="164">
        <f>+J184-N184</f>
        <v>0</v>
      </c>
      <c r="P184" s="167">
        <f t="shared" si="30"/>
        <v>0</v>
      </c>
      <c r="Q184" s="164">
        <f t="shared" si="31"/>
        <v>0</v>
      </c>
      <c r="R184" s="172"/>
      <c r="S184" s="172"/>
    </row>
    <row r="185" spans="1:19" ht="15.6" outlineLevel="4">
      <c r="A185" s="161" t="s">
        <v>1023</v>
      </c>
      <c r="B185" s="162" t="s">
        <v>64</v>
      </c>
      <c r="C185" s="163" t="s">
        <v>466</v>
      </c>
      <c r="D185" s="163" t="s">
        <v>100</v>
      </c>
      <c r="E185" s="163" t="s">
        <v>121</v>
      </c>
      <c r="F185" s="163" t="s">
        <v>101</v>
      </c>
      <c r="G185" s="163" t="s">
        <v>101</v>
      </c>
      <c r="H185" s="164"/>
      <c r="I185" s="164"/>
      <c r="J185" s="168">
        <f t="shared" si="29"/>
        <v>0</v>
      </c>
      <c r="K185" s="389">
        <v>14033130</v>
      </c>
      <c r="L185" s="389">
        <v>2620</v>
      </c>
      <c r="M185" s="172">
        <f>IFERROR(+L185/(L185+K185),0)</f>
        <v>1.8666619168907967E-4</v>
      </c>
      <c r="N185" s="173">
        <f>+J185*M185</f>
        <v>0</v>
      </c>
      <c r="O185" s="164">
        <f>+J185-N185</f>
        <v>0</v>
      </c>
      <c r="P185" s="167">
        <f t="shared" si="30"/>
        <v>0</v>
      </c>
      <c r="Q185" s="164">
        <f t="shared" si="31"/>
        <v>0</v>
      </c>
      <c r="R185" s="172"/>
      <c r="S185" s="172"/>
    </row>
    <row r="186" spans="1:19" ht="15.6" outlineLevel="4">
      <c r="A186" s="161" t="s">
        <v>1024</v>
      </c>
      <c r="B186" s="162" t="s">
        <v>516</v>
      </c>
      <c r="C186" s="163" t="s">
        <v>466</v>
      </c>
      <c r="D186" s="163" t="s">
        <v>100</v>
      </c>
      <c r="E186" s="163" t="s">
        <v>121</v>
      </c>
      <c r="F186" s="163" t="s">
        <v>101</v>
      </c>
      <c r="G186" s="163" t="s">
        <v>101</v>
      </c>
      <c r="H186" s="164">
        <f>VLOOKUP(A186,'3. K0215-REFERENCE'!A:D,3,FALSE)</f>
        <v>40968261.850000001</v>
      </c>
      <c r="I186" s="164">
        <f>VLOOKUP(A186,'3. K0215-REFERENCE'!A:D,4,FALSE)</f>
        <v>44252923.439999998</v>
      </c>
      <c r="J186" s="168">
        <f t="shared" si="29"/>
        <v>85221185.289999992</v>
      </c>
      <c r="K186" s="389">
        <v>14033130</v>
      </c>
      <c r="L186" s="389">
        <v>2620</v>
      </c>
      <c r="M186" s="172">
        <f>+L186/(L186+K186)</f>
        <v>1.8666619168907967E-4</v>
      </c>
      <c r="N186" s="173">
        <f>+J186*M186</f>
        <v>15907.914109313715</v>
      </c>
      <c r="O186" s="164">
        <f>+J186-N186</f>
        <v>85205277.375890672</v>
      </c>
      <c r="P186" s="167">
        <f t="shared" si="30"/>
        <v>1634964.43</v>
      </c>
      <c r="Q186" s="164">
        <f t="shared" si="31"/>
        <v>86840241.805890679</v>
      </c>
      <c r="R186" s="172"/>
      <c r="S186" s="172"/>
    </row>
    <row r="187" spans="1:19" ht="15.6" outlineLevel="4">
      <c r="A187" s="169" t="s">
        <v>1025</v>
      </c>
      <c r="B187" s="162" t="s">
        <v>69</v>
      </c>
      <c r="C187" s="163" t="s">
        <v>466</v>
      </c>
      <c r="D187" s="163" t="s">
        <v>100</v>
      </c>
      <c r="E187" s="163" t="s">
        <v>121</v>
      </c>
      <c r="F187" s="163" t="s">
        <v>101</v>
      </c>
      <c r="G187" s="163" t="s">
        <v>101</v>
      </c>
      <c r="H187" s="164">
        <f>VLOOKUP(A187,'3. K0215-REFERENCE'!A:D,3,FALSE)</f>
        <v>16963524.300000001</v>
      </c>
      <c r="I187" s="164">
        <f>VLOOKUP(A187,'3. K0215-REFERENCE'!A:D,4,FALSE)</f>
        <v>26780979.210000001</v>
      </c>
      <c r="J187" s="168">
        <f t="shared" si="29"/>
        <v>43744503.510000005</v>
      </c>
      <c r="K187" s="389">
        <v>14033130</v>
      </c>
      <c r="L187" s="389">
        <v>2620</v>
      </c>
      <c r="M187" s="172">
        <f>+L187/(L187+K187)</f>
        <v>1.8666619168907967E-4</v>
      </c>
      <c r="N187" s="173">
        <f>+J187*M187</f>
        <v>8165.6198775412795</v>
      </c>
      <c r="O187" s="164">
        <f>+J187-N187</f>
        <v>43736337.890122466</v>
      </c>
      <c r="P187" s="167">
        <f t="shared" si="30"/>
        <v>839236.24</v>
      </c>
      <c r="Q187" s="164">
        <f t="shared" si="31"/>
        <v>44575574.130122468</v>
      </c>
      <c r="R187" s="172"/>
      <c r="S187" s="172"/>
    </row>
    <row r="188" spans="1:19" ht="15.6" outlineLevel="4">
      <c r="A188" s="169" t="s">
        <v>1026</v>
      </c>
      <c r="B188" s="162" t="s">
        <v>69</v>
      </c>
      <c r="C188" s="163" t="s">
        <v>466</v>
      </c>
      <c r="D188" s="163" t="s">
        <v>100</v>
      </c>
      <c r="E188" s="163" t="s">
        <v>121</v>
      </c>
      <c r="F188" s="163" t="s">
        <v>101</v>
      </c>
      <c r="G188" s="163" t="s">
        <v>101</v>
      </c>
      <c r="H188" s="164"/>
      <c r="I188" s="164"/>
      <c r="J188" s="168">
        <f t="shared" si="29"/>
        <v>0</v>
      </c>
      <c r="K188" s="389">
        <v>14033130</v>
      </c>
      <c r="L188" s="389">
        <v>2620</v>
      </c>
      <c r="M188" s="172">
        <f>IFERROR(+L188/(L188+K188),0)</f>
        <v>1.8666619168907967E-4</v>
      </c>
      <c r="N188" s="173">
        <f>+J188*M188</f>
        <v>0</v>
      </c>
      <c r="O188" s="164">
        <f>+J188-N188</f>
        <v>0</v>
      </c>
      <c r="P188" s="167">
        <f t="shared" si="30"/>
        <v>0</v>
      </c>
      <c r="Q188" s="164">
        <f t="shared" si="31"/>
        <v>0</v>
      </c>
      <c r="R188" s="172"/>
      <c r="S188" s="172"/>
    </row>
    <row r="189" spans="1:19" ht="15.6" outlineLevel="4">
      <c r="A189" s="169" t="s">
        <v>1027</v>
      </c>
      <c r="B189" s="162" t="s">
        <v>505</v>
      </c>
      <c r="C189" s="163" t="s">
        <v>466</v>
      </c>
      <c r="D189" s="163" t="s">
        <v>100</v>
      </c>
      <c r="E189" s="163" t="s">
        <v>121</v>
      </c>
      <c r="F189" s="163" t="s">
        <v>101</v>
      </c>
      <c r="G189" s="163" t="s">
        <v>101</v>
      </c>
      <c r="H189" s="164">
        <f>VLOOKUP(A189,'3. K0215-REFERENCE'!A:D,3,FALSE)</f>
        <v>14991592.439999999</v>
      </c>
      <c r="I189" s="164">
        <f>VLOOKUP(A189,'3. K0215-REFERENCE'!A:D,4,FALSE)</f>
        <v>23433725.809999999</v>
      </c>
      <c r="J189" s="168">
        <f t="shared" si="29"/>
        <v>38425318.25</v>
      </c>
      <c r="K189" s="389">
        <v>14033130</v>
      </c>
      <c r="L189" s="389">
        <v>2620</v>
      </c>
      <c r="M189" s="172">
        <f>+L189/(L189+K189)</f>
        <v>1.8666619168907967E-4</v>
      </c>
      <c r="N189" s="173">
        <f>+J189*M189</f>
        <v>7172.7078221683914</v>
      </c>
      <c r="O189" s="164">
        <f>+J189-N189</f>
        <v>38418145.542177834</v>
      </c>
      <c r="P189" s="167">
        <f t="shared" si="30"/>
        <v>737187.92</v>
      </c>
      <c r="Q189" s="164">
        <f t="shared" si="31"/>
        <v>39155333.462177835</v>
      </c>
      <c r="R189" s="172"/>
      <c r="S189" s="172"/>
    </row>
    <row r="190" spans="1:19" ht="15.6" outlineLevel="4">
      <c r="A190" s="169" t="s">
        <v>1028</v>
      </c>
      <c r="B190" s="162" t="s">
        <v>508</v>
      </c>
      <c r="C190" s="163" t="s">
        <v>466</v>
      </c>
      <c r="D190" s="163" t="s">
        <v>100</v>
      </c>
      <c r="E190" s="163" t="s">
        <v>121</v>
      </c>
      <c r="F190" s="163" t="s">
        <v>101</v>
      </c>
      <c r="G190" s="163" t="s">
        <v>101</v>
      </c>
      <c r="H190" s="164">
        <f>VLOOKUP(A190,'3. K0215-REFERENCE'!A:D,3,FALSE)</f>
        <v>20489904.579999998</v>
      </c>
      <c r="I190" s="164">
        <f>VLOOKUP(A190,'3. K0215-REFERENCE'!A:D,4,FALSE)</f>
        <v>47081564.049999997</v>
      </c>
      <c r="J190" s="168">
        <f t="shared" si="29"/>
        <v>67571468.629999995</v>
      </c>
      <c r="K190" s="389">
        <v>14033130</v>
      </c>
      <c r="L190" s="389">
        <v>2620</v>
      </c>
      <c r="M190" s="172">
        <f>+L190/(L190+K190)</f>
        <v>1.8666619168907967E-4</v>
      </c>
      <c r="N190" s="173">
        <f>+J190*M190</f>
        <v>12613.308716000212</v>
      </c>
      <c r="O190" s="164">
        <f>+J190-N190</f>
        <v>67558855.321283996</v>
      </c>
      <c r="P190" s="167">
        <f t="shared" si="30"/>
        <v>1296355.44</v>
      </c>
      <c r="Q190" s="164">
        <f t="shared" si="31"/>
        <v>68855210.761283994</v>
      </c>
      <c r="R190" s="172"/>
      <c r="S190" s="172"/>
    </row>
    <row r="191" spans="1:19" ht="15.6" outlineLevel="4">
      <c r="A191" s="169" t="s">
        <v>1029</v>
      </c>
      <c r="B191" s="162" t="s">
        <v>524</v>
      </c>
      <c r="C191" s="163" t="s">
        <v>466</v>
      </c>
      <c r="D191" s="163" t="s">
        <v>100</v>
      </c>
      <c r="E191" s="163" t="s">
        <v>121</v>
      </c>
      <c r="F191" s="163" t="s">
        <v>101</v>
      </c>
      <c r="G191" s="163" t="s">
        <v>101</v>
      </c>
      <c r="H191" s="164">
        <f>VLOOKUP(A191,'3. K0215-REFERENCE'!A:D,3,FALSE)</f>
        <v>15761886</v>
      </c>
      <c r="I191" s="164">
        <f>VLOOKUP(A191,'3. K0215-REFERENCE'!A:D,4,FALSE)</f>
        <v>25808314.02</v>
      </c>
      <c r="J191" s="168">
        <f t="shared" si="29"/>
        <v>41570200.019999996</v>
      </c>
      <c r="K191" s="389">
        <v>14033130</v>
      </c>
      <c r="L191" s="389">
        <v>2620</v>
      </c>
      <c r="M191" s="172">
        <f>+L191/(L191+K191)</f>
        <v>1.8666619168907967E-4</v>
      </c>
      <c r="N191" s="173">
        <f>+J191*M191</f>
        <v>7759.7509254867027</v>
      </c>
      <c r="O191" s="164">
        <f>+J191-N191</f>
        <v>41562440.269074507</v>
      </c>
      <c r="P191" s="167">
        <f t="shared" si="30"/>
        <v>797522.33</v>
      </c>
      <c r="Q191" s="164">
        <f t="shared" si="31"/>
        <v>42359962.599074505</v>
      </c>
      <c r="R191" s="172"/>
      <c r="S191" s="172"/>
    </row>
    <row r="192" spans="1:19" ht="15.6" outlineLevel="4">
      <c r="A192" s="169" t="s">
        <v>1030</v>
      </c>
      <c r="B192" s="162" t="s">
        <v>512</v>
      </c>
      <c r="C192" s="163" t="s">
        <v>466</v>
      </c>
      <c r="D192" s="163" t="s">
        <v>100</v>
      </c>
      <c r="E192" s="163" t="s">
        <v>121</v>
      </c>
      <c r="F192" s="163" t="s">
        <v>101</v>
      </c>
      <c r="G192" s="163" t="s">
        <v>101</v>
      </c>
      <c r="H192" s="164">
        <f>VLOOKUP(A192,'3. K0215-REFERENCE'!A:D,3,FALSE)</f>
        <v>23283300.920000002</v>
      </c>
      <c r="I192" s="164">
        <f>VLOOKUP(A192,'3. K0215-REFERENCE'!A:D,4,FALSE)</f>
        <v>49104995.009999998</v>
      </c>
      <c r="J192" s="168">
        <f t="shared" si="29"/>
        <v>72388295.930000007</v>
      </c>
      <c r="K192" s="389">
        <v>14033130</v>
      </c>
      <c r="L192" s="389">
        <v>2620</v>
      </c>
      <c r="M192" s="172">
        <f>+L192/(L192+K192)</f>
        <v>1.8666619168907967E-4</v>
      </c>
      <c r="N192" s="173">
        <f>+J192*M192</f>
        <v>13512.447524115207</v>
      </c>
      <c r="O192" s="164">
        <f>+J192-N192</f>
        <v>72374783.482475892</v>
      </c>
      <c r="P192" s="167">
        <f t="shared" si="30"/>
        <v>1388766.05</v>
      </c>
      <c r="Q192" s="164">
        <f t="shared" si="31"/>
        <v>73763549.532475889</v>
      </c>
      <c r="R192" s="172"/>
      <c r="S192" s="172"/>
    </row>
    <row r="193" spans="1:19" ht="15.6" outlineLevel="4">
      <c r="A193" s="169" t="s">
        <v>1031</v>
      </c>
      <c r="B193" s="162" t="s">
        <v>687</v>
      </c>
      <c r="C193" s="163" t="s">
        <v>466</v>
      </c>
      <c r="D193" s="163" t="s">
        <v>100</v>
      </c>
      <c r="E193" s="163" t="s">
        <v>121</v>
      </c>
      <c r="F193" s="163" t="s">
        <v>101</v>
      </c>
      <c r="G193" s="163" t="s">
        <v>101</v>
      </c>
      <c r="H193" s="164">
        <f>VLOOKUP(A193,'3. K0215-REFERENCE'!A:D,3,FALSE)</f>
        <v>18761521.079999998</v>
      </c>
      <c r="I193" s="164">
        <f>VLOOKUP(A193,'3. K0215-REFERENCE'!A:D,4,FALSE)</f>
        <v>23383296.059999999</v>
      </c>
      <c r="J193" s="168">
        <f t="shared" si="29"/>
        <v>42144817.140000001</v>
      </c>
      <c r="K193" s="389">
        <v>14033130</v>
      </c>
      <c r="L193" s="389">
        <v>2620</v>
      </c>
      <c r="M193" s="172">
        <f>+L193/(L193+K193)</f>
        <v>1.8666619168907967E-4</v>
      </c>
      <c r="N193" s="173">
        <f>+J193*M193</f>
        <v>7867.0125149564501</v>
      </c>
      <c r="O193" s="164">
        <f>+J193-N193</f>
        <v>42136950.127485044</v>
      </c>
      <c r="P193" s="167">
        <f t="shared" si="30"/>
        <v>808546.33</v>
      </c>
      <c r="Q193" s="164">
        <f t="shared" si="31"/>
        <v>42945496.457485043</v>
      </c>
      <c r="R193" s="172"/>
      <c r="S193" s="172"/>
    </row>
    <row r="194" spans="1:19" ht="15.6" outlineLevel="4">
      <c r="A194" s="169" t="s">
        <v>1032</v>
      </c>
      <c r="B194" s="162" t="s">
        <v>528</v>
      </c>
      <c r="C194" s="163" t="s">
        <v>466</v>
      </c>
      <c r="D194" s="163" t="s">
        <v>100</v>
      </c>
      <c r="E194" s="163" t="s">
        <v>121</v>
      </c>
      <c r="F194" s="163" t="s">
        <v>101</v>
      </c>
      <c r="G194" s="163" t="s">
        <v>101</v>
      </c>
      <c r="H194" s="164">
        <f>VLOOKUP(A194,'3. K0215-REFERENCE'!A:D,3,FALSE)</f>
        <v>24687218.239999998</v>
      </c>
      <c r="I194" s="164">
        <f>VLOOKUP(A194,'3. K0215-REFERENCE'!A:D,4,FALSE)</f>
        <v>32145022.77</v>
      </c>
      <c r="J194" s="168">
        <f t="shared" si="29"/>
        <v>56832241.009999998</v>
      </c>
      <c r="K194" s="389">
        <v>14033130</v>
      </c>
      <c r="L194" s="389">
        <v>2620</v>
      </c>
      <c r="M194" s="172">
        <f>+L194/(L194+K194)</f>
        <v>1.8666619168907967E-4</v>
      </c>
      <c r="N194" s="173">
        <f>+J194*M194</f>
        <v>10608.657994492634</v>
      </c>
      <c r="O194" s="164">
        <f>+J194-N194</f>
        <v>56821632.352005504</v>
      </c>
      <c r="P194" s="167">
        <f t="shared" si="30"/>
        <v>1090323.8700000001</v>
      </c>
      <c r="Q194" s="164">
        <f t="shared" si="31"/>
        <v>57911956.222005501</v>
      </c>
      <c r="R194" s="172"/>
      <c r="S194" s="172"/>
    </row>
    <row r="195" spans="1:19" s="52" customFormat="1" ht="15.6" outlineLevel="4">
      <c r="A195" s="169" t="s">
        <v>1033</v>
      </c>
      <c r="B195" s="183" t="s">
        <v>581</v>
      </c>
      <c r="C195" s="163" t="s">
        <v>466</v>
      </c>
      <c r="D195" s="184" t="s">
        <v>100</v>
      </c>
      <c r="E195" s="184" t="s">
        <v>121</v>
      </c>
      <c r="F195" s="184" t="s">
        <v>101</v>
      </c>
      <c r="G195" s="184" t="s">
        <v>101</v>
      </c>
      <c r="H195" s="164">
        <f>VLOOKUP(A195,'3. K0215-REFERENCE'!A:D,3,FALSE)</f>
        <v>0</v>
      </c>
      <c r="I195" s="164">
        <f>VLOOKUP(A195,'3. K0215-REFERENCE'!A:D,4,FALSE)</f>
        <v>63095.1</v>
      </c>
      <c r="J195" s="168">
        <f t="shared" si="29"/>
        <v>63095.1</v>
      </c>
      <c r="K195" s="389">
        <v>14033130</v>
      </c>
      <c r="L195" s="389">
        <v>2620</v>
      </c>
      <c r="M195" s="172">
        <f>IFERROR(+L195/(L195+K195),0)</f>
        <v>1.8666619168907967E-4</v>
      </c>
      <c r="N195" s="173">
        <f>+J195*M195</f>
        <v>11.77772203124165</v>
      </c>
      <c r="O195" s="164">
        <f>+J195-N195</f>
        <v>63083.322277968757</v>
      </c>
      <c r="P195" s="167">
        <f t="shared" si="30"/>
        <v>1210.48</v>
      </c>
      <c r="Q195" s="164">
        <f t="shared" si="31"/>
        <v>64293.80227796876</v>
      </c>
      <c r="R195" s="186"/>
      <c r="S195" s="186"/>
    </row>
    <row r="196" spans="1:19" ht="15.6" outlineLevel="4">
      <c r="A196" s="169" t="s">
        <v>1034</v>
      </c>
      <c r="B196" s="162" t="s">
        <v>527</v>
      </c>
      <c r="C196" s="163" t="s">
        <v>466</v>
      </c>
      <c r="D196" s="163" t="s">
        <v>100</v>
      </c>
      <c r="E196" s="163" t="s">
        <v>121</v>
      </c>
      <c r="F196" s="163" t="s">
        <v>101</v>
      </c>
      <c r="G196" s="163" t="s">
        <v>101</v>
      </c>
      <c r="H196" s="164">
        <f>VLOOKUP(A196,'3. K0215-REFERENCE'!A:D,3,FALSE)</f>
        <v>31451877.039999999</v>
      </c>
      <c r="I196" s="164">
        <f>VLOOKUP(A196,'3. K0215-REFERENCE'!A:D,4,FALSE)</f>
        <v>45484058.700000003</v>
      </c>
      <c r="J196" s="168">
        <f t="shared" si="29"/>
        <v>76935935.74000001</v>
      </c>
      <c r="K196" s="389">
        <v>14033130</v>
      </c>
      <c r="L196" s="389">
        <v>2620</v>
      </c>
      <c r="M196" s="172">
        <f>+L196/(L196+K196)</f>
        <v>1.8666619168907967E-4</v>
      </c>
      <c r="N196" s="173">
        <f>+J196*M196</f>
        <v>14361.338128621557</v>
      </c>
      <c r="O196" s="164">
        <f>+J196-N196</f>
        <v>76921574.401871383</v>
      </c>
      <c r="P196" s="167">
        <f t="shared" si="30"/>
        <v>1476012.31</v>
      </c>
      <c r="Q196" s="164">
        <f t="shared" si="31"/>
        <v>78397586.711871386</v>
      </c>
      <c r="R196" s="172"/>
      <c r="S196" s="172"/>
    </row>
    <row r="197" spans="1:19" ht="15.6" outlineLevel="4">
      <c r="A197" s="169" t="s">
        <v>1035</v>
      </c>
      <c r="B197" s="162" t="s">
        <v>642</v>
      </c>
      <c r="C197" s="163" t="s">
        <v>466</v>
      </c>
      <c r="D197" s="163" t="s">
        <v>100</v>
      </c>
      <c r="E197" s="163" t="s">
        <v>121</v>
      </c>
      <c r="F197" s="163" t="s">
        <v>101</v>
      </c>
      <c r="G197" s="163" t="s">
        <v>101</v>
      </c>
      <c r="H197" s="164">
        <f>VLOOKUP(A197,'3. K0215-REFERENCE'!A:D,3,FALSE)</f>
        <v>5900</v>
      </c>
      <c r="I197" s="164">
        <f>VLOOKUP(A197,'3. K0215-REFERENCE'!A:D,4,FALSE)</f>
        <v>37751.08</v>
      </c>
      <c r="J197" s="168">
        <f t="shared" si="29"/>
        <v>43651.08</v>
      </c>
      <c r="K197" s="389">
        <v>14033130</v>
      </c>
      <c r="L197" s="389">
        <v>2620</v>
      </c>
      <c r="M197" s="172">
        <f>+L197/(L197+K197)</f>
        <v>1.8666619168907967E-4</v>
      </c>
      <c r="N197" s="173">
        <f>+J197*M197</f>
        <v>8.1481808667153519</v>
      </c>
      <c r="O197" s="164">
        <f>+J197-N197</f>
        <v>43642.931819133286</v>
      </c>
      <c r="P197" s="167">
        <f t="shared" si="30"/>
        <v>837.44</v>
      </c>
      <c r="Q197" s="164">
        <f t="shared" si="31"/>
        <v>44480.371819133288</v>
      </c>
      <c r="R197" s="172"/>
      <c r="S197" s="172"/>
    </row>
    <row r="198" spans="1:19" ht="15.6" outlineLevel="4">
      <c r="A198" s="161" t="s">
        <v>1036</v>
      </c>
      <c r="B198" s="162" t="s">
        <v>531</v>
      </c>
      <c r="C198" s="163" t="s">
        <v>466</v>
      </c>
      <c r="D198" s="163" t="s">
        <v>100</v>
      </c>
      <c r="E198" s="163" t="s">
        <v>121</v>
      </c>
      <c r="F198" s="163" t="s">
        <v>101</v>
      </c>
      <c r="G198" s="163" t="s">
        <v>101</v>
      </c>
      <c r="H198" s="164">
        <f>VLOOKUP(A198,'3. K0215-REFERENCE'!A:D,3,FALSE)</f>
        <v>22959847.039999999</v>
      </c>
      <c r="I198" s="164">
        <f>VLOOKUP(A198,'3. K0215-REFERENCE'!A:D,4,FALSE)</f>
        <v>41743468.350000001</v>
      </c>
      <c r="J198" s="168">
        <f t="shared" si="29"/>
        <v>64703315.390000001</v>
      </c>
      <c r="K198" s="389">
        <v>14033130</v>
      </c>
      <c r="L198" s="389">
        <v>2620</v>
      </c>
      <c r="M198" s="172">
        <f>+L198/(L198+K198)</f>
        <v>1.8666619168907967E-4</v>
      </c>
      <c r="N198" s="173">
        <f>+J198*M198</f>
        <v>12077.921473508719</v>
      </c>
      <c r="O198" s="164">
        <f>+J198-N198</f>
        <v>64691237.46852649</v>
      </c>
      <c r="P198" s="167">
        <f t="shared" si="30"/>
        <v>1241330.06</v>
      </c>
      <c r="Q198" s="164">
        <f t="shared" si="31"/>
        <v>65932567.528526492</v>
      </c>
      <c r="R198" s="172"/>
      <c r="S198" s="172"/>
    </row>
    <row r="199" spans="1:19" ht="15.6" outlineLevel="4">
      <c r="A199" s="169" t="s">
        <v>1037</v>
      </c>
      <c r="B199" s="162" t="s">
        <v>65</v>
      </c>
      <c r="C199" s="163" t="s">
        <v>466</v>
      </c>
      <c r="D199" s="163" t="s">
        <v>100</v>
      </c>
      <c r="E199" s="163" t="s">
        <v>121</v>
      </c>
      <c r="F199" s="163" t="s">
        <v>101</v>
      </c>
      <c r="G199" s="163" t="s">
        <v>101</v>
      </c>
      <c r="H199" s="164">
        <f>VLOOKUP(A199,'3. K0215-REFERENCE'!A:D,3,FALSE)</f>
        <v>1740.86</v>
      </c>
      <c r="I199" s="164">
        <f>VLOOKUP(A199,'3. K0215-REFERENCE'!A:D,4,FALSE)</f>
        <v>58540.13</v>
      </c>
      <c r="J199" s="168">
        <f t="shared" si="29"/>
        <v>60280.99</v>
      </c>
      <c r="K199" s="389">
        <v>14033130</v>
      </c>
      <c r="L199" s="389">
        <v>2620</v>
      </c>
      <c r="M199" s="172">
        <f>+L199/(L199+K199)</f>
        <v>1.8666619168907967E-4</v>
      </c>
      <c r="N199" s="173">
        <f>+J199*M199</f>
        <v>11.252422834547493</v>
      </c>
      <c r="O199" s="164">
        <f>+J199-N199</f>
        <v>60269.737577165448</v>
      </c>
      <c r="P199" s="167">
        <f t="shared" si="30"/>
        <v>1156.49</v>
      </c>
      <c r="Q199" s="164">
        <f t="shared" si="31"/>
        <v>61426.227577165446</v>
      </c>
      <c r="R199" s="172"/>
      <c r="S199" s="172"/>
    </row>
    <row r="200" spans="1:19" s="52" customFormat="1" ht="15.6" outlineLevel="4">
      <c r="A200" s="208" t="s">
        <v>1038</v>
      </c>
      <c r="B200" s="183" t="s">
        <v>66</v>
      </c>
      <c r="C200" s="163" t="s">
        <v>466</v>
      </c>
      <c r="D200" s="184" t="s">
        <v>100</v>
      </c>
      <c r="E200" s="184" t="s">
        <v>121</v>
      </c>
      <c r="F200" s="184" t="s">
        <v>101</v>
      </c>
      <c r="G200" s="184" t="s">
        <v>101</v>
      </c>
      <c r="H200" s="164">
        <f>VLOOKUP(A200,'3. K0215-REFERENCE'!A:D,3,FALSE)</f>
        <v>5846.99</v>
      </c>
      <c r="I200" s="164">
        <f>VLOOKUP(A200,'3. K0215-REFERENCE'!A:D,4,FALSE)</f>
        <v>206514.19</v>
      </c>
      <c r="J200" s="168">
        <f t="shared" si="29"/>
        <v>212361.18</v>
      </c>
      <c r="K200" s="389">
        <v>14033130</v>
      </c>
      <c r="L200" s="389">
        <v>2620</v>
      </c>
      <c r="M200" s="172">
        <f>+L200/(L200+K200)</f>
        <v>1.8666619168907967E-4</v>
      </c>
      <c r="N200" s="173">
        <f>+J200*M200</f>
        <v>39.640652733199147</v>
      </c>
      <c r="O200" s="164">
        <f>+J200-N200</f>
        <v>212321.53934726681</v>
      </c>
      <c r="P200" s="167">
        <f t="shared" si="30"/>
        <v>4074.14</v>
      </c>
      <c r="Q200" s="164">
        <f t="shared" si="31"/>
        <v>216395.67934726682</v>
      </c>
      <c r="R200" s="186"/>
      <c r="S200" s="186"/>
    </row>
    <row r="201" spans="1:19" s="52" customFormat="1" ht="15.6" outlineLevel="4">
      <c r="A201" s="208" t="s">
        <v>1039</v>
      </c>
      <c r="B201" s="183" t="s">
        <v>66</v>
      </c>
      <c r="C201" s="163" t="s">
        <v>466</v>
      </c>
      <c r="D201" s="184" t="s">
        <v>100</v>
      </c>
      <c r="E201" s="184" t="s">
        <v>121</v>
      </c>
      <c r="F201" s="184" t="s">
        <v>101</v>
      </c>
      <c r="G201" s="184" t="s">
        <v>101</v>
      </c>
      <c r="H201" s="164"/>
      <c r="I201" s="164"/>
      <c r="J201" s="168">
        <f t="shared" si="29"/>
        <v>0</v>
      </c>
      <c r="K201" s="389">
        <v>14033130</v>
      </c>
      <c r="L201" s="389">
        <v>2620</v>
      </c>
      <c r="M201" s="172">
        <f>IFERROR(+L201/(L201+K201),0)</f>
        <v>1.8666619168907967E-4</v>
      </c>
      <c r="N201" s="173">
        <f>+J201*M201</f>
        <v>0</v>
      </c>
      <c r="O201" s="164">
        <f>+J201-N201</f>
        <v>0</v>
      </c>
      <c r="P201" s="167">
        <f t="shared" si="30"/>
        <v>0</v>
      </c>
      <c r="Q201" s="164">
        <f t="shared" si="31"/>
        <v>0</v>
      </c>
      <c r="R201" s="186"/>
      <c r="S201" s="186"/>
    </row>
    <row r="202" spans="1:19" ht="15.6" outlineLevel="4">
      <c r="A202" s="161" t="s">
        <v>1040</v>
      </c>
      <c r="B202" s="162" t="s">
        <v>502</v>
      </c>
      <c r="C202" s="163" t="s">
        <v>466</v>
      </c>
      <c r="D202" s="163" t="s">
        <v>100</v>
      </c>
      <c r="E202" s="163" t="s">
        <v>121</v>
      </c>
      <c r="F202" s="163" t="s">
        <v>101</v>
      </c>
      <c r="G202" s="163" t="s">
        <v>101</v>
      </c>
      <c r="H202" s="164"/>
      <c r="I202" s="164"/>
      <c r="J202" s="168">
        <f t="shared" si="29"/>
        <v>0</v>
      </c>
      <c r="K202" s="389">
        <v>14033130</v>
      </c>
      <c r="L202" s="389">
        <v>2620</v>
      </c>
      <c r="M202" s="172">
        <f>IFERROR(+L202/(L202+K202),0)</f>
        <v>1.8666619168907967E-4</v>
      </c>
      <c r="N202" s="173">
        <f>+J202*M202</f>
        <v>0</v>
      </c>
      <c r="O202" s="164">
        <f>+J202-N202</f>
        <v>0</v>
      </c>
      <c r="P202" s="167">
        <f t="shared" si="30"/>
        <v>0</v>
      </c>
      <c r="Q202" s="164">
        <f t="shared" si="31"/>
        <v>0</v>
      </c>
      <c r="R202" s="172"/>
      <c r="S202" s="172"/>
    </row>
    <row r="203" spans="1:19" ht="15.6" outlineLevel="4">
      <c r="A203" s="169" t="s">
        <v>1041</v>
      </c>
      <c r="B203" s="162" t="s">
        <v>677</v>
      </c>
      <c r="C203" s="163" t="s">
        <v>466</v>
      </c>
      <c r="D203" s="163" t="s">
        <v>100</v>
      </c>
      <c r="E203" s="163" t="s">
        <v>121</v>
      </c>
      <c r="F203" s="163" t="s">
        <v>101</v>
      </c>
      <c r="G203" s="163" t="s">
        <v>101</v>
      </c>
      <c r="H203" s="164">
        <f>VLOOKUP(A203,'3. K0215-REFERENCE'!A:D,3,FALSE)</f>
        <v>15038522.460000001</v>
      </c>
      <c r="I203" s="164">
        <f>VLOOKUP(A203,'3. K0215-REFERENCE'!A:D,4,FALSE)</f>
        <v>30739256.050000001</v>
      </c>
      <c r="J203" s="168">
        <f t="shared" ref="J203:J267" si="34">SUM(H203+I203)</f>
        <v>45777778.510000005</v>
      </c>
      <c r="K203" s="389">
        <v>14033130</v>
      </c>
      <c r="L203" s="389">
        <v>2620</v>
      </c>
      <c r="M203" s="172">
        <f>+L203/(L203+K203)</f>
        <v>1.8666619168907967E-4</v>
      </c>
      <c r="N203" s="173">
        <f>+J203*M203</f>
        <v>8545.1635784478931</v>
      </c>
      <c r="O203" s="164">
        <f>+J203-N203</f>
        <v>45769233.346421555</v>
      </c>
      <c r="P203" s="167">
        <f t="shared" si="30"/>
        <v>878244.53</v>
      </c>
      <c r="Q203" s="164">
        <f t="shared" si="31"/>
        <v>46647477.876421556</v>
      </c>
      <c r="R203" s="172"/>
      <c r="S203" s="172"/>
    </row>
    <row r="204" spans="1:19" ht="15.6" outlineLevel="4">
      <c r="A204" s="169" t="s">
        <v>1042</v>
      </c>
      <c r="B204" s="162" t="s">
        <v>679</v>
      </c>
      <c r="C204" s="163" t="s">
        <v>466</v>
      </c>
      <c r="D204" s="163" t="s">
        <v>100</v>
      </c>
      <c r="E204" s="163" t="s">
        <v>121</v>
      </c>
      <c r="F204" s="163" t="s">
        <v>101</v>
      </c>
      <c r="G204" s="163" t="s">
        <v>101</v>
      </c>
      <c r="H204" s="164">
        <f>VLOOKUP(A204,'3. K0215-REFERENCE'!A:D,3,FALSE)</f>
        <v>7126679.2999999998</v>
      </c>
      <c r="I204" s="164">
        <f>VLOOKUP(A204,'3. K0215-REFERENCE'!A:D,4,FALSE)</f>
        <v>14250699.390000001</v>
      </c>
      <c r="J204" s="168">
        <f t="shared" si="34"/>
        <v>21377378.690000001</v>
      </c>
      <c r="K204" s="389">
        <v>14033130</v>
      </c>
      <c r="L204" s="389">
        <v>2620</v>
      </c>
      <c r="M204" s="172">
        <f>+L204/(L204+K204)</f>
        <v>1.8666619168907967E-4</v>
      </c>
      <c r="N204" s="173">
        <f>+J204*M204</f>
        <v>3990.433868357587</v>
      </c>
      <c r="O204" s="164">
        <f>+J204-N204</f>
        <v>21373388.256131645</v>
      </c>
      <c r="P204" s="167">
        <f t="shared" ref="P204:P267" si="35">ROUND(((O204/$R$1)*$R$2),2)</f>
        <v>410124</v>
      </c>
      <c r="Q204" s="164">
        <f t="shared" ref="Q204:Q205" si="36">+O204+P204</f>
        <v>21783512.256131645</v>
      </c>
      <c r="R204" s="172"/>
      <c r="S204" s="172"/>
    </row>
    <row r="205" spans="1:19" ht="15.6" outlineLevel="4">
      <c r="A205" s="169" t="s">
        <v>1043</v>
      </c>
      <c r="B205" s="162" t="s">
        <v>529</v>
      </c>
      <c r="C205" s="163" t="s">
        <v>466</v>
      </c>
      <c r="D205" s="163" t="s">
        <v>100</v>
      </c>
      <c r="E205" s="163" t="s">
        <v>121</v>
      </c>
      <c r="F205" s="163" t="s">
        <v>101</v>
      </c>
      <c r="G205" s="163" t="s">
        <v>101</v>
      </c>
      <c r="H205" s="164">
        <f>VLOOKUP(A205,'3. K0215-REFERENCE'!A:D,3,FALSE)</f>
        <v>25874881.870000001</v>
      </c>
      <c r="I205" s="164">
        <f>VLOOKUP(A205,'3. K0215-REFERENCE'!A:D,4,FALSE)</f>
        <v>35854195.100000001</v>
      </c>
      <c r="J205" s="168">
        <f t="shared" si="34"/>
        <v>61729076.969999999</v>
      </c>
      <c r="K205" s="389">
        <v>14033130</v>
      </c>
      <c r="L205" s="389">
        <v>2620</v>
      </c>
      <c r="M205" s="172">
        <f>+L205/(L205+K205)</f>
        <v>1.8666619168907967E-4</v>
      </c>
      <c r="N205" s="173">
        <f>+J205*M205</f>
        <v>11522.731714471973</v>
      </c>
      <c r="O205" s="164">
        <f>+J205-N205</f>
        <v>61717554.238285527</v>
      </c>
      <c r="P205" s="167">
        <f t="shared" si="35"/>
        <v>1184269.44</v>
      </c>
      <c r="Q205" s="164">
        <f t="shared" si="36"/>
        <v>62901823.678285524</v>
      </c>
      <c r="R205" s="172"/>
      <c r="S205" s="172"/>
    </row>
    <row r="206" spans="1:19" ht="15.6" outlineLevel="4">
      <c r="A206" s="201" t="s">
        <v>1044</v>
      </c>
      <c r="B206" s="181" t="s">
        <v>44</v>
      </c>
      <c r="C206" s="163" t="s">
        <v>466</v>
      </c>
      <c r="D206" s="182" t="s">
        <v>100</v>
      </c>
      <c r="E206" s="182" t="s">
        <v>121</v>
      </c>
      <c r="F206" s="163" t="s">
        <v>101</v>
      </c>
      <c r="G206" s="163" t="s">
        <v>101</v>
      </c>
      <c r="H206" s="164"/>
      <c r="I206" s="164"/>
      <c r="J206" s="168">
        <f t="shared" si="34"/>
        <v>0</v>
      </c>
      <c r="K206" s="389">
        <v>14033130</v>
      </c>
      <c r="L206" s="389">
        <v>2620</v>
      </c>
      <c r="M206" s="172">
        <f>IFERROR(+L206/(L206+K206),0)</f>
        <v>1.8666619168907967E-4</v>
      </c>
      <c r="N206" s="173">
        <f>+J206*M206</f>
        <v>0</v>
      </c>
      <c r="O206" s="164">
        <f>+J206-N206</f>
        <v>0</v>
      </c>
      <c r="P206" s="167">
        <f t="shared" si="35"/>
        <v>0</v>
      </c>
      <c r="Q206" s="173">
        <f>+O206+P206</f>
        <v>0</v>
      </c>
      <c r="R206" s="172"/>
      <c r="S206" s="172"/>
    </row>
    <row r="207" spans="1:19" s="42" customFormat="1" ht="15.6" outlineLevel="4">
      <c r="A207" s="180" t="s">
        <v>1045</v>
      </c>
      <c r="B207" s="181" t="s">
        <v>530</v>
      </c>
      <c r="C207" s="163" t="s">
        <v>466</v>
      </c>
      <c r="D207" s="182" t="s">
        <v>100</v>
      </c>
      <c r="E207" s="182" t="s">
        <v>121</v>
      </c>
      <c r="F207" s="182" t="s">
        <v>101</v>
      </c>
      <c r="G207" s="182" t="s">
        <v>101</v>
      </c>
      <c r="H207" s="164">
        <f>VLOOKUP(A207,'3. K0215-REFERENCE'!A:D,3,FALSE)</f>
        <v>0</v>
      </c>
      <c r="I207" s="164">
        <f>VLOOKUP(A207,'3. K0215-REFERENCE'!A:D,4,FALSE)</f>
        <v>42013.41</v>
      </c>
      <c r="J207" s="168">
        <f t="shared" si="34"/>
        <v>42013.41</v>
      </c>
      <c r="K207" s="389">
        <v>14033130</v>
      </c>
      <c r="L207" s="389">
        <v>2620</v>
      </c>
      <c r="M207" s="172">
        <f>+L207/(L207+K207)</f>
        <v>1.8666619168907967E-4</v>
      </c>
      <c r="N207" s="173">
        <f>+J207*M207</f>
        <v>7.8424832445718975</v>
      </c>
      <c r="O207" s="164">
        <f>+J207-N207</f>
        <v>42005.567516755429</v>
      </c>
      <c r="P207" s="167">
        <f t="shared" si="35"/>
        <v>806.03</v>
      </c>
      <c r="Q207" s="164">
        <f t="shared" ref="Q207:Q271" si="37">+O207+P207</f>
        <v>42811.597516755428</v>
      </c>
      <c r="R207" s="181"/>
      <c r="S207" s="181"/>
    </row>
    <row r="208" spans="1:19" ht="15.6" outlineLevel="4">
      <c r="A208" s="169" t="s">
        <v>1046</v>
      </c>
      <c r="B208" s="162" t="s">
        <v>500</v>
      </c>
      <c r="C208" s="163" t="s">
        <v>466</v>
      </c>
      <c r="D208" s="163" t="s">
        <v>100</v>
      </c>
      <c r="E208" s="163" t="s">
        <v>121</v>
      </c>
      <c r="F208" s="163" t="s">
        <v>101</v>
      </c>
      <c r="G208" s="163" t="s">
        <v>101</v>
      </c>
      <c r="H208" s="164">
        <f>VLOOKUP(A208,'3. K0215-REFERENCE'!A:D,3,FALSE)</f>
        <v>34947147.609999999</v>
      </c>
      <c r="I208" s="164">
        <f>VLOOKUP(A208,'3. K0215-REFERENCE'!A:D,4,FALSE)</f>
        <v>57539013.469999999</v>
      </c>
      <c r="J208" s="168">
        <f t="shared" si="34"/>
        <v>92486161.079999998</v>
      </c>
      <c r="K208" s="389">
        <v>14033130</v>
      </c>
      <c r="L208" s="389">
        <v>2620</v>
      </c>
      <c r="M208" s="172">
        <f>+L208/(L208+K208)</f>
        <v>1.8666619168907967E-4</v>
      </c>
      <c r="N208" s="173">
        <f>+J208*M208</f>
        <v>17264.039472746379</v>
      </c>
      <c r="O208" s="164">
        <f>+J208-N208</f>
        <v>92468897.040527254</v>
      </c>
      <c r="P208" s="167">
        <f t="shared" si="35"/>
        <v>1774342.65</v>
      </c>
      <c r="Q208" s="164">
        <f t="shared" si="37"/>
        <v>94243239.69052726</v>
      </c>
      <c r="R208" s="172"/>
      <c r="S208" s="172"/>
    </row>
    <row r="209" spans="1:19" ht="15.6" outlineLevel="4">
      <c r="A209" s="169" t="s">
        <v>1047</v>
      </c>
      <c r="B209" s="162" t="s">
        <v>526</v>
      </c>
      <c r="C209" s="163" t="s">
        <v>466</v>
      </c>
      <c r="D209" s="163" t="s">
        <v>100</v>
      </c>
      <c r="E209" s="163" t="s">
        <v>121</v>
      </c>
      <c r="F209" s="163" t="s">
        <v>101</v>
      </c>
      <c r="G209" s="163" t="s">
        <v>101</v>
      </c>
      <c r="H209" s="164">
        <f>VLOOKUP(A209,'3. K0215-REFERENCE'!A:D,3,FALSE)</f>
        <v>25534075.129999999</v>
      </c>
      <c r="I209" s="164">
        <f>VLOOKUP(A209,'3. K0215-REFERENCE'!A:D,4,FALSE)</f>
        <v>40490796.729999997</v>
      </c>
      <c r="J209" s="168">
        <f t="shared" si="34"/>
        <v>66024871.859999999</v>
      </c>
      <c r="K209" s="389">
        <v>14033130</v>
      </c>
      <c r="L209" s="389">
        <v>2620</v>
      </c>
      <c r="M209" s="172">
        <f>+L209/(L209+K209)</f>
        <v>1.8666619168907967E-4</v>
      </c>
      <c r="N209" s="173">
        <f>+J209*M209</f>
        <v>12324.611386865681</v>
      </c>
      <c r="O209" s="164">
        <f>+J209-N209</f>
        <v>66012547.248613134</v>
      </c>
      <c r="P209" s="167">
        <f t="shared" si="35"/>
        <v>1266684.06</v>
      </c>
      <c r="Q209" s="164">
        <f t="shared" si="37"/>
        <v>67279231.308613136</v>
      </c>
      <c r="R209" s="172"/>
      <c r="S209" s="172"/>
    </row>
    <row r="210" spans="1:19" ht="15.6" outlineLevel="4">
      <c r="A210" s="169" t="s">
        <v>1048</v>
      </c>
      <c r="B210" s="162" t="s">
        <v>525</v>
      </c>
      <c r="C210" s="163" t="s">
        <v>466</v>
      </c>
      <c r="D210" s="163" t="s">
        <v>100</v>
      </c>
      <c r="E210" s="163" t="s">
        <v>121</v>
      </c>
      <c r="F210" s="163" t="s">
        <v>101</v>
      </c>
      <c r="G210" s="163" t="s">
        <v>101</v>
      </c>
      <c r="H210" s="164">
        <f>VLOOKUP(A210,'3. K0215-REFERENCE'!A:D,3,FALSE)</f>
        <v>8579619.9100000001</v>
      </c>
      <c r="I210" s="164">
        <f>VLOOKUP(A210,'3. K0215-REFERENCE'!A:D,4,FALSE)</f>
        <v>17963862.300000001</v>
      </c>
      <c r="J210" s="168">
        <f t="shared" si="34"/>
        <v>26543482.210000001</v>
      </c>
      <c r="K210" s="389">
        <v>14033130</v>
      </c>
      <c r="L210" s="389">
        <v>2620</v>
      </c>
      <c r="M210" s="172">
        <f>+L210/(L210+K210)</f>
        <v>1.8666619168907967E-4</v>
      </c>
      <c r="N210" s="173">
        <f>+J210*M210</f>
        <v>4954.7707383075358</v>
      </c>
      <c r="O210" s="164">
        <f>+J210-N210</f>
        <v>26538527.439261694</v>
      </c>
      <c r="P210" s="167">
        <f t="shared" si="35"/>
        <v>509235.46</v>
      </c>
      <c r="Q210" s="164">
        <f t="shared" si="37"/>
        <v>27047762.899261694</v>
      </c>
      <c r="R210" s="172"/>
      <c r="S210" s="172"/>
    </row>
    <row r="211" spans="1:19" ht="15.6" outlineLevel="4">
      <c r="A211" s="169" t="s">
        <v>1049</v>
      </c>
      <c r="B211" s="162" t="s">
        <v>520</v>
      </c>
      <c r="C211" s="163" t="s">
        <v>466</v>
      </c>
      <c r="D211" s="163" t="s">
        <v>100</v>
      </c>
      <c r="E211" s="163" t="s">
        <v>121</v>
      </c>
      <c r="F211" s="163" t="s">
        <v>101</v>
      </c>
      <c r="G211" s="163" t="s">
        <v>101</v>
      </c>
      <c r="H211" s="164">
        <f>VLOOKUP(A211,'3. K0215-REFERENCE'!A:D,3,FALSE)</f>
        <v>21805670.800000001</v>
      </c>
      <c r="I211" s="164">
        <f>VLOOKUP(A211,'3. K0215-REFERENCE'!A:D,4,FALSE)</f>
        <v>47471844.189999998</v>
      </c>
      <c r="J211" s="168">
        <f t="shared" si="34"/>
        <v>69277514.989999995</v>
      </c>
      <c r="K211" s="389">
        <v>14033130</v>
      </c>
      <c r="L211" s="389">
        <v>2620</v>
      </c>
      <c r="M211" s="172">
        <f>+L211/(L211+K211)</f>
        <v>1.8666619168907967E-4</v>
      </c>
      <c r="N211" s="173">
        <f>+J211*M211</f>
        <v>12931.769892866429</v>
      </c>
      <c r="O211" s="164">
        <f>+J211-N211</f>
        <v>69264583.220107123</v>
      </c>
      <c r="P211" s="167">
        <f t="shared" si="35"/>
        <v>1329085.8600000001</v>
      </c>
      <c r="Q211" s="164">
        <f t="shared" si="37"/>
        <v>70593669.080107123</v>
      </c>
      <c r="R211" s="172"/>
      <c r="S211" s="172"/>
    </row>
    <row r="212" spans="1:19" ht="15.6" outlineLevel="4">
      <c r="A212" s="169" t="s">
        <v>1050</v>
      </c>
      <c r="B212" s="162" t="s">
        <v>521</v>
      </c>
      <c r="C212" s="163" t="s">
        <v>466</v>
      </c>
      <c r="D212" s="163" t="s">
        <v>100</v>
      </c>
      <c r="E212" s="163" t="s">
        <v>121</v>
      </c>
      <c r="F212" s="163" t="s">
        <v>101</v>
      </c>
      <c r="G212" s="163" t="s">
        <v>101</v>
      </c>
      <c r="H212" s="164">
        <f>VLOOKUP(A212,'3. K0215-REFERENCE'!A:D,3,FALSE)</f>
        <v>18794402.850000001</v>
      </c>
      <c r="I212" s="164">
        <f>VLOOKUP(A212,'3. K0215-REFERENCE'!A:D,4,FALSE)</f>
        <v>30331223.879999999</v>
      </c>
      <c r="J212" s="168">
        <f t="shared" si="34"/>
        <v>49125626.730000004</v>
      </c>
      <c r="K212" s="389">
        <v>14033130</v>
      </c>
      <c r="L212" s="389">
        <v>2620</v>
      </c>
      <c r="M212" s="172">
        <f>+L212/(L212+K212)</f>
        <v>1.8666619168907967E-4</v>
      </c>
      <c r="N212" s="173">
        <f>+J212*M212</f>
        <v>9170.0936560283571</v>
      </c>
      <c r="O212" s="164">
        <f>+J212-N212</f>
        <v>49116456.636343978</v>
      </c>
      <c r="P212" s="167">
        <f t="shared" si="35"/>
        <v>942472.84</v>
      </c>
      <c r="Q212" s="164">
        <f t="shared" si="37"/>
        <v>50058929.476343982</v>
      </c>
      <c r="R212" s="172"/>
      <c r="S212" s="172"/>
    </row>
    <row r="213" spans="1:19" ht="15.6" outlineLevel="4">
      <c r="A213" s="169" t="s">
        <v>1051</v>
      </c>
      <c r="B213" s="162" t="s">
        <v>522</v>
      </c>
      <c r="C213" s="163" t="s">
        <v>466</v>
      </c>
      <c r="D213" s="163" t="s">
        <v>100</v>
      </c>
      <c r="E213" s="163" t="s">
        <v>121</v>
      </c>
      <c r="F213" s="163" t="s">
        <v>101</v>
      </c>
      <c r="G213" s="163" t="s">
        <v>101</v>
      </c>
      <c r="H213" s="164">
        <f>VLOOKUP(A213,'3. K0215-REFERENCE'!A:D,3,FALSE)</f>
        <v>20508255.469999999</v>
      </c>
      <c r="I213" s="164">
        <f>VLOOKUP(A213,'3. K0215-REFERENCE'!A:D,4,FALSE)</f>
        <v>28706582.27</v>
      </c>
      <c r="J213" s="168">
        <f t="shared" si="34"/>
        <v>49214837.739999995</v>
      </c>
      <c r="K213" s="389">
        <v>14033130</v>
      </c>
      <c r="L213" s="389">
        <v>2620</v>
      </c>
      <c r="M213" s="172">
        <f>+L213/(L213+K213)</f>
        <v>1.8666619168907967E-4</v>
      </c>
      <c r="N213" s="173">
        <f>+J213*M213</f>
        <v>9186.7463355217915</v>
      </c>
      <c r="O213" s="164">
        <f>+J213-N213</f>
        <v>49205650.993664473</v>
      </c>
      <c r="P213" s="167">
        <f t="shared" si="35"/>
        <v>944184.35</v>
      </c>
      <c r="Q213" s="164">
        <f t="shared" si="37"/>
        <v>50149835.343664475</v>
      </c>
      <c r="R213" s="172"/>
      <c r="S213" s="172"/>
    </row>
    <row r="214" spans="1:19" ht="15.6" outlineLevel="4">
      <c r="A214" s="169" t="s">
        <v>1052</v>
      </c>
      <c r="B214" s="162" t="s">
        <v>507</v>
      </c>
      <c r="C214" s="163" t="s">
        <v>466</v>
      </c>
      <c r="D214" s="163" t="s">
        <v>100</v>
      </c>
      <c r="E214" s="163" t="s">
        <v>121</v>
      </c>
      <c r="F214" s="163" t="s">
        <v>101</v>
      </c>
      <c r="G214" s="163" t="s">
        <v>101</v>
      </c>
      <c r="H214" s="164">
        <f>VLOOKUP(A214,'3. K0215-REFERENCE'!A:D,3,FALSE)</f>
        <v>18979286.98</v>
      </c>
      <c r="I214" s="164">
        <f>VLOOKUP(A214,'3. K0215-REFERENCE'!A:D,4,FALSE)</f>
        <v>30293384.469999999</v>
      </c>
      <c r="J214" s="168">
        <f t="shared" si="34"/>
        <v>49272671.450000003</v>
      </c>
      <c r="K214" s="389">
        <v>14033130</v>
      </c>
      <c r="L214" s="389">
        <v>2620</v>
      </c>
      <c r="M214" s="172">
        <f>+L214/(L214+K214)</f>
        <v>1.8666619168907967E-4</v>
      </c>
      <c r="N214" s="173">
        <f>+J214*M214</f>
        <v>9197.5419339187429</v>
      </c>
      <c r="O214" s="164">
        <f>+J214-N214</f>
        <v>49263473.908066086</v>
      </c>
      <c r="P214" s="167">
        <f t="shared" si="35"/>
        <v>945293.88</v>
      </c>
      <c r="Q214" s="164">
        <f t="shared" si="37"/>
        <v>50208767.788066089</v>
      </c>
      <c r="R214" s="172"/>
      <c r="S214" s="172"/>
    </row>
    <row r="215" spans="1:19" ht="15.6" outlineLevel="4">
      <c r="A215" s="169" t="s">
        <v>1053</v>
      </c>
      <c r="B215" s="162" t="s">
        <v>514</v>
      </c>
      <c r="C215" s="163" t="s">
        <v>466</v>
      </c>
      <c r="D215" s="163" t="s">
        <v>100</v>
      </c>
      <c r="E215" s="163" t="s">
        <v>121</v>
      </c>
      <c r="F215" s="163" t="s">
        <v>101</v>
      </c>
      <c r="G215" s="163" t="s">
        <v>101</v>
      </c>
      <c r="H215" s="164">
        <f>VLOOKUP(A215,'3. K0215-REFERENCE'!A:D,3,FALSE)</f>
        <v>24425064.050000001</v>
      </c>
      <c r="I215" s="164">
        <f>VLOOKUP(A215,'3. K0215-REFERENCE'!A:D,4,FALSE)</f>
        <v>23595991.539999999</v>
      </c>
      <c r="J215" s="168">
        <f t="shared" si="34"/>
        <v>48021055.590000004</v>
      </c>
      <c r="K215" s="389">
        <v>14033130</v>
      </c>
      <c r="L215" s="389">
        <v>2620</v>
      </c>
      <c r="M215" s="172">
        <f>+L215/(L215+K215)</f>
        <v>1.8666619168907967E-4</v>
      </c>
      <c r="N215" s="173">
        <f>+J215*M215</f>
        <v>8963.9075678748904</v>
      </c>
      <c r="O215" s="164">
        <f>+J215-N215</f>
        <v>48012091.68243213</v>
      </c>
      <c r="P215" s="167">
        <f t="shared" si="35"/>
        <v>921281.69</v>
      </c>
      <c r="Q215" s="164">
        <f t="shared" si="37"/>
        <v>48933373.372432128</v>
      </c>
      <c r="R215" s="172"/>
      <c r="S215" s="172"/>
    </row>
    <row r="216" spans="1:19" ht="15.6" outlineLevel="4">
      <c r="A216" s="161" t="s">
        <v>1054</v>
      </c>
      <c r="B216" s="162" t="s">
        <v>479</v>
      </c>
      <c r="C216" s="163" t="s">
        <v>466</v>
      </c>
      <c r="D216" s="163" t="s">
        <v>100</v>
      </c>
      <c r="E216" s="163" t="s">
        <v>121</v>
      </c>
      <c r="F216" s="163" t="s">
        <v>101</v>
      </c>
      <c r="G216" s="163" t="s">
        <v>101</v>
      </c>
      <c r="H216" s="164">
        <f>VLOOKUP(A216,'3. K0215-REFERENCE'!A:D,3,FALSE)</f>
        <v>8136049.3600000003</v>
      </c>
      <c r="I216" s="164">
        <f>VLOOKUP(A216,'3. K0215-REFERENCE'!A:D,4,FALSE)</f>
        <v>14281311.01</v>
      </c>
      <c r="J216" s="168">
        <f t="shared" si="34"/>
        <v>22417360.370000001</v>
      </c>
      <c r="K216" s="389">
        <v>14033130</v>
      </c>
      <c r="L216" s="389">
        <v>2620</v>
      </c>
      <c r="M216" s="172">
        <f>+L216/(L216+K216)</f>
        <v>1.8666619168907967E-4</v>
      </c>
      <c r="N216" s="173">
        <f>+J216*M216</f>
        <v>4184.5632879895984</v>
      </c>
      <c r="O216" s="164">
        <f>+J216-N216</f>
        <v>22413175.806712013</v>
      </c>
      <c r="P216" s="167">
        <f t="shared" si="35"/>
        <v>430076</v>
      </c>
      <c r="Q216" s="164">
        <f t="shared" si="37"/>
        <v>22843251.806712013</v>
      </c>
      <c r="R216" s="172"/>
      <c r="S216" s="172"/>
    </row>
    <row r="217" spans="1:19" s="52" customFormat="1" ht="15.6" outlineLevel="4">
      <c r="A217" s="213" t="s">
        <v>1055</v>
      </c>
      <c r="B217" s="183" t="s">
        <v>583</v>
      </c>
      <c r="C217" s="163" t="s">
        <v>466</v>
      </c>
      <c r="D217" s="184" t="s">
        <v>100</v>
      </c>
      <c r="E217" s="184" t="s">
        <v>121</v>
      </c>
      <c r="F217" s="184" t="s">
        <v>101</v>
      </c>
      <c r="G217" s="184" t="s">
        <v>101</v>
      </c>
      <c r="H217" s="164"/>
      <c r="I217" s="164"/>
      <c r="J217" s="168">
        <f t="shared" si="34"/>
        <v>0</v>
      </c>
      <c r="K217" s="389">
        <v>14033130</v>
      </c>
      <c r="L217" s="389">
        <v>2620</v>
      </c>
      <c r="M217" s="172">
        <f>IFERROR(+L217/(L217+K217),0)</f>
        <v>1.8666619168907967E-4</v>
      </c>
      <c r="N217" s="173">
        <f>+J217*M217</f>
        <v>0</v>
      </c>
      <c r="O217" s="164">
        <f>+J217-N217</f>
        <v>0</v>
      </c>
      <c r="P217" s="167">
        <f t="shared" si="35"/>
        <v>0</v>
      </c>
      <c r="Q217" s="164">
        <f t="shared" si="37"/>
        <v>0</v>
      </c>
      <c r="R217" s="186"/>
      <c r="S217" s="186"/>
    </row>
    <row r="218" spans="1:19" s="52" customFormat="1" ht="15.6" outlineLevel="4">
      <c r="A218" s="161" t="s">
        <v>1056</v>
      </c>
      <c r="B218" s="162" t="s">
        <v>689</v>
      </c>
      <c r="C218" s="163" t="s">
        <v>466</v>
      </c>
      <c r="D218" s="163" t="s">
        <v>100</v>
      </c>
      <c r="E218" s="163" t="s">
        <v>121</v>
      </c>
      <c r="F218" s="163" t="s">
        <v>101</v>
      </c>
      <c r="G218" s="163" t="s">
        <v>101</v>
      </c>
      <c r="H218" s="164"/>
      <c r="I218" s="164"/>
      <c r="J218" s="168">
        <f t="shared" si="34"/>
        <v>0</v>
      </c>
      <c r="K218" s="389">
        <v>14033130</v>
      </c>
      <c r="L218" s="389">
        <v>2620</v>
      </c>
      <c r="M218" s="172">
        <v>0</v>
      </c>
      <c r="N218" s="173">
        <f>+J218*M218</f>
        <v>0</v>
      </c>
      <c r="O218" s="164">
        <f>+J218-N218</f>
        <v>0</v>
      </c>
      <c r="P218" s="167">
        <f t="shared" si="35"/>
        <v>0</v>
      </c>
      <c r="Q218" s="164">
        <f t="shared" si="37"/>
        <v>0</v>
      </c>
      <c r="R218" s="186"/>
      <c r="S218" s="186"/>
    </row>
    <row r="219" spans="1:19" s="52" customFormat="1" ht="15.6" outlineLevel="4">
      <c r="A219" s="208" t="s">
        <v>1057</v>
      </c>
      <c r="B219" s="183" t="s">
        <v>585</v>
      </c>
      <c r="C219" s="163" t="s">
        <v>466</v>
      </c>
      <c r="D219" s="184" t="s">
        <v>100</v>
      </c>
      <c r="E219" s="184" t="s">
        <v>121</v>
      </c>
      <c r="F219" s="184" t="s">
        <v>101</v>
      </c>
      <c r="G219" s="184" t="s">
        <v>101</v>
      </c>
      <c r="H219" s="164">
        <f>VLOOKUP(A219,'3. K0215-REFERENCE'!A:D,3,FALSE)</f>
        <v>20383.400000000001</v>
      </c>
      <c r="I219" s="164">
        <f>VLOOKUP(A219,'3. K0215-REFERENCE'!A:D,4,FALSE)</f>
        <v>40145.35</v>
      </c>
      <c r="J219" s="168">
        <f t="shared" si="34"/>
        <v>60528.75</v>
      </c>
      <c r="K219" s="389">
        <v>14033130</v>
      </c>
      <c r="L219" s="389">
        <v>2620</v>
      </c>
      <c r="M219" s="172">
        <f>+L219/(L219+K219)</f>
        <v>1.8666619168907967E-4</v>
      </c>
      <c r="N219" s="173">
        <f>+J219*M219</f>
        <v>11.29867125020038</v>
      </c>
      <c r="O219" s="164">
        <f>+J219-N219</f>
        <v>60517.451328749798</v>
      </c>
      <c r="P219" s="167">
        <f t="shared" si="35"/>
        <v>1161.24</v>
      </c>
      <c r="Q219" s="164">
        <f t="shared" si="37"/>
        <v>61678.691328749796</v>
      </c>
      <c r="R219" s="186"/>
      <c r="S219" s="186"/>
    </row>
    <row r="220" spans="1:19" s="52" customFormat="1" ht="15.6" outlineLevel="4">
      <c r="A220" s="208" t="s">
        <v>1058</v>
      </c>
      <c r="B220" s="183" t="s">
        <v>644</v>
      </c>
      <c r="C220" s="163" t="s">
        <v>466</v>
      </c>
      <c r="D220" s="184" t="s">
        <v>100</v>
      </c>
      <c r="E220" s="184" t="s">
        <v>121</v>
      </c>
      <c r="F220" s="184" t="s">
        <v>101</v>
      </c>
      <c r="G220" s="184" t="s">
        <v>101</v>
      </c>
      <c r="H220" s="164">
        <f>VLOOKUP(A220,'3. K0215-REFERENCE'!A:D,3,FALSE)</f>
        <v>215051.09</v>
      </c>
      <c r="I220" s="164">
        <f>VLOOKUP(A220,'3. K0215-REFERENCE'!A:D,4,FALSE)</f>
        <v>337548.1</v>
      </c>
      <c r="J220" s="168">
        <f t="shared" si="34"/>
        <v>552599.18999999994</v>
      </c>
      <c r="K220" s="389">
        <v>14033130</v>
      </c>
      <c r="L220" s="389">
        <v>2620</v>
      </c>
      <c r="M220" s="172">
        <f>+L220/(L220+K220)</f>
        <v>1.8666619168907967E-4</v>
      </c>
      <c r="N220" s="173">
        <f>+J220*M220</f>
        <v>103.15158632777015</v>
      </c>
      <c r="O220" s="164">
        <f>+J220-N220</f>
        <v>552496.03841367213</v>
      </c>
      <c r="P220" s="167">
        <f t="shared" si="35"/>
        <v>10601.59</v>
      </c>
      <c r="Q220" s="164">
        <f t="shared" si="37"/>
        <v>563097.62841367209</v>
      </c>
      <c r="R220" s="186"/>
      <c r="S220" s="186"/>
    </row>
    <row r="221" spans="1:19" ht="15.6" outlineLevel="4">
      <c r="A221" s="161" t="s">
        <v>1059</v>
      </c>
      <c r="B221" s="162" t="s">
        <v>480</v>
      </c>
      <c r="C221" s="163" t="s">
        <v>466</v>
      </c>
      <c r="D221" s="163" t="s">
        <v>100</v>
      </c>
      <c r="E221" s="163" t="s">
        <v>121</v>
      </c>
      <c r="F221" s="163" t="s">
        <v>101</v>
      </c>
      <c r="G221" s="163" t="s">
        <v>101</v>
      </c>
      <c r="H221" s="164">
        <f>VLOOKUP(A221,'3. K0215-REFERENCE'!A:D,3,FALSE)</f>
        <v>106207.41</v>
      </c>
      <c r="I221" s="164">
        <f>VLOOKUP(A221,'3. K0215-REFERENCE'!A:D,4,FALSE)</f>
        <v>380423.17</v>
      </c>
      <c r="J221" s="168">
        <f t="shared" si="34"/>
        <v>486630.57999999996</v>
      </c>
      <c r="K221" s="389">
        <v>14033130</v>
      </c>
      <c r="L221" s="389">
        <v>2620</v>
      </c>
      <c r="M221" s="172">
        <f>+L221/(L221+K221)</f>
        <v>1.8666619168907967E-4</v>
      </c>
      <c r="N221" s="173">
        <f>+J221*M221</f>
        <v>90.837477128048008</v>
      </c>
      <c r="O221" s="164">
        <f>+J221-N221</f>
        <v>486539.74252287194</v>
      </c>
      <c r="P221" s="167">
        <f t="shared" si="35"/>
        <v>9335.98</v>
      </c>
      <c r="Q221" s="164">
        <f t="shared" si="37"/>
        <v>495875.72252287192</v>
      </c>
      <c r="R221" s="172"/>
      <c r="S221" s="172"/>
    </row>
    <row r="222" spans="1:19" ht="15.6" outlineLevel="4">
      <c r="A222" s="161" t="s">
        <v>1060</v>
      </c>
      <c r="B222" s="162" t="s">
        <v>481</v>
      </c>
      <c r="C222" s="163" t="s">
        <v>466</v>
      </c>
      <c r="D222" s="163" t="s">
        <v>100</v>
      </c>
      <c r="E222" s="163" t="s">
        <v>121</v>
      </c>
      <c r="F222" s="163" t="s">
        <v>101</v>
      </c>
      <c r="G222" s="163" t="s">
        <v>101</v>
      </c>
      <c r="H222" s="164">
        <f>VLOOKUP(A222,'3. K0215-REFERENCE'!A:D,3,FALSE)</f>
        <v>522</v>
      </c>
      <c r="I222" s="164">
        <f>VLOOKUP(A222,'3. K0215-REFERENCE'!A:D,4,FALSE)</f>
        <v>10192.84</v>
      </c>
      <c r="J222" s="168">
        <f t="shared" si="34"/>
        <v>10714.84</v>
      </c>
      <c r="K222" s="389">
        <v>14033130</v>
      </c>
      <c r="L222" s="389">
        <v>2620</v>
      </c>
      <c r="M222" s="172">
        <f>IFERROR(+L222/(L222+K222),0)</f>
        <v>1.8666619168907967E-4</v>
      </c>
      <c r="N222" s="173">
        <f>+J222*M222</f>
        <v>2.0000983773578183</v>
      </c>
      <c r="O222" s="164">
        <f>+J222-N222</f>
        <v>10712.839901622643</v>
      </c>
      <c r="P222" s="167">
        <f t="shared" si="35"/>
        <v>205.56</v>
      </c>
      <c r="Q222" s="164">
        <f t="shared" si="37"/>
        <v>10918.399901622643</v>
      </c>
      <c r="R222" s="172"/>
      <c r="S222" s="172"/>
    </row>
    <row r="223" spans="1:19" ht="15.6" outlineLevel="4">
      <c r="A223" s="161" t="s">
        <v>1061</v>
      </c>
      <c r="B223" s="162" t="s">
        <v>482</v>
      </c>
      <c r="C223" s="163" t="s">
        <v>466</v>
      </c>
      <c r="D223" s="163" t="s">
        <v>100</v>
      </c>
      <c r="E223" s="163" t="s">
        <v>121</v>
      </c>
      <c r="F223" s="163" t="s">
        <v>101</v>
      </c>
      <c r="G223" s="163" t="s">
        <v>101</v>
      </c>
      <c r="H223" s="164">
        <f>VLOOKUP(A223,'3. K0215-REFERENCE'!A:D,3,FALSE)</f>
        <v>1827537.93</v>
      </c>
      <c r="I223" s="164">
        <f>VLOOKUP(A223,'3. K0215-REFERENCE'!A:D,4,FALSE)</f>
        <v>4345630.55</v>
      </c>
      <c r="J223" s="168">
        <f t="shared" si="34"/>
        <v>6173168.4799999995</v>
      </c>
      <c r="K223" s="389">
        <v>14033130</v>
      </c>
      <c r="L223" s="389">
        <v>2620</v>
      </c>
      <c r="M223" s="172">
        <f>+L223/(L223+K223)</f>
        <v>1.8666619168907967E-4</v>
      </c>
      <c r="N223" s="173">
        <f>+J223*M223</f>
        <v>1152.3218508166644</v>
      </c>
      <c r="O223" s="164">
        <f>+J223-N223</f>
        <v>6172016.1581491828</v>
      </c>
      <c r="P223" s="167">
        <f t="shared" si="35"/>
        <v>118431.95</v>
      </c>
      <c r="Q223" s="164">
        <f t="shared" si="37"/>
        <v>6290448.108149183</v>
      </c>
      <c r="R223" s="172"/>
      <c r="S223" s="172"/>
    </row>
    <row r="224" spans="1:19" ht="15.6" outlineLevel="4">
      <c r="A224" s="161" t="s">
        <v>1062</v>
      </c>
      <c r="B224" s="162" t="s">
        <v>645</v>
      </c>
      <c r="C224" s="163" t="s">
        <v>466</v>
      </c>
      <c r="D224" s="163" t="s">
        <v>100</v>
      </c>
      <c r="E224" s="163" t="s">
        <v>121</v>
      </c>
      <c r="F224" s="163" t="s">
        <v>101</v>
      </c>
      <c r="G224" s="163" t="s">
        <v>101</v>
      </c>
      <c r="H224" s="164">
        <f>VLOOKUP(A224,'3. K0215-REFERENCE'!A:D,3,FALSE)</f>
        <v>1733713.26</v>
      </c>
      <c r="I224" s="164">
        <f>VLOOKUP(A224,'3. K0215-REFERENCE'!A:D,4,FALSE)</f>
        <v>2662708.89</v>
      </c>
      <c r="J224" s="168">
        <f t="shared" si="34"/>
        <v>4396422.1500000004</v>
      </c>
      <c r="K224" s="389">
        <v>14033130</v>
      </c>
      <c r="L224" s="389">
        <v>2620</v>
      </c>
      <c r="M224" s="172">
        <f>+L224/(L224+K224)</f>
        <v>1.8666619168907967E-4</v>
      </c>
      <c r="N224" s="173">
        <f>+J224*M224</f>
        <v>820.66337979801585</v>
      </c>
      <c r="O224" s="164">
        <f>+J224-N224</f>
        <v>4395601.4866202027</v>
      </c>
      <c r="P224" s="167">
        <f t="shared" si="35"/>
        <v>84345.15</v>
      </c>
      <c r="Q224" s="164">
        <f t="shared" si="37"/>
        <v>4479946.636620203</v>
      </c>
      <c r="R224" s="172"/>
      <c r="S224" s="172"/>
    </row>
    <row r="225" spans="1:19" ht="15.6" outlineLevel="4">
      <c r="A225" s="161" t="s">
        <v>1063</v>
      </c>
      <c r="B225" s="162" t="s">
        <v>646</v>
      </c>
      <c r="C225" s="163" t="s">
        <v>466</v>
      </c>
      <c r="D225" s="163" t="s">
        <v>100</v>
      </c>
      <c r="E225" s="163" t="s">
        <v>121</v>
      </c>
      <c r="F225" s="163" t="s">
        <v>101</v>
      </c>
      <c r="G225" s="163" t="s">
        <v>101</v>
      </c>
      <c r="H225" s="164">
        <f>VLOOKUP(A225,'3. K0215-REFERENCE'!A:D,3,FALSE)</f>
        <v>1752282.69</v>
      </c>
      <c r="I225" s="164">
        <f>VLOOKUP(A225,'3. K0215-REFERENCE'!A:D,4,FALSE)</f>
        <v>4410718.97</v>
      </c>
      <c r="J225" s="168">
        <f t="shared" si="34"/>
        <v>6163001.6600000001</v>
      </c>
      <c r="K225" s="389">
        <v>14033130</v>
      </c>
      <c r="L225" s="389">
        <v>2620</v>
      </c>
      <c r="M225" s="172">
        <f>+L225/(L225+K225)</f>
        <v>1.8666619168907967E-4</v>
      </c>
      <c r="N225" s="173">
        <f>+J225*M225</f>
        <v>1150.4240492456763</v>
      </c>
      <c r="O225" s="164">
        <f>+J225-N225</f>
        <v>6161851.235950754</v>
      </c>
      <c r="P225" s="167">
        <f t="shared" si="35"/>
        <v>118236.9</v>
      </c>
      <c r="Q225" s="164">
        <f t="shared" si="37"/>
        <v>6280088.1359507544</v>
      </c>
      <c r="R225" s="172"/>
      <c r="S225" s="172"/>
    </row>
    <row r="226" spans="1:19" ht="15.6" outlineLevel="4">
      <c r="A226" s="161" t="s">
        <v>1064</v>
      </c>
      <c r="B226" s="162" t="s">
        <v>647</v>
      </c>
      <c r="C226" s="163" t="s">
        <v>466</v>
      </c>
      <c r="D226" s="163" t="s">
        <v>100</v>
      </c>
      <c r="E226" s="163" t="s">
        <v>121</v>
      </c>
      <c r="F226" s="163" t="s">
        <v>101</v>
      </c>
      <c r="G226" s="163" t="s">
        <v>101</v>
      </c>
      <c r="H226" s="164">
        <f>VLOOKUP(A226,'3. K0215-REFERENCE'!A:D,3,FALSE)</f>
        <v>1994470.15</v>
      </c>
      <c r="I226" s="164">
        <f>VLOOKUP(A226,'3. K0215-REFERENCE'!A:D,4,FALSE)</f>
        <v>5884846.0199999996</v>
      </c>
      <c r="J226" s="168">
        <f t="shared" si="34"/>
        <v>7879316.1699999999</v>
      </c>
      <c r="K226" s="389">
        <v>14033130</v>
      </c>
      <c r="L226" s="389">
        <v>2620</v>
      </c>
      <c r="M226" s="172">
        <f>+L226/(L226+K226)</f>
        <v>1.8666619168907967E-4</v>
      </c>
      <c r="N226" s="173">
        <f>+J226*M226</f>
        <v>1470.801942568085</v>
      </c>
      <c r="O226" s="164">
        <f>+J226-N226</f>
        <v>7877845.3680574317</v>
      </c>
      <c r="P226" s="167">
        <f t="shared" si="35"/>
        <v>151164.31</v>
      </c>
      <c r="Q226" s="164">
        <f t="shared" si="37"/>
        <v>8029009.6780574312</v>
      </c>
      <c r="R226" s="172"/>
      <c r="S226" s="172"/>
    </row>
    <row r="227" spans="1:19" ht="15.6" outlineLevel="4">
      <c r="A227" s="161" t="s">
        <v>1065</v>
      </c>
      <c r="B227" s="162" t="s">
        <v>614</v>
      </c>
      <c r="C227" s="163" t="s">
        <v>466</v>
      </c>
      <c r="D227" s="163" t="s">
        <v>100</v>
      </c>
      <c r="E227" s="163" t="s">
        <v>121</v>
      </c>
      <c r="F227" s="163" t="s">
        <v>101</v>
      </c>
      <c r="G227" s="163" t="s">
        <v>101</v>
      </c>
      <c r="H227" s="164"/>
      <c r="I227" s="164"/>
      <c r="J227" s="168">
        <f t="shared" si="34"/>
        <v>0</v>
      </c>
      <c r="K227" s="389">
        <v>14033130</v>
      </c>
      <c r="L227" s="389">
        <v>2620</v>
      </c>
      <c r="M227" s="172">
        <f>IFERROR(+L227/(L227+K227),0)</f>
        <v>1.8666619168907967E-4</v>
      </c>
      <c r="N227" s="173">
        <f>+J227*M227</f>
        <v>0</v>
      </c>
      <c r="O227" s="164">
        <f>+J227-N227</f>
        <v>0</v>
      </c>
      <c r="P227" s="167">
        <f t="shared" si="35"/>
        <v>0</v>
      </c>
      <c r="Q227" s="164">
        <f t="shared" si="37"/>
        <v>0</v>
      </c>
      <c r="R227" s="172"/>
      <c r="S227" s="172"/>
    </row>
    <row r="228" spans="1:19" ht="15.6" outlineLevel="4">
      <c r="A228" s="161" t="s">
        <v>1066</v>
      </c>
      <c r="B228" s="162" t="s">
        <v>615</v>
      </c>
      <c r="C228" s="163" t="s">
        <v>466</v>
      </c>
      <c r="D228" s="163" t="s">
        <v>100</v>
      </c>
      <c r="E228" s="163" t="s">
        <v>121</v>
      </c>
      <c r="F228" s="163" t="s">
        <v>101</v>
      </c>
      <c r="G228" s="163" t="s">
        <v>101</v>
      </c>
      <c r="H228" s="164">
        <f>VLOOKUP(A228,'3. K0215-REFERENCE'!A:D,3,FALSE)</f>
        <v>42422.76</v>
      </c>
      <c r="I228" s="164">
        <f>VLOOKUP(A228,'3. K0215-REFERENCE'!A:D,4,FALSE)</f>
        <v>454494.37</v>
      </c>
      <c r="J228" s="168">
        <f t="shared" si="34"/>
        <v>496917.13</v>
      </c>
      <c r="K228" s="389">
        <v>14033130</v>
      </c>
      <c r="L228" s="389">
        <v>2620</v>
      </c>
      <c r="M228" s="172">
        <f>+L228/(L228+K228)</f>
        <v>1.8666619168907967E-4</v>
      </c>
      <c r="N228" s="173">
        <f>+J228*M228</f>
        <v>92.757628242167314</v>
      </c>
      <c r="O228" s="164">
        <f>+J228-N228</f>
        <v>496824.37237175781</v>
      </c>
      <c r="P228" s="167">
        <f t="shared" si="35"/>
        <v>9533.33</v>
      </c>
      <c r="Q228" s="164">
        <f t="shared" si="37"/>
        <v>506357.70237175783</v>
      </c>
      <c r="R228" s="172"/>
      <c r="S228" s="172"/>
    </row>
    <row r="229" spans="1:19" ht="15.6" outlineLevel="4">
      <c r="A229" s="161" t="s">
        <v>1067</v>
      </c>
      <c r="B229" s="162" t="s">
        <v>616</v>
      </c>
      <c r="C229" s="163" t="s">
        <v>466</v>
      </c>
      <c r="D229" s="163" t="s">
        <v>100</v>
      </c>
      <c r="E229" s="163" t="s">
        <v>121</v>
      </c>
      <c r="F229" s="163" t="s">
        <v>101</v>
      </c>
      <c r="G229" s="163" t="s">
        <v>101</v>
      </c>
      <c r="H229" s="164">
        <f>VLOOKUP(A229,'3. K0215-REFERENCE'!A:D,3,FALSE)</f>
        <v>10030.379999999999</v>
      </c>
      <c r="I229" s="164">
        <f>VLOOKUP(A229,'3. K0215-REFERENCE'!A:D,4,FALSE)</f>
        <v>64942.63</v>
      </c>
      <c r="J229" s="168">
        <f t="shared" si="34"/>
        <v>74973.009999999995</v>
      </c>
      <c r="K229" s="389">
        <v>14033130</v>
      </c>
      <c r="L229" s="389">
        <v>2620</v>
      </c>
      <c r="M229" s="172">
        <f>+L229/(L229+K229)</f>
        <v>1.8666619168907967E-4</v>
      </c>
      <c r="N229" s="173">
        <f>+J229*M229</f>
        <v>13.994926256167286</v>
      </c>
      <c r="O229" s="164">
        <f>+J229-N229</f>
        <v>74959.015073743823</v>
      </c>
      <c r="P229" s="167">
        <f t="shared" si="35"/>
        <v>1438.35</v>
      </c>
      <c r="Q229" s="164">
        <f t="shared" si="37"/>
        <v>76397.365073743829</v>
      </c>
      <c r="R229" s="172"/>
      <c r="S229" s="172"/>
    </row>
    <row r="230" spans="1:19" ht="15.6" outlineLevel="4">
      <c r="A230" s="161" t="s">
        <v>1068</v>
      </c>
      <c r="B230" s="162" t="s">
        <v>617</v>
      </c>
      <c r="C230" s="163" t="s">
        <v>466</v>
      </c>
      <c r="D230" s="163" t="s">
        <v>100</v>
      </c>
      <c r="E230" s="163" t="s">
        <v>121</v>
      </c>
      <c r="F230" s="163" t="s">
        <v>101</v>
      </c>
      <c r="G230" s="163" t="s">
        <v>101</v>
      </c>
      <c r="H230" s="164">
        <f>VLOOKUP(A230,'3. K0215-REFERENCE'!A:D,3,FALSE)</f>
        <v>67684.600000000006</v>
      </c>
      <c r="I230" s="164">
        <f>VLOOKUP(A230,'3. K0215-REFERENCE'!A:D,4,FALSE)</f>
        <v>143942.79999999999</v>
      </c>
      <c r="J230" s="168">
        <f t="shared" si="34"/>
        <v>211627.4</v>
      </c>
      <c r="K230" s="389">
        <v>14033130</v>
      </c>
      <c r="L230" s="389">
        <v>2620</v>
      </c>
      <c r="M230" s="172">
        <f>+L230/(L230+K230)</f>
        <v>1.8666619168907967E-4</v>
      </c>
      <c r="N230" s="173">
        <f>+J230*M230</f>
        <v>39.503680815061536</v>
      </c>
      <c r="O230" s="164">
        <f>+J230-N230</f>
        <v>211587.89631918495</v>
      </c>
      <c r="P230" s="167">
        <f t="shared" si="35"/>
        <v>4060.06</v>
      </c>
      <c r="Q230" s="164">
        <f t="shared" si="37"/>
        <v>215647.95631918494</v>
      </c>
      <c r="R230" s="172"/>
      <c r="S230" s="172"/>
    </row>
    <row r="231" spans="1:19" ht="15.6" outlineLevel="4">
      <c r="A231" s="161" t="s">
        <v>1069</v>
      </c>
      <c r="B231" s="162" t="s">
        <v>618</v>
      </c>
      <c r="C231" s="163" t="s">
        <v>466</v>
      </c>
      <c r="D231" s="163" t="s">
        <v>100</v>
      </c>
      <c r="E231" s="163" t="s">
        <v>121</v>
      </c>
      <c r="F231" s="163" t="s">
        <v>101</v>
      </c>
      <c r="G231" s="163" t="s">
        <v>101</v>
      </c>
      <c r="H231" s="164"/>
      <c r="I231" s="164"/>
      <c r="J231" s="168">
        <f t="shared" si="34"/>
        <v>0</v>
      </c>
      <c r="K231" s="389">
        <v>14033130</v>
      </c>
      <c r="L231" s="389">
        <v>2620</v>
      </c>
      <c r="M231" s="172">
        <v>0</v>
      </c>
      <c r="N231" s="173">
        <f>+J231*M231</f>
        <v>0</v>
      </c>
      <c r="O231" s="164">
        <f>+J231-N231</f>
        <v>0</v>
      </c>
      <c r="P231" s="167">
        <f t="shared" si="35"/>
        <v>0</v>
      </c>
      <c r="Q231" s="164">
        <f t="shared" si="37"/>
        <v>0</v>
      </c>
      <c r="R231" s="172"/>
      <c r="S231" s="172"/>
    </row>
    <row r="232" spans="1:19" ht="15.6" outlineLevel="4">
      <c r="A232" s="169" t="s">
        <v>1070</v>
      </c>
      <c r="B232" s="162" t="s">
        <v>690</v>
      </c>
      <c r="C232" s="163" t="s">
        <v>466</v>
      </c>
      <c r="D232" s="163" t="s">
        <v>100</v>
      </c>
      <c r="E232" s="163" t="s">
        <v>121</v>
      </c>
      <c r="F232" s="163" t="s">
        <v>101</v>
      </c>
      <c r="G232" s="163" t="s">
        <v>101</v>
      </c>
      <c r="H232" s="164">
        <f>VLOOKUP(A232,'3. K0215-REFERENCE'!A:D,3,FALSE)</f>
        <v>57665.440000000002</v>
      </c>
      <c r="I232" s="164">
        <f>VLOOKUP(A232,'3. K0215-REFERENCE'!A:D,4,FALSE)</f>
        <v>217531.27</v>
      </c>
      <c r="J232" s="168">
        <f t="shared" si="34"/>
        <v>275196.70999999996</v>
      </c>
      <c r="K232" s="389">
        <v>14033130</v>
      </c>
      <c r="L232" s="389">
        <v>2620</v>
      </c>
      <c r="M232" s="172">
        <f>+L232/(L232+K232)</f>
        <v>1.8666619168907967E-4</v>
      </c>
      <c r="N232" s="173">
        <f>+J232*M232</f>
        <v>51.369921821064061</v>
      </c>
      <c r="O232" s="164">
        <f>+J232-N232</f>
        <v>275145.34007817891</v>
      </c>
      <c r="P232" s="167">
        <f t="shared" si="35"/>
        <v>5279.64</v>
      </c>
      <c r="Q232" s="164">
        <f t="shared" si="37"/>
        <v>280424.98007817892</v>
      </c>
      <c r="R232" s="172"/>
      <c r="S232" s="172"/>
    </row>
    <row r="233" spans="1:19" ht="15.6" outlineLevel="4">
      <c r="A233" s="169" t="s">
        <v>1071</v>
      </c>
      <c r="B233" s="162" t="s">
        <v>691</v>
      </c>
      <c r="C233" s="163" t="s">
        <v>466</v>
      </c>
      <c r="D233" s="163" t="s">
        <v>100</v>
      </c>
      <c r="E233" s="163" t="s">
        <v>121</v>
      </c>
      <c r="F233" s="163" t="s">
        <v>101</v>
      </c>
      <c r="G233" s="163" t="s">
        <v>101</v>
      </c>
      <c r="H233" s="164">
        <f>VLOOKUP(A233,'3. K0215-REFERENCE'!A:D,3,FALSE)</f>
        <v>395923.22</v>
      </c>
      <c r="I233" s="164">
        <f>VLOOKUP(A233,'3. K0215-REFERENCE'!A:D,4,FALSE)</f>
        <v>345362.23</v>
      </c>
      <c r="J233" s="168">
        <f t="shared" si="34"/>
        <v>741285.45</v>
      </c>
      <c r="K233" s="389">
        <v>14033130</v>
      </c>
      <c r="L233" s="389">
        <v>2620</v>
      </c>
      <c r="M233" s="172">
        <f>+L233/(L233+K233)</f>
        <v>1.8666619168907967E-4</v>
      </c>
      <c r="N233" s="173">
        <f>+J233*M233</f>
        <v>138.37293190602568</v>
      </c>
      <c r="O233" s="164">
        <f>+J233-N233</f>
        <v>741147.07706809393</v>
      </c>
      <c r="P233" s="167">
        <f t="shared" si="35"/>
        <v>14221.53</v>
      </c>
      <c r="Q233" s="164">
        <f t="shared" si="37"/>
        <v>755368.60706809396</v>
      </c>
      <c r="R233" s="172"/>
      <c r="S233" s="172"/>
    </row>
    <row r="234" spans="1:19" ht="15.6" outlineLevel="4">
      <c r="A234" s="169" t="s">
        <v>1072</v>
      </c>
      <c r="B234" s="162" t="s">
        <v>692</v>
      </c>
      <c r="C234" s="163" t="s">
        <v>466</v>
      </c>
      <c r="D234" s="163" t="s">
        <v>100</v>
      </c>
      <c r="E234" s="163" t="s">
        <v>121</v>
      </c>
      <c r="F234" s="163" t="s">
        <v>101</v>
      </c>
      <c r="G234" s="163" t="s">
        <v>101</v>
      </c>
      <c r="H234" s="164">
        <f>VLOOKUP(A234,'3. K0215-REFERENCE'!A:D,3,FALSE)</f>
        <v>215423.87</v>
      </c>
      <c r="I234" s="164">
        <f>VLOOKUP(A234,'3. K0215-REFERENCE'!A:D,4,FALSE)</f>
        <v>2325155.46</v>
      </c>
      <c r="J234" s="168">
        <f t="shared" si="34"/>
        <v>2540579.33</v>
      </c>
      <c r="K234" s="389">
        <v>14033130</v>
      </c>
      <c r="L234" s="389">
        <v>2620</v>
      </c>
      <c r="M234" s="172">
        <f>+L234/(L234+K234)</f>
        <v>1.8666619168907967E-4</v>
      </c>
      <c r="N234" s="173">
        <f>+J234*M234</f>
        <v>474.24026821509358</v>
      </c>
      <c r="O234" s="164">
        <f>+J234-N234</f>
        <v>2540105.089731785</v>
      </c>
      <c r="P234" s="167">
        <f t="shared" si="35"/>
        <v>48740.89</v>
      </c>
      <c r="Q234" s="164">
        <f t="shared" si="37"/>
        <v>2588845.9797317851</v>
      </c>
      <c r="R234" s="172"/>
      <c r="S234" s="172"/>
    </row>
    <row r="235" spans="1:19" ht="15.6" outlineLevel="4">
      <c r="A235" s="169" t="s">
        <v>1073</v>
      </c>
      <c r="B235" s="162" t="s">
        <v>693</v>
      </c>
      <c r="C235" s="163" t="s">
        <v>466</v>
      </c>
      <c r="D235" s="163" t="s">
        <v>100</v>
      </c>
      <c r="E235" s="163" t="s">
        <v>121</v>
      </c>
      <c r="F235" s="163" t="s">
        <v>101</v>
      </c>
      <c r="G235" s="163" t="s">
        <v>101</v>
      </c>
      <c r="H235" s="164">
        <f>VLOOKUP(A235,'3. K0215-REFERENCE'!A:D,3,FALSE)</f>
        <v>55426.84</v>
      </c>
      <c r="I235" s="164">
        <f>VLOOKUP(A235,'3. K0215-REFERENCE'!A:D,4,FALSE)</f>
        <v>306923.11</v>
      </c>
      <c r="J235" s="168">
        <f t="shared" si="34"/>
        <v>362349.94999999995</v>
      </c>
      <c r="K235" s="389">
        <v>14033130</v>
      </c>
      <c r="L235" s="389">
        <v>2620</v>
      </c>
      <c r="M235" s="172">
        <f>+L235/(L235+K235)</f>
        <v>1.8666619168907967E-4</v>
      </c>
      <c r="N235" s="173">
        <f>+J235*M235</f>
        <v>67.638485225228422</v>
      </c>
      <c r="O235" s="164">
        <f>+J235-N235</f>
        <v>362282.31151477474</v>
      </c>
      <c r="P235" s="167">
        <f t="shared" si="35"/>
        <v>6951.67</v>
      </c>
      <c r="Q235" s="164">
        <f t="shared" si="37"/>
        <v>369233.98151477473</v>
      </c>
      <c r="R235" s="172"/>
      <c r="S235" s="172"/>
    </row>
    <row r="236" spans="1:19" ht="15.6" outlineLevel="4">
      <c r="A236" s="169" t="s">
        <v>1074</v>
      </c>
      <c r="B236" s="162" t="s">
        <v>694</v>
      </c>
      <c r="C236" s="163" t="s">
        <v>466</v>
      </c>
      <c r="D236" s="163" t="s">
        <v>100</v>
      </c>
      <c r="E236" s="163" t="s">
        <v>121</v>
      </c>
      <c r="F236" s="163" t="s">
        <v>101</v>
      </c>
      <c r="G236" s="163" t="s">
        <v>101</v>
      </c>
      <c r="H236" s="164">
        <f>VLOOKUP(A236,'3. K0215-REFERENCE'!A:D,3,FALSE)</f>
        <v>124519.11</v>
      </c>
      <c r="I236" s="164">
        <f>VLOOKUP(A236,'3. K0215-REFERENCE'!A:D,4,FALSE)</f>
        <v>623211.23</v>
      </c>
      <c r="J236" s="168">
        <f t="shared" si="34"/>
        <v>747730.34</v>
      </c>
      <c r="K236" s="389">
        <v>14033130</v>
      </c>
      <c r="L236" s="389">
        <v>2620</v>
      </c>
      <c r="M236" s="172">
        <f>+L236/(L236+K236)</f>
        <v>1.8666619168907967E-4</v>
      </c>
      <c r="N236" s="173">
        <f>+J236*M236</f>
        <v>139.57597497818071</v>
      </c>
      <c r="O236" s="164">
        <f>+J236-N236</f>
        <v>747590.76402502181</v>
      </c>
      <c r="P236" s="167">
        <f t="shared" si="35"/>
        <v>14345.17</v>
      </c>
      <c r="Q236" s="164">
        <f t="shared" si="37"/>
        <v>761935.93402502185</v>
      </c>
      <c r="R236" s="172"/>
      <c r="S236" s="172"/>
    </row>
    <row r="237" spans="1:19" ht="15.6" outlineLevel="4">
      <c r="A237" s="169" t="s">
        <v>1075</v>
      </c>
      <c r="B237" s="162" t="s">
        <v>695</v>
      </c>
      <c r="C237" s="163" t="s">
        <v>466</v>
      </c>
      <c r="D237" s="163" t="s">
        <v>100</v>
      </c>
      <c r="E237" s="163" t="s">
        <v>121</v>
      </c>
      <c r="F237" s="163" t="s">
        <v>101</v>
      </c>
      <c r="G237" s="163" t="s">
        <v>101</v>
      </c>
      <c r="H237" s="164">
        <f>VLOOKUP(A237,'3. K0215-REFERENCE'!A:D,3,FALSE)</f>
        <v>744432.17</v>
      </c>
      <c r="I237" s="164">
        <f>VLOOKUP(A237,'3. K0215-REFERENCE'!A:D,4,FALSE)</f>
        <v>973746.07</v>
      </c>
      <c r="J237" s="168">
        <f t="shared" si="34"/>
        <v>1718178.24</v>
      </c>
      <c r="K237" s="389">
        <v>14033130</v>
      </c>
      <c r="L237" s="389">
        <v>2620</v>
      </c>
      <c r="M237" s="172">
        <f>+L237/(L237+K237)</f>
        <v>1.8666619168907967E-4</v>
      </c>
      <c r="N237" s="173">
        <f>+J237*M237</f>
        <v>320.72578870384552</v>
      </c>
      <c r="O237" s="164">
        <f>+J237-N237</f>
        <v>1717857.5142112961</v>
      </c>
      <c r="P237" s="167">
        <f t="shared" si="35"/>
        <v>32963.17</v>
      </c>
      <c r="Q237" s="164">
        <f t="shared" si="37"/>
        <v>1750820.684211296</v>
      </c>
      <c r="R237" s="172"/>
      <c r="S237" s="172"/>
    </row>
    <row r="238" spans="1:19" ht="15.6" outlineLevel="4">
      <c r="A238" s="169" t="s">
        <v>1076</v>
      </c>
      <c r="B238" s="162" t="s">
        <v>696</v>
      </c>
      <c r="C238" s="163" t="s">
        <v>466</v>
      </c>
      <c r="D238" s="163" t="s">
        <v>100</v>
      </c>
      <c r="E238" s="163" t="s">
        <v>121</v>
      </c>
      <c r="F238" s="163" t="s">
        <v>101</v>
      </c>
      <c r="G238" s="163" t="s">
        <v>101</v>
      </c>
      <c r="H238" s="164">
        <f>VLOOKUP(A238,'3. K0215-REFERENCE'!A:D,3,FALSE)</f>
        <v>108328.33</v>
      </c>
      <c r="I238" s="164">
        <f>VLOOKUP(A238,'3. K0215-REFERENCE'!A:D,4,FALSE)</f>
        <v>202097.8</v>
      </c>
      <c r="J238" s="168">
        <f t="shared" si="34"/>
        <v>310426.13</v>
      </c>
      <c r="K238" s="389">
        <v>14033130</v>
      </c>
      <c r="L238" s="389">
        <v>2620</v>
      </c>
      <c r="M238" s="172">
        <f>+L238/(L238+K238)</f>
        <v>1.8666619168907967E-4</v>
      </c>
      <c r="N238" s="173">
        <f>+J238*M238</f>
        <v>57.946063487879165</v>
      </c>
      <c r="O238" s="164">
        <f>+J238-N238</f>
        <v>310368.1839365121</v>
      </c>
      <c r="P238" s="167">
        <f t="shared" si="35"/>
        <v>5955.51</v>
      </c>
      <c r="Q238" s="164">
        <f t="shared" si="37"/>
        <v>316323.69393651211</v>
      </c>
      <c r="R238" s="172"/>
      <c r="S238" s="172"/>
    </row>
    <row r="239" spans="1:19" ht="15.6" outlineLevel="4">
      <c r="A239" s="169" t="s">
        <v>1077</v>
      </c>
      <c r="B239" s="162" t="s">
        <v>697</v>
      </c>
      <c r="C239" s="163" t="s">
        <v>466</v>
      </c>
      <c r="D239" s="163" t="s">
        <v>100</v>
      </c>
      <c r="E239" s="163" t="s">
        <v>121</v>
      </c>
      <c r="F239" s="163" t="s">
        <v>101</v>
      </c>
      <c r="G239" s="163" t="s">
        <v>101</v>
      </c>
      <c r="H239" s="164">
        <f>VLOOKUP(A239,'3. K0215-REFERENCE'!A:D,3,FALSE)</f>
        <v>24052</v>
      </c>
      <c r="I239" s="164">
        <f>VLOOKUP(A239,'3. K0215-REFERENCE'!A:D,4,FALSE)</f>
        <v>245257.03</v>
      </c>
      <c r="J239" s="168">
        <f t="shared" si="34"/>
        <v>269309.03000000003</v>
      </c>
      <c r="K239" s="389">
        <v>14033130</v>
      </c>
      <c r="L239" s="389">
        <v>2620</v>
      </c>
      <c r="M239" s="172">
        <f>+L239/(L239+K239)</f>
        <v>1.8666619168907967E-4</v>
      </c>
      <c r="N239" s="173">
        <f>+J239*M239</f>
        <v>50.270891017580112</v>
      </c>
      <c r="O239" s="164">
        <f>+J239-N239</f>
        <v>269258.75910898246</v>
      </c>
      <c r="P239" s="167">
        <f t="shared" si="35"/>
        <v>5166.68</v>
      </c>
      <c r="Q239" s="164">
        <f t="shared" si="37"/>
        <v>274425.43910898245</v>
      </c>
      <c r="R239" s="172"/>
      <c r="S239" s="172"/>
    </row>
    <row r="240" spans="1:19" ht="15.6" outlineLevel="4">
      <c r="A240" s="169" t="s">
        <v>1078</v>
      </c>
      <c r="B240" s="162" t="s">
        <v>698</v>
      </c>
      <c r="C240" s="163" t="s">
        <v>466</v>
      </c>
      <c r="D240" s="163" t="s">
        <v>100</v>
      </c>
      <c r="E240" s="163" t="s">
        <v>121</v>
      </c>
      <c r="F240" s="163" t="s">
        <v>101</v>
      </c>
      <c r="G240" s="163" t="s">
        <v>101</v>
      </c>
      <c r="H240" s="164">
        <f>VLOOKUP(A240,'3. K0215-REFERENCE'!A:D,3,FALSE)</f>
        <v>131253.14000000001</v>
      </c>
      <c r="I240" s="164">
        <f>VLOOKUP(A240,'3. K0215-REFERENCE'!A:D,4,FALSE)</f>
        <v>671204.17</v>
      </c>
      <c r="J240" s="168">
        <f t="shared" si="34"/>
        <v>802457.31</v>
      </c>
      <c r="K240" s="389">
        <v>14033130</v>
      </c>
      <c r="L240" s="389">
        <v>2620</v>
      </c>
      <c r="M240" s="172">
        <f>+L240/(L240+K240)</f>
        <v>1.8666619168907967E-4</v>
      </c>
      <c r="N240" s="173">
        <f>+J240*M240</f>
        <v>149.79165005076322</v>
      </c>
      <c r="O240" s="164">
        <f>+J240-N240</f>
        <v>802307.51834994927</v>
      </c>
      <c r="P240" s="167">
        <f t="shared" si="35"/>
        <v>15395.11</v>
      </c>
      <c r="Q240" s="164">
        <f t="shared" si="37"/>
        <v>817702.62834994926</v>
      </c>
      <c r="R240" s="172"/>
      <c r="S240" s="172"/>
    </row>
    <row r="241" spans="1:19" ht="15.6" outlineLevel="4">
      <c r="A241" s="169" t="s">
        <v>1079</v>
      </c>
      <c r="B241" s="162" t="s">
        <v>62</v>
      </c>
      <c r="C241" s="163" t="s">
        <v>466</v>
      </c>
      <c r="D241" s="163" t="s">
        <v>100</v>
      </c>
      <c r="E241" s="163" t="s">
        <v>121</v>
      </c>
      <c r="F241" s="163" t="s">
        <v>101</v>
      </c>
      <c r="G241" s="163" t="s">
        <v>101</v>
      </c>
      <c r="H241" s="164"/>
      <c r="I241" s="164"/>
      <c r="J241" s="168">
        <f t="shared" si="34"/>
        <v>0</v>
      </c>
      <c r="K241" s="389">
        <v>14033130</v>
      </c>
      <c r="L241" s="389">
        <v>2620</v>
      </c>
      <c r="M241" s="172">
        <f>IFERROR(+L241/(L241+K241),0)</f>
        <v>1.8666619168907967E-4</v>
      </c>
      <c r="N241" s="173">
        <f>+J241*M241</f>
        <v>0</v>
      </c>
      <c r="O241" s="164">
        <f>+J241-N241</f>
        <v>0</v>
      </c>
      <c r="P241" s="167">
        <f t="shared" si="35"/>
        <v>0</v>
      </c>
      <c r="Q241" s="164">
        <f t="shared" si="37"/>
        <v>0</v>
      </c>
      <c r="R241" s="172"/>
      <c r="S241" s="172"/>
    </row>
    <row r="242" spans="1:19" s="52" customFormat="1" ht="15.6" outlineLevel="4">
      <c r="A242" s="208" t="s">
        <v>1080</v>
      </c>
      <c r="B242" s="183" t="s">
        <v>62</v>
      </c>
      <c r="C242" s="163" t="s">
        <v>466</v>
      </c>
      <c r="D242" s="184" t="s">
        <v>100</v>
      </c>
      <c r="E242" s="184" t="s">
        <v>121</v>
      </c>
      <c r="F242" s="184" t="s">
        <v>101</v>
      </c>
      <c r="G242" s="184" t="s">
        <v>101</v>
      </c>
      <c r="H242" s="164">
        <f>VLOOKUP(A242,'3. K0215-REFERENCE'!A:D,3,FALSE)</f>
        <v>0</v>
      </c>
      <c r="I242" s="164">
        <f>VLOOKUP(A242,'3. K0215-REFERENCE'!A:D,4,FALSE)</f>
        <v>19914.240000000002</v>
      </c>
      <c r="J242" s="168">
        <f t="shared" si="34"/>
        <v>19914.240000000002</v>
      </c>
      <c r="K242" s="389">
        <v>14033130</v>
      </c>
      <c r="L242" s="389">
        <v>2620</v>
      </c>
      <c r="M242" s="172">
        <f>+L242/(L242+K242)</f>
        <v>1.8666619168907967E-4</v>
      </c>
      <c r="N242" s="173">
        <f>+J242*M242</f>
        <v>3.7173153411823381</v>
      </c>
      <c r="O242" s="164">
        <f>+J242-N242</f>
        <v>19910.522684658819</v>
      </c>
      <c r="P242" s="167">
        <f t="shared" si="35"/>
        <v>382.05</v>
      </c>
      <c r="Q242" s="164">
        <f t="shared" si="37"/>
        <v>20292.572684658819</v>
      </c>
      <c r="R242" s="186"/>
      <c r="S242" s="186"/>
    </row>
    <row r="243" spans="1:19" ht="15.6" outlineLevel="4">
      <c r="A243" s="169" t="s">
        <v>1081</v>
      </c>
      <c r="B243" s="162" t="s">
        <v>483</v>
      </c>
      <c r="C243" s="163" t="s">
        <v>466</v>
      </c>
      <c r="D243" s="163" t="s">
        <v>100</v>
      </c>
      <c r="E243" s="163" t="s">
        <v>121</v>
      </c>
      <c r="F243" s="163" t="s">
        <v>101</v>
      </c>
      <c r="G243" s="163" t="s">
        <v>101</v>
      </c>
      <c r="H243" s="164">
        <f>VLOOKUP(A243,'3. K0215-REFERENCE'!A:D,3,FALSE)</f>
        <v>0</v>
      </c>
      <c r="I243" s="164">
        <f>VLOOKUP(A243,'3. K0215-REFERENCE'!A:D,4,FALSE)</f>
        <v>101256.41</v>
      </c>
      <c r="J243" s="168">
        <f t="shared" si="34"/>
        <v>101256.41</v>
      </c>
      <c r="K243" s="389">
        <v>14033130</v>
      </c>
      <c r="L243" s="389">
        <v>2620</v>
      </c>
      <c r="M243" s="172">
        <f>+L243/(L243+K243)</f>
        <v>1.8666619168907967E-4</v>
      </c>
      <c r="N243" s="173">
        <f>+J243*M243</f>
        <v>18.901148438808043</v>
      </c>
      <c r="O243" s="164">
        <f>+J243-N243</f>
        <v>101237.5088515612</v>
      </c>
      <c r="P243" s="167">
        <f t="shared" si="35"/>
        <v>1942.6</v>
      </c>
      <c r="Q243" s="164">
        <f t="shared" si="37"/>
        <v>103180.10885156121</v>
      </c>
      <c r="R243" s="172"/>
      <c r="S243" s="172"/>
    </row>
    <row r="244" spans="1:19" ht="15.6" outlineLevel="4">
      <c r="A244" s="169" t="s">
        <v>1082</v>
      </c>
      <c r="B244" s="162" t="s">
        <v>700</v>
      </c>
      <c r="C244" s="163" t="s">
        <v>466</v>
      </c>
      <c r="D244" s="163" t="s">
        <v>100</v>
      </c>
      <c r="E244" s="163" t="s">
        <v>121</v>
      </c>
      <c r="F244" s="163" t="s">
        <v>101</v>
      </c>
      <c r="G244" s="163" t="s">
        <v>101</v>
      </c>
      <c r="H244" s="164">
        <f>VLOOKUP(A244,'3. K0215-REFERENCE'!A:D,3,FALSE)</f>
        <v>98360.639999999999</v>
      </c>
      <c r="I244" s="164">
        <f>VLOOKUP(A244,'3. K0215-REFERENCE'!A:D,4,FALSE)</f>
        <v>275362.25</v>
      </c>
      <c r="J244" s="168">
        <f t="shared" si="34"/>
        <v>373722.89</v>
      </c>
      <c r="K244" s="389">
        <v>14033130</v>
      </c>
      <c r="L244" s="389">
        <v>2620</v>
      </c>
      <c r="M244" s="172">
        <f>+L244/(L244+K244)</f>
        <v>1.8666619168907967E-4</v>
      </c>
      <c r="N244" s="173">
        <f>+J244*M244</f>
        <v>69.76142862333684</v>
      </c>
      <c r="O244" s="164">
        <f>+J244-N244</f>
        <v>373653.12857137667</v>
      </c>
      <c r="P244" s="167">
        <f t="shared" si="35"/>
        <v>7169.86</v>
      </c>
      <c r="Q244" s="164">
        <f t="shared" si="37"/>
        <v>380822.98857137666</v>
      </c>
      <c r="R244" s="172"/>
      <c r="S244" s="172"/>
    </row>
    <row r="245" spans="1:19" ht="15.6" outlineLevel="4">
      <c r="A245" s="169" t="s">
        <v>1083</v>
      </c>
      <c r="B245" s="162" t="s">
        <v>701</v>
      </c>
      <c r="C245" s="163" t="s">
        <v>466</v>
      </c>
      <c r="D245" s="163" t="s">
        <v>100</v>
      </c>
      <c r="E245" s="163" t="s">
        <v>121</v>
      </c>
      <c r="F245" s="163" t="s">
        <v>101</v>
      </c>
      <c r="G245" s="163" t="s">
        <v>101</v>
      </c>
      <c r="H245" s="164">
        <f>VLOOKUP(A245,'3. K0215-REFERENCE'!A:D,3,FALSE)</f>
        <v>12619.25</v>
      </c>
      <c r="I245" s="164">
        <f>VLOOKUP(A245,'3. K0215-REFERENCE'!A:D,4,FALSE)</f>
        <v>91515.64</v>
      </c>
      <c r="J245" s="168">
        <f t="shared" si="34"/>
        <v>104134.89</v>
      </c>
      <c r="K245" s="389">
        <v>14033130</v>
      </c>
      <c r="L245" s="389">
        <v>2620</v>
      </c>
      <c r="M245" s="172">
        <f>+L245/(L245+K245)</f>
        <v>1.8666619168907967E-4</v>
      </c>
      <c r="N245" s="173">
        <f>+J245*M245</f>
        <v>19.438463338261226</v>
      </c>
      <c r="O245" s="164">
        <f>+J245-N245</f>
        <v>104115.45153666174</v>
      </c>
      <c r="P245" s="167">
        <f t="shared" si="35"/>
        <v>1997.82</v>
      </c>
      <c r="Q245" s="164">
        <f t="shared" si="37"/>
        <v>106113.27153666175</v>
      </c>
      <c r="R245" s="172"/>
      <c r="S245" s="172"/>
    </row>
    <row r="246" spans="1:19" s="14" customFormat="1" ht="15.6" outlineLevel="4">
      <c r="A246" s="169" t="s">
        <v>1084</v>
      </c>
      <c r="B246" s="162" t="s">
        <v>62</v>
      </c>
      <c r="C246" s="163" t="s">
        <v>466</v>
      </c>
      <c r="D246" s="163" t="s">
        <v>100</v>
      </c>
      <c r="E246" s="163" t="s">
        <v>121</v>
      </c>
      <c r="F246" s="163" t="s">
        <v>101</v>
      </c>
      <c r="G246" s="163" t="s">
        <v>101</v>
      </c>
      <c r="H246" s="164">
        <f>VLOOKUP(A246,'3. K0215-REFERENCE'!A:D,3,FALSE)</f>
        <v>264933.32</v>
      </c>
      <c r="I246" s="164">
        <f>VLOOKUP(A246,'3. K0215-REFERENCE'!A:D,4,FALSE)</f>
        <v>1067678.43</v>
      </c>
      <c r="J246" s="168">
        <f t="shared" si="34"/>
        <v>1332611.75</v>
      </c>
      <c r="K246" s="389">
        <v>14033130</v>
      </c>
      <c r="L246" s="389">
        <v>2620</v>
      </c>
      <c r="M246" s="172">
        <f>+L246/(L246+K246)</f>
        <v>1.8666619168907967E-4</v>
      </c>
      <c r="N246" s="173">
        <f>+J246*M246</f>
        <v>248.75356037261992</v>
      </c>
      <c r="O246" s="164">
        <f>+J246-N246</f>
        <v>1332362.9964396274</v>
      </c>
      <c r="P246" s="167">
        <f t="shared" si="35"/>
        <v>25566.09</v>
      </c>
      <c r="Q246" s="164">
        <f t="shared" si="37"/>
        <v>1357929.0864396275</v>
      </c>
      <c r="R246" s="165"/>
      <c r="S246" s="165"/>
    </row>
    <row r="247" spans="1:19" s="17" customFormat="1" ht="15.6" outlineLevel="4">
      <c r="A247" s="169" t="s">
        <v>1085</v>
      </c>
      <c r="B247" s="162" t="s">
        <v>62</v>
      </c>
      <c r="C247" s="163" t="s">
        <v>466</v>
      </c>
      <c r="D247" s="163" t="s">
        <v>100</v>
      </c>
      <c r="E247" s="163" t="s">
        <v>121</v>
      </c>
      <c r="F247" s="163" t="s">
        <v>101</v>
      </c>
      <c r="G247" s="163" t="s">
        <v>101</v>
      </c>
      <c r="H247" s="164"/>
      <c r="I247" s="164"/>
      <c r="J247" s="168">
        <f t="shared" si="34"/>
        <v>0</v>
      </c>
      <c r="K247" s="389">
        <v>14033130</v>
      </c>
      <c r="L247" s="389">
        <v>2620</v>
      </c>
      <c r="M247" s="172">
        <f>IFERROR(+L247/(L247+K247),0)</f>
        <v>1.8666619168907967E-4</v>
      </c>
      <c r="N247" s="173">
        <f>+J247*M247</f>
        <v>0</v>
      </c>
      <c r="O247" s="164">
        <f>+J247-N247</f>
        <v>0</v>
      </c>
      <c r="P247" s="167">
        <f t="shared" si="35"/>
        <v>0</v>
      </c>
      <c r="Q247" s="164">
        <f t="shared" si="37"/>
        <v>0</v>
      </c>
      <c r="R247" s="162"/>
      <c r="S247" s="162"/>
    </row>
    <row r="248" spans="1:19" ht="15.6" outlineLevel="4">
      <c r="A248" s="169" t="s">
        <v>1086</v>
      </c>
      <c r="B248" s="162" t="s">
        <v>62</v>
      </c>
      <c r="C248" s="163" t="s">
        <v>466</v>
      </c>
      <c r="D248" s="163" t="s">
        <v>100</v>
      </c>
      <c r="E248" s="163" t="s">
        <v>121</v>
      </c>
      <c r="F248" s="163" t="s">
        <v>101</v>
      </c>
      <c r="G248" s="163" t="s">
        <v>101</v>
      </c>
      <c r="H248" s="164">
        <f>VLOOKUP(A248,'3. K0215-REFERENCE'!A:D,3,FALSE)</f>
        <v>0</v>
      </c>
      <c r="I248" s="164">
        <f>VLOOKUP(A248,'3. K0215-REFERENCE'!A:D,4,FALSE)</f>
        <v>26461.51</v>
      </c>
      <c r="J248" s="168">
        <f t="shared" si="34"/>
        <v>26461.51</v>
      </c>
      <c r="K248" s="389">
        <v>14033130</v>
      </c>
      <c r="L248" s="389">
        <v>2620</v>
      </c>
      <c r="M248" s="172">
        <f>+L248/(L248+K248)</f>
        <v>1.8666619168907967E-4</v>
      </c>
      <c r="N248" s="173">
        <f>+J248*M248</f>
        <v>4.9394692980424981</v>
      </c>
      <c r="O248" s="164">
        <f>+J248-N248</f>
        <v>26456.570530701956</v>
      </c>
      <c r="P248" s="167">
        <f t="shared" si="35"/>
        <v>507.66</v>
      </c>
      <c r="Q248" s="164">
        <f t="shared" si="37"/>
        <v>26964.230530701956</v>
      </c>
      <c r="R248" s="172"/>
      <c r="S248" s="172"/>
    </row>
    <row r="249" spans="1:19" ht="15.6" outlineLevel="4">
      <c r="A249" s="169" t="s">
        <v>1087</v>
      </c>
      <c r="B249" s="162" t="s">
        <v>702</v>
      </c>
      <c r="C249" s="163" t="s">
        <v>466</v>
      </c>
      <c r="D249" s="163" t="s">
        <v>100</v>
      </c>
      <c r="E249" s="163" t="s">
        <v>121</v>
      </c>
      <c r="F249" s="163" t="s">
        <v>101</v>
      </c>
      <c r="G249" s="163" t="s">
        <v>101</v>
      </c>
      <c r="H249" s="164">
        <f>VLOOKUP(A249,'3. K0215-REFERENCE'!A:D,3,FALSE)</f>
        <v>14218.52</v>
      </c>
      <c r="I249" s="164">
        <f>VLOOKUP(A249,'3. K0215-REFERENCE'!A:D,4,FALSE)</f>
        <v>149352.35</v>
      </c>
      <c r="J249" s="168">
        <f t="shared" si="34"/>
        <v>163570.87</v>
      </c>
      <c r="K249" s="389">
        <v>14033130</v>
      </c>
      <c r="L249" s="389">
        <v>2620</v>
      </c>
      <c r="M249" s="172">
        <f>+L249/(L249+K249)</f>
        <v>1.8666619168907967E-4</v>
      </c>
      <c r="N249" s="173">
        <f>+J249*M249</f>
        <v>30.533151374169531</v>
      </c>
      <c r="O249" s="164">
        <f>+J249-N249</f>
        <v>163540.33684862583</v>
      </c>
      <c r="P249" s="167">
        <f t="shared" si="35"/>
        <v>3138.1</v>
      </c>
      <c r="Q249" s="164">
        <f t="shared" si="37"/>
        <v>166678.43684862583</v>
      </c>
      <c r="R249" s="172"/>
      <c r="S249" s="172"/>
    </row>
    <row r="250" spans="1:19" s="17" customFormat="1" ht="15.6" outlineLevel="4">
      <c r="A250" s="169" t="s">
        <v>1088</v>
      </c>
      <c r="B250" s="162" t="s">
        <v>703</v>
      </c>
      <c r="C250" s="163" t="s">
        <v>466</v>
      </c>
      <c r="D250" s="163" t="s">
        <v>100</v>
      </c>
      <c r="E250" s="163" t="s">
        <v>121</v>
      </c>
      <c r="F250" s="163" t="s">
        <v>101</v>
      </c>
      <c r="G250" s="163" t="s">
        <v>101</v>
      </c>
      <c r="H250" s="164">
        <f>VLOOKUP(A250,'3. K0215-REFERENCE'!A:D,3,FALSE)</f>
        <v>56897.23</v>
      </c>
      <c r="I250" s="164">
        <f>VLOOKUP(A250,'3. K0215-REFERENCE'!A:D,4,FALSE)</f>
        <v>156314.63</v>
      </c>
      <c r="J250" s="168">
        <f t="shared" si="34"/>
        <v>213211.86000000002</v>
      </c>
      <c r="K250" s="389">
        <v>14033130</v>
      </c>
      <c r="L250" s="389">
        <v>2620</v>
      </c>
      <c r="M250" s="172">
        <f>+L250/(L250+K250)</f>
        <v>1.8666619168907967E-4</v>
      </c>
      <c r="N250" s="173">
        <f>+J250*M250</f>
        <v>39.799445929145222</v>
      </c>
      <c r="O250" s="164">
        <f>+J250-N250</f>
        <v>213172.06055407086</v>
      </c>
      <c r="P250" s="167">
        <f t="shared" si="35"/>
        <v>4090.46</v>
      </c>
      <c r="Q250" s="164">
        <f t="shared" si="37"/>
        <v>217262.52055407086</v>
      </c>
      <c r="R250" s="162"/>
      <c r="S250" s="162"/>
    </row>
    <row r="251" spans="1:19" ht="15.6" outlineLevel="4">
      <c r="A251" s="169" t="s">
        <v>1089</v>
      </c>
      <c r="B251" s="162" t="s">
        <v>704</v>
      </c>
      <c r="C251" s="163" t="s">
        <v>466</v>
      </c>
      <c r="D251" s="163" t="s">
        <v>100</v>
      </c>
      <c r="E251" s="163" t="s">
        <v>121</v>
      </c>
      <c r="F251" s="163" t="s">
        <v>101</v>
      </c>
      <c r="G251" s="163" t="s">
        <v>101</v>
      </c>
      <c r="H251" s="164">
        <f>VLOOKUP(A251,'3. K0215-REFERENCE'!A:D,3,FALSE)</f>
        <v>99205.19</v>
      </c>
      <c r="I251" s="164">
        <f>VLOOKUP(A251,'3. K0215-REFERENCE'!A:D,4,FALSE)</f>
        <v>130684.4</v>
      </c>
      <c r="J251" s="168">
        <f t="shared" si="34"/>
        <v>229889.59</v>
      </c>
      <c r="K251" s="389">
        <v>14033130</v>
      </c>
      <c r="L251" s="389">
        <v>2620</v>
      </c>
      <c r="M251" s="172">
        <f>+L251/(L251+K251)</f>
        <v>1.8666619168907967E-4</v>
      </c>
      <c r="N251" s="173">
        <f>+J251*M251</f>
        <v>42.91261427426393</v>
      </c>
      <c r="O251" s="164">
        <f>+J251-N251</f>
        <v>229846.67738572572</v>
      </c>
      <c r="P251" s="167">
        <f t="shared" si="35"/>
        <v>4410.42</v>
      </c>
      <c r="Q251" s="164">
        <f t="shared" si="37"/>
        <v>234257.09738572573</v>
      </c>
      <c r="R251" s="172"/>
      <c r="S251" s="172"/>
    </row>
    <row r="252" spans="1:19" s="52" customFormat="1" ht="15.6" outlineLevel="4">
      <c r="A252" s="208" t="s">
        <v>1090</v>
      </c>
      <c r="B252" s="183" t="s">
        <v>62</v>
      </c>
      <c r="C252" s="163" t="s">
        <v>466</v>
      </c>
      <c r="D252" s="184" t="s">
        <v>100</v>
      </c>
      <c r="E252" s="184" t="s">
        <v>121</v>
      </c>
      <c r="F252" s="184" t="s">
        <v>101</v>
      </c>
      <c r="G252" s="184" t="s">
        <v>101</v>
      </c>
      <c r="H252" s="164"/>
      <c r="I252" s="164"/>
      <c r="J252" s="168">
        <f t="shared" si="34"/>
        <v>0</v>
      </c>
      <c r="K252" s="389">
        <v>14033130</v>
      </c>
      <c r="L252" s="389">
        <v>2620</v>
      </c>
      <c r="M252" s="172">
        <v>0</v>
      </c>
      <c r="N252" s="173">
        <f>+J252*M252</f>
        <v>0</v>
      </c>
      <c r="O252" s="164">
        <f>+J252-N252</f>
        <v>0</v>
      </c>
      <c r="P252" s="167">
        <f t="shared" si="35"/>
        <v>0</v>
      </c>
      <c r="Q252" s="164">
        <f t="shared" si="37"/>
        <v>0</v>
      </c>
      <c r="R252" s="186"/>
      <c r="S252" s="186"/>
    </row>
    <row r="253" spans="1:19" ht="15.6" outlineLevel="4">
      <c r="A253" s="208" t="s">
        <v>1091</v>
      </c>
      <c r="B253" s="162" t="s">
        <v>699</v>
      </c>
      <c r="C253" s="163" t="s">
        <v>466</v>
      </c>
      <c r="D253" s="163" t="s">
        <v>100</v>
      </c>
      <c r="E253" s="163" t="s">
        <v>121</v>
      </c>
      <c r="F253" s="163" t="s">
        <v>101</v>
      </c>
      <c r="G253" s="163" t="s">
        <v>101</v>
      </c>
      <c r="H253" s="164">
        <f>VLOOKUP(A253,'3. K0215-REFERENCE'!A:D,3,FALSE)</f>
        <v>90263.45</v>
      </c>
      <c r="I253" s="164">
        <f>VLOOKUP(A253,'3. K0215-REFERENCE'!A:D,4,FALSE)</f>
        <v>49068.43</v>
      </c>
      <c r="J253" s="168">
        <f t="shared" si="34"/>
        <v>139331.88</v>
      </c>
      <c r="K253" s="389">
        <v>14033130</v>
      </c>
      <c r="L253" s="389">
        <v>2620</v>
      </c>
      <c r="M253" s="172">
        <f>+L253/(L253+K253)</f>
        <v>1.8666619168907967E-4</v>
      </c>
      <c r="N253" s="173">
        <f>+J253*M253</f>
        <v>26.008551420479847</v>
      </c>
      <c r="O253" s="164">
        <f>+J253-N253</f>
        <v>139305.87144857954</v>
      </c>
      <c r="P253" s="167">
        <f t="shared" si="35"/>
        <v>2673.08</v>
      </c>
      <c r="Q253" s="164">
        <f t="shared" si="37"/>
        <v>141978.95144857952</v>
      </c>
      <c r="R253" s="172"/>
      <c r="S253" s="172"/>
    </row>
    <row r="254" spans="1:19" ht="15.6" outlineLevel="4">
      <c r="A254" s="208" t="s">
        <v>1092</v>
      </c>
      <c r="B254" s="162" t="s">
        <v>600</v>
      </c>
      <c r="C254" s="163" t="s">
        <v>466</v>
      </c>
      <c r="D254" s="163" t="s">
        <v>100</v>
      </c>
      <c r="E254" s="163" t="s">
        <v>121</v>
      </c>
      <c r="F254" s="163" t="s">
        <v>101</v>
      </c>
      <c r="G254" s="163" t="s">
        <v>101</v>
      </c>
      <c r="H254" s="164">
        <f>VLOOKUP(A254,'3. K0215-REFERENCE'!A:D,3,FALSE)</f>
        <v>31010.65</v>
      </c>
      <c r="I254" s="164">
        <f>VLOOKUP(A254,'3. K0215-REFERENCE'!A:D,4,FALSE)</f>
        <v>142124</v>
      </c>
      <c r="J254" s="168">
        <f t="shared" si="34"/>
        <v>173134.65</v>
      </c>
      <c r="K254" s="389">
        <v>14033130</v>
      </c>
      <c r="L254" s="389">
        <v>2620</v>
      </c>
      <c r="M254" s="172">
        <f>+L254/(L254+K254)</f>
        <v>1.8666619168907967E-4</v>
      </c>
      <c r="N254" s="173">
        <f>+J254*M254</f>
        <v>32.318385764921715</v>
      </c>
      <c r="O254" s="164">
        <f>+J254-N254</f>
        <v>173102.33161423507</v>
      </c>
      <c r="P254" s="167">
        <f t="shared" si="35"/>
        <v>3321.58</v>
      </c>
      <c r="Q254" s="164">
        <f t="shared" si="37"/>
        <v>176423.91161423505</v>
      </c>
      <c r="R254" s="172"/>
      <c r="S254" s="172"/>
    </row>
    <row r="255" spans="1:19" ht="15.6" outlineLevel="4">
      <c r="A255" s="208" t="s">
        <v>1093</v>
      </c>
      <c r="B255" s="162" t="s">
        <v>609</v>
      </c>
      <c r="C255" s="163" t="s">
        <v>466</v>
      </c>
      <c r="D255" s="163" t="s">
        <v>100</v>
      </c>
      <c r="E255" s="163" t="s">
        <v>121</v>
      </c>
      <c r="F255" s="163" t="s">
        <v>101</v>
      </c>
      <c r="G255" s="163" t="s">
        <v>101</v>
      </c>
      <c r="H255" s="164">
        <f>VLOOKUP(A255,'3. K0215-REFERENCE'!A:D,3,FALSE)</f>
        <v>0.28999999999999998</v>
      </c>
      <c r="I255" s="164">
        <f>VLOOKUP(A255,'3. K0215-REFERENCE'!A:D,4,FALSE)</f>
        <v>64344.82</v>
      </c>
      <c r="J255" s="168">
        <f t="shared" si="34"/>
        <v>64345.11</v>
      </c>
      <c r="K255" s="389">
        <v>14033130</v>
      </c>
      <c r="L255" s="389">
        <v>2620</v>
      </c>
      <c r="M255" s="172">
        <f>+L255/(L255+K255)</f>
        <v>1.8666619168907967E-4</v>
      </c>
      <c r="N255" s="173">
        <f>+J255*M255</f>
        <v>12.011056637514917</v>
      </c>
      <c r="O255" s="164">
        <f>+J255-N255</f>
        <v>64333.098943362485</v>
      </c>
      <c r="P255" s="167">
        <f t="shared" si="35"/>
        <v>1234.46</v>
      </c>
      <c r="Q255" s="164">
        <f t="shared" si="37"/>
        <v>65567.558943362485</v>
      </c>
      <c r="R255" s="172"/>
      <c r="S255" s="172"/>
    </row>
    <row r="256" spans="1:19" ht="15.6" outlineLevel="4">
      <c r="A256" s="208" t="s">
        <v>1299</v>
      </c>
      <c r="B256" s="162" t="s">
        <v>1300</v>
      </c>
      <c r="C256" s="163" t="s">
        <v>466</v>
      </c>
      <c r="D256" s="163" t="s">
        <v>100</v>
      </c>
      <c r="E256" s="163" t="s">
        <v>121</v>
      </c>
      <c r="F256" s="163" t="s">
        <v>101</v>
      </c>
      <c r="G256" s="163" t="s">
        <v>101</v>
      </c>
      <c r="H256" s="164">
        <f>VLOOKUP(A256,'3. K0215-REFERENCE'!A:D,3,FALSE)</f>
        <v>7495.11</v>
      </c>
      <c r="I256" s="164">
        <f>VLOOKUP(A256,'3. K0215-REFERENCE'!A:D,4,FALSE)</f>
        <v>54228.04</v>
      </c>
      <c r="J256" s="168">
        <f t="shared" si="34"/>
        <v>61723.15</v>
      </c>
      <c r="K256" s="389">
        <v>14033130</v>
      </c>
      <c r="L256" s="389">
        <v>2620</v>
      </c>
      <c r="M256" s="172">
        <f>+L256/(L256+K256)</f>
        <v>1.8666619168907967E-4</v>
      </c>
      <c r="N256" s="173">
        <f>+J256*M256</f>
        <v>11.521625349553817</v>
      </c>
      <c r="O256" s="164">
        <f>+J256-N256</f>
        <v>61711.628374650449</v>
      </c>
      <c r="P256" s="167">
        <f t="shared" si="35"/>
        <v>1184.1600000000001</v>
      </c>
      <c r="Q256" s="164">
        <f t="shared" ref="Q256" si="38">+O256+P256</f>
        <v>62895.788374650452</v>
      </c>
      <c r="R256" s="172"/>
      <c r="S256" s="172"/>
    </row>
    <row r="257" spans="1:19" ht="15.6" outlineLevel="4">
      <c r="A257" s="208" t="s">
        <v>1094</v>
      </c>
      <c r="B257" s="162" t="s">
        <v>601</v>
      </c>
      <c r="C257" s="163" t="s">
        <v>466</v>
      </c>
      <c r="D257" s="163" t="s">
        <v>100</v>
      </c>
      <c r="E257" s="163" t="s">
        <v>121</v>
      </c>
      <c r="F257" s="163" t="s">
        <v>101</v>
      </c>
      <c r="G257" s="163" t="s">
        <v>101</v>
      </c>
      <c r="H257" s="164">
        <f>VLOOKUP(A257,'3. K0215-REFERENCE'!A:D,3,FALSE)</f>
        <v>17681.87</v>
      </c>
      <c r="I257" s="164">
        <f>VLOOKUP(A257,'3. K0215-REFERENCE'!A:D,4,FALSE)</f>
        <v>84901.77</v>
      </c>
      <c r="J257" s="168">
        <f t="shared" si="34"/>
        <v>102583.64</v>
      </c>
      <c r="K257" s="389">
        <v>14033130</v>
      </c>
      <c r="L257" s="389">
        <v>2620</v>
      </c>
      <c r="M257" s="172">
        <f>+L257/(L257+K257)</f>
        <v>1.8666619168907967E-4</v>
      </c>
      <c r="N257" s="173">
        <f>+J257*M257</f>
        <v>19.148897408403542</v>
      </c>
      <c r="O257" s="164">
        <f>+J257-N257</f>
        <v>102564.49110259159</v>
      </c>
      <c r="P257" s="167">
        <f t="shared" si="35"/>
        <v>1968.06</v>
      </c>
      <c r="Q257" s="164">
        <f t="shared" si="37"/>
        <v>104532.55110259159</v>
      </c>
      <c r="R257" s="172"/>
      <c r="S257" s="172"/>
    </row>
    <row r="258" spans="1:19" ht="15.6" outlineLevel="4">
      <c r="A258" s="208" t="s">
        <v>1095</v>
      </c>
      <c r="B258" s="162" t="s">
        <v>619</v>
      </c>
      <c r="C258" s="163" t="s">
        <v>466</v>
      </c>
      <c r="D258" s="163" t="s">
        <v>100</v>
      </c>
      <c r="E258" s="163" t="s">
        <v>121</v>
      </c>
      <c r="F258" s="163" t="s">
        <v>101</v>
      </c>
      <c r="G258" s="163" t="s">
        <v>101</v>
      </c>
      <c r="H258" s="164">
        <f>VLOOKUP(A258,'3. K0215-REFERENCE'!A:D,3,FALSE)</f>
        <v>74480.06</v>
      </c>
      <c r="I258" s="164">
        <f>VLOOKUP(A258,'3. K0215-REFERENCE'!A:D,4,FALSE)</f>
        <v>486866.23</v>
      </c>
      <c r="J258" s="168">
        <f t="shared" si="34"/>
        <v>561346.29</v>
      </c>
      <c r="K258" s="389">
        <v>14033130</v>
      </c>
      <c r="L258" s="389">
        <v>2620</v>
      </c>
      <c r="M258" s="172">
        <f>+L258/(L258+K258)</f>
        <v>1.8666619168907967E-4</v>
      </c>
      <c r="N258" s="173">
        <f>+J258*M258</f>
        <v>104.78437417309371</v>
      </c>
      <c r="O258" s="164">
        <f>+J258-N258</f>
        <v>561241.50562582689</v>
      </c>
      <c r="P258" s="167">
        <f t="shared" si="35"/>
        <v>10769.4</v>
      </c>
      <c r="Q258" s="164">
        <f t="shared" si="37"/>
        <v>572010.90562582691</v>
      </c>
      <c r="R258" s="172"/>
      <c r="S258" s="172"/>
    </row>
    <row r="259" spans="1:19" ht="15.6" outlineLevel="4">
      <c r="A259" s="208" t="s">
        <v>1096</v>
      </c>
      <c r="B259" s="162" t="s">
        <v>620</v>
      </c>
      <c r="C259" s="163" t="s">
        <v>466</v>
      </c>
      <c r="D259" s="163" t="s">
        <v>100</v>
      </c>
      <c r="E259" s="163" t="s">
        <v>121</v>
      </c>
      <c r="F259" s="163" t="s">
        <v>101</v>
      </c>
      <c r="G259" s="163" t="s">
        <v>101</v>
      </c>
      <c r="H259" s="164"/>
      <c r="I259" s="164"/>
      <c r="J259" s="168">
        <f t="shared" si="34"/>
        <v>0</v>
      </c>
      <c r="K259" s="389">
        <v>14033130</v>
      </c>
      <c r="L259" s="389">
        <v>2620</v>
      </c>
      <c r="M259" s="172">
        <f>IFERROR(+L259/(L259+K259),0)</f>
        <v>1.8666619168907967E-4</v>
      </c>
      <c r="N259" s="173">
        <f>+J259*M259</f>
        <v>0</v>
      </c>
      <c r="O259" s="164">
        <f>+J259-N259</f>
        <v>0</v>
      </c>
      <c r="P259" s="167">
        <f t="shared" si="35"/>
        <v>0</v>
      </c>
      <c r="Q259" s="164">
        <f t="shared" si="37"/>
        <v>0</v>
      </c>
      <c r="R259" s="172"/>
      <c r="S259" s="172"/>
    </row>
    <row r="260" spans="1:19" ht="15.6" outlineLevel="4">
      <c r="A260" s="208" t="s">
        <v>1097</v>
      </c>
      <c r="B260" s="162" t="s">
        <v>836</v>
      </c>
      <c r="C260" s="163" t="s">
        <v>466</v>
      </c>
      <c r="D260" s="163" t="s">
        <v>100</v>
      </c>
      <c r="E260" s="163" t="s">
        <v>121</v>
      </c>
      <c r="F260" s="163" t="s">
        <v>101</v>
      </c>
      <c r="G260" s="163" t="s">
        <v>101</v>
      </c>
      <c r="H260" s="164"/>
      <c r="I260" s="164"/>
      <c r="J260" s="168">
        <f t="shared" si="34"/>
        <v>0</v>
      </c>
      <c r="K260" s="389">
        <v>14033130</v>
      </c>
      <c r="L260" s="389">
        <v>2620</v>
      </c>
      <c r="M260" s="172">
        <f>IFERROR(+L260/(L260+K260),0)</f>
        <v>1.8666619168907967E-4</v>
      </c>
      <c r="N260" s="173">
        <f>+J260*M260</f>
        <v>0</v>
      </c>
      <c r="O260" s="164">
        <f>+J260-N260</f>
        <v>0</v>
      </c>
      <c r="P260" s="167">
        <f t="shared" si="35"/>
        <v>0</v>
      </c>
      <c r="Q260" s="164">
        <f t="shared" si="37"/>
        <v>0</v>
      </c>
      <c r="R260" s="172"/>
      <c r="S260" s="172"/>
    </row>
    <row r="261" spans="1:19" ht="15.6" outlineLevel="4">
      <c r="A261" s="208" t="s">
        <v>1098</v>
      </c>
      <c r="B261" s="162" t="s">
        <v>648</v>
      </c>
      <c r="C261" s="163" t="s">
        <v>466</v>
      </c>
      <c r="D261" s="163" t="s">
        <v>100</v>
      </c>
      <c r="E261" s="163" t="s">
        <v>121</v>
      </c>
      <c r="F261" s="163" t="s">
        <v>101</v>
      </c>
      <c r="G261" s="163" t="s">
        <v>101</v>
      </c>
      <c r="H261" s="164">
        <f>VLOOKUP(A261,'3. K0215-REFERENCE'!A:D,3,FALSE)</f>
        <v>26245</v>
      </c>
      <c r="I261" s="164">
        <f>VLOOKUP(A261,'3. K0215-REFERENCE'!A:D,4,FALSE)</f>
        <v>150961.18</v>
      </c>
      <c r="J261" s="168">
        <f t="shared" si="34"/>
        <v>177206.18</v>
      </c>
      <c r="K261" s="389">
        <v>14033130</v>
      </c>
      <c r="L261" s="389">
        <v>2620</v>
      </c>
      <c r="M261" s="172">
        <f>+L261/(L261+K261)</f>
        <v>1.8666619168907967E-4</v>
      </c>
      <c r="N261" s="173">
        <f>+J261*M261</f>
        <v>33.078402764369557</v>
      </c>
      <c r="O261" s="164">
        <f>+J261-N261</f>
        <v>177173.10159723563</v>
      </c>
      <c r="P261" s="167">
        <f t="shared" si="35"/>
        <v>3399.69</v>
      </c>
      <c r="Q261" s="164">
        <f t="shared" si="37"/>
        <v>180572.79159723563</v>
      </c>
      <c r="R261" s="172"/>
      <c r="S261" s="172"/>
    </row>
    <row r="262" spans="1:19" ht="15.6" outlineLevel="4">
      <c r="A262" s="208" t="s">
        <v>1099</v>
      </c>
      <c r="B262" s="162" t="s">
        <v>649</v>
      </c>
      <c r="C262" s="163" t="s">
        <v>466</v>
      </c>
      <c r="D262" s="163" t="s">
        <v>100</v>
      </c>
      <c r="E262" s="163" t="s">
        <v>121</v>
      </c>
      <c r="F262" s="163" t="s">
        <v>101</v>
      </c>
      <c r="G262" s="163" t="s">
        <v>101</v>
      </c>
      <c r="H262" s="164">
        <f>VLOOKUP(A262,'3. K0215-REFERENCE'!A:D,3,FALSE)</f>
        <v>6662.71</v>
      </c>
      <c r="I262" s="164">
        <f>VLOOKUP(A262,'3. K0215-REFERENCE'!A:D,4,FALSE)</f>
        <v>65908.160000000003</v>
      </c>
      <c r="J262" s="168">
        <f t="shared" si="34"/>
        <v>72570.87000000001</v>
      </c>
      <c r="K262" s="389">
        <v>14033130</v>
      </c>
      <c r="L262" s="389">
        <v>2620</v>
      </c>
      <c r="M262" s="172">
        <f>+L262/(L262+K262)</f>
        <v>1.8666619168907967E-4</v>
      </c>
      <c r="N262" s="173">
        <f>+J262*M262</f>
        <v>13.546527930463283</v>
      </c>
      <c r="O262" s="164">
        <f>+J262-N262</f>
        <v>72557.323472069547</v>
      </c>
      <c r="P262" s="167">
        <f t="shared" si="35"/>
        <v>1392.27</v>
      </c>
      <c r="Q262" s="164">
        <f t="shared" si="37"/>
        <v>73949.593472069551</v>
      </c>
      <c r="R262" s="172"/>
      <c r="S262" s="172"/>
    </row>
    <row r="263" spans="1:19" ht="15.6" outlineLevel="4">
      <c r="A263" s="169" t="s">
        <v>1100</v>
      </c>
      <c r="B263" s="162" t="s">
        <v>705</v>
      </c>
      <c r="C263" s="163" t="s">
        <v>466</v>
      </c>
      <c r="D263" s="163" t="s">
        <v>100</v>
      </c>
      <c r="E263" s="163" t="s">
        <v>121</v>
      </c>
      <c r="F263" s="163" t="s">
        <v>101</v>
      </c>
      <c r="G263" s="163" t="s">
        <v>101</v>
      </c>
      <c r="H263" s="164">
        <f>VLOOKUP(A263,'3. K0215-REFERENCE'!A:D,3,FALSE)</f>
        <v>111147.04</v>
      </c>
      <c r="I263" s="164">
        <f>VLOOKUP(A263,'3. K0215-REFERENCE'!A:D,4,FALSE)</f>
        <v>338265.27</v>
      </c>
      <c r="J263" s="168">
        <f t="shared" si="34"/>
        <v>449412.31</v>
      </c>
      <c r="K263" s="389">
        <v>14033130</v>
      </c>
      <c r="L263" s="389">
        <v>2620</v>
      </c>
      <c r="M263" s="172">
        <f>+L263/(L263+K263)</f>
        <v>1.8666619168907967E-4</v>
      </c>
      <c r="N263" s="173">
        <f>+J263*M263</f>
        <v>83.890084405892097</v>
      </c>
      <c r="O263" s="164">
        <f>+J263-N263</f>
        <v>449328.4199155941</v>
      </c>
      <c r="P263" s="167">
        <f t="shared" si="35"/>
        <v>8621.9500000000007</v>
      </c>
      <c r="Q263" s="164">
        <f t="shared" si="37"/>
        <v>457950.36991559411</v>
      </c>
      <c r="R263" s="172"/>
      <c r="S263" s="172"/>
    </row>
    <row r="264" spans="1:19" ht="15.6" outlineLevel="4">
      <c r="A264" s="169" t="s">
        <v>1101</v>
      </c>
      <c r="B264" s="162" t="s">
        <v>62</v>
      </c>
      <c r="C264" s="163" t="s">
        <v>466</v>
      </c>
      <c r="D264" s="163" t="s">
        <v>100</v>
      </c>
      <c r="E264" s="163" t="s">
        <v>121</v>
      </c>
      <c r="F264" s="163" t="s">
        <v>101</v>
      </c>
      <c r="G264" s="163" t="s">
        <v>101</v>
      </c>
      <c r="H264" s="164">
        <f>VLOOKUP(A264,'3. K0215-REFERENCE'!A:D,3,FALSE)</f>
        <v>4350</v>
      </c>
      <c r="I264" s="164">
        <f>VLOOKUP(A264,'3. K0215-REFERENCE'!A:D,4,FALSE)</f>
        <v>49157.69</v>
      </c>
      <c r="J264" s="168">
        <f t="shared" si="34"/>
        <v>53507.69</v>
      </c>
      <c r="K264" s="389">
        <v>14033130</v>
      </c>
      <c r="L264" s="389">
        <v>2620</v>
      </c>
      <c r="M264" s="172">
        <f>IFERROR(+L264/(L264+K264),0)</f>
        <v>1.8666619168907967E-4</v>
      </c>
      <c r="N264" s="173">
        <f>+J264*M264</f>
        <v>9.9880767183798511</v>
      </c>
      <c r="O264" s="164">
        <f>+J264-N264</f>
        <v>53497.701923281624</v>
      </c>
      <c r="P264" s="167">
        <f t="shared" si="35"/>
        <v>1026.54</v>
      </c>
      <c r="Q264" s="164">
        <f t="shared" si="37"/>
        <v>54524.241923281625</v>
      </c>
      <c r="R264" s="172"/>
      <c r="S264" s="172"/>
    </row>
    <row r="265" spans="1:19" ht="15.6" outlineLevel="4">
      <c r="A265" s="169" t="s">
        <v>1102</v>
      </c>
      <c r="B265" s="162" t="s">
        <v>71</v>
      </c>
      <c r="C265" s="163" t="s">
        <v>466</v>
      </c>
      <c r="D265" s="163" t="s">
        <v>100</v>
      </c>
      <c r="E265" s="163" t="s">
        <v>121</v>
      </c>
      <c r="F265" s="163" t="s">
        <v>101</v>
      </c>
      <c r="G265" s="163" t="s">
        <v>101</v>
      </c>
      <c r="H265" s="164"/>
      <c r="I265" s="164"/>
      <c r="J265" s="168">
        <f t="shared" si="34"/>
        <v>0</v>
      </c>
      <c r="K265" s="389">
        <v>14033130</v>
      </c>
      <c r="L265" s="389">
        <v>2620</v>
      </c>
      <c r="M265" s="172">
        <f>IFERROR(+L265/(L265+K265),0)</f>
        <v>1.8666619168907967E-4</v>
      </c>
      <c r="N265" s="173">
        <f>+J265*M265</f>
        <v>0</v>
      </c>
      <c r="O265" s="164">
        <f>+J265-N265</f>
        <v>0</v>
      </c>
      <c r="P265" s="167">
        <f t="shared" si="35"/>
        <v>0</v>
      </c>
      <c r="Q265" s="164">
        <f t="shared" si="37"/>
        <v>0</v>
      </c>
      <c r="R265" s="172"/>
      <c r="S265" s="172"/>
    </row>
    <row r="266" spans="1:19" ht="15.6" outlineLevel="4">
      <c r="A266" s="169" t="s">
        <v>1103</v>
      </c>
      <c r="B266" s="162" t="s">
        <v>740</v>
      </c>
      <c r="C266" s="163" t="s">
        <v>466</v>
      </c>
      <c r="D266" s="163" t="s">
        <v>100</v>
      </c>
      <c r="E266" s="163" t="s">
        <v>121</v>
      </c>
      <c r="F266" s="163" t="s">
        <v>101</v>
      </c>
      <c r="G266" s="163" t="s">
        <v>101</v>
      </c>
      <c r="H266" s="164"/>
      <c r="I266" s="164"/>
      <c r="J266" s="168">
        <f t="shared" si="34"/>
        <v>0</v>
      </c>
      <c r="K266" s="389">
        <v>14033130</v>
      </c>
      <c r="L266" s="389">
        <v>2620</v>
      </c>
      <c r="M266" s="172">
        <f>+L266/(L266+K266)</f>
        <v>1.8666619168907967E-4</v>
      </c>
      <c r="N266" s="173">
        <f>+J266*M266</f>
        <v>0</v>
      </c>
      <c r="O266" s="164">
        <f>+J266-N266</f>
        <v>0</v>
      </c>
      <c r="P266" s="167">
        <f t="shared" si="35"/>
        <v>0</v>
      </c>
      <c r="Q266" s="164">
        <f t="shared" si="37"/>
        <v>0</v>
      </c>
      <c r="R266" s="172"/>
      <c r="S266" s="172"/>
    </row>
    <row r="267" spans="1:19" ht="15.6" outlineLevel="4">
      <c r="A267" s="169" t="s">
        <v>1104</v>
      </c>
      <c r="B267" s="162" t="s">
        <v>543</v>
      </c>
      <c r="C267" s="163" t="s">
        <v>466</v>
      </c>
      <c r="D267" s="163" t="s">
        <v>100</v>
      </c>
      <c r="E267" s="163" t="s">
        <v>121</v>
      </c>
      <c r="F267" s="163" t="s">
        <v>101</v>
      </c>
      <c r="G267" s="163" t="s">
        <v>101</v>
      </c>
      <c r="H267" s="164">
        <f>VLOOKUP(A267,'3. K0215-REFERENCE'!A:D,3,FALSE)</f>
        <v>18400.919999999998</v>
      </c>
      <c r="I267" s="164">
        <f>VLOOKUP(A267,'3. K0215-REFERENCE'!A:D,4,FALSE)</f>
        <v>38935.910000000003</v>
      </c>
      <c r="J267" s="168">
        <f t="shared" si="34"/>
        <v>57336.83</v>
      </c>
      <c r="K267" s="389">
        <v>14033130</v>
      </c>
      <c r="L267" s="389">
        <v>2620</v>
      </c>
      <c r="M267" s="172">
        <f>IFERROR(+L267/(L267+K267),0)</f>
        <v>1.8666619168907967E-4</v>
      </c>
      <c r="N267" s="173">
        <f>+J267*M267</f>
        <v>10.702847699624174</v>
      </c>
      <c r="O267" s="164">
        <f>+J267-N267</f>
        <v>57326.127152300374</v>
      </c>
      <c r="P267" s="167">
        <f t="shared" si="35"/>
        <v>1100</v>
      </c>
      <c r="Q267" s="164">
        <f t="shared" si="37"/>
        <v>58426.127152300374</v>
      </c>
      <c r="R267" s="172"/>
      <c r="S267" s="172"/>
    </row>
    <row r="268" spans="1:19" s="23" customFormat="1" ht="15.6" outlineLevel="4">
      <c r="A268" s="169" t="s">
        <v>1105</v>
      </c>
      <c r="B268" s="162" t="s">
        <v>287</v>
      </c>
      <c r="C268" s="163" t="s">
        <v>466</v>
      </c>
      <c r="D268" s="163" t="s">
        <v>100</v>
      </c>
      <c r="E268" s="163" t="s">
        <v>121</v>
      </c>
      <c r="F268" s="163" t="s">
        <v>101</v>
      </c>
      <c r="G268" s="163" t="s">
        <v>101</v>
      </c>
      <c r="H268" s="164"/>
      <c r="I268" s="164"/>
      <c r="J268" s="168">
        <f t="shared" ref="J268:J290" si="39">SUM(H268+I268)</f>
        <v>0</v>
      </c>
      <c r="K268" s="389">
        <v>14033130</v>
      </c>
      <c r="L268" s="389">
        <v>2620</v>
      </c>
      <c r="M268" s="172">
        <f>IFERROR(+L268/(L268+K268),0)</f>
        <v>1.8666619168907967E-4</v>
      </c>
      <c r="N268" s="173">
        <f>+J268*M268</f>
        <v>0</v>
      </c>
      <c r="O268" s="164">
        <f>+J268-N268</f>
        <v>0</v>
      </c>
      <c r="P268" s="167">
        <f t="shared" ref="P268:P290" si="40">ROUND(((O268/$R$1)*$R$2),2)</f>
        <v>0</v>
      </c>
      <c r="Q268" s="164">
        <f t="shared" si="37"/>
        <v>0</v>
      </c>
      <c r="R268" s="176"/>
      <c r="S268" s="176"/>
    </row>
    <row r="269" spans="1:19" s="17" customFormat="1" ht="15.6" outlineLevel="4">
      <c r="A269" s="169" t="s">
        <v>1106</v>
      </c>
      <c r="B269" s="162" t="s">
        <v>287</v>
      </c>
      <c r="C269" s="163" t="s">
        <v>466</v>
      </c>
      <c r="D269" s="163" t="s">
        <v>100</v>
      </c>
      <c r="E269" s="163" t="s">
        <v>121</v>
      </c>
      <c r="F269" s="163" t="s">
        <v>101</v>
      </c>
      <c r="G269" s="163" t="s">
        <v>101</v>
      </c>
      <c r="H269" s="164"/>
      <c r="I269" s="164"/>
      <c r="J269" s="168">
        <f t="shared" si="39"/>
        <v>0</v>
      </c>
      <c r="K269" s="389">
        <v>14033130</v>
      </c>
      <c r="L269" s="389">
        <v>2620</v>
      </c>
      <c r="M269" s="172">
        <f>IFERROR(+L269/(L269+K269),0)</f>
        <v>1.8666619168907967E-4</v>
      </c>
      <c r="N269" s="173">
        <f>+J269*M269</f>
        <v>0</v>
      </c>
      <c r="O269" s="164">
        <f>+J269-N269</f>
        <v>0</v>
      </c>
      <c r="P269" s="167">
        <f t="shared" si="40"/>
        <v>0</v>
      </c>
      <c r="Q269" s="164">
        <f t="shared" si="37"/>
        <v>0</v>
      </c>
      <c r="R269" s="162"/>
      <c r="S269" s="162"/>
    </row>
    <row r="270" spans="1:19" s="41" customFormat="1" ht="15.6" outlineLevel="4">
      <c r="A270" s="180" t="s">
        <v>1107</v>
      </c>
      <c r="B270" s="181" t="s">
        <v>545</v>
      </c>
      <c r="C270" s="163" t="s">
        <v>466</v>
      </c>
      <c r="D270" s="210" t="s">
        <v>100</v>
      </c>
      <c r="E270" s="210" t="s">
        <v>121</v>
      </c>
      <c r="F270" s="210" t="s">
        <v>101</v>
      </c>
      <c r="G270" s="210" t="s">
        <v>101</v>
      </c>
      <c r="H270" s="164">
        <f>VLOOKUP(A270,'3. K0215-REFERENCE'!A:D,3,FALSE)</f>
        <v>164551.38</v>
      </c>
      <c r="I270" s="164">
        <f>VLOOKUP(A270,'3. K0215-REFERENCE'!A:D,4,FALSE)</f>
        <v>113810.61</v>
      </c>
      <c r="J270" s="168">
        <f t="shared" si="39"/>
        <v>278361.99</v>
      </c>
      <c r="K270" s="389">
        <v>14033130</v>
      </c>
      <c r="L270" s="389">
        <v>2620</v>
      </c>
      <c r="M270" s="172">
        <f>+L270/(L270+K270)</f>
        <v>1.8666619168907967E-4</v>
      </c>
      <c r="N270" s="173">
        <f>+J270*M270</f>
        <v>51.960772584293679</v>
      </c>
      <c r="O270" s="164">
        <f>+J270-N270</f>
        <v>278310.02922741568</v>
      </c>
      <c r="P270" s="167">
        <f t="shared" si="40"/>
        <v>5340.36</v>
      </c>
      <c r="Q270" s="164">
        <f t="shared" si="37"/>
        <v>283650.38922741567</v>
      </c>
      <c r="R270" s="187"/>
      <c r="S270" s="187"/>
    </row>
    <row r="271" spans="1:19" ht="15.6" outlineLevel="4">
      <c r="A271" s="169" t="s">
        <v>1108</v>
      </c>
      <c r="B271" s="162" t="s">
        <v>544</v>
      </c>
      <c r="C271" s="163" t="s">
        <v>466</v>
      </c>
      <c r="D271" s="163" t="s">
        <v>100</v>
      </c>
      <c r="E271" s="163" t="s">
        <v>121</v>
      </c>
      <c r="F271" s="163" t="s">
        <v>101</v>
      </c>
      <c r="G271" s="163" t="s">
        <v>101</v>
      </c>
      <c r="H271" s="164">
        <f>VLOOKUP(A271,'3. K0215-REFERENCE'!A:D,3,FALSE)</f>
        <v>1740919.72</v>
      </c>
      <c r="I271" s="164">
        <f>VLOOKUP(A271,'3. K0215-REFERENCE'!A:D,4,FALSE)</f>
        <v>2693752.14</v>
      </c>
      <c r="J271" s="168">
        <f t="shared" si="39"/>
        <v>4434671.8600000003</v>
      </c>
      <c r="K271" s="389">
        <v>14033130</v>
      </c>
      <c r="L271" s="389">
        <v>2620</v>
      </c>
      <c r="M271" s="172">
        <f>+L271/(L271+K271)</f>
        <v>1.8666619168907967E-4</v>
      </c>
      <c r="N271" s="173">
        <f>+J271*M271</f>
        <v>827.80330749692757</v>
      </c>
      <c r="O271" s="164">
        <f>+J271-N271</f>
        <v>4433844.0566925034</v>
      </c>
      <c r="P271" s="167">
        <f t="shared" si="40"/>
        <v>85078.97</v>
      </c>
      <c r="Q271" s="164">
        <f t="shared" si="37"/>
        <v>4518923.0266925031</v>
      </c>
      <c r="R271" s="172"/>
      <c r="S271" s="172"/>
    </row>
    <row r="272" spans="1:19" ht="15.6" outlineLevel="4">
      <c r="A272" s="169" t="s">
        <v>1109</v>
      </c>
      <c r="B272" s="162" t="s">
        <v>534</v>
      </c>
      <c r="C272" s="163" t="s">
        <v>466</v>
      </c>
      <c r="D272" s="163" t="s">
        <v>100</v>
      </c>
      <c r="E272" s="163" t="s">
        <v>121</v>
      </c>
      <c r="F272" s="163" t="s">
        <v>101</v>
      </c>
      <c r="G272" s="163" t="s">
        <v>101</v>
      </c>
      <c r="H272" s="164">
        <f>VLOOKUP(A272,'3. K0215-REFERENCE'!A:D,3,FALSE)</f>
        <v>89519.53</v>
      </c>
      <c r="I272" s="164">
        <f>VLOOKUP(A272,'3. K0215-REFERENCE'!A:D,4,FALSE)</f>
        <v>497004.14</v>
      </c>
      <c r="J272" s="168">
        <f t="shared" si="39"/>
        <v>586523.67000000004</v>
      </c>
      <c r="K272" s="389">
        <v>14033130</v>
      </c>
      <c r="L272" s="389">
        <v>2620</v>
      </c>
      <c r="M272" s="172">
        <f>+L272/(L272+K272)</f>
        <v>1.8666619168907967E-4</v>
      </c>
      <c r="N272" s="173">
        <f>+J272*M272</f>
        <v>109.48413981440251</v>
      </c>
      <c r="O272" s="164">
        <f>+J272-N272</f>
        <v>586414.18586018565</v>
      </c>
      <c r="P272" s="167">
        <f t="shared" si="40"/>
        <v>11252.43</v>
      </c>
      <c r="Q272" s="164">
        <f t="shared" ref="Q272:Q290" si="41">+O272+P272</f>
        <v>597666.6158601857</v>
      </c>
      <c r="R272" s="172"/>
      <c r="S272" s="172"/>
    </row>
    <row r="273" spans="1:19" ht="15.6" outlineLevel="4">
      <c r="A273" s="169" t="s">
        <v>1321</v>
      </c>
      <c r="B273" s="162" t="s">
        <v>1320</v>
      </c>
      <c r="C273" s="163" t="s">
        <v>466</v>
      </c>
      <c r="D273" s="163" t="s">
        <v>100</v>
      </c>
      <c r="E273" s="163" t="s">
        <v>121</v>
      </c>
      <c r="F273" s="163" t="s">
        <v>101</v>
      </c>
      <c r="G273" s="163" t="s">
        <v>101</v>
      </c>
      <c r="H273" s="164">
        <f>VLOOKUP(A273,'3. K0215-REFERENCE'!A:D,3,FALSE)</f>
        <v>0</v>
      </c>
      <c r="I273" s="164">
        <f>VLOOKUP(A273,'3. K0215-REFERENCE'!A:D,4,FALSE)</f>
        <v>30181</v>
      </c>
      <c r="J273" s="168">
        <f t="shared" si="39"/>
        <v>30181</v>
      </c>
      <c r="K273" s="389">
        <v>14033130</v>
      </c>
      <c r="L273" s="389">
        <v>2620</v>
      </c>
      <c r="M273" s="172">
        <f>+L273/(L273+K273)</f>
        <v>1.8666619168907967E-4</v>
      </c>
      <c r="N273" s="173">
        <f>+J273*M273</f>
        <v>5.6337723313681138</v>
      </c>
      <c r="O273" s="164">
        <f>+J273-N273</f>
        <v>30175.366227668634</v>
      </c>
      <c r="P273" s="167">
        <f t="shared" si="40"/>
        <v>579.02</v>
      </c>
      <c r="Q273" s="164">
        <f>+O273+P273</f>
        <v>30754.386227668634</v>
      </c>
      <c r="R273" s="172"/>
      <c r="S273" s="172"/>
    </row>
    <row r="274" spans="1:19" ht="15.6" outlineLevel="4">
      <c r="A274" s="169" t="s">
        <v>1110</v>
      </c>
      <c r="B274" s="162" t="s">
        <v>535</v>
      </c>
      <c r="C274" s="163" t="s">
        <v>466</v>
      </c>
      <c r="D274" s="163" t="s">
        <v>100</v>
      </c>
      <c r="E274" s="163" t="s">
        <v>121</v>
      </c>
      <c r="F274" s="163" t="s">
        <v>101</v>
      </c>
      <c r="G274" s="163" t="s">
        <v>101</v>
      </c>
      <c r="H274" s="164">
        <f>VLOOKUP(A274,'3. K0215-REFERENCE'!A:D,3,FALSE)</f>
        <v>3622103.54</v>
      </c>
      <c r="I274" s="164">
        <f>VLOOKUP(A274,'3. K0215-REFERENCE'!A:D,4,FALSE)</f>
        <v>3547012.54</v>
      </c>
      <c r="J274" s="168">
        <f t="shared" si="39"/>
        <v>7169116.0800000001</v>
      </c>
      <c r="K274" s="389">
        <v>14033130</v>
      </c>
      <c r="L274" s="389">
        <v>2620</v>
      </c>
      <c r="M274" s="172">
        <f>+L274/(L274+K274)</f>
        <v>1.8666619168907967E-4</v>
      </c>
      <c r="N274" s="173">
        <f>+J274*M274</f>
        <v>1338.2315964305435</v>
      </c>
      <c r="O274" s="164">
        <f>+J274-N274</f>
        <v>7167777.8484035693</v>
      </c>
      <c r="P274" s="167">
        <f t="shared" si="40"/>
        <v>137539.15</v>
      </c>
      <c r="Q274" s="164">
        <f t="shared" si="41"/>
        <v>7305316.9984035697</v>
      </c>
      <c r="R274" s="172"/>
      <c r="S274" s="172"/>
    </row>
    <row r="275" spans="1:19" ht="15.6" outlineLevel="4">
      <c r="A275" s="169" t="s">
        <v>1111</v>
      </c>
      <c r="B275" s="162" t="s">
        <v>538</v>
      </c>
      <c r="C275" s="163" t="s">
        <v>466</v>
      </c>
      <c r="D275" s="163" t="s">
        <v>100</v>
      </c>
      <c r="E275" s="163" t="s">
        <v>121</v>
      </c>
      <c r="F275" s="163" t="s">
        <v>101</v>
      </c>
      <c r="G275" s="163" t="s">
        <v>101</v>
      </c>
      <c r="H275" s="164">
        <f>VLOOKUP(A275,'3. K0215-REFERENCE'!A:D,3,FALSE)</f>
        <v>762848.88</v>
      </c>
      <c r="I275" s="164">
        <f>VLOOKUP(A275,'3. K0215-REFERENCE'!A:D,4,FALSE)</f>
        <v>1291485.8700000001</v>
      </c>
      <c r="J275" s="168">
        <f t="shared" si="39"/>
        <v>2054334.75</v>
      </c>
      <c r="K275" s="389">
        <v>14033130</v>
      </c>
      <c r="L275" s="389">
        <v>2620</v>
      </c>
      <c r="M275" s="172">
        <f>+L275/(L275+K275)</f>
        <v>1.8666619168907967E-4</v>
      </c>
      <c r="N275" s="173">
        <f>+J275*M275</f>
        <v>383.47484423703753</v>
      </c>
      <c r="O275" s="164">
        <f>+J275-N275</f>
        <v>2053951.2751557629</v>
      </c>
      <c r="P275" s="167">
        <f t="shared" si="40"/>
        <v>39412.32</v>
      </c>
      <c r="Q275" s="164">
        <f t="shared" si="41"/>
        <v>2093363.595155763</v>
      </c>
      <c r="R275" s="172"/>
      <c r="S275" s="172"/>
    </row>
    <row r="276" spans="1:19" ht="15.6" outlineLevel="4">
      <c r="A276" s="169" t="s">
        <v>1112</v>
      </c>
      <c r="B276" s="162" t="s">
        <v>536</v>
      </c>
      <c r="C276" s="163" t="s">
        <v>466</v>
      </c>
      <c r="D276" s="163" t="s">
        <v>100</v>
      </c>
      <c r="E276" s="163" t="s">
        <v>121</v>
      </c>
      <c r="F276" s="163" t="s">
        <v>101</v>
      </c>
      <c r="G276" s="163" t="s">
        <v>101</v>
      </c>
      <c r="H276" s="164">
        <f>VLOOKUP(A276,'3. K0215-REFERENCE'!A:D,3,FALSE)</f>
        <v>1031365.35</v>
      </c>
      <c r="I276" s="164">
        <f>VLOOKUP(A276,'3. K0215-REFERENCE'!A:D,4,FALSE)</f>
        <v>1612559.41</v>
      </c>
      <c r="J276" s="168">
        <f t="shared" si="39"/>
        <v>2643924.7599999998</v>
      </c>
      <c r="K276" s="389">
        <v>14033130</v>
      </c>
      <c r="L276" s="389">
        <v>2620</v>
      </c>
      <c r="M276" s="172">
        <f>+L276/(L276+K276)</f>
        <v>1.8666619168907967E-4</v>
      </c>
      <c r="N276" s="173">
        <f>+J276*M276</f>
        <v>493.5313660616639</v>
      </c>
      <c r="O276" s="164">
        <f>+J276-N276</f>
        <v>2643431.2286339379</v>
      </c>
      <c r="P276" s="167">
        <f t="shared" si="40"/>
        <v>50723.57</v>
      </c>
      <c r="Q276" s="164">
        <f t="shared" si="41"/>
        <v>2694154.7986339377</v>
      </c>
      <c r="R276" s="172"/>
      <c r="S276" s="172"/>
    </row>
    <row r="277" spans="1:19" ht="15.6" outlineLevel="4">
      <c r="A277" s="169" t="s">
        <v>1113</v>
      </c>
      <c r="B277" s="162" t="s">
        <v>539</v>
      </c>
      <c r="C277" s="163" t="s">
        <v>466</v>
      </c>
      <c r="D277" s="163" t="s">
        <v>100</v>
      </c>
      <c r="E277" s="163" t="s">
        <v>121</v>
      </c>
      <c r="F277" s="163" t="s">
        <v>101</v>
      </c>
      <c r="G277" s="163" t="s">
        <v>101</v>
      </c>
      <c r="H277" s="164">
        <f>VLOOKUP(A277,'3. K0215-REFERENCE'!A:D,3,FALSE)</f>
        <v>181881.08</v>
      </c>
      <c r="I277" s="164">
        <f>VLOOKUP(A277,'3. K0215-REFERENCE'!A:D,4,FALSE)</f>
        <v>357516.25</v>
      </c>
      <c r="J277" s="168">
        <f t="shared" si="39"/>
        <v>539397.32999999996</v>
      </c>
      <c r="K277" s="389">
        <v>14033130</v>
      </c>
      <c r="L277" s="389">
        <v>2620</v>
      </c>
      <c r="M277" s="172">
        <f>+L277/(L277+K277)</f>
        <v>1.8666619168907967E-4</v>
      </c>
      <c r="N277" s="173">
        <f>+J277*M277</f>
        <v>100.68724539835776</v>
      </c>
      <c r="O277" s="164">
        <f>+J277-N277</f>
        <v>539296.64275460155</v>
      </c>
      <c r="P277" s="167">
        <f t="shared" si="40"/>
        <v>10348.31</v>
      </c>
      <c r="Q277" s="164">
        <f t="shared" si="41"/>
        <v>549644.9527546016</v>
      </c>
      <c r="R277" s="172"/>
      <c r="S277" s="172"/>
    </row>
    <row r="278" spans="1:19" ht="15.6" outlineLevel="4">
      <c r="A278" s="169" t="s">
        <v>1114</v>
      </c>
      <c r="B278" s="162" t="s">
        <v>547</v>
      </c>
      <c r="C278" s="163" t="s">
        <v>466</v>
      </c>
      <c r="D278" s="163" t="s">
        <v>100</v>
      </c>
      <c r="E278" s="163" t="s">
        <v>121</v>
      </c>
      <c r="F278" s="163" t="s">
        <v>101</v>
      </c>
      <c r="G278" s="163" t="s">
        <v>101</v>
      </c>
      <c r="H278" s="164">
        <f>VLOOKUP(A278,'3. K0215-REFERENCE'!A:D,3,FALSE)</f>
        <v>5560953.0499999998</v>
      </c>
      <c r="I278" s="164">
        <f>VLOOKUP(A278,'3. K0215-REFERENCE'!A:D,4,FALSE)</f>
        <v>10429780.76</v>
      </c>
      <c r="J278" s="168">
        <f t="shared" si="39"/>
        <v>15990733.809999999</v>
      </c>
      <c r="K278" s="389">
        <v>14033130</v>
      </c>
      <c r="L278" s="389">
        <v>2620</v>
      </c>
      <c r="M278" s="172">
        <f>+L278/(L278+K278)</f>
        <v>1.8666619168907967E-4</v>
      </c>
      <c r="N278" s="173">
        <f>+J278*M278</f>
        <v>2984.929382626507</v>
      </c>
      <c r="O278" s="164">
        <f>+J278-N278</f>
        <v>15987748.880617373</v>
      </c>
      <c r="P278" s="167">
        <f t="shared" si="40"/>
        <v>306781.48</v>
      </c>
      <c r="Q278" s="164">
        <f t="shared" si="41"/>
        <v>16294530.360617373</v>
      </c>
      <c r="R278" s="172"/>
      <c r="S278" s="172"/>
    </row>
    <row r="279" spans="1:19" ht="15.6" outlineLevel="4">
      <c r="A279" s="169" t="s">
        <v>1115</v>
      </c>
      <c r="B279" s="162" t="s">
        <v>537</v>
      </c>
      <c r="C279" s="163" t="s">
        <v>466</v>
      </c>
      <c r="D279" s="163" t="s">
        <v>100</v>
      </c>
      <c r="E279" s="163" t="s">
        <v>121</v>
      </c>
      <c r="F279" s="163" t="s">
        <v>101</v>
      </c>
      <c r="G279" s="163" t="s">
        <v>101</v>
      </c>
      <c r="H279" s="164">
        <f>VLOOKUP(A279,'3. K0215-REFERENCE'!A:D,3,FALSE)</f>
        <v>237818.58</v>
      </c>
      <c r="I279" s="164">
        <f>VLOOKUP(A279,'3. K0215-REFERENCE'!A:D,4,FALSE)</f>
        <v>477715.42</v>
      </c>
      <c r="J279" s="168">
        <f t="shared" si="39"/>
        <v>715534</v>
      </c>
      <c r="K279" s="389">
        <v>14033130</v>
      </c>
      <c r="L279" s="389">
        <v>2620</v>
      </c>
      <c r="M279" s="172">
        <f>+L279/(L279+K279)</f>
        <v>1.8666619168907967E-4</v>
      </c>
      <c r="N279" s="173">
        <f>+J279*M279</f>
        <v>133.56600680405393</v>
      </c>
      <c r="O279" s="164">
        <f>+J279-N279</f>
        <v>715400.433993196</v>
      </c>
      <c r="P279" s="167">
        <f t="shared" si="40"/>
        <v>13727.49</v>
      </c>
      <c r="Q279" s="164">
        <f t="shared" si="41"/>
        <v>729127.92399319599</v>
      </c>
      <c r="R279" s="172"/>
      <c r="S279" s="172"/>
    </row>
    <row r="280" spans="1:19" ht="15.6" outlineLevel="4">
      <c r="A280" s="169" t="s">
        <v>1116</v>
      </c>
      <c r="B280" s="162" t="s">
        <v>546</v>
      </c>
      <c r="C280" s="163" t="s">
        <v>466</v>
      </c>
      <c r="D280" s="163" t="s">
        <v>100</v>
      </c>
      <c r="E280" s="163" t="s">
        <v>121</v>
      </c>
      <c r="F280" s="163" t="s">
        <v>101</v>
      </c>
      <c r="G280" s="163" t="s">
        <v>101</v>
      </c>
      <c r="H280" s="164">
        <f>VLOOKUP(A280,'3. K0215-REFERENCE'!A:D,3,FALSE)</f>
        <v>4201764.95</v>
      </c>
      <c r="I280" s="164">
        <f>VLOOKUP(A280,'3. K0215-REFERENCE'!A:D,4,FALSE)</f>
        <v>2316556.2400000002</v>
      </c>
      <c r="J280" s="168">
        <f t="shared" si="39"/>
        <v>6518321.1900000004</v>
      </c>
      <c r="K280" s="389">
        <v>14033130</v>
      </c>
      <c r="L280" s="389">
        <v>2620</v>
      </c>
      <c r="M280" s="172">
        <f>+L280/(L280+K280)</f>
        <v>1.8666619168907967E-4</v>
      </c>
      <c r="N280" s="173">
        <f>+J280*M280</f>
        <v>1216.7501927435299</v>
      </c>
      <c r="O280" s="164">
        <f>+J280-N280</f>
        <v>6517104.4398072567</v>
      </c>
      <c r="P280" s="167">
        <f t="shared" si="40"/>
        <v>125053.69</v>
      </c>
      <c r="Q280" s="164">
        <f t="shared" si="41"/>
        <v>6642158.1298072571</v>
      </c>
      <c r="R280" s="172"/>
      <c r="S280" s="172"/>
    </row>
    <row r="281" spans="1:19" ht="15.6" outlineLevel="4">
      <c r="A281" s="169" t="s">
        <v>1117</v>
      </c>
      <c r="B281" s="162" t="s">
        <v>540</v>
      </c>
      <c r="C281" s="163" t="s">
        <v>466</v>
      </c>
      <c r="D281" s="163" t="s">
        <v>100</v>
      </c>
      <c r="E281" s="163" t="s">
        <v>121</v>
      </c>
      <c r="F281" s="163" t="s">
        <v>101</v>
      </c>
      <c r="G281" s="163" t="s">
        <v>101</v>
      </c>
      <c r="H281" s="164">
        <f>VLOOKUP(A281,'3. K0215-REFERENCE'!A:D,3,FALSE)</f>
        <v>2521692.84</v>
      </c>
      <c r="I281" s="164">
        <f>VLOOKUP(A281,'3. K0215-REFERENCE'!A:D,4,FALSE)</f>
        <v>5131004.12</v>
      </c>
      <c r="J281" s="168">
        <f t="shared" si="39"/>
        <v>7652696.96</v>
      </c>
      <c r="K281" s="389">
        <v>14033130</v>
      </c>
      <c r="L281" s="389">
        <v>2620</v>
      </c>
      <c r="M281" s="172">
        <f>+L281/(L281+K281)</f>
        <v>1.8666619168907967E-4</v>
      </c>
      <c r="N281" s="173">
        <f>+J281*M281</f>
        <v>1428.4997976737973</v>
      </c>
      <c r="O281" s="164">
        <f>+J281-N281</f>
        <v>7651268.4602023261</v>
      </c>
      <c r="P281" s="167">
        <f t="shared" si="40"/>
        <v>146816.63</v>
      </c>
      <c r="Q281" s="164">
        <f t="shared" si="41"/>
        <v>7798085.090202326</v>
      </c>
      <c r="R281" s="172"/>
      <c r="S281" s="172"/>
    </row>
    <row r="282" spans="1:19" ht="15.6" outlineLevel="4">
      <c r="A282" s="169" t="s">
        <v>1118</v>
      </c>
      <c r="B282" s="162" t="s">
        <v>542</v>
      </c>
      <c r="C282" s="163" t="s">
        <v>466</v>
      </c>
      <c r="D282" s="163" t="s">
        <v>100</v>
      </c>
      <c r="E282" s="163" t="s">
        <v>121</v>
      </c>
      <c r="F282" s="163" t="s">
        <v>101</v>
      </c>
      <c r="G282" s="163" t="s">
        <v>101</v>
      </c>
      <c r="H282" s="164">
        <f>VLOOKUP(A282,'3. K0215-REFERENCE'!A:D,3,FALSE)</f>
        <v>7110542.9000000004</v>
      </c>
      <c r="I282" s="164">
        <f>VLOOKUP(A282,'3. K0215-REFERENCE'!A:D,4,FALSE)</f>
        <v>11408199.32</v>
      </c>
      <c r="J282" s="168">
        <f t="shared" si="39"/>
        <v>18518742.219999999</v>
      </c>
      <c r="K282" s="389">
        <v>14033130</v>
      </c>
      <c r="L282" s="389">
        <v>2620</v>
      </c>
      <c r="M282" s="172">
        <f>+L282/(L282+K282)</f>
        <v>1.8666619168907967E-4</v>
      </c>
      <c r="N282" s="173">
        <f>+J282*M282</f>
        <v>3456.8230850791724</v>
      </c>
      <c r="O282" s="164">
        <f>+J282-N282</f>
        <v>18515285.396914918</v>
      </c>
      <c r="P282" s="167">
        <f t="shared" si="40"/>
        <v>355281.2</v>
      </c>
      <c r="Q282" s="164">
        <f t="shared" si="41"/>
        <v>18870566.596914917</v>
      </c>
      <c r="R282" s="172"/>
      <c r="S282" s="172"/>
    </row>
    <row r="283" spans="1:19" ht="15.6" outlineLevel="4">
      <c r="A283" s="169" t="s">
        <v>1119</v>
      </c>
      <c r="B283" s="162" t="s">
        <v>543</v>
      </c>
      <c r="C283" s="163" t="s">
        <v>466</v>
      </c>
      <c r="D283" s="163" t="s">
        <v>100</v>
      </c>
      <c r="E283" s="163" t="s">
        <v>121</v>
      </c>
      <c r="F283" s="163" t="s">
        <v>101</v>
      </c>
      <c r="G283" s="163" t="s">
        <v>101</v>
      </c>
      <c r="H283" s="164">
        <f>VLOOKUP(A283,'3. K0215-REFERENCE'!A:D,3,FALSE)</f>
        <v>1685053</v>
      </c>
      <c r="I283" s="164">
        <f>VLOOKUP(A283,'3. K0215-REFERENCE'!A:D,4,FALSE)</f>
        <v>2304860.86</v>
      </c>
      <c r="J283" s="168">
        <f t="shared" si="39"/>
        <v>3989913.86</v>
      </c>
      <c r="K283" s="389">
        <v>14033130</v>
      </c>
      <c r="L283" s="389">
        <v>2620</v>
      </c>
      <c r="M283" s="172">
        <f>+L283/(L283+K283)</f>
        <v>1.8666619168907967E-4</v>
      </c>
      <c r="N283" s="173">
        <f>+J283*M283</f>
        <v>744.7820254136758</v>
      </c>
      <c r="O283" s="164">
        <f>+J283-N283</f>
        <v>3989169.0779745863</v>
      </c>
      <c r="P283" s="167">
        <f t="shared" si="40"/>
        <v>76546.31</v>
      </c>
      <c r="Q283" s="164">
        <f t="shared" si="41"/>
        <v>4065715.3879745863</v>
      </c>
      <c r="R283" s="172"/>
      <c r="S283" s="172"/>
    </row>
    <row r="284" spans="1:19" ht="15.6" outlineLevel="4">
      <c r="A284" s="169" t="s">
        <v>1120</v>
      </c>
      <c r="B284" s="162" t="s">
        <v>75</v>
      </c>
      <c r="C284" s="163" t="s">
        <v>466</v>
      </c>
      <c r="D284" s="163" t="s">
        <v>100</v>
      </c>
      <c r="E284" s="163" t="s">
        <v>121</v>
      </c>
      <c r="F284" s="163" t="s">
        <v>101</v>
      </c>
      <c r="G284" s="163" t="s">
        <v>101</v>
      </c>
      <c r="H284" s="164"/>
      <c r="I284" s="164"/>
      <c r="J284" s="168">
        <f t="shared" si="39"/>
        <v>0</v>
      </c>
      <c r="K284" s="389">
        <v>14033130</v>
      </c>
      <c r="L284" s="389">
        <v>2620</v>
      </c>
      <c r="M284" s="172">
        <f>IFERROR(+L284/(L284+K284),0)</f>
        <v>1.8666619168907967E-4</v>
      </c>
      <c r="N284" s="173">
        <f>+J284*M284</f>
        <v>0</v>
      </c>
      <c r="O284" s="164">
        <f>+J284-N284</f>
        <v>0</v>
      </c>
      <c r="P284" s="167">
        <f t="shared" si="40"/>
        <v>0</v>
      </c>
      <c r="Q284" s="164">
        <f t="shared" si="41"/>
        <v>0</v>
      </c>
      <c r="R284" s="172"/>
      <c r="S284" s="172"/>
    </row>
    <row r="285" spans="1:19" ht="15.6" outlineLevel="4">
      <c r="A285" s="169" t="s">
        <v>1121</v>
      </c>
      <c r="B285" s="162" t="s">
        <v>596</v>
      </c>
      <c r="C285" s="163" t="s">
        <v>658</v>
      </c>
      <c r="D285" s="163" t="s">
        <v>100</v>
      </c>
      <c r="E285" s="163" t="s">
        <v>121</v>
      </c>
      <c r="F285" s="163" t="s">
        <v>101</v>
      </c>
      <c r="G285" s="163" t="s">
        <v>101</v>
      </c>
      <c r="H285" s="164">
        <f>VLOOKUP(A285,'3. K0215-REFERENCE'!A:D,3,FALSE)</f>
        <v>0</v>
      </c>
      <c r="I285" s="164">
        <f>VLOOKUP(A285,'3. K0215-REFERENCE'!A:D,4,FALSE)</f>
        <v>50760.25</v>
      </c>
      <c r="J285" s="168">
        <f t="shared" si="39"/>
        <v>50760.25</v>
      </c>
      <c r="K285" s="389">
        <v>30070</v>
      </c>
      <c r="L285" s="389">
        <v>1115</v>
      </c>
      <c r="M285" s="172">
        <f>+L285/(L285+K285)</f>
        <v>3.5754369087702423E-2</v>
      </c>
      <c r="N285" s="173">
        <f>+J285*M285</f>
        <v>1814.9007134840469</v>
      </c>
      <c r="O285" s="164">
        <f>+J285-N285</f>
        <v>48945.34928651595</v>
      </c>
      <c r="P285" s="167">
        <f t="shared" si="40"/>
        <v>939.19</v>
      </c>
      <c r="Q285" s="164">
        <f t="shared" si="41"/>
        <v>49884.539286515952</v>
      </c>
      <c r="R285" s="172"/>
      <c r="S285" s="172"/>
    </row>
    <row r="286" spans="1:19" ht="15.6" outlineLevel="4">
      <c r="A286" s="169" t="s">
        <v>1122</v>
      </c>
      <c r="B286" s="162" t="s">
        <v>72</v>
      </c>
      <c r="C286" s="163" t="s">
        <v>466</v>
      </c>
      <c r="D286" s="163" t="s">
        <v>100</v>
      </c>
      <c r="E286" s="163" t="s">
        <v>121</v>
      </c>
      <c r="F286" s="163" t="s">
        <v>101</v>
      </c>
      <c r="G286" s="163" t="s">
        <v>101</v>
      </c>
      <c r="H286" s="164"/>
      <c r="I286" s="164"/>
      <c r="J286" s="168">
        <f t="shared" si="39"/>
        <v>0</v>
      </c>
      <c r="K286" s="389">
        <v>14033130</v>
      </c>
      <c r="L286" s="389">
        <v>2620</v>
      </c>
      <c r="M286" s="172">
        <f>IFERROR(+L286/(L286+K286),0)</f>
        <v>1.8666619168907967E-4</v>
      </c>
      <c r="N286" s="173">
        <f>+J286*M286</f>
        <v>0</v>
      </c>
      <c r="O286" s="164">
        <f>+J286-N286</f>
        <v>0</v>
      </c>
      <c r="P286" s="167">
        <f t="shared" si="40"/>
        <v>0</v>
      </c>
      <c r="Q286" s="164">
        <f t="shared" si="41"/>
        <v>0</v>
      </c>
      <c r="R286" s="173"/>
      <c r="S286" s="172"/>
    </row>
    <row r="287" spans="1:19" s="14" customFormat="1" ht="15.6" outlineLevel="4">
      <c r="A287" s="169" t="s">
        <v>1123</v>
      </c>
      <c r="B287" s="162" t="s">
        <v>73</v>
      </c>
      <c r="C287" s="163" t="s">
        <v>466</v>
      </c>
      <c r="D287" s="163" t="s">
        <v>100</v>
      </c>
      <c r="E287" s="163" t="s">
        <v>121</v>
      </c>
      <c r="F287" s="163" t="s">
        <v>101</v>
      </c>
      <c r="G287" s="163" t="s">
        <v>101</v>
      </c>
      <c r="H287" s="164"/>
      <c r="I287" s="164"/>
      <c r="J287" s="168">
        <f t="shared" si="39"/>
        <v>0</v>
      </c>
      <c r="K287" s="389">
        <v>14033130</v>
      </c>
      <c r="L287" s="389">
        <v>2620</v>
      </c>
      <c r="M287" s="172">
        <f>IFERROR(+L287/(L287+K287),0)</f>
        <v>1.8666619168907967E-4</v>
      </c>
      <c r="N287" s="173">
        <f>+J287*M287</f>
        <v>0</v>
      </c>
      <c r="O287" s="164">
        <f>+J287-N287</f>
        <v>0</v>
      </c>
      <c r="P287" s="167">
        <f t="shared" si="40"/>
        <v>0</v>
      </c>
      <c r="Q287" s="164">
        <f t="shared" si="41"/>
        <v>0</v>
      </c>
      <c r="R287" s="214"/>
      <c r="S287" s="165"/>
    </row>
    <row r="288" spans="1:19" ht="15.6" outlineLevel="4">
      <c r="A288" s="169" t="s">
        <v>1124</v>
      </c>
      <c r="B288" s="162" t="s">
        <v>541</v>
      </c>
      <c r="C288" s="163" t="s">
        <v>466</v>
      </c>
      <c r="D288" s="163" t="s">
        <v>100</v>
      </c>
      <c r="E288" s="163" t="s">
        <v>121</v>
      </c>
      <c r="F288" s="163" t="s">
        <v>101</v>
      </c>
      <c r="G288" s="163" t="s">
        <v>101</v>
      </c>
      <c r="H288" s="164">
        <f>VLOOKUP(A288,'3. K0215-REFERENCE'!A:D,3,FALSE)</f>
        <v>171719.37</v>
      </c>
      <c r="I288" s="164">
        <f>VLOOKUP(A288,'3. K0215-REFERENCE'!A:D,4,FALSE)</f>
        <v>466939.94</v>
      </c>
      <c r="J288" s="168">
        <f t="shared" si="39"/>
        <v>638659.31000000006</v>
      </c>
      <c r="K288" s="389">
        <v>14033130</v>
      </c>
      <c r="L288" s="389">
        <v>2620</v>
      </c>
      <c r="M288" s="172">
        <f>+L288/(L288+K288)</f>
        <v>1.8666619168907967E-4</v>
      </c>
      <c r="N288" s="173">
        <f>+J288*M288</f>
        <v>119.21610118447536</v>
      </c>
      <c r="O288" s="164">
        <f>+J288-N288</f>
        <v>638540.09389881557</v>
      </c>
      <c r="P288" s="167">
        <f t="shared" si="40"/>
        <v>12252.65</v>
      </c>
      <c r="Q288" s="164">
        <f t="shared" si="41"/>
        <v>650792.74389881559</v>
      </c>
      <c r="R288" s="215"/>
      <c r="S288" s="172"/>
    </row>
    <row r="289" spans="1:19" ht="15.6" outlineLevel="4">
      <c r="A289" s="169" t="s">
        <v>1125</v>
      </c>
      <c r="B289" s="162" t="s">
        <v>532</v>
      </c>
      <c r="C289" s="163" t="s">
        <v>466</v>
      </c>
      <c r="D289" s="163" t="s">
        <v>100</v>
      </c>
      <c r="E289" s="163" t="s">
        <v>121</v>
      </c>
      <c r="F289" s="163" t="s">
        <v>101</v>
      </c>
      <c r="G289" s="163" t="s">
        <v>101</v>
      </c>
      <c r="H289" s="164"/>
      <c r="I289" s="164"/>
      <c r="J289" s="168">
        <f t="shared" si="39"/>
        <v>0</v>
      </c>
      <c r="K289" s="389">
        <v>14033130</v>
      </c>
      <c r="L289" s="389">
        <v>2620</v>
      </c>
      <c r="M289" s="172"/>
      <c r="N289" s="173">
        <f>+J289*M289</f>
        <v>0</v>
      </c>
      <c r="O289" s="164">
        <f>+J289-N289</f>
        <v>0</v>
      </c>
      <c r="P289" s="167">
        <f t="shared" si="40"/>
        <v>0</v>
      </c>
      <c r="Q289" s="164">
        <f t="shared" si="41"/>
        <v>0</v>
      </c>
      <c r="R289" s="172"/>
      <c r="S289" s="172"/>
    </row>
    <row r="290" spans="1:19" ht="15.6" outlineLevel="4">
      <c r="A290" s="169" t="s">
        <v>1126</v>
      </c>
      <c r="B290" s="162" t="s">
        <v>74</v>
      </c>
      <c r="C290" s="163" t="s">
        <v>466</v>
      </c>
      <c r="D290" s="163" t="s">
        <v>100</v>
      </c>
      <c r="E290" s="163" t="s">
        <v>121</v>
      </c>
      <c r="F290" s="163" t="s">
        <v>101</v>
      </c>
      <c r="G290" s="163" t="s">
        <v>101</v>
      </c>
      <c r="H290" s="164"/>
      <c r="I290" s="164"/>
      <c r="J290" s="168">
        <f t="shared" si="39"/>
        <v>0</v>
      </c>
      <c r="K290" s="389">
        <v>14033130</v>
      </c>
      <c r="L290" s="389">
        <v>2620</v>
      </c>
      <c r="M290" s="172"/>
      <c r="N290" s="173">
        <f>+J290*M290</f>
        <v>0</v>
      </c>
      <c r="O290" s="164">
        <f>+J290-N290</f>
        <v>0</v>
      </c>
      <c r="P290" s="167">
        <f t="shared" si="40"/>
        <v>0</v>
      </c>
      <c r="Q290" s="164">
        <f t="shared" si="41"/>
        <v>0</v>
      </c>
      <c r="R290" s="172"/>
      <c r="S290" s="172"/>
    </row>
    <row r="291" spans="1:19" s="43" customFormat="1" ht="15.6" outlineLevel="3">
      <c r="A291" s="191"/>
      <c r="B291" s="192"/>
      <c r="C291" s="193"/>
      <c r="D291" s="193" t="s">
        <v>272</v>
      </c>
      <c r="E291" s="193"/>
      <c r="F291" s="193"/>
      <c r="G291" s="193"/>
      <c r="H291" s="236">
        <f t="shared" ref="H291:Q291" si="42">SUBTOTAL(9,H136:H290)</f>
        <v>849513036.95000017</v>
      </c>
      <c r="I291" s="236">
        <f t="shared" si="42"/>
        <v>1300418171.8600001</v>
      </c>
      <c r="J291" s="194">
        <f t="shared" si="42"/>
        <v>2149931208.8100004</v>
      </c>
      <c r="K291" s="194">
        <f t="shared" si="42"/>
        <v>2161132090</v>
      </c>
      <c r="L291" s="194">
        <f t="shared" si="42"/>
        <v>404595</v>
      </c>
      <c r="M291" s="196">
        <f t="shared" si="42"/>
        <v>6.3194299265997164E-2</v>
      </c>
      <c r="N291" s="197">
        <f t="shared" si="42"/>
        <v>403124.89663298934</v>
      </c>
      <c r="O291" s="197">
        <f t="shared" si="42"/>
        <v>2149528083.9133668</v>
      </c>
      <c r="P291" s="198">
        <f t="shared" si="42"/>
        <v>41246294.400000021</v>
      </c>
      <c r="Q291" s="197">
        <f t="shared" si="42"/>
        <v>2190774378.3133674</v>
      </c>
      <c r="R291" s="675" t="s">
        <v>1350</v>
      </c>
      <c r="S291" s="196"/>
    </row>
    <row r="292" spans="1:19" s="44" customFormat="1" ht="15.6" outlineLevel="2">
      <c r="A292" s="216"/>
      <c r="B292" s="217"/>
      <c r="C292" s="218"/>
      <c r="D292" s="218"/>
      <c r="E292" s="218"/>
      <c r="F292" s="218"/>
      <c r="G292" s="216" t="s">
        <v>254</v>
      </c>
      <c r="H292" s="247">
        <f t="shared" ref="H292:Q292" si="43">SUBTOTAL(9,H2:H290)</f>
        <v>1174847145.8299999</v>
      </c>
      <c r="I292" s="244">
        <f t="shared" si="43"/>
        <v>1841974007.9400003</v>
      </c>
      <c r="J292" s="219">
        <f t="shared" si="43"/>
        <v>3016821153.7699995</v>
      </c>
      <c r="K292" s="220">
        <f t="shared" si="43"/>
        <v>2249047179</v>
      </c>
      <c r="L292" s="220">
        <f t="shared" si="43"/>
        <v>10351918</v>
      </c>
      <c r="M292" s="246">
        <f t="shared" si="43"/>
        <v>12.385102717388348</v>
      </c>
      <c r="N292" s="247">
        <f t="shared" si="43"/>
        <v>41770933.02300138</v>
      </c>
      <c r="O292" s="247">
        <f t="shared" si="43"/>
        <v>2975050220.7469993</v>
      </c>
      <c r="P292" s="254">
        <f t="shared" si="43"/>
        <v>57086854.610000014</v>
      </c>
      <c r="Q292" s="247">
        <f t="shared" si="43"/>
        <v>3032137075.3569961</v>
      </c>
      <c r="R292" s="221"/>
      <c r="S292" s="221"/>
    </row>
    <row r="293" spans="1:19" s="45" customFormat="1" ht="15.6" outlineLevel="1">
      <c r="A293" s="222"/>
      <c r="B293" s="223"/>
      <c r="C293" s="224"/>
      <c r="D293" s="224"/>
      <c r="E293" s="224"/>
      <c r="F293" s="222" t="s">
        <v>254</v>
      </c>
      <c r="G293" s="224"/>
      <c r="H293" s="269">
        <f t="shared" ref="H293:Q293" si="44">SUBTOTAL(9,H2:H290)</f>
        <v>1174847145.8299999</v>
      </c>
      <c r="I293" s="267">
        <f t="shared" si="44"/>
        <v>1841974007.9400003</v>
      </c>
      <c r="J293" s="225">
        <f t="shared" si="44"/>
        <v>3016821153.7699995</v>
      </c>
      <c r="K293" s="226">
        <f t="shared" si="44"/>
        <v>2249047179</v>
      </c>
      <c r="L293" s="226">
        <f t="shared" si="44"/>
        <v>10351918</v>
      </c>
      <c r="M293" s="268">
        <f t="shared" si="44"/>
        <v>12.385102717388348</v>
      </c>
      <c r="N293" s="269">
        <f t="shared" si="44"/>
        <v>41770933.02300138</v>
      </c>
      <c r="O293" s="269">
        <f t="shared" si="44"/>
        <v>2975050220.7469993</v>
      </c>
      <c r="P293" s="270">
        <f t="shared" si="44"/>
        <v>57086854.610000014</v>
      </c>
      <c r="Q293" s="270">
        <f t="shared" si="44"/>
        <v>3032137075.3569961</v>
      </c>
      <c r="R293" s="671" t="s">
        <v>1350</v>
      </c>
      <c r="S293" s="227"/>
    </row>
    <row r="294" spans="1:19" s="46" customFormat="1" ht="15.6" outlineLevel="4">
      <c r="A294" s="169" t="s">
        <v>1127</v>
      </c>
      <c r="B294" s="162" t="s">
        <v>725</v>
      </c>
      <c r="C294" s="163" t="s">
        <v>169</v>
      </c>
      <c r="D294" s="163" t="s">
        <v>106</v>
      </c>
      <c r="E294" s="163" t="s">
        <v>127</v>
      </c>
      <c r="F294" s="163" t="s">
        <v>128</v>
      </c>
      <c r="G294" s="163" t="s">
        <v>101</v>
      </c>
      <c r="H294" s="164">
        <f>VLOOKUP(A294,'3. K0215-REFERENCE'!A:D,3,FALSE)</f>
        <v>1062764.1599999999</v>
      </c>
      <c r="I294" s="164">
        <f>VLOOKUP(A294,'3. K0215-REFERENCE'!A:D,4,FALSE)</f>
        <v>2442192.89</v>
      </c>
      <c r="J294" s="168">
        <f>SUM(H294+I294)</f>
        <v>3504957.05</v>
      </c>
      <c r="K294" s="231"/>
      <c r="L294" s="231"/>
      <c r="M294" s="228"/>
      <c r="N294" s="229"/>
      <c r="O294" s="229">
        <f>+J294-N294</f>
        <v>3504957.05</v>
      </c>
      <c r="P294" s="230">
        <f>ROUND(((O294/$R$1)*$R$2),2)</f>
        <v>67254.990000000005</v>
      </c>
      <c r="Q294" s="229">
        <f>+N294+O294+P294</f>
        <v>3572212.04</v>
      </c>
      <c r="R294" s="229"/>
      <c r="S294" s="228"/>
    </row>
    <row r="295" spans="1:19" s="46" customFormat="1" ht="15.6" outlineLevel="4">
      <c r="A295" s="169"/>
      <c r="B295" s="176" t="s">
        <v>359</v>
      </c>
      <c r="C295" s="163"/>
      <c r="D295" s="430" t="s">
        <v>106</v>
      </c>
      <c r="E295" s="163"/>
      <c r="F295" s="163" t="s">
        <v>128</v>
      </c>
      <c r="G295" s="163" t="s">
        <v>101</v>
      </c>
      <c r="H295" s="164"/>
      <c r="I295" s="164"/>
      <c r="J295" s="200"/>
      <c r="K295" s="171"/>
      <c r="L295" s="171"/>
      <c r="M295" s="228"/>
      <c r="N295" s="229"/>
      <c r="O295" s="229">
        <f>+N45</f>
        <v>8863732.69353755</v>
      </c>
      <c r="P295" s="230">
        <f>ROUND(((O295/$R$1)*$R$2),2)</f>
        <v>170082.04</v>
      </c>
      <c r="Q295" s="229">
        <f>+P295+O295</f>
        <v>9033814.7335375492</v>
      </c>
      <c r="R295" s="228"/>
      <c r="S295" s="228"/>
    </row>
    <row r="296" spans="1:19" s="43" customFormat="1" ht="15.6" outlineLevel="3">
      <c r="A296" s="191"/>
      <c r="B296" s="192"/>
      <c r="C296" s="193"/>
      <c r="D296" s="193" t="s">
        <v>267</v>
      </c>
      <c r="E296" s="193"/>
      <c r="F296" s="193"/>
      <c r="G296" s="193"/>
      <c r="H296" s="236">
        <f>SUBTOTAL(9,H294:H295)</f>
        <v>1062764.1599999999</v>
      </c>
      <c r="I296" s="236">
        <f t="shared" ref="I296:J296" si="45">SUBTOTAL(9,I294:I295)</f>
        <v>2442192.89</v>
      </c>
      <c r="J296" s="194">
        <f t="shared" si="45"/>
        <v>3504957.05</v>
      </c>
      <c r="K296" s="195">
        <f t="shared" ref="K296:P296" si="46">SUBTOTAL(9,K294:K295)</f>
        <v>0</v>
      </c>
      <c r="L296" s="195">
        <f t="shared" si="46"/>
        <v>0</v>
      </c>
      <c r="M296" s="196">
        <f t="shared" si="46"/>
        <v>0</v>
      </c>
      <c r="N296" s="197">
        <f t="shared" si="46"/>
        <v>0</v>
      </c>
      <c r="O296" s="197">
        <f>SUBTOTAL(9,O294:O295)</f>
        <v>12368689.743537549</v>
      </c>
      <c r="P296" s="197">
        <f t="shared" si="46"/>
        <v>237337.03000000003</v>
      </c>
      <c r="Q296" s="197">
        <f>SUBTOTAL(9,Q294:Q295)</f>
        <v>12606026.77353755</v>
      </c>
      <c r="R296" s="675" t="s">
        <v>1350</v>
      </c>
      <c r="S296" s="196"/>
    </row>
    <row r="297" spans="1:19" s="17" customFormat="1" ht="15.6" outlineLevel="4">
      <c r="A297" s="169" t="s">
        <v>1128</v>
      </c>
      <c r="B297" s="162" t="s">
        <v>288</v>
      </c>
      <c r="C297" s="163" t="s">
        <v>185</v>
      </c>
      <c r="D297" s="163" t="s">
        <v>99</v>
      </c>
      <c r="E297" s="163" t="s">
        <v>127</v>
      </c>
      <c r="F297" s="163" t="s">
        <v>128</v>
      </c>
      <c r="G297" s="163" t="s">
        <v>101</v>
      </c>
      <c r="H297" s="164">
        <f>VLOOKUP(A297,'3. K0215-REFERENCE'!A:D,3,FALSE)</f>
        <v>0</v>
      </c>
      <c r="I297" s="164">
        <f>VLOOKUP(A297,'3. K0215-REFERENCE'!A:D,4,FALSE)</f>
        <v>6495.36</v>
      </c>
      <c r="J297" s="168">
        <f t="shared" ref="J297:J304" si="47">SUM(H297+I297)</f>
        <v>6495.36</v>
      </c>
      <c r="K297" s="231"/>
      <c r="L297" s="231"/>
      <c r="M297" s="162"/>
      <c r="N297" s="164"/>
      <c r="O297" s="164">
        <f>+J297-N297</f>
        <v>6495.36</v>
      </c>
      <c r="P297" s="167">
        <f t="shared" ref="P297:P304" si="48">ROUND(((O297/$R$1)*$R$2),2)</f>
        <v>124.64</v>
      </c>
      <c r="Q297" s="164">
        <f t="shared" ref="Q297:Q304" si="49">+N297+O297+P297</f>
        <v>6620</v>
      </c>
      <c r="R297" s="162"/>
      <c r="S297" s="162"/>
    </row>
    <row r="298" spans="1:19" s="23" customFormat="1" ht="15.6" outlineLevel="4">
      <c r="A298" s="169" t="s">
        <v>1129</v>
      </c>
      <c r="B298" s="162" t="s">
        <v>743</v>
      </c>
      <c r="C298" s="163" t="s">
        <v>289</v>
      </c>
      <c r="D298" s="163" t="s">
        <v>99</v>
      </c>
      <c r="E298" s="163" t="s">
        <v>127</v>
      </c>
      <c r="F298" s="163" t="s">
        <v>128</v>
      </c>
      <c r="G298" s="163" t="s">
        <v>101</v>
      </c>
      <c r="H298" s="164">
        <f>VLOOKUP(A298,'3. K0215-REFERENCE'!A:D,3,FALSE)</f>
        <v>135043.14000000001</v>
      </c>
      <c r="I298" s="164">
        <f>VLOOKUP(A298,'3. K0215-REFERENCE'!A:D,4,FALSE)</f>
        <v>36385.49</v>
      </c>
      <c r="J298" s="168">
        <f t="shared" si="47"/>
        <v>171428.63</v>
      </c>
      <c r="K298" s="232"/>
      <c r="L298" s="232"/>
      <c r="M298" s="176"/>
      <c r="N298" s="177"/>
      <c r="O298" s="164">
        <f>+J298-N298</f>
        <v>171428.63</v>
      </c>
      <c r="P298" s="167">
        <f t="shared" si="48"/>
        <v>3289.46</v>
      </c>
      <c r="Q298" s="164">
        <f t="shared" si="49"/>
        <v>174718.09</v>
      </c>
      <c r="R298" s="176"/>
      <c r="S298" s="176"/>
    </row>
    <row r="299" spans="1:19" ht="15.6" outlineLevel="4">
      <c r="A299" s="169" t="s">
        <v>1130</v>
      </c>
      <c r="B299" s="162" t="s">
        <v>95</v>
      </c>
      <c r="C299" s="163" t="s">
        <v>137</v>
      </c>
      <c r="D299" s="163" t="s">
        <v>99</v>
      </c>
      <c r="E299" s="163" t="s">
        <v>127</v>
      </c>
      <c r="F299" s="163" t="s">
        <v>128</v>
      </c>
      <c r="G299" s="163" t="s">
        <v>101</v>
      </c>
      <c r="H299" s="164"/>
      <c r="I299" s="164"/>
      <c r="J299" s="168">
        <f t="shared" si="47"/>
        <v>0</v>
      </c>
      <c r="K299" s="232"/>
      <c r="L299" s="232"/>
      <c r="M299" s="172"/>
      <c r="N299" s="173"/>
      <c r="O299" s="164">
        <f>+J299-N299</f>
        <v>0</v>
      </c>
      <c r="P299" s="199">
        <f t="shared" si="48"/>
        <v>0</v>
      </c>
      <c r="Q299" s="173">
        <f t="shared" si="49"/>
        <v>0</v>
      </c>
      <c r="R299" s="172"/>
      <c r="S299" s="172"/>
    </row>
    <row r="300" spans="1:19" ht="15.6" outlineLevel="4">
      <c r="A300" s="169" t="s">
        <v>919</v>
      </c>
      <c r="B300" s="162" t="s">
        <v>706</v>
      </c>
      <c r="C300" s="163" t="s">
        <v>160</v>
      </c>
      <c r="D300" s="163" t="s">
        <v>99</v>
      </c>
      <c r="E300" s="163" t="s">
        <v>127</v>
      </c>
      <c r="F300" s="163" t="s">
        <v>128</v>
      </c>
      <c r="G300" s="163" t="s">
        <v>101</v>
      </c>
      <c r="H300" s="164"/>
      <c r="I300" s="164"/>
      <c r="J300" s="168">
        <f t="shared" si="47"/>
        <v>0</v>
      </c>
      <c r="K300" s="232"/>
      <c r="L300" s="232"/>
      <c r="M300" s="172"/>
      <c r="N300" s="173"/>
      <c r="O300" s="164">
        <f>+J300-N300</f>
        <v>0</v>
      </c>
      <c r="P300" s="199">
        <f t="shared" si="48"/>
        <v>0</v>
      </c>
      <c r="Q300" s="173">
        <f t="shared" si="49"/>
        <v>0</v>
      </c>
      <c r="R300" s="172"/>
      <c r="S300" s="172"/>
    </row>
    <row r="301" spans="1:19" ht="15.6" outlineLevel="4">
      <c r="A301" s="161" t="s">
        <v>920</v>
      </c>
      <c r="B301" s="162" t="s">
        <v>706</v>
      </c>
      <c r="C301" s="163" t="s">
        <v>160</v>
      </c>
      <c r="D301" s="163" t="s">
        <v>99</v>
      </c>
      <c r="E301" s="163" t="s">
        <v>127</v>
      </c>
      <c r="F301" s="163" t="s">
        <v>128</v>
      </c>
      <c r="G301" s="163" t="s">
        <v>101</v>
      </c>
      <c r="H301" s="164">
        <f>VLOOKUP(A301,'3. K0215-REFERENCE'!A:D,3,FALSE)</f>
        <v>2539799.86</v>
      </c>
      <c r="I301" s="164">
        <f>VLOOKUP(A301,'3. K0215-REFERENCE'!A:D,4,FALSE)</f>
        <v>7096779.7800000003</v>
      </c>
      <c r="J301" s="168">
        <f t="shared" si="47"/>
        <v>9636579.6400000006</v>
      </c>
      <c r="K301" s="232"/>
      <c r="L301" s="232"/>
      <c r="M301" s="172"/>
      <c r="N301" s="173"/>
      <c r="O301" s="164">
        <f>+J301-N301</f>
        <v>9636579.6400000006</v>
      </c>
      <c r="P301" s="199">
        <f t="shared" si="48"/>
        <v>184911.84</v>
      </c>
      <c r="Q301" s="173">
        <f t="shared" si="49"/>
        <v>9821491.4800000004</v>
      </c>
      <c r="R301" s="172"/>
      <c r="S301" s="172"/>
    </row>
    <row r="302" spans="1:19" s="52" customFormat="1" ht="15.6" outlineLevel="4">
      <c r="A302" s="208" t="s">
        <v>1131</v>
      </c>
      <c r="B302" s="183" t="s">
        <v>588</v>
      </c>
      <c r="C302" s="163" t="s">
        <v>145</v>
      </c>
      <c r="D302" s="184" t="s">
        <v>99</v>
      </c>
      <c r="E302" s="184" t="s">
        <v>127</v>
      </c>
      <c r="F302" s="184" t="s">
        <v>128</v>
      </c>
      <c r="G302" s="184" t="s">
        <v>101</v>
      </c>
      <c r="H302" s="164">
        <f>VLOOKUP(A302,'3. K0215-REFERENCE'!A:D,3,FALSE)</f>
        <v>97290.73</v>
      </c>
      <c r="I302" s="164">
        <f>VLOOKUP(A302,'3. K0215-REFERENCE'!A:D,4,FALSE)</f>
        <v>138720.85999999999</v>
      </c>
      <c r="J302" s="168">
        <f t="shared" si="47"/>
        <v>236011.58999999997</v>
      </c>
      <c r="K302" s="232"/>
      <c r="L302" s="232"/>
      <c r="M302" s="186"/>
      <c r="N302" s="185"/>
      <c r="O302" s="164">
        <f>+J302-N302</f>
        <v>236011.58999999997</v>
      </c>
      <c r="P302" s="202">
        <f>ROUND(((O302/$R$1)*$R$2),2)</f>
        <v>4528.72</v>
      </c>
      <c r="Q302" s="173">
        <f>+N302+O302+P302</f>
        <v>240540.30999999997</v>
      </c>
      <c r="R302" s="186"/>
      <c r="S302" s="186"/>
    </row>
    <row r="303" spans="1:19" ht="15.6" outlineLevel="4">
      <c r="A303" s="169" t="s">
        <v>1132</v>
      </c>
      <c r="B303" s="162" t="s">
        <v>86</v>
      </c>
      <c r="C303" s="163" t="s">
        <v>145</v>
      </c>
      <c r="D303" s="163" t="s">
        <v>99</v>
      </c>
      <c r="E303" s="163" t="s">
        <v>127</v>
      </c>
      <c r="F303" s="163" t="s">
        <v>128</v>
      </c>
      <c r="G303" s="163" t="s">
        <v>101</v>
      </c>
      <c r="H303" s="164"/>
      <c r="I303" s="164"/>
      <c r="J303" s="168">
        <f t="shared" si="47"/>
        <v>0</v>
      </c>
      <c r="K303" s="232"/>
      <c r="L303" s="232"/>
      <c r="M303" s="172"/>
      <c r="N303" s="173"/>
      <c r="O303" s="164">
        <f>+J303-N303</f>
        <v>0</v>
      </c>
      <c r="P303" s="199">
        <f t="shared" si="48"/>
        <v>0</v>
      </c>
      <c r="Q303" s="173">
        <f t="shared" si="49"/>
        <v>0</v>
      </c>
      <c r="R303" s="172"/>
      <c r="S303" s="172"/>
    </row>
    <row r="304" spans="1:19" ht="15.6" outlineLevel="4">
      <c r="A304" s="169" t="s">
        <v>1133</v>
      </c>
      <c r="B304" s="162" t="s">
        <v>622</v>
      </c>
      <c r="C304" s="163" t="s">
        <v>627</v>
      </c>
      <c r="D304" s="163" t="s">
        <v>99</v>
      </c>
      <c r="E304" s="163" t="s">
        <v>127</v>
      </c>
      <c r="F304" s="163" t="s">
        <v>128</v>
      </c>
      <c r="G304" s="163" t="s">
        <v>101</v>
      </c>
      <c r="H304" s="164">
        <f>VLOOKUP(A304,'3. K0215-REFERENCE'!A:D,3,FALSE)</f>
        <v>92478.29</v>
      </c>
      <c r="I304" s="164">
        <f>VLOOKUP(A304,'3. K0215-REFERENCE'!A:D,4,FALSE)</f>
        <v>553474.14</v>
      </c>
      <c r="J304" s="168">
        <f t="shared" si="47"/>
        <v>645952.43000000005</v>
      </c>
      <c r="K304" s="232"/>
      <c r="L304" s="232"/>
      <c r="M304" s="172"/>
      <c r="N304" s="173"/>
      <c r="O304" s="164">
        <f>+J304-N304</f>
        <v>645952.43000000005</v>
      </c>
      <c r="P304" s="199">
        <f t="shared" si="48"/>
        <v>12394.88</v>
      </c>
      <c r="Q304" s="173">
        <f t="shared" si="49"/>
        <v>658347.31000000006</v>
      </c>
      <c r="R304" s="172"/>
      <c r="S304" s="172"/>
    </row>
    <row r="305" spans="1:19" ht="15.6" outlineLevel="3">
      <c r="A305" s="433"/>
      <c r="B305" s="176" t="s">
        <v>359</v>
      </c>
      <c r="C305" s="431"/>
      <c r="D305" s="430" t="s">
        <v>99</v>
      </c>
      <c r="E305" s="163"/>
      <c r="F305" s="163" t="s">
        <v>128</v>
      </c>
      <c r="G305" s="163" t="s">
        <v>101</v>
      </c>
      <c r="H305" s="164"/>
      <c r="I305" s="164"/>
      <c r="J305" s="432"/>
      <c r="K305" s="209"/>
      <c r="L305" s="209"/>
      <c r="M305" s="172"/>
      <c r="N305" s="173"/>
      <c r="O305" s="173">
        <f>+N111</f>
        <v>23998327.924567625</v>
      </c>
      <c r="P305" s="199">
        <f>ROUND(((O305/$R$1)*$R$2),2)</f>
        <v>460492.75</v>
      </c>
      <c r="Q305" s="173">
        <f>+N305+O305+P305</f>
        <v>24458820.674567625</v>
      </c>
      <c r="R305" s="172"/>
      <c r="S305" s="172"/>
    </row>
    <row r="306" spans="1:19" s="11" customFormat="1" ht="15.6" outlineLevel="3">
      <c r="A306" s="233"/>
      <c r="B306" s="234"/>
      <c r="C306" s="235"/>
      <c r="D306" s="193" t="s">
        <v>269</v>
      </c>
      <c r="E306" s="235"/>
      <c r="F306" s="235"/>
      <c r="G306" s="235"/>
      <c r="H306" s="236">
        <f t="shared" ref="H306:I306" si="50">SUBTOTAL(9,H297:H305)</f>
        <v>2864612.02</v>
      </c>
      <c r="I306" s="236">
        <f t="shared" si="50"/>
        <v>7831855.6299999999</v>
      </c>
      <c r="J306" s="237">
        <f t="shared" ref="J306:Q306" si="51">SUBTOTAL(9,J297:J305)</f>
        <v>10696467.65</v>
      </c>
      <c r="K306" s="238">
        <f t="shared" si="51"/>
        <v>0</v>
      </c>
      <c r="L306" s="238">
        <f t="shared" si="51"/>
        <v>0</v>
      </c>
      <c r="M306" s="239">
        <f t="shared" si="51"/>
        <v>0</v>
      </c>
      <c r="N306" s="240">
        <f t="shared" si="51"/>
        <v>0</v>
      </c>
      <c r="O306" s="240">
        <f t="shared" si="51"/>
        <v>34694795.574567623</v>
      </c>
      <c r="P306" s="240">
        <f t="shared" si="51"/>
        <v>665742.29</v>
      </c>
      <c r="Q306" s="197">
        <f t="shared" si="51"/>
        <v>35360537.864567623</v>
      </c>
      <c r="R306" s="675" t="s">
        <v>1350</v>
      </c>
      <c r="S306" s="239"/>
    </row>
    <row r="307" spans="1:19" ht="15.6" outlineLevel="3">
      <c r="A307" s="433"/>
      <c r="B307" s="176" t="s">
        <v>359</v>
      </c>
      <c r="C307" s="431"/>
      <c r="D307" s="430" t="s">
        <v>107</v>
      </c>
      <c r="E307" s="163"/>
      <c r="F307" s="163" t="s">
        <v>128</v>
      </c>
      <c r="G307" s="163" t="s">
        <v>101</v>
      </c>
      <c r="H307" s="164"/>
      <c r="I307" s="164"/>
      <c r="J307" s="432"/>
      <c r="K307" s="209"/>
      <c r="L307" s="209"/>
      <c r="M307" s="172"/>
      <c r="N307" s="173"/>
      <c r="O307" s="173">
        <f>+N63</f>
        <v>5345103.535690235</v>
      </c>
      <c r="P307" s="199">
        <f>ROUND(((O307/$R$1)*$R$2),2)</f>
        <v>102564.71</v>
      </c>
      <c r="Q307" s="173">
        <f>+N307+O307+P307</f>
        <v>5447668.2456902349</v>
      </c>
      <c r="R307" s="672" t="s">
        <v>1350</v>
      </c>
      <c r="S307" s="172"/>
    </row>
    <row r="308" spans="1:19" ht="15.6" outlineLevel="3">
      <c r="A308" s="433"/>
      <c r="B308" s="176" t="s">
        <v>359</v>
      </c>
      <c r="C308" s="431"/>
      <c r="D308" s="430" t="s">
        <v>10</v>
      </c>
      <c r="E308" s="163"/>
      <c r="F308" s="163" t="s">
        <v>128</v>
      </c>
      <c r="G308" s="163" t="s">
        <v>101</v>
      </c>
      <c r="H308" s="164"/>
      <c r="I308" s="164"/>
      <c r="J308" s="432"/>
      <c r="K308" s="209"/>
      <c r="L308" s="209"/>
      <c r="M308" s="172"/>
      <c r="N308" s="173"/>
      <c r="O308" s="173">
        <f>+N132</f>
        <v>3087685.5706296135</v>
      </c>
      <c r="P308" s="199">
        <f>ROUND(((O308/$R$1)*$R$2),2)</f>
        <v>59248.160000000003</v>
      </c>
      <c r="Q308" s="173">
        <f>+N308+O308+P308</f>
        <v>3146933.7306296136</v>
      </c>
      <c r="R308" s="672" t="s">
        <v>1350</v>
      </c>
      <c r="S308" s="172"/>
    </row>
    <row r="309" spans="1:19" ht="15.6" outlineLevel="3">
      <c r="A309" s="433"/>
      <c r="B309" s="176" t="s">
        <v>359</v>
      </c>
      <c r="C309" s="431"/>
      <c r="D309" s="430" t="s">
        <v>9</v>
      </c>
      <c r="E309" s="163"/>
      <c r="F309" s="163" t="s">
        <v>128</v>
      </c>
      <c r="G309" s="163" t="s">
        <v>101</v>
      </c>
      <c r="H309" s="164"/>
      <c r="I309" s="164"/>
      <c r="J309" s="432"/>
      <c r="K309" s="209"/>
      <c r="L309" s="209"/>
      <c r="M309" s="172"/>
      <c r="N309" s="173"/>
      <c r="O309" s="173">
        <f>+N135</f>
        <v>72958.40194341309</v>
      </c>
      <c r="P309" s="199">
        <f>ROUND(((O309/$R$1)*$R$2),2)</f>
        <v>1399.96</v>
      </c>
      <c r="Q309" s="173">
        <f>+N309+O309+P309</f>
        <v>74358.361943413096</v>
      </c>
      <c r="R309" s="672" t="s">
        <v>1350</v>
      </c>
      <c r="S309" s="172"/>
    </row>
    <row r="310" spans="1:19" ht="15.6" outlineLevel="3">
      <c r="A310" s="433"/>
      <c r="B310" s="176" t="s">
        <v>359</v>
      </c>
      <c r="C310" s="431"/>
      <c r="D310" s="430" t="s">
        <v>100</v>
      </c>
      <c r="E310" s="163"/>
      <c r="F310" s="163" t="s">
        <v>128</v>
      </c>
      <c r="G310" s="163" t="s">
        <v>101</v>
      </c>
      <c r="H310" s="164"/>
      <c r="I310" s="164"/>
      <c r="J310" s="432"/>
      <c r="K310" s="209"/>
      <c r="L310" s="209"/>
      <c r="M310" s="172"/>
      <c r="N310" s="173"/>
      <c r="O310" s="173">
        <f>+N291</f>
        <v>403124.89663298934</v>
      </c>
      <c r="P310" s="199">
        <f>ROUND(((O310/$R$1)*$R$2),2)</f>
        <v>7735.38</v>
      </c>
      <c r="Q310" s="173">
        <f>+N310+O310+P310</f>
        <v>410860.27663298935</v>
      </c>
      <c r="R310" s="672" t="s">
        <v>1350</v>
      </c>
      <c r="S310" s="172"/>
    </row>
    <row r="311" spans="1:19" s="10" customFormat="1" ht="15.6" outlineLevel="2">
      <c r="A311" s="241"/>
      <c r="B311" s="242"/>
      <c r="C311" s="243"/>
      <c r="D311" s="243"/>
      <c r="E311" s="243"/>
      <c r="F311" s="243"/>
      <c r="G311" s="218" t="s">
        <v>254</v>
      </c>
      <c r="H311" s="244">
        <f t="shared" ref="H311:Q311" si="52">SUBTOTAL(9,H294:H310)</f>
        <v>3927376.1799999997</v>
      </c>
      <c r="I311" s="244">
        <f t="shared" si="52"/>
        <v>10274048.52</v>
      </c>
      <c r="J311" s="219">
        <f t="shared" si="52"/>
        <v>14201424.699999999</v>
      </c>
      <c r="K311" s="245">
        <f t="shared" si="52"/>
        <v>0</v>
      </c>
      <c r="L311" s="245">
        <f t="shared" si="52"/>
        <v>0</v>
      </c>
      <c r="M311" s="246">
        <f t="shared" si="52"/>
        <v>0</v>
      </c>
      <c r="N311" s="247">
        <f t="shared" si="52"/>
        <v>0</v>
      </c>
      <c r="O311" s="247">
        <f t="shared" si="52"/>
        <v>55972357.723001428</v>
      </c>
      <c r="P311" s="247">
        <f t="shared" si="52"/>
        <v>1074027.5299999998</v>
      </c>
      <c r="Q311" s="247">
        <f t="shared" si="52"/>
        <v>57046385.253001422</v>
      </c>
      <c r="R311" s="246"/>
      <c r="S311" s="246"/>
    </row>
    <row r="312" spans="1:19" ht="15.6" outlineLevel="4">
      <c r="A312" s="169" t="s">
        <v>1134</v>
      </c>
      <c r="B312" s="162" t="s">
        <v>58</v>
      </c>
      <c r="C312" s="163" t="s">
        <v>131</v>
      </c>
      <c r="D312" s="163" t="s">
        <v>10</v>
      </c>
      <c r="E312" s="163" t="s">
        <v>21</v>
      </c>
      <c r="F312" s="163" t="s">
        <v>128</v>
      </c>
      <c r="G312" s="163" t="s">
        <v>183</v>
      </c>
      <c r="H312" s="164">
        <f>VLOOKUP(A312,'3. K0215-REFERENCE'!A:D,3,FALSE)</f>
        <v>719383.3</v>
      </c>
      <c r="I312" s="164">
        <f>VLOOKUP(A312,'3. K0215-REFERENCE'!A:D,4,FALSE)</f>
        <v>2509683.39</v>
      </c>
      <c r="J312" s="168">
        <f>SUM(H312+I312)</f>
        <v>3229066.6900000004</v>
      </c>
      <c r="K312" s="232"/>
      <c r="L312" s="232"/>
      <c r="M312" s="172"/>
      <c r="N312" s="173"/>
      <c r="O312" s="173">
        <f>+J312-N312</f>
        <v>3229066.6900000004</v>
      </c>
      <c r="P312" s="199">
        <f>ROUND(((O312/$R$1)*$R$2),2)</f>
        <v>61961.06</v>
      </c>
      <c r="Q312" s="173">
        <f>+N312+O312+P312</f>
        <v>3291027.7500000005</v>
      </c>
      <c r="R312" s="448" t="s">
        <v>751</v>
      </c>
      <c r="S312" s="672" t="s">
        <v>1350</v>
      </c>
    </row>
    <row r="313" spans="1:19" s="11" customFormat="1" ht="15.6" outlineLevel="3">
      <c r="A313" s="191"/>
      <c r="B313" s="234"/>
      <c r="C313" s="193"/>
      <c r="D313" s="193" t="s">
        <v>270</v>
      </c>
      <c r="E313" s="193"/>
      <c r="F313" s="193"/>
      <c r="G313" s="193"/>
      <c r="H313" s="236">
        <f>SUBTOTAL(9,H312:H312)</f>
        <v>719383.3</v>
      </c>
      <c r="I313" s="236">
        <f>SUBTOTAL(9,I312:I312)</f>
        <v>2509683.39</v>
      </c>
      <c r="J313" s="194">
        <f t="shared" ref="J313:Q313" si="53">SUBTOTAL(9,J312:J312)</f>
        <v>3229066.6900000004</v>
      </c>
      <c r="K313" s="195">
        <f t="shared" si="53"/>
        <v>0</v>
      </c>
      <c r="L313" s="195">
        <f t="shared" si="53"/>
        <v>0</v>
      </c>
      <c r="M313" s="239">
        <f t="shared" si="53"/>
        <v>0</v>
      </c>
      <c r="N313" s="240">
        <f t="shared" si="53"/>
        <v>0</v>
      </c>
      <c r="O313" s="240">
        <f>SUBTOTAL(9,O312:O312)</f>
        <v>3229066.6900000004</v>
      </c>
      <c r="P313" s="248">
        <f t="shared" si="53"/>
        <v>61961.06</v>
      </c>
      <c r="Q313" s="248">
        <f t="shared" si="53"/>
        <v>3291027.7500000005</v>
      </c>
      <c r="R313" s="239"/>
      <c r="S313" s="239"/>
    </row>
    <row r="314" spans="1:19" ht="15.6" outlineLevel="4">
      <c r="A314" s="169" t="s">
        <v>1135</v>
      </c>
      <c r="B314" s="162" t="s">
        <v>92</v>
      </c>
      <c r="C314" s="163" t="s">
        <v>163</v>
      </c>
      <c r="D314" s="163" t="s">
        <v>108</v>
      </c>
      <c r="E314" s="163" t="s">
        <v>20</v>
      </c>
      <c r="F314" s="163" t="s">
        <v>128</v>
      </c>
      <c r="G314" s="163" t="s">
        <v>183</v>
      </c>
      <c r="H314" s="164">
        <f>VLOOKUP(A314,'3. K0215-REFERENCE'!A:D,3,FALSE)</f>
        <v>5803250.8700000001</v>
      </c>
      <c r="I314" s="164">
        <f>VLOOKUP(A314,'3. K0215-REFERENCE'!A:D,4,FALSE)</f>
        <v>1590165</v>
      </c>
      <c r="J314" s="168">
        <f t="shared" ref="J314:J348" si="54">SUM(H314+I314)</f>
        <v>7393415.8700000001</v>
      </c>
      <c r="K314" s="249"/>
      <c r="L314" s="249"/>
      <c r="M314" s="172"/>
      <c r="N314" s="173"/>
      <c r="O314" s="173">
        <f>+J314-N314</f>
        <v>7393415.8700000001</v>
      </c>
      <c r="P314" s="199">
        <f t="shared" ref="P314:P343" si="55">ROUND(((O314/$R$1)*$R$2),2)</f>
        <v>141868.82</v>
      </c>
      <c r="Q314" s="173">
        <f t="shared" ref="Q314:Q331" si="56">+N314+O314+P314</f>
        <v>7535284.6900000004</v>
      </c>
      <c r="R314" s="172"/>
      <c r="S314" s="172"/>
    </row>
    <row r="315" spans="1:19" s="17" customFormat="1" ht="15.6" outlineLevel="4">
      <c r="A315" s="169" t="s">
        <v>1136</v>
      </c>
      <c r="B315" s="162" t="s">
        <v>92</v>
      </c>
      <c r="C315" s="163" t="s">
        <v>163</v>
      </c>
      <c r="D315" s="163" t="s">
        <v>108</v>
      </c>
      <c r="E315" s="163" t="s">
        <v>20</v>
      </c>
      <c r="F315" s="163" t="s">
        <v>128</v>
      </c>
      <c r="G315" s="163" t="s">
        <v>183</v>
      </c>
      <c r="H315" s="164"/>
      <c r="I315" s="164"/>
      <c r="J315" s="168">
        <f t="shared" si="54"/>
        <v>0</v>
      </c>
      <c r="K315" s="231"/>
      <c r="L315" s="231"/>
      <c r="M315" s="162"/>
      <c r="N315" s="164"/>
      <c r="O315" s="173">
        <f>+J315-N315</f>
        <v>0</v>
      </c>
      <c r="P315" s="199">
        <f t="shared" si="55"/>
        <v>0</v>
      </c>
      <c r="Q315" s="164">
        <f>+N315+O315+P315</f>
        <v>0</v>
      </c>
      <c r="R315" s="162"/>
      <c r="S315" s="162"/>
    </row>
    <row r="316" spans="1:19" ht="15.6" outlineLevel="4">
      <c r="A316" s="169" t="s">
        <v>1137</v>
      </c>
      <c r="B316" s="162" t="s">
        <v>92</v>
      </c>
      <c r="C316" s="163" t="s">
        <v>163</v>
      </c>
      <c r="D316" s="163" t="s">
        <v>108</v>
      </c>
      <c r="E316" s="163" t="s">
        <v>20</v>
      </c>
      <c r="F316" s="163" t="s">
        <v>128</v>
      </c>
      <c r="G316" s="163" t="s">
        <v>183</v>
      </c>
      <c r="H316" s="164">
        <f>VLOOKUP(A316,'3. K0215-REFERENCE'!A:D,3,FALSE)</f>
        <v>106941.44</v>
      </c>
      <c r="I316" s="164">
        <f>VLOOKUP(A316,'3. K0215-REFERENCE'!A:D,4,FALSE)</f>
        <v>868395.29</v>
      </c>
      <c r="J316" s="168">
        <f t="shared" si="54"/>
        <v>975336.73</v>
      </c>
      <c r="K316" s="249"/>
      <c r="L316" s="249"/>
      <c r="M316" s="172"/>
      <c r="N316" s="173"/>
      <c r="O316" s="173">
        <f>+J316-N316</f>
        <v>975336.73</v>
      </c>
      <c r="P316" s="199">
        <f t="shared" si="55"/>
        <v>18715.28</v>
      </c>
      <c r="Q316" s="173">
        <f t="shared" si="56"/>
        <v>994052.01</v>
      </c>
      <c r="R316" s="172"/>
      <c r="S316" s="172"/>
    </row>
    <row r="317" spans="1:19" ht="15.6" outlineLevel="4">
      <c r="A317" s="169" t="s">
        <v>1138</v>
      </c>
      <c r="B317" s="162" t="s">
        <v>92</v>
      </c>
      <c r="C317" s="163" t="s">
        <v>163</v>
      </c>
      <c r="D317" s="163" t="s">
        <v>108</v>
      </c>
      <c r="E317" s="163" t="s">
        <v>20</v>
      </c>
      <c r="F317" s="163" t="s">
        <v>128</v>
      </c>
      <c r="G317" s="163" t="s">
        <v>183</v>
      </c>
      <c r="H317" s="164">
        <f>VLOOKUP(A317,'3. K0215-REFERENCE'!A:D,3,FALSE)</f>
        <v>80834.929999999993</v>
      </c>
      <c r="I317" s="164">
        <f>VLOOKUP(A317,'3. K0215-REFERENCE'!A:D,4,FALSE)</f>
        <v>636878</v>
      </c>
      <c r="J317" s="168">
        <f t="shared" si="54"/>
        <v>717712.92999999993</v>
      </c>
      <c r="K317" s="249"/>
      <c r="L317" s="249"/>
      <c r="M317" s="172"/>
      <c r="N317" s="173"/>
      <c r="O317" s="173">
        <f>+J317-N317</f>
        <v>717712.92999999993</v>
      </c>
      <c r="P317" s="199">
        <f t="shared" si="55"/>
        <v>13771.86</v>
      </c>
      <c r="Q317" s="173">
        <f t="shared" si="56"/>
        <v>731484.78999999992</v>
      </c>
      <c r="R317" s="172"/>
      <c r="S317" s="172"/>
    </row>
    <row r="318" spans="1:19" ht="15.6" outlineLevel="4">
      <c r="A318" s="169" t="s">
        <v>1139</v>
      </c>
      <c r="B318" s="162" t="s">
        <v>92</v>
      </c>
      <c r="C318" s="163" t="s">
        <v>163</v>
      </c>
      <c r="D318" s="163" t="s">
        <v>108</v>
      </c>
      <c r="E318" s="163" t="s">
        <v>20</v>
      </c>
      <c r="F318" s="163" t="s">
        <v>128</v>
      </c>
      <c r="G318" s="163" t="s">
        <v>183</v>
      </c>
      <c r="H318" s="164">
        <f>VLOOKUP(A318,'3. K0215-REFERENCE'!A:D,3,FALSE)</f>
        <v>59101.83</v>
      </c>
      <c r="I318" s="164">
        <f>VLOOKUP(A318,'3. K0215-REFERENCE'!A:D,4,FALSE)</f>
        <v>565005.57999999996</v>
      </c>
      <c r="J318" s="168">
        <f t="shared" si="54"/>
        <v>624107.40999999992</v>
      </c>
      <c r="K318" s="249"/>
      <c r="L318" s="249"/>
      <c r="M318" s="172"/>
      <c r="N318" s="173"/>
      <c r="O318" s="173">
        <f>+J318-N318</f>
        <v>624107.40999999992</v>
      </c>
      <c r="P318" s="199">
        <f t="shared" si="55"/>
        <v>11975.71</v>
      </c>
      <c r="Q318" s="173">
        <f t="shared" si="56"/>
        <v>636083.11999999988</v>
      </c>
      <c r="R318" s="172"/>
      <c r="S318" s="172"/>
    </row>
    <row r="319" spans="1:19" ht="15.6" outlineLevel="4">
      <c r="A319" s="169" t="s">
        <v>1140</v>
      </c>
      <c r="B319" s="162" t="s">
        <v>92</v>
      </c>
      <c r="C319" s="163" t="s">
        <v>163</v>
      </c>
      <c r="D319" s="163" t="s">
        <v>108</v>
      </c>
      <c r="E319" s="163" t="s">
        <v>20</v>
      </c>
      <c r="F319" s="163" t="s">
        <v>128</v>
      </c>
      <c r="G319" s="163" t="s">
        <v>183</v>
      </c>
      <c r="H319" s="164">
        <f>VLOOKUP(A319,'3. K0215-REFERENCE'!A:D,3,FALSE)</f>
        <v>3006237.15</v>
      </c>
      <c r="I319" s="164">
        <f>VLOOKUP(A319,'3. K0215-REFERENCE'!A:D,4,FALSE)</f>
        <v>2409147.14</v>
      </c>
      <c r="J319" s="168">
        <f t="shared" si="54"/>
        <v>5415384.29</v>
      </c>
      <c r="K319" s="249"/>
      <c r="L319" s="249"/>
      <c r="M319" s="172"/>
      <c r="N319" s="173"/>
      <c r="O319" s="173">
        <f>+J319-N319</f>
        <v>5415384.29</v>
      </c>
      <c r="P319" s="199">
        <f t="shared" si="55"/>
        <v>103913.29</v>
      </c>
      <c r="Q319" s="173">
        <f t="shared" si="56"/>
        <v>5519297.5800000001</v>
      </c>
      <c r="R319" s="172"/>
      <c r="S319" s="172"/>
    </row>
    <row r="320" spans="1:19" ht="15.6" outlineLevel="4">
      <c r="A320" s="169" t="s">
        <v>1141</v>
      </c>
      <c r="B320" s="162" t="s">
        <v>92</v>
      </c>
      <c r="C320" s="163" t="s">
        <v>163</v>
      </c>
      <c r="D320" s="163" t="s">
        <v>108</v>
      </c>
      <c r="E320" s="163" t="s">
        <v>20</v>
      </c>
      <c r="F320" s="163" t="s">
        <v>128</v>
      </c>
      <c r="G320" s="163" t="s">
        <v>183</v>
      </c>
      <c r="H320" s="164">
        <f>VLOOKUP(A320,'3. K0215-REFERENCE'!A:D,3,FALSE)</f>
        <v>2831552.12</v>
      </c>
      <c r="I320" s="164">
        <f>VLOOKUP(A320,'3. K0215-REFERENCE'!A:D,4,FALSE)</f>
        <v>6556196.3499999996</v>
      </c>
      <c r="J320" s="168">
        <f t="shared" si="54"/>
        <v>9387748.4699999988</v>
      </c>
      <c r="K320" s="249"/>
      <c r="L320" s="249"/>
      <c r="M320" s="172"/>
      <c r="N320" s="173"/>
      <c r="O320" s="173">
        <f>+J320-N320</f>
        <v>9387748.4699999988</v>
      </c>
      <c r="P320" s="199">
        <f t="shared" si="55"/>
        <v>180137.14</v>
      </c>
      <c r="Q320" s="173">
        <f>+N320+O320+P320</f>
        <v>9567885.6099999994</v>
      </c>
      <c r="R320" s="172"/>
      <c r="S320" s="172"/>
    </row>
    <row r="321" spans="1:19" ht="15.6" outlineLevel="4">
      <c r="A321" s="169" t="s">
        <v>1142</v>
      </c>
      <c r="B321" s="162" t="s">
        <v>92</v>
      </c>
      <c r="C321" s="163" t="s">
        <v>163</v>
      </c>
      <c r="D321" s="163" t="s">
        <v>108</v>
      </c>
      <c r="E321" s="163" t="s">
        <v>20</v>
      </c>
      <c r="F321" s="163" t="s">
        <v>128</v>
      </c>
      <c r="G321" s="163" t="s">
        <v>183</v>
      </c>
      <c r="H321" s="164">
        <f>VLOOKUP(A321,'3. K0215-REFERENCE'!A:D,3,FALSE)</f>
        <v>5269010.5</v>
      </c>
      <c r="I321" s="164">
        <f>VLOOKUP(A321,'3. K0215-REFERENCE'!A:D,4,FALSE)</f>
        <v>7623350.2999999998</v>
      </c>
      <c r="J321" s="168">
        <f t="shared" si="54"/>
        <v>12892360.800000001</v>
      </c>
      <c r="K321" s="249"/>
      <c r="L321" s="249"/>
      <c r="M321" s="172"/>
      <c r="N321" s="173"/>
      <c r="O321" s="173">
        <f>+J321-N321</f>
        <v>12892360.800000001</v>
      </c>
      <c r="P321" s="199">
        <f t="shared" si="55"/>
        <v>247385.51</v>
      </c>
      <c r="Q321" s="173">
        <f t="shared" si="56"/>
        <v>13139746.310000001</v>
      </c>
      <c r="R321" s="172"/>
      <c r="S321" s="172"/>
    </row>
    <row r="322" spans="1:19" ht="15.6" outlineLevel="4">
      <c r="A322" s="169" t="s">
        <v>1143</v>
      </c>
      <c r="B322" s="162" t="s">
        <v>92</v>
      </c>
      <c r="C322" s="163" t="s">
        <v>163</v>
      </c>
      <c r="D322" s="163" t="s">
        <v>108</v>
      </c>
      <c r="E322" s="163" t="s">
        <v>20</v>
      </c>
      <c r="F322" s="163" t="s">
        <v>128</v>
      </c>
      <c r="G322" s="163" t="s">
        <v>183</v>
      </c>
      <c r="H322" s="164">
        <f>VLOOKUP(A322,'3. K0215-REFERENCE'!A:D,3,FALSE)</f>
        <v>11752636.01</v>
      </c>
      <c r="I322" s="164">
        <f>VLOOKUP(A322,'3. K0215-REFERENCE'!A:D,4,FALSE)</f>
        <v>19296677.66</v>
      </c>
      <c r="J322" s="168">
        <f t="shared" si="54"/>
        <v>31049313.670000002</v>
      </c>
      <c r="K322" s="249"/>
      <c r="L322" s="249"/>
      <c r="M322" s="172"/>
      <c r="N322" s="173"/>
      <c r="O322" s="173">
        <f>+J322-N322</f>
        <v>31049313.670000002</v>
      </c>
      <c r="P322" s="199">
        <f t="shared" si="55"/>
        <v>595790.84</v>
      </c>
      <c r="Q322" s="173">
        <f t="shared" si="56"/>
        <v>31645104.510000002</v>
      </c>
      <c r="R322" s="172"/>
      <c r="S322" s="172"/>
    </row>
    <row r="323" spans="1:19" ht="15.6" outlineLevel="4">
      <c r="A323" s="169" t="s">
        <v>1144</v>
      </c>
      <c r="B323" s="162" t="s">
        <v>92</v>
      </c>
      <c r="C323" s="163" t="s">
        <v>163</v>
      </c>
      <c r="D323" s="163" t="s">
        <v>108</v>
      </c>
      <c r="E323" s="163" t="s">
        <v>20</v>
      </c>
      <c r="F323" s="163" t="s">
        <v>128</v>
      </c>
      <c r="G323" s="163" t="s">
        <v>183</v>
      </c>
      <c r="H323" s="164">
        <f>VLOOKUP(A323,'3. K0215-REFERENCE'!A:D,3,FALSE)</f>
        <v>5444956.3600000003</v>
      </c>
      <c r="I323" s="164">
        <f>VLOOKUP(A323,'3. K0215-REFERENCE'!A:D,4,FALSE)</f>
        <v>3226816.1</v>
      </c>
      <c r="J323" s="168">
        <f t="shared" si="54"/>
        <v>8671772.4600000009</v>
      </c>
      <c r="K323" s="249"/>
      <c r="L323" s="249"/>
      <c r="M323" s="172"/>
      <c r="N323" s="173"/>
      <c r="O323" s="173">
        <f>+J323-N323</f>
        <v>8671772.4600000009</v>
      </c>
      <c r="P323" s="199">
        <f t="shared" si="55"/>
        <v>166398.60999999999</v>
      </c>
      <c r="Q323" s="173">
        <f t="shared" si="56"/>
        <v>8838171.0700000003</v>
      </c>
      <c r="R323" s="172"/>
      <c r="S323" s="172"/>
    </row>
    <row r="324" spans="1:19" ht="15.6" outlineLevel="4">
      <c r="A324" s="169" t="s">
        <v>1145</v>
      </c>
      <c r="B324" s="162" t="s">
        <v>92</v>
      </c>
      <c r="C324" s="163" t="s">
        <v>163</v>
      </c>
      <c r="D324" s="163" t="s">
        <v>108</v>
      </c>
      <c r="E324" s="163" t="s">
        <v>20</v>
      </c>
      <c r="F324" s="163" t="s">
        <v>128</v>
      </c>
      <c r="G324" s="163" t="s">
        <v>183</v>
      </c>
      <c r="H324" s="164">
        <f>VLOOKUP(A324,'3. K0215-REFERENCE'!A:D,3,FALSE)</f>
        <v>2157786.16</v>
      </c>
      <c r="I324" s="164">
        <f>VLOOKUP(A324,'3. K0215-REFERENCE'!A:D,4,FALSE)</f>
        <v>6783444.9900000002</v>
      </c>
      <c r="J324" s="168">
        <f t="shared" si="54"/>
        <v>8941231.1500000004</v>
      </c>
      <c r="K324" s="249"/>
      <c r="L324" s="249"/>
      <c r="M324" s="172"/>
      <c r="N324" s="173"/>
      <c r="O324" s="173">
        <f>+J324-N324</f>
        <v>8941231.1500000004</v>
      </c>
      <c r="P324" s="199">
        <f t="shared" si="55"/>
        <v>171569.12</v>
      </c>
      <c r="Q324" s="173">
        <f t="shared" si="56"/>
        <v>9112800.2699999996</v>
      </c>
      <c r="R324" s="172"/>
      <c r="S324" s="172"/>
    </row>
    <row r="325" spans="1:19" ht="15.6" outlineLevel="4">
      <c r="A325" s="169" t="s">
        <v>1146</v>
      </c>
      <c r="B325" s="162" t="s">
        <v>92</v>
      </c>
      <c r="C325" s="163" t="s">
        <v>163</v>
      </c>
      <c r="D325" s="163" t="s">
        <v>108</v>
      </c>
      <c r="E325" s="163" t="s">
        <v>20</v>
      </c>
      <c r="F325" s="163" t="s">
        <v>128</v>
      </c>
      <c r="G325" s="163" t="s">
        <v>183</v>
      </c>
      <c r="H325" s="164">
        <f>VLOOKUP(A325,'3. K0215-REFERENCE'!A:D,3,FALSE)</f>
        <v>12495558.91</v>
      </c>
      <c r="I325" s="164">
        <f>VLOOKUP(A325,'3. K0215-REFERENCE'!A:D,4,FALSE)</f>
        <v>32600061.920000002</v>
      </c>
      <c r="J325" s="168">
        <f t="shared" si="54"/>
        <v>45095620.829999998</v>
      </c>
      <c r="K325" s="249"/>
      <c r="L325" s="249"/>
      <c r="M325" s="172"/>
      <c r="N325" s="173"/>
      <c r="O325" s="173">
        <f>+J325-N325</f>
        <v>45095620.829999998</v>
      </c>
      <c r="P325" s="199">
        <f t="shared" si="55"/>
        <v>865318.89</v>
      </c>
      <c r="Q325" s="173">
        <f t="shared" si="56"/>
        <v>45960939.719999999</v>
      </c>
      <c r="R325" s="172"/>
      <c r="S325" s="172"/>
    </row>
    <row r="326" spans="1:19" ht="15.6" outlineLevel="4">
      <c r="A326" s="169" t="s">
        <v>1147</v>
      </c>
      <c r="B326" s="162" t="s">
        <v>92</v>
      </c>
      <c r="C326" s="163" t="s">
        <v>163</v>
      </c>
      <c r="D326" s="163" t="s">
        <v>108</v>
      </c>
      <c r="E326" s="163" t="s">
        <v>20</v>
      </c>
      <c r="F326" s="163" t="s">
        <v>128</v>
      </c>
      <c r="G326" s="163" t="s">
        <v>183</v>
      </c>
      <c r="H326" s="164">
        <f>VLOOKUP(A326,'3. K0215-REFERENCE'!A:D,3,FALSE)</f>
        <v>6855198.9199999999</v>
      </c>
      <c r="I326" s="164">
        <f>VLOOKUP(A326,'3. K0215-REFERENCE'!A:D,4,FALSE)</f>
        <v>16109841.35</v>
      </c>
      <c r="J326" s="168">
        <f t="shared" si="54"/>
        <v>22965040.27</v>
      </c>
      <c r="K326" s="249"/>
      <c r="L326" s="249"/>
      <c r="M326" s="172"/>
      <c r="N326" s="173"/>
      <c r="O326" s="173">
        <f>+J326-N326</f>
        <v>22965040.27</v>
      </c>
      <c r="P326" s="199">
        <f t="shared" si="55"/>
        <v>440665.47</v>
      </c>
      <c r="Q326" s="173">
        <f t="shared" si="56"/>
        <v>23405705.739999998</v>
      </c>
      <c r="R326" s="172"/>
      <c r="S326" s="172"/>
    </row>
    <row r="327" spans="1:19" ht="15.6" outlineLevel="4">
      <c r="A327" s="169" t="s">
        <v>1148</v>
      </c>
      <c r="B327" s="162" t="s">
        <v>92</v>
      </c>
      <c r="C327" s="163" t="s">
        <v>163</v>
      </c>
      <c r="D327" s="163" t="s">
        <v>108</v>
      </c>
      <c r="E327" s="163" t="s">
        <v>20</v>
      </c>
      <c r="F327" s="163" t="s">
        <v>128</v>
      </c>
      <c r="G327" s="163" t="s">
        <v>183</v>
      </c>
      <c r="H327" s="164">
        <f>VLOOKUP(A327,'3. K0215-REFERENCE'!A:D,3,FALSE)</f>
        <v>1535965.33</v>
      </c>
      <c r="I327" s="164">
        <f>VLOOKUP(A327,'3. K0215-REFERENCE'!A:D,4,FALSE)</f>
        <v>2828553.24</v>
      </c>
      <c r="J327" s="168">
        <f t="shared" si="54"/>
        <v>4364518.57</v>
      </c>
      <c r="K327" s="249"/>
      <c r="L327" s="249"/>
      <c r="M327" s="172"/>
      <c r="N327" s="173"/>
      <c r="O327" s="173">
        <f>+J327-N327</f>
        <v>4364518.57</v>
      </c>
      <c r="P327" s="199">
        <f t="shared" si="55"/>
        <v>83748.72</v>
      </c>
      <c r="Q327" s="173">
        <f t="shared" si="56"/>
        <v>4448267.29</v>
      </c>
      <c r="R327" s="172"/>
      <c r="S327" s="172"/>
    </row>
    <row r="328" spans="1:19" ht="15.6" outlineLevel="4">
      <c r="A328" s="169" t="s">
        <v>1149</v>
      </c>
      <c r="B328" s="162" t="s">
        <v>92</v>
      </c>
      <c r="C328" s="163" t="s">
        <v>163</v>
      </c>
      <c r="D328" s="163" t="s">
        <v>108</v>
      </c>
      <c r="E328" s="163" t="s">
        <v>20</v>
      </c>
      <c r="F328" s="163" t="s">
        <v>128</v>
      </c>
      <c r="G328" s="163" t="s">
        <v>183</v>
      </c>
      <c r="H328" s="164">
        <f>VLOOKUP(A328,'3. K0215-REFERENCE'!A:D,3,FALSE)</f>
        <v>2401576.98</v>
      </c>
      <c r="I328" s="164">
        <f>VLOOKUP(A328,'3. K0215-REFERENCE'!A:D,4,FALSE)</f>
        <v>4552590.42</v>
      </c>
      <c r="J328" s="168">
        <f t="shared" si="54"/>
        <v>6954167.4000000004</v>
      </c>
      <c r="K328" s="249"/>
      <c r="L328" s="249"/>
      <c r="M328" s="172"/>
      <c r="N328" s="173"/>
      <c r="O328" s="173">
        <f>+J328-N328</f>
        <v>6954167.4000000004</v>
      </c>
      <c r="P328" s="199">
        <f t="shared" si="55"/>
        <v>133440.28</v>
      </c>
      <c r="Q328" s="173">
        <f t="shared" si="56"/>
        <v>7087607.6800000006</v>
      </c>
      <c r="R328" s="172"/>
      <c r="S328" s="172"/>
    </row>
    <row r="329" spans="1:19" ht="15.6" outlineLevel="4">
      <c r="A329" s="169" t="s">
        <v>1150</v>
      </c>
      <c r="B329" s="162" t="s">
        <v>92</v>
      </c>
      <c r="C329" s="163" t="s">
        <v>163</v>
      </c>
      <c r="D329" s="163" t="s">
        <v>108</v>
      </c>
      <c r="E329" s="163" t="s">
        <v>20</v>
      </c>
      <c r="F329" s="163" t="s">
        <v>128</v>
      </c>
      <c r="G329" s="163" t="s">
        <v>183</v>
      </c>
      <c r="H329" s="164">
        <f>VLOOKUP(A329,'3. K0215-REFERENCE'!A:D,3,FALSE)</f>
        <v>4423733.37</v>
      </c>
      <c r="I329" s="164">
        <f>VLOOKUP(A329,'3. K0215-REFERENCE'!A:D,4,FALSE)</f>
        <v>9543971.1799999997</v>
      </c>
      <c r="J329" s="168">
        <f t="shared" si="54"/>
        <v>13967704.550000001</v>
      </c>
      <c r="K329" s="249"/>
      <c r="L329" s="249"/>
      <c r="M329" s="172"/>
      <c r="N329" s="173"/>
      <c r="O329" s="173">
        <f>+J329-N329</f>
        <v>13967704.550000001</v>
      </c>
      <c r="P329" s="199">
        <f t="shared" si="55"/>
        <v>268019.78000000003</v>
      </c>
      <c r="Q329" s="173">
        <f t="shared" si="56"/>
        <v>14235724.33</v>
      </c>
      <c r="R329" s="172"/>
      <c r="S329" s="172"/>
    </row>
    <row r="330" spans="1:19" ht="15.6" outlineLevel="4">
      <c r="A330" s="169" t="s">
        <v>1151</v>
      </c>
      <c r="B330" s="162" t="s">
        <v>92</v>
      </c>
      <c r="C330" s="163" t="s">
        <v>163</v>
      </c>
      <c r="D330" s="163" t="s">
        <v>108</v>
      </c>
      <c r="E330" s="163" t="s">
        <v>20</v>
      </c>
      <c r="F330" s="163" t="s">
        <v>128</v>
      </c>
      <c r="G330" s="163" t="s">
        <v>183</v>
      </c>
      <c r="H330" s="164">
        <f>VLOOKUP(A330,'3. K0215-REFERENCE'!A:D,3,FALSE)</f>
        <v>4946392.53</v>
      </c>
      <c r="I330" s="164">
        <f>VLOOKUP(A330,'3. K0215-REFERENCE'!A:D,4,FALSE)</f>
        <v>6360223.0599999996</v>
      </c>
      <c r="J330" s="168">
        <f t="shared" si="54"/>
        <v>11306615.59</v>
      </c>
      <c r="K330" s="249"/>
      <c r="L330" s="249"/>
      <c r="M330" s="172"/>
      <c r="N330" s="173"/>
      <c r="O330" s="173">
        <f>+J330-N330</f>
        <v>11306615.59</v>
      </c>
      <c r="P330" s="199">
        <f t="shared" si="55"/>
        <v>216957.39</v>
      </c>
      <c r="Q330" s="173">
        <f t="shared" si="56"/>
        <v>11523572.98</v>
      </c>
      <c r="R330" s="172"/>
      <c r="S330" s="172"/>
    </row>
    <row r="331" spans="1:19" ht="15.6" outlineLevel="4">
      <c r="A331" s="169" t="s">
        <v>1152</v>
      </c>
      <c r="B331" s="162" t="s">
        <v>92</v>
      </c>
      <c r="C331" s="163" t="s">
        <v>163</v>
      </c>
      <c r="D331" s="163" t="s">
        <v>108</v>
      </c>
      <c r="E331" s="163" t="s">
        <v>20</v>
      </c>
      <c r="F331" s="163" t="s">
        <v>128</v>
      </c>
      <c r="G331" s="163" t="s">
        <v>183</v>
      </c>
      <c r="H331" s="164">
        <f>VLOOKUP(A331,'3. K0215-REFERENCE'!A:D,3,FALSE)</f>
        <v>1513540.47</v>
      </c>
      <c r="I331" s="164">
        <f>VLOOKUP(A331,'3. K0215-REFERENCE'!A:D,4,FALSE)</f>
        <v>2088554.21</v>
      </c>
      <c r="J331" s="168">
        <f t="shared" si="54"/>
        <v>3602094.6799999997</v>
      </c>
      <c r="K331" s="249"/>
      <c r="L331" s="249"/>
      <c r="M331" s="172"/>
      <c r="N331" s="173"/>
      <c r="O331" s="173">
        <f>+J331-N331</f>
        <v>3602094.6799999997</v>
      </c>
      <c r="P331" s="199">
        <f t="shared" si="55"/>
        <v>69118.92</v>
      </c>
      <c r="Q331" s="173">
        <f t="shared" si="56"/>
        <v>3671213.5999999996</v>
      </c>
      <c r="R331" s="172"/>
      <c r="S331" s="172"/>
    </row>
    <row r="332" spans="1:19" ht="15.6" outlineLevel="4">
      <c r="A332" s="169" t="s">
        <v>1153</v>
      </c>
      <c r="B332" s="162" t="s">
        <v>92</v>
      </c>
      <c r="C332" s="163" t="s">
        <v>163</v>
      </c>
      <c r="D332" s="163" t="s">
        <v>108</v>
      </c>
      <c r="E332" s="163" t="s">
        <v>20</v>
      </c>
      <c r="F332" s="163" t="s">
        <v>128</v>
      </c>
      <c r="G332" s="163" t="s">
        <v>183</v>
      </c>
      <c r="H332" s="164"/>
      <c r="I332" s="164"/>
      <c r="J332" s="168">
        <f t="shared" si="54"/>
        <v>0</v>
      </c>
      <c r="K332" s="249"/>
      <c r="L332" s="249"/>
      <c r="M332" s="172"/>
      <c r="N332" s="173"/>
      <c r="O332" s="173">
        <f>+J332-N332</f>
        <v>0</v>
      </c>
      <c r="P332" s="199">
        <f t="shared" si="55"/>
        <v>0</v>
      </c>
      <c r="Q332" s="173">
        <f t="shared" ref="Q332:Q339" si="57">+N332+O332+P332</f>
        <v>0</v>
      </c>
      <c r="R332" s="172"/>
      <c r="S332" s="172"/>
    </row>
    <row r="333" spans="1:19" ht="15.6" outlineLevel="4">
      <c r="A333" s="169" t="s">
        <v>1154</v>
      </c>
      <c r="B333" s="162" t="s">
        <v>92</v>
      </c>
      <c r="C333" s="163" t="s">
        <v>163</v>
      </c>
      <c r="D333" s="163" t="s">
        <v>108</v>
      </c>
      <c r="E333" s="163" t="s">
        <v>20</v>
      </c>
      <c r="F333" s="163" t="s">
        <v>128</v>
      </c>
      <c r="G333" s="163" t="s">
        <v>183</v>
      </c>
      <c r="H333" s="164"/>
      <c r="I333" s="164"/>
      <c r="J333" s="168">
        <f t="shared" si="54"/>
        <v>0</v>
      </c>
      <c r="K333" s="249"/>
      <c r="L333" s="249"/>
      <c r="M333" s="172"/>
      <c r="N333" s="173"/>
      <c r="O333" s="173">
        <f>+J333-N333</f>
        <v>0</v>
      </c>
      <c r="P333" s="199">
        <f t="shared" si="55"/>
        <v>0</v>
      </c>
      <c r="Q333" s="173">
        <f t="shared" si="57"/>
        <v>0</v>
      </c>
      <c r="R333" s="172"/>
      <c r="S333" s="172"/>
    </row>
    <row r="334" spans="1:19" ht="15.6" outlineLevel="4">
      <c r="A334" s="169" t="s">
        <v>1155</v>
      </c>
      <c r="B334" s="162" t="s">
        <v>92</v>
      </c>
      <c r="C334" s="163" t="s">
        <v>163</v>
      </c>
      <c r="D334" s="163" t="s">
        <v>108</v>
      </c>
      <c r="E334" s="163" t="s">
        <v>20</v>
      </c>
      <c r="F334" s="163" t="s">
        <v>128</v>
      </c>
      <c r="G334" s="163" t="s">
        <v>183</v>
      </c>
      <c r="H334" s="164"/>
      <c r="I334" s="164"/>
      <c r="J334" s="168">
        <f t="shared" si="54"/>
        <v>0</v>
      </c>
      <c r="K334" s="249"/>
      <c r="L334" s="249"/>
      <c r="M334" s="172"/>
      <c r="N334" s="173"/>
      <c r="O334" s="173">
        <f>+J334-N334</f>
        <v>0</v>
      </c>
      <c r="P334" s="199">
        <f t="shared" si="55"/>
        <v>0</v>
      </c>
      <c r="Q334" s="173">
        <f t="shared" si="57"/>
        <v>0</v>
      </c>
      <c r="R334" s="172"/>
      <c r="S334" s="172"/>
    </row>
    <row r="335" spans="1:19" ht="15.6" outlineLevel="4">
      <c r="A335" s="169" t="s">
        <v>1156</v>
      </c>
      <c r="B335" s="162" t="s">
        <v>92</v>
      </c>
      <c r="C335" s="163" t="s">
        <v>163</v>
      </c>
      <c r="D335" s="163" t="s">
        <v>108</v>
      </c>
      <c r="E335" s="163" t="s">
        <v>20</v>
      </c>
      <c r="F335" s="163" t="s">
        <v>128</v>
      </c>
      <c r="G335" s="163" t="s">
        <v>183</v>
      </c>
      <c r="H335" s="164">
        <f>VLOOKUP(A335,'3. K0215-REFERENCE'!A:D,3,FALSE)</f>
        <v>64671.15</v>
      </c>
      <c r="I335" s="164">
        <f>VLOOKUP(A335,'3. K0215-REFERENCE'!A:D,4,FALSE)</f>
        <v>196591.98</v>
      </c>
      <c r="J335" s="168">
        <f t="shared" si="54"/>
        <v>261263.13</v>
      </c>
      <c r="K335" s="249"/>
      <c r="L335" s="249"/>
      <c r="M335" s="172"/>
      <c r="N335" s="173"/>
      <c r="O335" s="173">
        <f>+J335-N335</f>
        <v>261263.13</v>
      </c>
      <c r="P335" s="199">
        <f t="shared" si="55"/>
        <v>5013.26</v>
      </c>
      <c r="Q335" s="173">
        <f t="shared" si="57"/>
        <v>266276.39</v>
      </c>
      <c r="R335" s="172"/>
      <c r="S335" s="172"/>
    </row>
    <row r="336" spans="1:19" ht="15.6" outlineLevel="4">
      <c r="A336" s="169" t="s">
        <v>1157</v>
      </c>
      <c r="B336" s="162" t="s">
        <v>92</v>
      </c>
      <c r="C336" s="163" t="s">
        <v>163</v>
      </c>
      <c r="D336" s="163" t="s">
        <v>108</v>
      </c>
      <c r="E336" s="163" t="s">
        <v>20</v>
      </c>
      <c r="F336" s="163" t="s">
        <v>128</v>
      </c>
      <c r="G336" s="163" t="s">
        <v>183</v>
      </c>
      <c r="H336" s="164">
        <f>VLOOKUP(A336,'3. K0215-REFERENCE'!A:D,3,FALSE)</f>
        <v>129913.84</v>
      </c>
      <c r="I336" s="164">
        <f>VLOOKUP(A336,'3. K0215-REFERENCE'!A:D,4,FALSE)</f>
        <v>365554.04</v>
      </c>
      <c r="J336" s="168">
        <f t="shared" si="54"/>
        <v>495467.88</v>
      </c>
      <c r="K336" s="249"/>
      <c r="L336" s="249"/>
      <c r="M336" s="172"/>
      <c r="N336" s="173"/>
      <c r="O336" s="173">
        <f>+J336-N336</f>
        <v>495467.88</v>
      </c>
      <c r="P336" s="199">
        <f t="shared" si="55"/>
        <v>9507.2999999999993</v>
      </c>
      <c r="Q336" s="173">
        <f t="shared" si="57"/>
        <v>504975.18</v>
      </c>
      <c r="R336" s="172"/>
      <c r="S336" s="172"/>
    </row>
    <row r="337" spans="1:21" ht="15.6" outlineLevel="4">
      <c r="A337" s="169" t="s">
        <v>1158</v>
      </c>
      <c r="B337" s="162" t="s">
        <v>92</v>
      </c>
      <c r="C337" s="163" t="s">
        <v>163</v>
      </c>
      <c r="D337" s="163" t="s">
        <v>108</v>
      </c>
      <c r="E337" s="163" t="s">
        <v>20</v>
      </c>
      <c r="F337" s="163" t="s">
        <v>128</v>
      </c>
      <c r="G337" s="163" t="s">
        <v>183</v>
      </c>
      <c r="H337" s="164">
        <f>VLOOKUP(A337,'3. K0215-REFERENCE'!A:D,3,FALSE)</f>
        <v>103267.26</v>
      </c>
      <c r="I337" s="164">
        <f>VLOOKUP(A337,'3. K0215-REFERENCE'!A:D,4,FALSE)</f>
        <v>153060.63</v>
      </c>
      <c r="J337" s="168">
        <f t="shared" si="54"/>
        <v>256327.89</v>
      </c>
      <c r="K337" s="249"/>
      <c r="L337" s="249"/>
      <c r="M337" s="172"/>
      <c r="N337" s="173"/>
      <c r="O337" s="173">
        <f>+J337-N337</f>
        <v>256327.89</v>
      </c>
      <c r="P337" s="199">
        <f t="shared" si="55"/>
        <v>4918.5600000000004</v>
      </c>
      <c r="Q337" s="173">
        <f t="shared" si="57"/>
        <v>261246.45</v>
      </c>
      <c r="R337" s="172"/>
      <c r="S337" s="172"/>
    </row>
    <row r="338" spans="1:21" s="39" customFormat="1" ht="15.6" outlineLevel="4">
      <c r="A338" s="179" t="s">
        <v>1159</v>
      </c>
      <c r="B338" s="172" t="s">
        <v>92</v>
      </c>
      <c r="C338" s="210" t="s">
        <v>163</v>
      </c>
      <c r="D338" s="210" t="s">
        <v>108</v>
      </c>
      <c r="E338" s="210" t="s">
        <v>20</v>
      </c>
      <c r="F338" s="210" t="s">
        <v>128</v>
      </c>
      <c r="G338" s="210" t="s">
        <v>183</v>
      </c>
      <c r="H338" s="164">
        <f>VLOOKUP(A338,'3. K0215-REFERENCE'!A:D,3,FALSE)</f>
        <v>378675</v>
      </c>
      <c r="I338" s="164">
        <f>VLOOKUP(A338,'3. K0215-REFERENCE'!A:D,4,FALSE)</f>
        <v>1038006.02</v>
      </c>
      <c r="J338" s="168">
        <f t="shared" si="54"/>
        <v>1416681.02</v>
      </c>
      <c r="K338" s="249"/>
      <c r="L338" s="249"/>
      <c r="M338" s="211"/>
      <c r="N338" s="250"/>
      <c r="O338" s="173">
        <f>+J338-N338</f>
        <v>1416681.02</v>
      </c>
      <c r="P338" s="199">
        <f t="shared" si="55"/>
        <v>27184.03</v>
      </c>
      <c r="Q338" s="173">
        <f t="shared" si="57"/>
        <v>1443865.05</v>
      </c>
      <c r="R338" s="211"/>
      <c r="S338" s="211"/>
    </row>
    <row r="339" spans="1:21" ht="15.6" outlineLevel="4">
      <c r="A339" s="169" t="s">
        <v>1160</v>
      </c>
      <c r="B339" s="162" t="s">
        <v>92</v>
      </c>
      <c r="C339" s="163" t="s">
        <v>163</v>
      </c>
      <c r="D339" s="163" t="s">
        <v>108</v>
      </c>
      <c r="E339" s="163" t="s">
        <v>20</v>
      </c>
      <c r="F339" s="163" t="s">
        <v>128</v>
      </c>
      <c r="G339" s="163" t="s">
        <v>183</v>
      </c>
      <c r="H339" s="164">
        <f>VLOOKUP(A339,'3. K0215-REFERENCE'!A:D,3,FALSE)</f>
        <v>44741.64</v>
      </c>
      <c r="I339" s="164">
        <f>VLOOKUP(A339,'3. K0215-REFERENCE'!A:D,4,FALSE)</f>
        <v>322799.18</v>
      </c>
      <c r="J339" s="168">
        <f t="shared" si="54"/>
        <v>367540.82</v>
      </c>
      <c r="K339" s="249"/>
      <c r="L339" s="249"/>
      <c r="M339" s="172"/>
      <c r="N339" s="173"/>
      <c r="O339" s="173">
        <f>+J339-N339</f>
        <v>367540.82</v>
      </c>
      <c r="P339" s="199">
        <f t="shared" si="55"/>
        <v>7052.57</v>
      </c>
      <c r="Q339" s="173">
        <f t="shared" si="57"/>
        <v>374593.39</v>
      </c>
      <c r="S339" s="172"/>
    </row>
    <row r="340" spans="1:21" ht="15.6" outlineLevel="4">
      <c r="A340" s="169" t="s">
        <v>1161</v>
      </c>
      <c r="B340" s="162" t="s">
        <v>92</v>
      </c>
      <c r="C340" s="163" t="s">
        <v>163</v>
      </c>
      <c r="D340" s="163" t="s">
        <v>108</v>
      </c>
      <c r="E340" s="163" t="s">
        <v>20</v>
      </c>
      <c r="F340" s="163" t="s">
        <v>128</v>
      </c>
      <c r="G340" s="163" t="s">
        <v>183</v>
      </c>
      <c r="H340" s="164">
        <f>VLOOKUP(A340,'3. K0215-REFERENCE'!A:D,3,FALSE)</f>
        <v>1299865.6200000001</v>
      </c>
      <c r="I340" s="164">
        <f>VLOOKUP(A340,'3. K0215-REFERENCE'!A:D,4,FALSE)</f>
        <v>4877351.87</v>
      </c>
      <c r="J340" s="168">
        <f t="shared" si="54"/>
        <v>6177217.4900000002</v>
      </c>
      <c r="K340" s="249"/>
      <c r="L340" s="249"/>
      <c r="M340" s="172"/>
      <c r="N340" s="173"/>
      <c r="O340" s="173">
        <f>+J340-N340</f>
        <v>6177217.4900000002</v>
      </c>
      <c r="P340" s="199">
        <f t="shared" si="55"/>
        <v>118531.75</v>
      </c>
      <c r="Q340" s="173">
        <f t="shared" ref="Q340:Q348" si="58">+N340+O340+P340</f>
        <v>6295749.2400000002</v>
      </c>
      <c r="R340" s="447" t="s">
        <v>749</v>
      </c>
      <c r="S340" s="172"/>
    </row>
    <row r="341" spans="1:21" s="52" customFormat="1" ht="15.6" outlineLevel="4">
      <c r="A341" s="161" t="s">
        <v>1162</v>
      </c>
      <c r="B341" s="183" t="s">
        <v>851</v>
      </c>
      <c r="C341" s="163" t="s">
        <v>478</v>
      </c>
      <c r="D341" s="184" t="s">
        <v>108</v>
      </c>
      <c r="E341" s="184" t="s">
        <v>20</v>
      </c>
      <c r="F341" s="184" t="s">
        <v>128</v>
      </c>
      <c r="G341" s="184" t="s">
        <v>183</v>
      </c>
      <c r="H341" s="164">
        <f>VLOOKUP(A341,'3. K0215-REFERENCE'!A:D,3,FALSE)</f>
        <v>18640.099999999999</v>
      </c>
      <c r="I341" s="164">
        <f>VLOOKUP(A341,'3. K0215-REFERENCE'!A:D,4,FALSE)</f>
        <v>143881.60999999999</v>
      </c>
      <c r="J341" s="168">
        <f t="shared" si="54"/>
        <v>162521.71</v>
      </c>
      <c r="K341" s="249"/>
      <c r="L341" s="249"/>
      <c r="M341" s="186"/>
      <c r="N341" s="185"/>
      <c r="O341" s="185">
        <f>+J341-N341</f>
        <v>162521.71</v>
      </c>
      <c r="P341" s="202">
        <f t="shared" si="55"/>
        <v>3118.55</v>
      </c>
      <c r="Q341" s="173">
        <f t="shared" si="58"/>
        <v>165640.25999999998</v>
      </c>
      <c r="R341" s="795">
        <f>SUM(Q314:Q341)</f>
        <v>207365287.25999996</v>
      </c>
      <c r="S341" s="672" t="s">
        <v>1350</v>
      </c>
      <c r="T341" s="2"/>
      <c r="U341" s="2"/>
    </row>
    <row r="342" spans="1:21" ht="15.6" outlineLevel="2">
      <c r="A342" s="169" t="s">
        <v>1231</v>
      </c>
      <c r="B342" s="162" t="s">
        <v>719</v>
      </c>
      <c r="C342" s="163" t="s">
        <v>158</v>
      </c>
      <c r="D342" s="163" t="s">
        <v>108</v>
      </c>
      <c r="E342" s="163" t="s">
        <v>22</v>
      </c>
      <c r="F342" s="163" t="s">
        <v>128</v>
      </c>
      <c r="G342" s="163" t="s">
        <v>183</v>
      </c>
      <c r="H342" s="164">
        <f>VLOOKUP(A342,'3. K0215-REFERENCE'!A:D,3,FALSE)</f>
        <v>27226684.059999999</v>
      </c>
      <c r="I342" s="164">
        <f>VLOOKUP(A342,'3. K0215-REFERENCE'!A:D,4,FALSE)</f>
        <v>71396960.900000006</v>
      </c>
      <c r="J342" s="200">
        <f>SUM(H342+I342)</f>
        <v>98623644.960000008</v>
      </c>
      <c r="K342" s="249"/>
      <c r="L342" s="249"/>
      <c r="M342" s="172"/>
      <c r="N342" s="173"/>
      <c r="O342" s="173">
        <f>+J342-N342</f>
        <v>98623644.960000008</v>
      </c>
      <c r="P342" s="199">
        <f>ROUND(((O342/$R$1)*$R$2),2)</f>
        <v>1892443.24</v>
      </c>
      <c r="Q342" s="173">
        <f>+N342+O342+P342</f>
        <v>100516088.2</v>
      </c>
      <c r="R342" s="448" t="s">
        <v>752</v>
      </c>
      <c r="S342" s="672" t="s">
        <v>1350</v>
      </c>
    </row>
    <row r="343" spans="1:21" ht="15.6" outlineLevel="4">
      <c r="A343" s="161" t="s">
        <v>1163</v>
      </c>
      <c r="B343" s="162" t="s">
        <v>486</v>
      </c>
      <c r="C343" s="163" t="s">
        <v>478</v>
      </c>
      <c r="D343" s="163" t="s">
        <v>108</v>
      </c>
      <c r="E343" s="163" t="s">
        <v>20</v>
      </c>
      <c r="F343" s="163" t="s">
        <v>128</v>
      </c>
      <c r="G343" s="163" t="s">
        <v>183</v>
      </c>
      <c r="H343" s="164"/>
      <c r="I343" s="164"/>
      <c r="J343" s="168">
        <f t="shared" si="54"/>
        <v>0</v>
      </c>
      <c r="K343" s="249"/>
      <c r="L343" s="249"/>
      <c r="M343" s="172"/>
      <c r="N343" s="173"/>
      <c r="O343" s="173">
        <f>+J343-N343</f>
        <v>0</v>
      </c>
      <c r="P343" s="199">
        <f t="shared" si="55"/>
        <v>0</v>
      </c>
      <c r="Q343" s="173">
        <f t="shared" si="58"/>
        <v>0</v>
      </c>
      <c r="R343" s="446"/>
    </row>
    <row r="344" spans="1:21" ht="15.6" outlineLevel="4">
      <c r="A344" s="169" t="s">
        <v>1164</v>
      </c>
      <c r="B344" s="162" t="s">
        <v>739</v>
      </c>
      <c r="C344" s="163" t="s">
        <v>153</v>
      </c>
      <c r="D344" s="163" t="s">
        <v>108</v>
      </c>
      <c r="E344" s="163" t="s">
        <v>21</v>
      </c>
      <c r="F344" s="163" t="s">
        <v>128</v>
      </c>
      <c r="G344" s="163" t="s">
        <v>183</v>
      </c>
      <c r="H344" s="164">
        <f>VLOOKUP(A344,'3. K0215-REFERENCE'!A:D,3,FALSE)</f>
        <v>15421340.529999999</v>
      </c>
      <c r="I344" s="164">
        <f>VLOOKUP(A344,'3. K0215-REFERENCE'!A:D,4,FALSE)</f>
        <v>48539008.840000004</v>
      </c>
      <c r="J344" s="168">
        <f t="shared" si="54"/>
        <v>63960349.370000005</v>
      </c>
      <c r="K344" s="249"/>
      <c r="L344" s="249"/>
      <c r="M344" s="172"/>
      <c r="N344" s="173"/>
      <c r="O344" s="173">
        <f>+J344-N344</f>
        <v>63960349.370000005</v>
      </c>
      <c r="P344" s="199">
        <f>ROUND(((O344/$R$1)*$R$2),2)</f>
        <v>1227305.3899999999</v>
      </c>
      <c r="Q344" s="173">
        <f t="shared" si="58"/>
        <v>65187654.760000005</v>
      </c>
      <c r="R344" s="172"/>
      <c r="S344" s="172"/>
    </row>
    <row r="345" spans="1:21" ht="15.6" outlineLevel="4">
      <c r="A345" s="169" t="s">
        <v>1165</v>
      </c>
      <c r="B345" s="162" t="s">
        <v>1261</v>
      </c>
      <c r="C345" s="163" t="s">
        <v>608</v>
      </c>
      <c r="D345" s="163" t="s">
        <v>108</v>
      </c>
      <c r="E345" s="163" t="s">
        <v>21</v>
      </c>
      <c r="F345" s="163" t="s">
        <v>128</v>
      </c>
      <c r="G345" s="163" t="s">
        <v>183</v>
      </c>
      <c r="H345" s="164"/>
      <c r="I345" s="164"/>
      <c r="J345" s="168">
        <f t="shared" si="54"/>
        <v>0</v>
      </c>
      <c r="K345" s="249"/>
      <c r="L345" s="249"/>
      <c r="M345" s="172"/>
      <c r="N345" s="173"/>
      <c r="O345" s="173">
        <f>+J345-N345</f>
        <v>0</v>
      </c>
      <c r="P345" s="199">
        <f>ROUND(((O345/$R$1)*$R$2),2)</f>
        <v>0</v>
      </c>
      <c r="Q345" s="173">
        <f t="shared" si="58"/>
        <v>0</v>
      </c>
      <c r="R345" s="172"/>
      <c r="S345" s="172"/>
    </row>
    <row r="346" spans="1:21" ht="15.6" outlineLevel="4">
      <c r="A346" s="169" t="s">
        <v>1166</v>
      </c>
      <c r="B346" s="162" t="s">
        <v>1260</v>
      </c>
      <c r="C346" s="163" t="s">
        <v>608</v>
      </c>
      <c r="D346" s="163" t="s">
        <v>108</v>
      </c>
      <c r="E346" s="163" t="s">
        <v>21</v>
      </c>
      <c r="F346" s="163" t="s">
        <v>128</v>
      </c>
      <c r="G346" s="163" t="s">
        <v>183</v>
      </c>
      <c r="H346" s="164"/>
      <c r="I346" s="164"/>
      <c r="J346" s="168">
        <f t="shared" si="54"/>
        <v>0</v>
      </c>
      <c r="K346" s="249"/>
      <c r="L346" s="249"/>
      <c r="M346" s="172"/>
      <c r="N346" s="173"/>
      <c r="O346" s="164">
        <f>+J346-N346</f>
        <v>0</v>
      </c>
      <c r="P346" s="167">
        <f>ROUND(((O346/$R$1)*$R$2),2)</f>
        <v>0</v>
      </c>
      <c r="Q346" s="173">
        <f t="shared" si="58"/>
        <v>0</v>
      </c>
      <c r="R346" s="172"/>
      <c r="S346" s="172"/>
    </row>
    <row r="347" spans="1:21" ht="15.6" outlineLevel="4">
      <c r="A347" s="169" t="s">
        <v>1167</v>
      </c>
      <c r="B347" s="162" t="s">
        <v>91</v>
      </c>
      <c r="C347" s="163" t="s">
        <v>153</v>
      </c>
      <c r="D347" s="163" t="s">
        <v>108</v>
      </c>
      <c r="E347" s="163" t="s">
        <v>21</v>
      </c>
      <c r="F347" s="163" t="s">
        <v>128</v>
      </c>
      <c r="G347" s="163" t="s">
        <v>183</v>
      </c>
      <c r="H347" s="164"/>
      <c r="I347" s="164"/>
      <c r="J347" s="168">
        <f t="shared" si="54"/>
        <v>0</v>
      </c>
      <c r="K347" s="249"/>
      <c r="L347" s="249"/>
      <c r="M347" s="172"/>
      <c r="N347" s="173"/>
      <c r="O347" s="173">
        <f>+J347-N347</f>
        <v>0</v>
      </c>
      <c r="P347" s="199">
        <f>ROUND(((O347/$R$1)*$R$2),2)</f>
        <v>0</v>
      </c>
      <c r="Q347" s="173">
        <f t="shared" si="58"/>
        <v>0</v>
      </c>
      <c r="R347" s="447" t="s">
        <v>750</v>
      </c>
      <c r="S347" s="172"/>
    </row>
    <row r="348" spans="1:21" ht="15.6" outlineLevel="4">
      <c r="A348" s="169" t="s">
        <v>1168</v>
      </c>
      <c r="B348" s="162" t="s">
        <v>739</v>
      </c>
      <c r="C348" s="163" t="s">
        <v>153</v>
      </c>
      <c r="D348" s="163" t="s">
        <v>108</v>
      </c>
      <c r="E348" s="163" t="s">
        <v>21</v>
      </c>
      <c r="F348" s="163" t="s">
        <v>128</v>
      </c>
      <c r="G348" s="163" t="s">
        <v>183</v>
      </c>
      <c r="H348" s="164">
        <f>VLOOKUP(A348,'3. K0215-REFERENCE'!A:D,3,FALSE)</f>
        <v>157478563.59999999</v>
      </c>
      <c r="I348" s="164">
        <f>VLOOKUP(A348,'3. K0215-REFERENCE'!A:D,4,FALSE)</f>
        <v>277005601.88</v>
      </c>
      <c r="J348" s="168">
        <f t="shared" si="54"/>
        <v>434484165.48000002</v>
      </c>
      <c r="K348" s="249"/>
      <c r="L348" s="249"/>
      <c r="M348" s="172"/>
      <c r="N348" s="173"/>
      <c r="O348" s="173">
        <f>+J348-N348</f>
        <v>434484165.48000002</v>
      </c>
      <c r="P348" s="199">
        <f>ROUND(((O348/$R$1)*$R$2),2)</f>
        <v>8337114.5199999996</v>
      </c>
      <c r="Q348" s="173">
        <f t="shared" si="58"/>
        <v>442821280</v>
      </c>
      <c r="R348" s="446">
        <f>SUM(Q344:Q348)</f>
        <v>508008934.75999999</v>
      </c>
      <c r="S348" s="672" t="s">
        <v>1350</v>
      </c>
    </row>
    <row r="349" spans="1:21" s="43" customFormat="1" ht="15.6" outlineLevel="3">
      <c r="A349" s="191"/>
      <c r="B349" s="192"/>
      <c r="C349" s="193"/>
      <c r="D349" s="193" t="s">
        <v>273</v>
      </c>
      <c r="E349" s="193"/>
      <c r="F349" s="193"/>
      <c r="G349" s="193"/>
      <c r="H349" s="236">
        <f t="shared" ref="H349:I349" si="59">SUBTOTAL(9,H314:H348)</f>
        <v>272850636.68000001</v>
      </c>
      <c r="I349" s="236">
        <f t="shared" si="59"/>
        <v>527678688.74000001</v>
      </c>
      <c r="J349" s="194">
        <f t="shared" ref="J349:P349" si="60">SUBTOTAL(9,J314:J348)</f>
        <v>800529325.42000008</v>
      </c>
      <c r="K349" s="195">
        <f t="shared" si="60"/>
        <v>0</v>
      </c>
      <c r="L349" s="195">
        <f t="shared" si="60"/>
        <v>0</v>
      </c>
      <c r="M349" s="196">
        <f t="shared" si="60"/>
        <v>0</v>
      </c>
      <c r="N349" s="197">
        <f t="shared" si="60"/>
        <v>0</v>
      </c>
      <c r="O349" s="197">
        <f t="shared" si="60"/>
        <v>800529325.42000008</v>
      </c>
      <c r="P349" s="198">
        <f t="shared" si="60"/>
        <v>15360984.799999999</v>
      </c>
      <c r="Q349" s="198">
        <f>SUBTOTAL(9,Q314:Q348)</f>
        <v>815890310.22000003</v>
      </c>
      <c r="R349" s="196"/>
      <c r="S349" s="196"/>
    </row>
    <row r="350" spans="1:21" s="44" customFormat="1" ht="15.6" outlineLevel="2">
      <c r="A350" s="216"/>
      <c r="B350" s="217"/>
      <c r="C350" s="218"/>
      <c r="D350" s="218"/>
      <c r="E350" s="218"/>
      <c r="F350" s="218"/>
      <c r="G350" s="218" t="s">
        <v>262</v>
      </c>
      <c r="H350" s="244">
        <f t="shared" ref="H350:I350" si="61">SUBTOTAL(9,H312:H348)</f>
        <v>273570019.98000002</v>
      </c>
      <c r="I350" s="244">
        <f t="shared" si="61"/>
        <v>530188372.13</v>
      </c>
      <c r="J350" s="219">
        <f t="shared" ref="J350:P350" si="62">SUBTOTAL(9,J312:J348)</f>
        <v>803758392.11000013</v>
      </c>
      <c r="K350" s="220">
        <f t="shared" si="62"/>
        <v>0</v>
      </c>
      <c r="L350" s="220">
        <f t="shared" si="62"/>
        <v>0</v>
      </c>
      <c r="M350" s="246">
        <f t="shared" si="62"/>
        <v>0</v>
      </c>
      <c r="N350" s="247">
        <f t="shared" si="62"/>
        <v>0</v>
      </c>
      <c r="O350" s="247">
        <f t="shared" si="62"/>
        <v>803758392.11000013</v>
      </c>
      <c r="P350" s="254">
        <f t="shared" si="62"/>
        <v>15422945.859999999</v>
      </c>
      <c r="Q350" s="254">
        <f>SUBTOTAL(9,Q312:Q348)</f>
        <v>819181337.97000003</v>
      </c>
      <c r="R350" s="221"/>
      <c r="S350" s="221"/>
    </row>
    <row r="351" spans="1:21" ht="15.6" outlineLevel="4">
      <c r="A351" s="169" t="s">
        <v>1169</v>
      </c>
      <c r="B351" s="162" t="s">
        <v>835</v>
      </c>
      <c r="C351" s="163" t="s">
        <v>156</v>
      </c>
      <c r="D351" s="163" t="s">
        <v>106</v>
      </c>
      <c r="E351" s="163" t="s">
        <v>28</v>
      </c>
      <c r="F351" s="163" t="s">
        <v>128</v>
      </c>
      <c r="G351" s="163" t="s">
        <v>177</v>
      </c>
      <c r="H351" s="164">
        <f>VLOOKUP(A351,'3. K0215-REFERENCE'!A:D,3,FALSE)</f>
        <v>1575989.04</v>
      </c>
      <c r="I351" s="164">
        <f>VLOOKUP(A351,'3. K0215-REFERENCE'!A:D,4,FALSE)</f>
        <v>5139109.46</v>
      </c>
      <c r="J351" s="168">
        <f>SUM(H351+I351)</f>
        <v>6715098.5</v>
      </c>
      <c r="K351" s="249"/>
      <c r="L351" s="249"/>
      <c r="M351" s="172"/>
      <c r="N351" s="173"/>
      <c r="O351" s="173">
        <f>+J351-N351</f>
        <v>6715098.5</v>
      </c>
      <c r="P351" s="199">
        <f>ROUND(((O351/$R$1)*$R$2),2)</f>
        <v>128852.9</v>
      </c>
      <c r="Q351" s="173">
        <f>+N351+O351+P351</f>
        <v>6843951.4000000004</v>
      </c>
      <c r="R351" s="448" t="s">
        <v>756</v>
      </c>
      <c r="S351" s="672" t="s">
        <v>1350</v>
      </c>
    </row>
    <row r="352" spans="1:21" ht="15.6" outlineLevel="4">
      <c r="A352" s="169" t="s">
        <v>1170</v>
      </c>
      <c r="B352" s="162" t="s">
        <v>59</v>
      </c>
      <c r="C352" s="163" t="s">
        <v>29</v>
      </c>
      <c r="D352" s="163" t="s">
        <v>106</v>
      </c>
      <c r="E352" s="163" t="s">
        <v>30</v>
      </c>
      <c r="F352" s="163" t="s">
        <v>128</v>
      </c>
      <c r="G352" s="163" t="s">
        <v>177</v>
      </c>
      <c r="H352" s="164">
        <f>VLOOKUP(A352,'3. K0215-REFERENCE'!A:D,3,FALSE)</f>
        <v>1072078.25</v>
      </c>
      <c r="I352" s="164">
        <f>VLOOKUP(A352,'3. K0215-REFERENCE'!A:D,4,FALSE)</f>
        <v>5468747.96</v>
      </c>
      <c r="J352" s="168">
        <f>SUM(H352+I352)</f>
        <v>6540826.21</v>
      </c>
      <c r="K352" s="249"/>
      <c r="L352" s="249"/>
      <c r="M352" s="172"/>
      <c r="N352" s="173"/>
      <c r="O352" s="173">
        <f>+J352-N352</f>
        <v>6540826.21</v>
      </c>
      <c r="P352" s="199">
        <f>ROUND(((O352/$R$1)*$R$2),2)</f>
        <v>125508.87</v>
      </c>
      <c r="Q352" s="173">
        <f>+N352+O352+P352</f>
        <v>6666335.0800000001</v>
      </c>
      <c r="R352" s="448" t="s">
        <v>753</v>
      </c>
      <c r="S352" s="672" t="s">
        <v>1350</v>
      </c>
    </row>
    <row r="353" spans="1:19" s="51" customFormat="1" ht="15.6" outlineLevel="4">
      <c r="A353" s="201" t="s">
        <v>1171</v>
      </c>
      <c r="B353" s="188" t="s">
        <v>577</v>
      </c>
      <c r="C353" s="182" t="s">
        <v>461</v>
      </c>
      <c r="D353" s="189" t="s">
        <v>106</v>
      </c>
      <c r="E353" s="189" t="s">
        <v>462</v>
      </c>
      <c r="F353" s="189" t="s">
        <v>128</v>
      </c>
      <c r="G353" s="189" t="s">
        <v>177</v>
      </c>
      <c r="H353" s="164"/>
      <c r="I353" s="164"/>
      <c r="J353" s="168">
        <f>SUM(H353+I353)</f>
        <v>0</v>
      </c>
      <c r="K353" s="449"/>
      <c r="L353" s="449"/>
      <c r="M353" s="188"/>
      <c r="N353" s="251"/>
      <c r="O353" s="173">
        <f>+J353-N353</f>
        <v>0</v>
      </c>
      <c r="P353" s="252">
        <f>ROUND(((O353/$R$1)*$R$2),2)</f>
        <v>0</v>
      </c>
      <c r="Q353" s="173">
        <f>+N353+O353+P353</f>
        <v>0</v>
      </c>
      <c r="R353" s="448" t="s">
        <v>754</v>
      </c>
      <c r="S353" s="674" t="s">
        <v>1350</v>
      </c>
    </row>
    <row r="354" spans="1:19" ht="15.6" outlineLevel="4">
      <c r="A354" s="169" t="s">
        <v>1172</v>
      </c>
      <c r="B354" s="162" t="s">
        <v>567</v>
      </c>
      <c r="C354" s="163" t="s">
        <v>150</v>
      </c>
      <c r="D354" s="163" t="s">
        <v>106</v>
      </c>
      <c r="E354" s="163" t="s">
        <v>39</v>
      </c>
      <c r="F354" s="163" t="s">
        <v>128</v>
      </c>
      <c r="G354" s="163" t="s">
        <v>177</v>
      </c>
      <c r="H354" s="164">
        <f>VLOOKUP(A354,'3. K0215-REFERENCE'!A:D,3,FALSE)</f>
        <v>487568.07</v>
      </c>
      <c r="I354" s="164">
        <f>VLOOKUP(A354,'3. K0215-REFERENCE'!A:D,4,FALSE)</f>
        <v>1080322.3600000001</v>
      </c>
      <c r="J354" s="168">
        <f>SUM(H354+I354)</f>
        <v>1567890.4300000002</v>
      </c>
      <c r="K354" s="249"/>
      <c r="L354" s="249"/>
      <c r="M354" s="172"/>
      <c r="N354" s="173"/>
      <c r="O354" s="173">
        <f>+J354-N354</f>
        <v>1567890.4300000002</v>
      </c>
      <c r="P354" s="199">
        <f>ROUND(((O354/$R$1)*$R$2),2)</f>
        <v>30085.52</v>
      </c>
      <c r="Q354" s="173">
        <f>+N354+O354+P354</f>
        <v>1597975.9500000002</v>
      </c>
      <c r="R354" s="448" t="s">
        <v>815</v>
      </c>
      <c r="S354" s="672" t="s">
        <v>1350</v>
      </c>
    </row>
    <row r="355" spans="1:19" s="14" customFormat="1" ht="15.6" outlineLevel="4">
      <c r="A355" s="169" t="s">
        <v>1173</v>
      </c>
      <c r="B355" s="162" t="s">
        <v>37</v>
      </c>
      <c r="C355" s="163" t="s">
        <v>38</v>
      </c>
      <c r="D355" s="163" t="s">
        <v>106</v>
      </c>
      <c r="E355" s="163" t="s">
        <v>39</v>
      </c>
      <c r="F355" s="163" t="s">
        <v>128</v>
      </c>
      <c r="G355" s="163" t="s">
        <v>177</v>
      </c>
      <c r="H355" s="164"/>
      <c r="I355" s="164"/>
      <c r="J355" s="168">
        <f>SUM(H355+I355)</f>
        <v>0</v>
      </c>
      <c r="K355" s="253"/>
      <c r="L355" s="253"/>
      <c r="M355" s="165"/>
      <c r="N355" s="166"/>
      <c r="O355" s="173">
        <f>+J355-N355</f>
        <v>0</v>
      </c>
      <c r="P355" s="199">
        <f>ROUND(((O355/$R$1)*$R$2),2)</f>
        <v>0</v>
      </c>
      <c r="Q355" s="173">
        <f>+N355+O355+P355</f>
        <v>0</v>
      </c>
      <c r="R355" s="165"/>
      <c r="S355" s="165"/>
    </row>
    <row r="356" spans="1:19" s="43" customFormat="1" ht="15.6" outlineLevel="3">
      <c r="A356" s="191"/>
      <c r="B356" s="192"/>
      <c r="C356" s="193"/>
      <c r="D356" s="193" t="s">
        <v>267</v>
      </c>
      <c r="E356" s="193"/>
      <c r="F356" s="193"/>
      <c r="G356" s="193"/>
      <c r="H356" s="236">
        <f t="shared" ref="H356:I356" si="63">SUBTOTAL(9,H351:H355)</f>
        <v>3135635.36</v>
      </c>
      <c r="I356" s="236">
        <f t="shared" si="63"/>
        <v>11688179.779999999</v>
      </c>
      <c r="J356" s="194">
        <f t="shared" ref="J356:Q356" si="64">SUBTOTAL(9,J351:J355)</f>
        <v>14823815.140000001</v>
      </c>
      <c r="K356" s="195">
        <f t="shared" si="64"/>
        <v>0</v>
      </c>
      <c r="L356" s="195">
        <f t="shared" si="64"/>
        <v>0</v>
      </c>
      <c r="M356" s="196">
        <f t="shared" si="64"/>
        <v>0</v>
      </c>
      <c r="N356" s="197">
        <f t="shared" si="64"/>
        <v>0</v>
      </c>
      <c r="O356" s="197">
        <f t="shared" si="64"/>
        <v>14823815.140000001</v>
      </c>
      <c r="P356" s="198">
        <f t="shared" si="64"/>
        <v>284447.28999999998</v>
      </c>
      <c r="Q356" s="198">
        <f t="shared" si="64"/>
        <v>15108262.43</v>
      </c>
      <c r="R356" s="450"/>
      <c r="S356" s="196"/>
    </row>
    <row r="357" spans="1:19" s="14" customFormat="1" ht="15.6" outlineLevel="4">
      <c r="A357" s="169" t="s">
        <v>1174</v>
      </c>
      <c r="B357" s="162" t="s">
        <v>94</v>
      </c>
      <c r="C357" s="163" t="s">
        <v>142</v>
      </c>
      <c r="D357" s="163" t="s">
        <v>107</v>
      </c>
      <c r="E357" s="163" t="s">
        <v>186</v>
      </c>
      <c r="F357" s="163" t="s">
        <v>128</v>
      </c>
      <c r="G357" s="163" t="s">
        <v>177</v>
      </c>
      <c r="H357" s="164"/>
      <c r="I357" s="164"/>
      <c r="J357" s="168">
        <f>SUM(H357+I357)</f>
        <v>0</v>
      </c>
      <c r="K357" s="253"/>
      <c r="L357" s="253"/>
      <c r="M357" s="165"/>
      <c r="N357" s="166"/>
      <c r="O357" s="173">
        <f>+J357-N357</f>
        <v>0</v>
      </c>
      <c r="P357" s="199">
        <f>ROUND(((O357/$R$1)*$R$2),2)</f>
        <v>0</v>
      </c>
      <c r="Q357" s="173">
        <f>+N357+O357+P357</f>
        <v>0</v>
      </c>
      <c r="R357" s="448" t="s">
        <v>755</v>
      </c>
      <c r="S357" s="672" t="s">
        <v>1350</v>
      </c>
    </row>
    <row r="358" spans="1:19" s="11" customFormat="1" ht="15.6" outlineLevel="3">
      <c r="A358" s="191"/>
      <c r="B358" s="234"/>
      <c r="C358" s="193"/>
      <c r="D358" s="193" t="s">
        <v>268</v>
      </c>
      <c r="E358" s="193"/>
      <c r="F358" s="193"/>
      <c r="G358" s="193"/>
      <c r="H358" s="236">
        <f>SUM(H357)</f>
        <v>0</v>
      </c>
      <c r="I358" s="236">
        <f>SUM(I357)</f>
        <v>0</v>
      </c>
      <c r="J358" s="194">
        <f t="shared" ref="J358:Q358" si="65">SUBTOTAL(9,J357:J357)</f>
        <v>0</v>
      </c>
      <c r="K358" s="195">
        <f t="shared" si="65"/>
        <v>0</v>
      </c>
      <c r="L358" s="195">
        <f t="shared" si="65"/>
        <v>0</v>
      </c>
      <c r="M358" s="239">
        <f t="shared" si="65"/>
        <v>0</v>
      </c>
      <c r="N358" s="240">
        <f t="shared" si="65"/>
        <v>0</v>
      </c>
      <c r="O358" s="240">
        <f t="shared" si="65"/>
        <v>0</v>
      </c>
      <c r="P358" s="248">
        <f t="shared" si="65"/>
        <v>0</v>
      </c>
      <c r="Q358" s="248">
        <f t="shared" si="65"/>
        <v>0</v>
      </c>
      <c r="R358" s="450"/>
      <c r="S358" s="239"/>
    </row>
    <row r="359" spans="1:19" ht="15.6" outlineLevel="4">
      <c r="A359" s="169" t="s">
        <v>1175</v>
      </c>
      <c r="B359" s="162" t="s">
        <v>498</v>
      </c>
      <c r="C359" s="163" t="s">
        <v>778</v>
      </c>
      <c r="D359" s="163" t="s">
        <v>99</v>
      </c>
      <c r="E359" s="163" t="s">
        <v>19</v>
      </c>
      <c r="F359" s="163" t="s">
        <v>128</v>
      </c>
      <c r="G359" s="163" t="s">
        <v>177</v>
      </c>
      <c r="H359" s="164">
        <f>VLOOKUP(A359,'3. K0215-REFERENCE'!A:D,3,FALSE)</f>
        <v>85490.26</v>
      </c>
      <c r="I359" s="164">
        <f>VLOOKUP(A359,'3. K0215-REFERENCE'!A:D,4,FALSE)</f>
        <v>168277.93</v>
      </c>
      <c r="J359" s="200">
        <f>SUM(H359+I359)</f>
        <v>253768.19</v>
      </c>
      <c r="K359" s="253"/>
      <c r="L359" s="253"/>
      <c r="M359" s="172"/>
      <c r="N359" s="173"/>
      <c r="O359" s="173">
        <f>+J359-N359</f>
        <v>253768.19</v>
      </c>
      <c r="P359" s="199">
        <f>ROUND(((O359/$R$1)*$R$2),2)</f>
        <v>4869.4399999999996</v>
      </c>
      <c r="Q359" s="173">
        <f>+N359+O359+P359</f>
        <v>258637.63</v>
      </c>
      <c r="R359" s="448" t="s">
        <v>810</v>
      </c>
      <c r="S359" s="672" t="s">
        <v>1350</v>
      </c>
    </row>
    <row r="360" spans="1:19" s="11" customFormat="1" ht="15.6" outlineLevel="3">
      <c r="A360" s="191"/>
      <c r="B360" s="234"/>
      <c r="C360" s="193"/>
      <c r="D360" s="193" t="s">
        <v>269</v>
      </c>
      <c r="E360" s="193"/>
      <c r="F360" s="193"/>
      <c r="G360" s="193"/>
      <c r="H360" s="236">
        <f>SUM(H359)</f>
        <v>85490.26</v>
      </c>
      <c r="I360" s="236">
        <f>SUM(I359)</f>
        <v>168277.93</v>
      </c>
      <c r="J360" s="194">
        <f t="shared" ref="J360:Q360" si="66">SUBTOTAL(9,J359:J359)</f>
        <v>253768.19</v>
      </c>
      <c r="K360" s="195">
        <f t="shared" si="66"/>
        <v>0</v>
      </c>
      <c r="L360" s="195">
        <f t="shared" si="66"/>
        <v>0</v>
      </c>
      <c r="M360" s="239">
        <f t="shared" si="66"/>
        <v>0</v>
      </c>
      <c r="N360" s="240">
        <f t="shared" si="66"/>
        <v>0</v>
      </c>
      <c r="O360" s="240">
        <f t="shared" si="66"/>
        <v>253768.19</v>
      </c>
      <c r="P360" s="248">
        <f t="shared" si="66"/>
        <v>4869.4399999999996</v>
      </c>
      <c r="Q360" s="248">
        <f t="shared" si="66"/>
        <v>258637.63</v>
      </c>
      <c r="R360" s="450"/>
      <c r="S360" s="239"/>
    </row>
    <row r="361" spans="1:19" ht="15.6" outlineLevel="4">
      <c r="A361" s="169"/>
      <c r="B361" s="162"/>
      <c r="C361" s="163"/>
      <c r="D361" s="163" t="s">
        <v>10</v>
      </c>
      <c r="E361" s="163"/>
      <c r="F361" s="163" t="s">
        <v>128</v>
      </c>
      <c r="G361" s="163" t="s">
        <v>177</v>
      </c>
      <c r="H361" s="164"/>
      <c r="I361" s="164"/>
      <c r="J361" s="168">
        <f>SUM(H361+I361)</f>
        <v>0</v>
      </c>
      <c r="K361" s="249"/>
      <c r="L361" s="249"/>
      <c r="M361" s="172"/>
      <c r="N361" s="173"/>
      <c r="O361" s="173">
        <f>+J361-N361</f>
        <v>0</v>
      </c>
      <c r="P361" s="199">
        <f>ROUND(((O361/$R$1)*$R$2),2)</f>
        <v>0</v>
      </c>
      <c r="Q361" s="173">
        <f>+N361+O361+P361</f>
        <v>0</v>
      </c>
      <c r="R361" s="172"/>
      <c r="S361" s="172"/>
    </row>
    <row r="362" spans="1:19" s="11" customFormat="1" ht="15.6" outlineLevel="3">
      <c r="A362" s="191"/>
      <c r="B362" s="234"/>
      <c r="C362" s="193"/>
      <c r="D362" s="193" t="s">
        <v>270</v>
      </c>
      <c r="E362" s="193"/>
      <c r="F362" s="193"/>
      <c r="G362" s="193"/>
      <c r="H362" s="236">
        <f t="shared" ref="H362:I362" si="67">SUBTOTAL(9,H361:H361)</f>
        <v>0</v>
      </c>
      <c r="I362" s="236">
        <f t="shared" si="67"/>
        <v>0</v>
      </c>
      <c r="J362" s="194">
        <f t="shared" ref="J362:Q362" si="68">SUBTOTAL(9,J361:J361)</f>
        <v>0</v>
      </c>
      <c r="K362" s="195">
        <f t="shared" si="68"/>
        <v>0</v>
      </c>
      <c r="L362" s="195">
        <f t="shared" si="68"/>
        <v>0</v>
      </c>
      <c r="M362" s="239">
        <f t="shared" si="68"/>
        <v>0</v>
      </c>
      <c r="N362" s="240">
        <f t="shared" si="68"/>
        <v>0</v>
      </c>
      <c r="O362" s="240">
        <f t="shared" si="68"/>
        <v>0</v>
      </c>
      <c r="P362" s="248">
        <f t="shared" si="68"/>
        <v>0</v>
      </c>
      <c r="Q362" s="248">
        <f t="shared" si="68"/>
        <v>0</v>
      </c>
      <c r="R362" s="450"/>
      <c r="S362" s="239"/>
    </row>
    <row r="363" spans="1:19" ht="15.6" outlineLevel="4">
      <c r="A363" s="169" t="s">
        <v>1176</v>
      </c>
      <c r="B363" s="162" t="s">
        <v>1336</v>
      </c>
      <c r="C363" s="163" t="s">
        <v>777</v>
      </c>
      <c r="D363" s="163" t="s">
        <v>9</v>
      </c>
      <c r="E363" s="163" t="s">
        <v>16</v>
      </c>
      <c r="F363" s="163" t="s">
        <v>128</v>
      </c>
      <c r="G363" s="163" t="s">
        <v>177</v>
      </c>
      <c r="H363" s="164"/>
      <c r="I363" s="164"/>
      <c r="J363" s="200">
        <f t="shared" ref="J363:J371" si="69">SUM(H363+I363)</f>
        <v>0</v>
      </c>
      <c r="K363" s="253"/>
      <c r="L363" s="253"/>
      <c r="M363" s="172"/>
      <c r="N363" s="173"/>
      <c r="O363" s="173">
        <f>+J363-N363</f>
        <v>0</v>
      </c>
      <c r="P363" s="199">
        <f>ROUND(((O363/$R$1)*$R$2),2)</f>
        <v>0</v>
      </c>
      <c r="Q363" s="173">
        <f t="shared" ref="Q363:Q371" si="70">+N363+O363+P363</f>
        <v>0</v>
      </c>
      <c r="R363" s="448"/>
      <c r="S363" s="172"/>
    </row>
    <row r="364" spans="1:19" ht="15.6" outlineLevel="4">
      <c r="A364" s="169" t="s">
        <v>1177</v>
      </c>
      <c r="B364" s="162" t="s">
        <v>1336</v>
      </c>
      <c r="C364" s="163" t="s">
        <v>777</v>
      </c>
      <c r="D364" s="163" t="s">
        <v>9</v>
      </c>
      <c r="E364" s="163" t="s">
        <v>16</v>
      </c>
      <c r="F364" s="163" t="s">
        <v>128</v>
      </c>
      <c r="G364" s="163" t="s">
        <v>177</v>
      </c>
      <c r="H364" s="164">
        <f>VLOOKUP(A364,'3. K0215-REFERENCE'!A:D,3,FALSE)</f>
        <v>761920.45</v>
      </c>
      <c r="I364" s="164">
        <f>VLOOKUP(A364,'3. K0215-REFERENCE'!A:D,4,FALSE)</f>
        <v>815923.22</v>
      </c>
      <c r="J364" s="200">
        <f t="shared" si="69"/>
        <v>1577843.67</v>
      </c>
      <c r="K364" s="253"/>
      <c r="L364" s="253"/>
      <c r="M364" s="172"/>
      <c r="N364" s="173"/>
      <c r="O364" s="173">
        <f>+J364-N364</f>
        <v>1577843.67</v>
      </c>
      <c r="P364" s="199">
        <f>ROUND(((O364/$R$1)*$R$2),2)</f>
        <v>30276.51</v>
      </c>
      <c r="Q364" s="173">
        <f t="shared" si="70"/>
        <v>1608120.18</v>
      </c>
      <c r="R364" s="447" t="s">
        <v>842</v>
      </c>
      <c r="S364" s="172"/>
    </row>
    <row r="365" spans="1:19" s="14" customFormat="1" ht="15.6" outlineLevel="4">
      <c r="A365" s="169" t="s">
        <v>1178</v>
      </c>
      <c r="B365" s="162" t="s">
        <v>1336</v>
      </c>
      <c r="C365" s="163" t="s">
        <v>777</v>
      </c>
      <c r="D365" s="163" t="s">
        <v>9</v>
      </c>
      <c r="E365" s="163" t="s">
        <v>16</v>
      </c>
      <c r="F365" s="163" t="s">
        <v>128</v>
      </c>
      <c r="G365" s="163" t="s">
        <v>177</v>
      </c>
      <c r="H365" s="164"/>
      <c r="I365" s="164"/>
      <c r="J365" s="200">
        <f t="shared" si="69"/>
        <v>0</v>
      </c>
      <c r="K365" s="253"/>
      <c r="L365" s="253"/>
      <c r="M365" s="165"/>
      <c r="N365" s="166"/>
      <c r="O365" s="164">
        <f>+J365-N365</f>
        <v>0</v>
      </c>
      <c r="P365" s="167">
        <f t="shared" ref="P365:P371" si="71">ROUND(((O365/$R$1)*$R$2),2)</f>
        <v>0</v>
      </c>
      <c r="Q365" s="164">
        <f t="shared" si="70"/>
        <v>0</v>
      </c>
      <c r="R365" s="446">
        <f>SUM(Q363:Q365)</f>
        <v>1608120.18</v>
      </c>
      <c r="S365" s="672" t="s">
        <v>1350</v>
      </c>
    </row>
    <row r="366" spans="1:19" s="14" customFormat="1" ht="15.6" outlineLevel="4">
      <c r="A366" s="169" t="s">
        <v>1179</v>
      </c>
      <c r="B366" s="162" t="s">
        <v>837</v>
      </c>
      <c r="C366" s="163">
        <v>2320</v>
      </c>
      <c r="D366" s="163">
        <v>825</v>
      </c>
      <c r="E366" s="163" t="s">
        <v>838</v>
      </c>
      <c r="F366" s="163">
        <v>200</v>
      </c>
      <c r="G366" s="163">
        <v>250</v>
      </c>
      <c r="H366" s="164">
        <f>VLOOKUP(A366,'3. K0215-REFERENCE'!A:D,3,FALSE)</f>
        <v>90621.34</v>
      </c>
      <c r="I366" s="164">
        <f>VLOOKUP(A366,'3. K0215-REFERENCE'!A:D,4,FALSE)</f>
        <v>213078.13</v>
      </c>
      <c r="J366" s="200">
        <f t="shared" si="69"/>
        <v>303699.46999999997</v>
      </c>
      <c r="K366" s="253"/>
      <c r="L366" s="253"/>
      <c r="M366" s="165"/>
      <c r="N366" s="166"/>
      <c r="O366" s="164">
        <f>+J366-N366</f>
        <v>303699.46999999997</v>
      </c>
      <c r="P366" s="167">
        <f>ROUND(((O366/$R$1)*$R$2),2)</f>
        <v>5827.55</v>
      </c>
      <c r="Q366" s="164">
        <f>+N366+O366+P366</f>
        <v>309527.01999999996</v>
      </c>
      <c r="R366" s="446" t="s">
        <v>839</v>
      </c>
      <c r="S366" s="672" t="s">
        <v>1350</v>
      </c>
    </row>
    <row r="367" spans="1:19" s="14" customFormat="1" ht="15.6" outlineLevel="4">
      <c r="A367" s="169" t="s">
        <v>1180</v>
      </c>
      <c r="B367" s="162" t="s">
        <v>727</v>
      </c>
      <c r="C367" s="163" t="s">
        <v>635</v>
      </c>
      <c r="D367" s="163" t="s">
        <v>9</v>
      </c>
      <c r="E367" s="163" t="s">
        <v>845</v>
      </c>
      <c r="F367" s="163" t="s">
        <v>128</v>
      </c>
      <c r="G367" s="163" t="s">
        <v>177</v>
      </c>
      <c r="H367" s="164">
        <f>VLOOKUP(A367,'3. K0215-REFERENCE'!A:D,3,FALSE)</f>
        <v>2580417.33</v>
      </c>
      <c r="I367" s="164">
        <f>VLOOKUP(A367,'3. K0215-REFERENCE'!A:D,4,FALSE)</f>
        <v>5337210.7699999996</v>
      </c>
      <c r="J367" s="200">
        <f t="shared" si="69"/>
        <v>7917628.0999999996</v>
      </c>
      <c r="K367" s="253"/>
      <c r="L367" s="253"/>
      <c r="M367" s="172"/>
      <c r="N367" s="173"/>
      <c r="O367" s="173">
        <f>+J367-N367</f>
        <v>7917628.0999999996</v>
      </c>
      <c r="P367" s="199">
        <f>ROUND(((O367/$R$1)*$R$2),2)</f>
        <v>151927.67999999999</v>
      </c>
      <c r="Q367" s="164">
        <f>+N367+O367+P367</f>
        <v>8069555.7799999993</v>
      </c>
      <c r="R367" s="447" t="s">
        <v>846</v>
      </c>
      <c r="S367" s="672" t="s">
        <v>1350</v>
      </c>
    </row>
    <row r="368" spans="1:19" s="14" customFormat="1" ht="15.6" outlineLevel="4">
      <c r="A368" s="256" t="s">
        <v>1181</v>
      </c>
      <c r="B368" s="162" t="s">
        <v>363</v>
      </c>
      <c r="C368" s="163" t="s">
        <v>635</v>
      </c>
      <c r="D368" s="163" t="s">
        <v>9</v>
      </c>
      <c r="E368" s="163" t="s">
        <v>845</v>
      </c>
      <c r="F368" s="163" t="s">
        <v>128</v>
      </c>
      <c r="G368" s="163" t="s">
        <v>177</v>
      </c>
      <c r="H368" s="164"/>
      <c r="I368" s="164"/>
      <c r="J368" s="200">
        <f t="shared" si="69"/>
        <v>0</v>
      </c>
      <c r="K368" s="249"/>
      <c r="L368" s="249"/>
      <c r="M368" s="172"/>
      <c r="N368" s="173"/>
      <c r="O368" s="173">
        <f>+J368-N368</f>
        <v>0</v>
      </c>
      <c r="P368" s="199">
        <f>ROUND(((O368/$R$1)*$R$2),2)</f>
        <v>0</v>
      </c>
      <c r="Q368" s="173">
        <f>+N368+O368+P368</f>
        <v>0</v>
      </c>
      <c r="R368" s="446">
        <f>SUM(Q367:Q368)</f>
        <v>8069555.7799999993</v>
      </c>
      <c r="S368" s="672" t="s">
        <v>1350</v>
      </c>
    </row>
    <row r="369" spans="1:22" ht="15.6" outlineLevel="4">
      <c r="A369" s="169" t="s">
        <v>1182</v>
      </c>
      <c r="B369" s="162" t="s">
        <v>741</v>
      </c>
      <c r="C369" s="163" t="s">
        <v>780</v>
      </c>
      <c r="D369" s="163" t="s">
        <v>9</v>
      </c>
      <c r="E369" s="163" t="s">
        <v>795</v>
      </c>
      <c r="F369" s="163" t="s">
        <v>128</v>
      </c>
      <c r="G369" s="163" t="s">
        <v>177</v>
      </c>
      <c r="H369" s="164">
        <f>VLOOKUP(A369,'3. K0215-REFERENCE'!A:D,3,FALSE)</f>
        <v>18190.96</v>
      </c>
      <c r="I369" s="164">
        <f>VLOOKUP(A369,'3. K0215-REFERENCE'!A:D,4,FALSE)</f>
        <v>32494.47</v>
      </c>
      <c r="J369" s="200">
        <f t="shared" si="69"/>
        <v>50685.43</v>
      </c>
      <c r="K369" s="249"/>
      <c r="L369" s="249"/>
      <c r="M369" s="172"/>
      <c r="N369" s="173"/>
      <c r="O369" s="173">
        <f>+J369-N369</f>
        <v>50685.43</v>
      </c>
      <c r="P369" s="199">
        <f>ROUND(((O369/$R$1)*$R$2),2)</f>
        <v>972.58</v>
      </c>
      <c r="Q369" s="173">
        <f>+N369+O369+P369</f>
        <v>51658.01</v>
      </c>
      <c r="R369" s="448" t="s">
        <v>796</v>
      </c>
      <c r="S369" s="672" t="s">
        <v>1350</v>
      </c>
    </row>
    <row r="370" spans="1:22" ht="15.6" outlineLevel="4">
      <c r="A370" s="169" t="s">
        <v>1183</v>
      </c>
      <c r="B370" s="162" t="s">
        <v>676</v>
      </c>
      <c r="C370" s="163" t="s">
        <v>147</v>
      </c>
      <c r="D370" s="163" t="s">
        <v>9</v>
      </c>
      <c r="E370" s="163" t="s">
        <v>15</v>
      </c>
      <c r="F370" s="163" t="s">
        <v>128</v>
      </c>
      <c r="G370" s="163" t="s">
        <v>177</v>
      </c>
      <c r="H370" s="164">
        <f>VLOOKUP(A370,'3. K0215-REFERENCE'!A:D,3,FALSE)</f>
        <v>331127.5</v>
      </c>
      <c r="I370" s="164">
        <f>VLOOKUP(A370,'3. K0215-REFERENCE'!A:D,4,FALSE)</f>
        <v>2246795.34</v>
      </c>
      <c r="J370" s="200">
        <f t="shared" si="69"/>
        <v>2577922.84</v>
      </c>
      <c r="K370" s="253"/>
      <c r="L370" s="253"/>
      <c r="M370" s="172"/>
      <c r="N370" s="173"/>
      <c r="O370" s="173">
        <f>+J370-N370</f>
        <v>2577922.84</v>
      </c>
      <c r="P370" s="199">
        <f t="shared" si="71"/>
        <v>49466.559999999998</v>
      </c>
      <c r="Q370" s="173">
        <f t="shared" si="70"/>
        <v>2627389.4</v>
      </c>
      <c r="R370" s="447" t="s">
        <v>766</v>
      </c>
      <c r="S370" s="172"/>
    </row>
    <row r="371" spans="1:22" ht="15.6" outlineLevel="4">
      <c r="A371" s="169" t="s">
        <v>1184</v>
      </c>
      <c r="B371" s="162" t="s">
        <v>612</v>
      </c>
      <c r="C371" s="163" t="s">
        <v>147</v>
      </c>
      <c r="D371" s="163" t="s">
        <v>9</v>
      </c>
      <c r="E371" s="163" t="s">
        <v>15</v>
      </c>
      <c r="F371" s="163" t="s">
        <v>128</v>
      </c>
      <c r="G371" s="163" t="s">
        <v>177</v>
      </c>
      <c r="H371" s="164"/>
      <c r="I371" s="164"/>
      <c r="J371" s="200">
        <f t="shared" si="69"/>
        <v>0</v>
      </c>
      <c r="K371" s="249"/>
      <c r="L371" s="249"/>
      <c r="M371" s="172"/>
      <c r="N371" s="173"/>
      <c r="O371" s="173">
        <f>+J371-N371</f>
        <v>0</v>
      </c>
      <c r="P371" s="199">
        <f t="shared" si="71"/>
        <v>0</v>
      </c>
      <c r="Q371" s="173">
        <f t="shared" si="70"/>
        <v>0</v>
      </c>
      <c r="R371" s="446">
        <f>SUM(Q370:Q371)</f>
        <v>2627389.4</v>
      </c>
      <c r="S371" s="672" t="s">
        <v>1350</v>
      </c>
    </row>
    <row r="372" spans="1:22" s="11" customFormat="1" ht="15.6" outlineLevel="3">
      <c r="A372" s="191"/>
      <c r="B372" s="234"/>
      <c r="C372" s="193"/>
      <c r="D372" s="193" t="s">
        <v>271</v>
      </c>
      <c r="E372" s="193"/>
      <c r="F372" s="193"/>
      <c r="G372" s="193"/>
      <c r="H372" s="236">
        <f t="shared" ref="H372:I372" si="72">SUBTOTAL(9,H363:H371)</f>
        <v>3782277.58</v>
      </c>
      <c r="I372" s="236">
        <f t="shared" si="72"/>
        <v>8645501.9299999997</v>
      </c>
      <c r="J372" s="194">
        <f t="shared" ref="J372:Q372" si="73">SUBTOTAL(9,J363:J371)</f>
        <v>12427779.51</v>
      </c>
      <c r="K372" s="195">
        <f t="shared" si="73"/>
        <v>0</v>
      </c>
      <c r="L372" s="195">
        <f t="shared" si="73"/>
        <v>0</v>
      </c>
      <c r="M372" s="239">
        <f t="shared" si="73"/>
        <v>0</v>
      </c>
      <c r="N372" s="240">
        <f t="shared" si="73"/>
        <v>0</v>
      </c>
      <c r="O372" s="240">
        <f t="shared" si="73"/>
        <v>12427779.51</v>
      </c>
      <c r="P372" s="248">
        <f t="shared" si="73"/>
        <v>238470.87999999998</v>
      </c>
      <c r="Q372" s="248">
        <f t="shared" si="73"/>
        <v>12666250.389999999</v>
      </c>
      <c r="R372" s="239"/>
      <c r="S372" s="239"/>
    </row>
    <row r="373" spans="1:22" s="10" customFormat="1" ht="15.6" outlineLevel="2">
      <c r="A373" s="216"/>
      <c r="B373" s="242"/>
      <c r="C373" s="218"/>
      <c r="D373" s="218"/>
      <c r="E373" s="218"/>
      <c r="F373" s="218"/>
      <c r="G373" s="218" t="s">
        <v>263</v>
      </c>
      <c r="H373" s="244">
        <f t="shared" ref="H373:I373" si="74">SUBTOTAL(9,H351:H371)</f>
        <v>7088893.459999999</v>
      </c>
      <c r="I373" s="244">
        <f t="shared" si="74"/>
        <v>20670237.569999997</v>
      </c>
      <c r="J373" s="219">
        <f t="shared" ref="J373:Q373" si="75">SUBTOTAL(9,J351:J371)</f>
        <v>27505362.84</v>
      </c>
      <c r="K373" s="220">
        <f t="shared" si="75"/>
        <v>0</v>
      </c>
      <c r="L373" s="220">
        <f t="shared" si="75"/>
        <v>0</v>
      </c>
      <c r="M373" s="246">
        <f t="shared" si="75"/>
        <v>0</v>
      </c>
      <c r="N373" s="247">
        <f t="shared" si="75"/>
        <v>0</v>
      </c>
      <c r="O373" s="247">
        <f t="shared" si="75"/>
        <v>27505362.84</v>
      </c>
      <c r="P373" s="254">
        <f t="shared" si="75"/>
        <v>527787.61</v>
      </c>
      <c r="Q373" s="254">
        <f t="shared" si="75"/>
        <v>28033150.449999999</v>
      </c>
      <c r="R373" s="246"/>
      <c r="S373" s="246"/>
    </row>
    <row r="374" spans="1:22" ht="15.6" outlineLevel="4">
      <c r="A374" s="169"/>
      <c r="B374" s="162"/>
      <c r="C374" s="163"/>
      <c r="D374" s="163" t="s">
        <v>107</v>
      </c>
      <c r="E374" s="163"/>
      <c r="F374" s="163" t="s">
        <v>128</v>
      </c>
      <c r="G374" s="163" t="s">
        <v>104</v>
      </c>
      <c r="H374" s="164"/>
      <c r="I374" s="164"/>
      <c r="J374" s="168">
        <f>SUM(H374+I374)</f>
        <v>0</v>
      </c>
      <c r="K374" s="249"/>
      <c r="L374" s="249"/>
      <c r="M374" s="172"/>
      <c r="N374" s="173"/>
      <c r="O374" s="173">
        <f>+J374-N374</f>
        <v>0</v>
      </c>
      <c r="P374" s="199">
        <f>ROUND(((O374/$R$1)*$R$2),2)</f>
        <v>0</v>
      </c>
      <c r="Q374" s="173">
        <f>+N374+O374+P374</f>
        <v>0</v>
      </c>
      <c r="R374" s="448"/>
      <c r="S374" s="172"/>
    </row>
    <row r="375" spans="1:22" s="11" customFormat="1" ht="15.6" outlineLevel="3">
      <c r="A375" s="191"/>
      <c r="B375" s="234"/>
      <c r="C375" s="193"/>
      <c r="D375" s="193" t="s">
        <v>268</v>
      </c>
      <c r="E375" s="193"/>
      <c r="F375" s="193"/>
      <c r="G375" s="193"/>
      <c r="H375" s="236">
        <f>SUBTOTAL(9,H374:H374)</f>
        <v>0</v>
      </c>
      <c r="I375" s="236">
        <f t="shared" ref="I375" si="76">SUBTOTAL(9,I374:I374)</f>
        <v>0</v>
      </c>
      <c r="J375" s="194">
        <f t="shared" ref="J375:Q375" si="77">SUBTOTAL(9,J374:J374)</f>
        <v>0</v>
      </c>
      <c r="K375" s="195">
        <f t="shared" si="77"/>
        <v>0</v>
      </c>
      <c r="L375" s="195">
        <f t="shared" si="77"/>
        <v>0</v>
      </c>
      <c r="M375" s="239">
        <f t="shared" si="77"/>
        <v>0</v>
      </c>
      <c r="N375" s="240">
        <f t="shared" si="77"/>
        <v>0</v>
      </c>
      <c r="O375" s="240">
        <f t="shared" si="77"/>
        <v>0</v>
      </c>
      <c r="P375" s="248">
        <f t="shared" si="77"/>
        <v>0</v>
      </c>
      <c r="Q375" s="248">
        <f t="shared" si="77"/>
        <v>0</v>
      </c>
      <c r="R375" s="239"/>
      <c r="S375" s="239"/>
    </row>
    <row r="376" spans="1:22" ht="15.6" outlineLevel="4">
      <c r="A376" s="169" t="s">
        <v>1185</v>
      </c>
      <c r="B376" s="162" t="s">
        <v>667</v>
      </c>
      <c r="C376" s="163" t="s">
        <v>140</v>
      </c>
      <c r="D376" s="163" t="s">
        <v>10</v>
      </c>
      <c r="E376" s="163" t="s">
        <v>292</v>
      </c>
      <c r="F376" s="163" t="s">
        <v>128</v>
      </c>
      <c r="G376" s="163" t="s">
        <v>104</v>
      </c>
      <c r="H376" s="164">
        <f>VLOOKUP(A376,'3. K0215-REFERENCE'!A:D,3,FALSE)</f>
        <v>0</v>
      </c>
      <c r="I376" s="164">
        <f>VLOOKUP(A376,'3. K0215-REFERENCE'!A:D,4,FALSE)</f>
        <v>19525.95</v>
      </c>
      <c r="J376" s="168">
        <f t="shared" ref="J376:J389" si="78">SUM(H376+I376)</f>
        <v>19525.95</v>
      </c>
      <c r="K376" s="249"/>
      <c r="L376" s="249"/>
      <c r="M376" s="172"/>
      <c r="N376" s="173"/>
      <c r="O376" s="173">
        <f>+J376-N376</f>
        <v>19525.95</v>
      </c>
      <c r="P376" s="199">
        <f>ROUND(((O376/$R$1)*$R$2),2)</f>
        <v>374.67</v>
      </c>
      <c r="Q376" s="173">
        <f t="shared" ref="Q376:Q388" si="79">+N376+O376+P376</f>
        <v>19900.62</v>
      </c>
      <c r="R376" s="448"/>
      <c r="S376" s="172"/>
    </row>
    <row r="377" spans="1:22" ht="15.6" outlineLevel="4">
      <c r="A377" s="169" t="s">
        <v>1186</v>
      </c>
      <c r="B377" s="162" t="s">
        <v>499</v>
      </c>
      <c r="C377" s="163" t="s">
        <v>172</v>
      </c>
      <c r="D377" s="163" t="s">
        <v>10</v>
      </c>
      <c r="E377" s="163" t="s">
        <v>847</v>
      </c>
      <c r="F377" s="163" t="s">
        <v>128</v>
      </c>
      <c r="G377" s="163" t="s">
        <v>104</v>
      </c>
      <c r="H377" s="164"/>
      <c r="I377" s="164"/>
      <c r="J377" s="168">
        <f t="shared" si="78"/>
        <v>0</v>
      </c>
      <c r="K377" s="249"/>
      <c r="L377" s="249"/>
      <c r="M377" s="172"/>
      <c r="N377" s="173"/>
      <c r="O377" s="173">
        <f>+J377-N377</f>
        <v>0</v>
      </c>
      <c r="P377" s="199">
        <f t="shared" ref="P377:P389" si="80">ROUND(((O377/$R$1)*$R$2),2)</f>
        <v>0</v>
      </c>
      <c r="Q377" s="173">
        <f t="shared" si="79"/>
        <v>0</v>
      </c>
      <c r="R377" s="447" t="s">
        <v>848</v>
      </c>
      <c r="S377" s="172"/>
    </row>
    <row r="378" spans="1:22" ht="15.6" outlineLevel="4">
      <c r="A378" s="169" t="s">
        <v>1187</v>
      </c>
      <c r="B378" s="162" t="s">
        <v>670</v>
      </c>
      <c r="C378" s="163" t="s">
        <v>172</v>
      </c>
      <c r="D378" s="163" t="s">
        <v>10</v>
      </c>
      <c r="E378" s="163" t="s">
        <v>847</v>
      </c>
      <c r="F378" s="163" t="s">
        <v>128</v>
      </c>
      <c r="G378" s="163" t="s">
        <v>104</v>
      </c>
      <c r="H378" s="164">
        <f>VLOOKUP(A378,'3. K0215-REFERENCE'!A:D,3,FALSE)</f>
        <v>6943</v>
      </c>
      <c r="I378" s="164">
        <f>VLOOKUP(A378,'3. K0215-REFERENCE'!A:D,4,FALSE)</f>
        <v>280233.74</v>
      </c>
      <c r="J378" s="168">
        <f t="shared" si="78"/>
        <v>287176.74</v>
      </c>
      <c r="K378" s="249"/>
      <c r="L378" s="249"/>
      <c r="M378" s="172"/>
      <c r="N378" s="173"/>
      <c r="O378" s="173">
        <f>+J378-N378</f>
        <v>287176.74</v>
      </c>
      <c r="P378" s="199">
        <f t="shared" si="80"/>
        <v>5510.5</v>
      </c>
      <c r="Q378" s="173">
        <f t="shared" si="79"/>
        <v>292687.24</v>
      </c>
      <c r="R378" s="446">
        <f>SUM(Q377:Q378)</f>
        <v>292687.24</v>
      </c>
      <c r="S378" s="672" t="s">
        <v>1350</v>
      </c>
    </row>
    <row r="379" spans="1:22" ht="15.6" outlineLevel="4">
      <c r="A379" s="169" t="s">
        <v>1188</v>
      </c>
      <c r="B379" s="162" t="s">
        <v>82</v>
      </c>
      <c r="C379" s="163" t="s">
        <v>148</v>
      </c>
      <c r="D379" s="163" t="s">
        <v>10</v>
      </c>
      <c r="E379" s="163" t="s">
        <v>849</v>
      </c>
      <c r="F379" s="163" t="s">
        <v>128</v>
      </c>
      <c r="G379" s="163" t="s">
        <v>104</v>
      </c>
      <c r="H379" s="164">
        <f>VLOOKUP(A379,'3. K0215-REFERENCE'!A:D,3,FALSE)</f>
        <v>69938.19</v>
      </c>
      <c r="I379" s="164">
        <f>VLOOKUP(A379,'3. K0215-REFERENCE'!A:D,4,FALSE)</f>
        <v>514185.2</v>
      </c>
      <c r="J379" s="168">
        <f t="shared" si="78"/>
        <v>584123.39</v>
      </c>
      <c r="K379" s="249"/>
      <c r="L379" s="249"/>
      <c r="M379" s="172"/>
      <c r="N379" s="173"/>
      <c r="O379" s="173">
        <f>+J379-N379</f>
        <v>584123.39</v>
      </c>
      <c r="P379" s="199">
        <f t="shared" si="80"/>
        <v>11208.47</v>
      </c>
      <c r="Q379" s="173">
        <f t="shared" si="79"/>
        <v>595331.86</v>
      </c>
      <c r="R379" s="448" t="s">
        <v>850</v>
      </c>
      <c r="S379" s="672" t="s">
        <v>1350</v>
      </c>
    </row>
    <row r="380" spans="1:22" ht="15.6" outlineLevel="4">
      <c r="A380" s="169" t="s">
        <v>1189</v>
      </c>
      <c r="B380" s="162" t="s">
        <v>574</v>
      </c>
      <c r="C380" s="163" t="s">
        <v>151</v>
      </c>
      <c r="D380" s="163" t="s">
        <v>10</v>
      </c>
      <c r="E380" s="163" t="s">
        <v>23</v>
      </c>
      <c r="F380" s="163" t="s">
        <v>128</v>
      </c>
      <c r="G380" s="163" t="s">
        <v>104</v>
      </c>
      <c r="H380" s="164">
        <f>VLOOKUP(A380,'3. K0215-REFERENCE'!A:D,3,FALSE)</f>
        <v>4052429.16</v>
      </c>
      <c r="I380" s="164">
        <f>VLOOKUP(A380,'3. K0215-REFERENCE'!A:D,4,FALSE)</f>
        <v>5739115.8700000001</v>
      </c>
      <c r="J380" s="168">
        <f t="shared" si="78"/>
        <v>9791545.0300000012</v>
      </c>
      <c r="K380" s="249"/>
      <c r="L380" s="249"/>
      <c r="M380" s="172"/>
      <c r="N380" s="173"/>
      <c r="O380" s="173">
        <f>+J380-N380</f>
        <v>9791545.0300000012</v>
      </c>
      <c r="P380" s="199">
        <f t="shared" si="80"/>
        <v>187885.4</v>
      </c>
      <c r="Q380" s="173">
        <f t="shared" si="79"/>
        <v>9979430.4300000016</v>
      </c>
      <c r="R380" s="447" t="s">
        <v>764</v>
      </c>
      <c r="S380" s="172"/>
      <c r="V380" s="536"/>
    </row>
    <row r="381" spans="1:22" ht="15.6" outlineLevel="4">
      <c r="A381" s="169" t="s">
        <v>1190</v>
      </c>
      <c r="B381" s="162" t="s">
        <v>575</v>
      </c>
      <c r="C381" s="163" t="s">
        <v>151</v>
      </c>
      <c r="D381" s="163" t="s">
        <v>10</v>
      </c>
      <c r="E381" s="163" t="s">
        <v>23</v>
      </c>
      <c r="F381" s="163" t="s">
        <v>128</v>
      </c>
      <c r="G381" s="163" t="s">
        <v>104</v>
      </c>
      <c r="H381" s="164">
        <f>VLOOKUP(A381,'3. K0215-REFERENCE'!A:D,3,FALSE)</f>
        <v>1857008.83</v>
      </c>
      <c r="I381" s="164">
        <f>VLOOKUP(A381,'3. K0215-REFERENCE'!A:D,4,FALSE)</f>
        <v>4574481.57</v>
      </c>
      <c r="J381" s="168">
        <f t="shared" si="78"/>
        <v>6431490.4000000004</v>
      </c>
      <c r="K381" s="249"/>
      <c r="L381" s="249"/>
      <c r="M381" s="172"/>
      <c r="N381" s="173"/>
      <c r="O381" s="173">
        <f>+J381-N381</f>
        <v>6431490.4000000004</v>
      </c>
      <c r="P381" s="199">
        <f t="shared" si="80"/>
        <v>123410.88</v>
      </c>
      <c r="Q381" s="173">
        <f t="shared" si="79"/>
        <v>6554901.2800000003</v>
      </c>
      <c r="R381" s="446">
        <f>SUM(Q380:Q381)</f>
        <v>16534331.710000001</v>
      </c>
      <c r="S381" s="672" t="s">
        <v>1350</v>
      </c>
    </row>
    <row r="382" spans="1:22" s="14" customFormat="1" ht="15.6" outlineLevel="4">
      <c r="A382" s="169" t="s">
        <v>1191</v>
      </c>
      <c r="B382" s="162" t="s">
        <v>115</v>
      </c>
      <c r="C382" s="163" t="s">
        <v>8</v>
      </c>
      <c r="D382" s="163" t="s">
        <v>10</v>
      </c>
      <c r="E382" s="163" t="s">
        <v>292</v>
      </c>
      <c r="F382" s="163" t="s">
        <v>128</v>
      </c>
      <c r="G382" s="163" t="s">
        <v>104</v>
      </c>
      <c r="H382" s="164"/>
      <c r="I382" s="164"/>
      <c r="J382" s="168">
        <f t="shared" si="78"/>
        <v>0</v>
      </c>
      <c r="K382" s="253"/>
      <c r="L382" s="253"/>
      <c r="M382" s="165"/>
      <c r="N382" s="166"/>
      <c r="O382" s="164">
        <f>+J382-N382</f>
        <v>0</v>
      </c>
      <c r="P382" s="199">
        <f t="shared" si="80"/>
        <v>0</v>
      </c>
      <c r="Q382" s="164">
        <f t="shared" si="79"/>
        <v>0</v>
      </c>
      <c r="S382" s="165"/>
    </row>
    <row r="383" spans="1:22" s="51" customFormat="1" ht="15.6" outlineLevel="4">
      <c r="A383" s="255" t="s">
        <v>1192</v>
      </c>
      <c r="B383" s="188" t="s">
        <v>589</v>
      </c>
      <c r="C383" s="182" t="s">
        <v>765</v>
      </c>
      <c r="D383" s="189" t="s">
        <v>10</v>
      </c>
      <c r="E383" s="189" t="s">
        <v>292</v>
      </c>
      <c r="F383" s="189" t="s">
        <v>128</v>
      </c>
      <c r="G383" s="189" t="s">
        <v>104</v>
      </c>
      <c r="H383" s="164"/>
      <c r="I383" s="164"/>
      <c r="J383" s="168">
        <f t="shared" si="78"/>
        <v>0</v>
      </c>
      <c r="K383" s="249"/>
      <c r="L383" s="249"/>
      <c r="M383" s="188"/>
      <c r="N383" s="251"/>
      <c r="O383" s="251">
        <f>+J383-N383</f>
        <v>0</v>
      </c>
      <c r="P383" s="252">
        <f t="shared" si="80"/>
        <v>0</v>
      </c>
      <c r="Q383" s="173">
        <f>+N383+O383+P383</f>
        <v>0</v>
      </c>
      <c r="R383" s="448" t="s">
        <v>1240</v>
      </c>
      <c r="S383" s="188"/>
    </row>
    <row r="384" spans="1:22" s="51" customFormat="1" ht="15.6" outlineLevel="4">
      <c r="A384" s="255" t="s">
        <v>1193</v>
      </c>
      <c r="B384" s="188" t="s">
        <v>621</v>
      </c>
      <c r="C384" s="182" t="s">
        <v>626</v>
      </c>
      <c r="D384" s="189" t="s">
        <v>10</v>
      </c>
      <c r="E384" s="189" t="s">
        <v>292</v>
      </c>
      <c r="F384" s="189" t="s">
        <v>128</v>
      </c>
      <c r="G384" s="189" t="s">
        <v>104</v>
      </c>
      <c r="H384" s="164">
        <f>VLOOKUP(A384,'3. K0215-REFERENCE'!A:D,3,FALSE)</f>
        <v>5000</v>
      </c>
      <c r="I384" s="164">
        <f>VLOOKUP(A384,'3. K0215-REFERENCE'!A:D,4,FALSE)</f>
        <v>45404.92</v>
      </c>
      <c r="J384" s="168">
        <f t="shared" si="78"/>
        <v>50404.92</v>
      </c>
      <c r="K384" s="249"/>
      <c r="L384" s="249"/>
      <c r="M384" s="188"/>
      <c r="N384" s="251"/>
      <c r="O384" s="251">
        <f>+J384-N384</f>
        <v>50404.92</v>
      </c>
      <c r="P384" s="252">
        <f t="shared" si="80"/>
        <v>967.2</v>
      </c>
      <c r="Q384" s="173">
        <f>+N384+O384+P384</f>
        <v>51372.119999999995</v>
      </c>
      <c r="R384" s="446">
        <f>Q376+Q382+Q383+Q384</f>
        <v>71272.739999999991</v>
      </c>
      <c r="S384" s="672" t="s">
        <v>1350</v>
      </c>
    </row>
    <row r="385" spans="1:19" ht="15.6" outlineLevel="4">
      <c r="A385" s="161" t="s">
        <v>1194</v>
      </c>
      <c r="B385" s="162" t="s">
        <v>656</v>
      </c>
      <c r="C385" s="163" t="s">
        <v>779</v>
      </c>
      <c r="D385" s="163" t="s">
        <v>10</v>
      </c>
      <c r="E385" s="163" t="s">
        <v>24</v>
      </c>
      <c r="F385" s="163" t="s">
        <v>128</v>
      </c>
      <c r="G385" s="163" t="s">
        <v>104</v>
      </c>
      <c r="H385" s="164">
        <f>VLOOKUP(A385,'3. K0215-REFERENCE'!A:D,3,FALSE)</f>
        <v>379026.64</v>
      </c>
      <c r="I385" s="164">
        <f>VLOOKUP(A385,'3. K0215-REFERENCE'!A:D,4,FALSE)</f>
        <v>1417966.65</v>
      </c>
      <c r="J385" s="168">
        <f t="shared" si="78"/>
        <v>1796993.29</v>
      </c>
      <c r="K385" s="257"/>
      <c r="L385" s="257"/>
      <c r="M385" s="172"/>
      <c r="N385" s="173"/>
      <c r="O385" s="173">
        <f>+J385-N385</f>
        <v>1796993.29</v>
      </c>
      <c r="P385" s="199">
        <f t="shared" si="80"/>
        <v>34481.67</v>
      </c>
      <c r="Q385" s="173">
        <f t="shared" si="79"/>
        <v>1831474.96</v>
      </c>
      <c r="R385" s="448" t="s">
        <v>757</v>
      </c>
      <c r="S385" s="672" t="s">
        <v>1350</v>
      </c>
    </row>
    <row r="386" spans="1:19" ht="15.6" outlineLevel="4">
      <c r="A386" s="169" t="s">
        <v>1195</v>
      </c>
      <c r="B386" s="162" t="s">
        <v>675</v>
      </c>
      <c r="C386" s="163" t="s">
        <v>7</v>
      </c>
      <c r="D386" s="163" t="s">
        <v>10</v>
      </c>
      <c r="E386" s="163" t="s">
        <v>25</v>
      </c>
      <c r="F386" s="163" t="s">
        <v>128</v>
      </c>
      <c r="G386" s="163" t="s">
        <v>104</v>
      </c>
      <c r="H386" s="164">
        <f>VLOOKUP(A386,'3. K0215-REFERENCE'!A:D,3,FALSE)</f>
        <v>730020.16</v>
      </c>
      <c r="I386" s="164">
        <f>VLOOKUP(A386,'3. K0215-REFERENCE'!A:D,4,FALSE)</f>
        <v>1882172.74</v>
      </c>
      <c r="J386" s="168">
        <f t="shared" si="78"/>
        <v>2612192.9</v>
      </c>
      <c r="K386" s="249"/>
      <c r="L386" s="249"/>
      <c r="M386" s="172"/>
      <c r="N386" s="173"/>
      <c r="O386" s="173">
        <f>+J386-N386</f>
        <v>2612192.9</v>
      </c>
      <c r="P386" s="199">
        <f t="shared" si="80"/>
        <v>50124.15</v>
      </c>
      <c r="Q386" s="173">
        <f t="shared" si="79"/>
        <v>2662317.0499999998</v>
      </c>
      <c r="R386" s="172"/>
      <c r="S386" s="172"/>
    </row>
    <row r="387" spans="1:19" s="52" customFormat="1" ht="15.6" outlineLevel="4">
      <c r="A387" s="169" t="s">
        <v>1196</v>
      </c>
      <c r="B387" s="183" t="s">
        <v>587</v>
      </c>
      <c r="C387" s="163" t="s">
        <v>628</v>
      </c>
      <c r="D387" s="184" t="s">
        <v>10</v>
      </c>
      <c r="E387" s="163" t="s">
        <v>25</v>
      </c>
      <c r="F387" s="184" t="s">
        <v>128</v>
      </c>
      <c r="G387" s="184" t="s">
        <v>104</v>
      </c>
      <c r="H387" s="164"/>
      <c r="I387" s="164"/>
      <c r="J387" s="168">
        <f t="shared" si="78"/>
        <v>0</v>
      </c>
      <c r="K387" s="249"/>
      <c r="L387" s="249"/>
      <c r="M387" s="186"/>
      <c r="N387" s="185"/>
      <c r="O387" s="185">
        <f>+J387-N387</f>
        <v>0</v>
      </c>
      <c r="P387" s="202">
        <f t="shared" si="80"/>
        <v>0</v>
      </c>
      <c r="Q387" s="173">
        <f>+N387+O387+P387</f>
        <v>0</v>
      </c>
      <c r="R387" s="447" t="s">
        <v>763</v>
      </c>
      <c r="S387" s="186"/>
    </row>
    <row r="388" spans="1:19" ht="15.6" outlineLevel="4">
      <c r="A388" s="169" t="s">
        <v>1197</v>
      </c>
      <c r="B388" s="162" t="s">
        <v>98</v>
      </c>
      <c r="C388" s="163" t="s">
        <v>7</v>
      </c>
      <c r="D388" s="163" t="s">
        <v>10</v>
      </c>
      <c r="E388" s="163" t="s">
        <v>25</v>
      </c>
      <c r="F388" s="163" t="s">
        <v>128</v>
      </c>
      <c r="G388" s="163" t="s">
        <v>104</v>
      </c>
      <c r="H388" s="164"/>
      <c r="I388" s="164"/>
      <c r="J388" s="168">
        <f t="shared" si="78"/>
        <v>0</v>
      </c>
      <c r="K388" s="249"/>
      <c r="L388" s="249"/>
      <c r="M388" s="172"/>
      <c r="N388" s="173"/>
      <c r="O388" s="173">
        <f>+J388-N388</f>
        <v>0</v>
      </c>
      <c r="P388" s="199">
        <f t="shared" si="80"/>
        <v>0</v>
      </c>
      <c r="Q388" s="173">
        <f t="shared" si="79"/>
        <v>0</v>
      </c>
      <c r="R388" s="446">
        <f>SUM(Q386:Q388)</f>
        <v>2662317.0499999998</v>
      </c>
      <c r="S388" s="672" t="s">
        <v>1350</v>
      </c>
    </row>
    <row r="389" spans="1:19" ht="15.6" outlineLevel="4">
      <c r="A389" s="169" t="s">
        <v>1200</v>
      </c>
      <c r="B389" s="162" t="s">
        <v>724</v>
      </c>
      <c r="C389" s="163" t="s">
        <v>162</v>
      </c>
      <c r="D389" s="163" t="s">
        <v>10</v>
      </c>
      <c r="E389" s="163" t="s">
        <v>26</v>
      </c>
      <c r="F389" s="163" t="s">
        <v>128</v>
      </c>
      <c r="G389" s="163" t="s">
        <v>104</v>
      </c>
      <c r="H389" s="164">
        <f>VLOOKUP(A389,'3. K0215-REFERENCE'!A:D,3,FALSE)</f>
        <v>1811070.52</v>
      </c>
      <c r="I389" s="164">
        <f>VLOOKUP(A389,'3. K0215-REFERENCE'!A:D,4,FALSE)</f>
        <v>1684734.27</v>
      </c>
      <c r="J389" s="168">
        <f t="shared" si="78"/>
        <v>3495804.79</v>
      </c>
      <c r="K389" s="249"/>
      <c r="L389" s="249"/>
      <c r="M389" s="172"/>
      <c r="N389" s="173"/>
      <c r="O389" s="173">
        <f>+J389-N389</f>
        <v>3495804.79</v>
      </c>
      <c r="P389" s="199">
        <f t="shared" si="80"/>
        <v>67079.37</v>
      </c>
      <c r="Q389" s="173">
        <f>+N389+O389+P389</f>
        <v>3562884.16</v>
      </c>
      <c r="R389" s="448" t="s">
        <v>758</v>
      </c>
      <c r="S389" s="672" t="s">
        <v>1350</v>
      </c>
    </row>
    <row r="390" spans="1:19" s="11" customFormat="1" ht="15.6" outlineLevel="3">
      <c r="A390" s="191"/>
      <c r="B390" s="234"/>
      <c r="C390" s="193"/>
      <c r="D390" s="193" t="s">
        <v>270</v>
      </c>
      <c r="E390" s="193"/>
      <c r="F390" s="193"/>
      <c r="G390" s="193"/>
      <c r="H390" s="236">
        <f t="shared" ref="H390:I390" si="81">SUBTOTAL(9,H376:H389)</f>
        <v>8911436.5</v>
      </c>
      <c r="I390" s="236">
        <f t="shared" si="81"/>
        <v>16157820.91</v>
      </c>
      <c r="J390" s="194">
        <f t="shared" ref="J390:Q390" si="82">SUBTOTAL(9,J376:J389)</f>
        <v>25069257.41</v>
      </c>
      <c r="K390" s="195">
        <f t="shared" si="82"/>
        <v>0</v>
      </c>
      <c r="L390" s="195">
        <f t="shared" si="82"/>
        <v>0</v>
      </c>
      <c r="M390" s="239">
        <f t="shared" si="82"/>
        <v>0</v>
      </c>
      <c r="N390" s="240">
        <f t="shared" si="82"/>
        <v>0</v>
      </c>
      <c r="O390" s="240">
        <f t="shared" si="82"/>
        <v>25069257.41</v>
      </c>
      <c r="P390" s="248">
        <f t="shared" si="82"/>
        <v>481042.31</v>
      </c>
      <c r="Q390" s="248">
        <f t="shared" si="82"/>
        <v>25550299.720000006</v>
      </c>
      <c r="R390" s="239"/>
      <c r="S390" s="239"/>
    </row>
    <row r="391" spans="1:19" s="10" customFormat="1" ht="15.6" outlineLevel="2">
      <c r="A391" s="216"/>
      <c r="B391" s="242"/>
      <c r="C391" s="218"/>
      <c r="D391" s="218"/>
      <c r="E391" s="218"/>
      <c r="F391" s="218"/>
      <c r="G391" s="218" t="s">
        <v>264</v>
      </c>
      <c r="H391" s="244">
        <f>SUBTOTAL(9,H363:H389)</f>
        <v>12693714.08</v>
      </c>
      <c r="I391" s="244">
        <f>SUBTOTAL(9,I363:I389)</f>
        <v>24803322.839999996</v>
      </c>
      <c r="J391" s="219">
        <f>SUBTOTAL(9,J369:J389)</f>
        <v>27697865.68</v>
      </c>
      <c r="K391" s="220">
        <f t="shared" ref="K391:Q391" si="83">SUBTOTAL(9,K374:K389)</f>
        <v>0</v>
      </c>
      <c r="L391" s="220">
        <f t="shared" si="83"/>
        <v>0</v>
      </c>
      <c r="M391" s="246">
        <f t="shared" si="83"/>
        <v>0</v>
      </c>
      <c r="N391" s="247">
        <f t="shared" si="83"/>
        <v>0</v>
      </c>
      <c r="O391" s="247">
        <f t="shared" si="83"/>
        <v>25069257.41</v>
      </c>
      <c r="P391" s="254">
        <f t="shared" si="83"/>
        <v>481042.31</v>
      </c>
      <c r="Q391" s="254">
        <f t="shared" si="83"/>
        <v>25550299.720000006</v>
      </c>
      <c r="R391" s="246"/>
      <c r="S391" s="246"/>
    </row>
    <row r="392" spans="1:19" ht="15.6" outlineLevel="4">
      <c r="A392" s="169"/>
      <c r="B392" s="162"/>
      <c r="C392" s="163"/>
      <c r="D392" s="163" t="s">
        <v>99</v>
      </c>
      <c r="E392" s="163"/>
      <c r="F392" s="163" t="s">
        <v>128</v>
      </c>
      <c r="G392" s="163" t="s">
        <v>46</v>
      </c>
      <c r="H392" s="164"/>
      <c r="I392" s="164"/>
      <c r="J392" s="168">
        <f>SUM(H392+I392)</f>
        <v>0</v>
      </c>
      <c r="K392" s="249"/>
      <c r="L392" s="249"/>
      <c r="M392" s="172"/>
      <c r="N392" s="173"/>
      <c r="O392" s="173">
        <f>+J392-N392</f>
        <v>0</v>
      </c>
      <c r="P392" s="199">
        <f>ROUND(((O392/$R$1)*$R$2),2)</f>
        <v>0</v>
      </c>
      <c r="Q392" s="173">
        <f>+N392+O392+P392</f>
        <v>0</v>
      </c>
      <c r="R392" s="172"/>
      <c r="S392" s="172"/>
    </row>
    <row r="393" spans="1:19" s="11" customFormat="1" ht="15.6" outlineLevel="3">
      <c r="A393" s="191"/>
      <c r="B393" s="234"/>
      <c r="C393" s="193"/>
      <c r="D393" s="193" t="s">
        <v>269</v>
      </c>
      <c r="E393" s="193"/>
      <c r="F393" s="193"/>
      <c r="G393" s="193"/>
      <c r="H393" s="236">
        <f t="shared" ref="H393:Q393" si="84">SUBTOTAL(9,H392:H392)</f>
        <v>0</v>
      </c>
      <c r="I393" s="236">
        <f t="shared" si="84"/>
        <v>0</v>
      </c>
      <c r="J393" s="194">
        <f t="shared" si="84"/>
        <v>0</v>
      </c>
      <c r="K393" s="195">
        <f t="shared" si="84"/>
        <v>0</v>
      </c>
      <c r="L393" s="195">
        <f t="shared" si="84"/>
        <v>0</v>
      </c>
      <c r="M393" s="239">
        <f t="shared" si="84"/>
        <v>0</v>
      </c>
      <c r="N393" s="240">
        <f t="shared" si="84"/>
        <v>0</v>
      </c>
      <c r="O393" s="240">
        <f t="shared" si="84"/>
        <v>0</v>
      </c>
      <c r="P393" s="248">
        <f t="shared" si="84"/>
        <v>0</v>
      </c>
      <c r="Q393" s="248">
        <f t="shared" si="84"/>
        <v>0</v>
      </c>
      <c r="R393" s="450"/>
      <c r="S393" s="239"/>
    </row>
    <row r="394" spans="1:19" s="10" customFormat="1" ht="15.6" outlineLevel="2">
      <c r="A394" s="216"/>
      <c r="B394" s="242"/>
      <c r="C394" s="218"/>
      <c r="D394" s="218"/>
      <c r="E394" s="218"/>
      <c r="F394" s="218"/>
      <c r="G394" s="218" t="s">
        <v>47</v>
      </c>
      <c r="H394" s="244">
        <f t="shared" ref="H394:Q394" si="85">SUBTOTAL(9,H392:H392)</f>
        <v>0</v>
      </c>
      <c r="I394" s="244">
        <f t="shared" si="85"/>
        <v>0</v>
      </c>
      <c r="J394" s="219">
        <f t="shared" si="85"/>
        <v>0</v>
      </c>
      <c r="K394" s="220">
        <f t="shared" si="85"/>
        <v>0</v>
      </c>
      <c r="L394" s="220">
        <f t="shared" si="85"/>
        <v>0</v>
      </c>
      <c r="M394" s="246">
        <f t="shared" si="85"/>
        <v>0</v>
      </c>
      <c r="N394" s="247">
        <f t="shared" si="85"/>
        <v>0</v>
      </c>
      <c r="O394" s="247">
        <f t="shared" si="85"/>
        <v>0</v>
      </c>
      <c r="P394" s="254">
        <f t="shared" si="85"/>
        <v>0</v>
      </c>
      <c r="Q394" s="254">
        <f t="shared" si="85"/>
        <v>0</v>
      </c>
      <c r="R394" s="246"/>
      <c r="S394" s="246"/>
    </row>
    <row r="395" spans="1:19" ht="15.6" outlineLevel="4">
      <c r="A395" s="256"/>
      <c r="B395" s="162"/>
      <c r="C395" s="163"/>
      <c r="D395" s="163"/>
      <c r="E395" s="163"/>
      <c r="F395" s="163"/>
      <c r="G395" s="163"/>
      <c r="H395" s="164"/>
      <c r="I395" s="164"/>
      <c r="J395" s="168">
        <f>SUM(H395+I395)</f>
        <v>0</v>
      </c>
      <c r="K395" s="249"/>
      <c r="L395" s="249"/>
      <c r="M395" s="172"/>
      <c r="N395" s="173"/>
      <c r="O395" s="173">
        <f>+J395-N395</f>
        <v>0</v>
      </c>
      <c r="P395" s="199">
        <f>ROUND(((O395/$R$1)*$R$2),2)</f>
        <v>0</v>
      </c>
      <c r="Q395" s="173">
        <f>+N395+O395+P395</f>
        <v>0</v>
      </c>
      <c r="R395" s="448"/>
      <c r="S395" s="172"/>
    </row>
    <row r="396" spans="1:19" s="11" customFormat="1" ht="15.6" outlineLevel="3">
      <c r="A396" s="191"/>
      <c r="B396" s="234"/>
      <c r="C396" s="193"/>
      <c r="D396" s="193" t="s">
        <v>267</v>
      </c>
      <c r="E396" s="193"/>
      <c r="F396" s="193"/>
      <c r="G396" s="193"/>
      <c r="H396" s="236">
        <f t="shared" ref="H396:Q396" si="86">SUBTOTAL(9,H395:H395)</f>
        <v>0</v>
      </c>
      <c r="I396" s="236">
        <f t="shared" si="86"/>
        <v>0</v>
      </c>
      <c r="J396" s="194">
        <f t="shared" si="86"/>
        <v>0</v>
      </c>
      <c r="K396" s="195">
        <f t="shared" si="86"/>
        <v>0</v>
      </c>
      <c r="L396" s="195">
        <f t="shared" si="86"/>
        <v>0</v>
      </c>
      <c r="M396" s="239">
        <f t="shared" si="86"/>
        <v>0</v>
      </c>
      <c r="N396" s="240">
        <f t="shared" si="86"/>
        <v>0</v>
      </c>
      <c r="O396" s="240">
        <f t="shared" si="86"/>
        <v>0</v>
      </c>
      <c r="P396" s="248">
        <f t="shared" si="86"/>
        <v>0</v>
      </c>
      <c r="Q396" s="248">
        <f t="shared" si="86"/>
        <v>0</v>
      </c>
      <c r="R396" s="450"/>
      <c r="S396" s="239"/>
    </row>
    <row r="397" spans="1:19" ht="15.6" outlineLevel="3">
      <c r="A397" s="256" t="s">
        <v>1198</v>
      </c>
      <c r="B397" s="162" t="s">
        <v>54</v>
      </c>
      <c r="C397" s="163" t="s">
        <v>624</v>
      </c>
      <c r="D397" s="163" t="s">
        <v>10</v>
      </c>
      <c r="E397" s="163" t="s">
        <v>625</v>
      </c>
      <c r="F397" s="163" t="s">
        <v>128</v>
      </c>
      <c r="G397" s="163" t="s">
        <v>181</v>
      </c>
      <c r="H397" s="164"/>
      <c r="I397" s="164"/>
      <c r="J397" s="168">
        <f>SUM(H397+I397)</f>
        <v>0</v>
      </c>
      <c r="K397" s="257"/>
      <c r="L397" s="257"/>
      <c r="M397" s="172"/>
      <c r="N397" s="173"/>
      <c r="O397" s="164">
        <f>+J397-N397</f>
        <v>0</v>
      </c>
      <c r="P397" s="199">
        <f>ROUND(((O397/$R$1)*$R$2),2)</f>
        <v>0</v>
      </c>
      <c r="Q397" s="164">
        <f>+N397+O397+P397</f>
        <v>0</v>
      </c>
      <c r="R397" s="448" t="s">
        <v>759</v>
      </c>
      <c r="S397" s="672" t="s">
        <v>1350</v>
      </c>
    </row>
    <row r="398" spans="1:19" s="11" customFormat="1" ht="15.6" outlineLevel="3">
      <c r="A398" s="191"/>
      <c r="B398" s="234"/>
      <c r="C398" s="193"/>
      <c r="D398" s="193" t="s">
        <v>270</v>
      </c>
      <c r="E398" s="193"/>
      <c r="F398" s="193"/>
      <c r="G398" s="193"/>
      <c r="H398" s="236">
        <f>SUM(H397)</f>
        <v>0</v>
      </c>
      <c r="I398" s="236">
        <f>SUM(I397)</f>
        <v>0</v>
      </c>
      <c r="J398" s="194">
        <f t="shared" ref="J398:Q398" si="87">SUBTOTAL(9, J397:J397)</f>
        <v>0</v>
      </c>
      <c r="K398" s="195">
        <f t="shared" si="87"/>
        <v>0</v>
      </c>
      <c r="L398" s="195">
        <f t="shared" si="87"/>
        <v>0</v>
      </c>
      <c r="M398" s="239">
        <f t="shared" si="87"/>
        <v>0</v>
      </c>
      <c r="N398" s="236">
        <f t="shared" si="87"/>
        <v>0</v>
      </c>
      <c r="O398" s="236">
        <f t="shared" si="87"/>
        <v>0</v>
      </c>
      <c r="P398" s="236">
        <f t="shared" si="87"/>
        <v>0</v>
      </c>
      <c r="Q398" s="236">
        <f t="shared" si="87"/>
        <v>0</v>
      </c>
      <c r="R398" s="239"/>
      <c r="S398" s="239"/>
    </row>
    <row r="399" spans="1:19" s="14" customFormat="1" ht="15.6" outlineLevel="4">
      <c r="A399" s="256" t="s">
        <v>1199</v>
      </c>
      <c r="B399" s="162" t="s">
        <v>668</v>
      </c>
      <c r="C399" s="163" t="s">
        <v>154</v>
      </c>
      <c r="D399" s="163" t="s">
        <v>9</v>
      </c>
      <c r="E399" s="163" t="s">
        <v>17</v>
      </c>
      <c r="F399" s="163" t="s">
        <v>128</v>
      </c>
      <c r="G399" s="163" t="s">
        <v>181</v>
      </c>
      <c r="H399" s="164">
        <f>VLOOKUP(A399,'3. K0215-REFERENCE'!A:D,3,FALSE)</f>
        <v>124332.07</v>
      </c>
      <c r="I399" s="164">
        <f>VLOOKUP(A399,'3. K0215-REFERENCE'!A:D,4,FALSE)</f>
        <v>686979.61</v>
      </c>
      <c r="J399" s="200">
        <f>SUM(H399+I399)</f>
        <v>811311.67999999993</v>
      </c>
      <c r="K399" s="257"/>
      <c r="L399" s="257"/>
      <c r="M399" s="165"/>
      <c r="N399" s="166"/>
      <c r="O399" s="164">
        <f>+J399-N399</f>
        <v>811311.67999999993</v>
      </c>
      <c r="P399" s="167">
        <f>ROUND(((O399/$R$1)*$R$2),2)</f>
        <v>15567.88</v>
      </c>
      <c r="Q399" s="173">
        <f>+N399+O399+P399</f>
        <v>826879.55999999994</v>
      </c>
      <c r="R399" s="448" t="s">
        <v>760</v>
      </c>
      <c r="S399" s="672" t="s">
        <v>1350</v>
      </c>
    </row>
    <row r="400" spans="1:19" s="25" customFormat="1" ht="15.6" outlineLevel="3">
      <c r="A400" s="258"/>
      <c r="B400" s="259"/>
      <c r="C400" s="260"/>
      <c r="D400" s="261" t="s">
        <v>604</v>
      </c>
      <c r="E400" s="260"/>
      <c r="F400" s="260"/>
      <c r="G400" s="260"/>
      <c r="H400" s="240">
        <f>SUM(H399)</f>
        <v>124332.07</v>
      </c>
      <c r="I400" s="240">
        <f>SUM(I399)</f>
        <v>686979.61</v>
      </c>
      <c r="J400" s="194">
        <f>SUBTOTAL(9,J399:J399)</f>
        <v>811311.67999999993</v>
      </c>
      <c r="K400" s="195">
        <f t="shared" ref="K400:Q400" si="88">SUBTOTAL(9,K399:K399)</f>
        <v>0</v>
      </c>
      <c r="L400" s="195">
        <f t="shared" si="88"/>
        <v>0</v>
      </c>
      <c r="M400" s="239">
        <f t="shared" si="88"/>
        <v>0</v>
      </c>
      <c r="N400" s="240">
        <f t="shared" si="88"/>
        <v>0</v>
      </c>
      <c r="O400" s="240">
        <f>SUBTOTAL(9,O399:O399)</f>
        <v>811311.67999999993</v>
      </c>
      <c r="P400" s="248">
        <f t="shared" si="88"/>
        <v>15567.88</v>
      </c>
      <c r="Q400" s="248">
        <f t="shared" si="88"/>
        <v>826879.55999999994</v>
      </c>
      <c r="R400" s="450"/>
      <c r="S400" s="259"/>
    </row>
    <row r="401" spans="1:19" s="10" customFormat="1" ht="15.6" outlineLevel="2">
      <c r="A401" s="216"/>
      <c r="B401" s="242"/>
      <c r="C401" s="218"/>
      <c r="D401" s="218"/>
      <c r="E401" s="218"/>
      <c r="F401" s="218"/>
      <c r="G401" s="218" t="s">
        <v>265</v>
      </c>
      <c r="H401" s="244">
        <f t="shared" ref="H401:I401" si="89">SUBTOTAL(9,H395:H399)</f>
        <v>124332.07</v>
      </c>
      <c r="I401" s="244">
        <f t="shared" si="89"/>
        <v>686979.61</v>
      </c>
      <c r="J401" s="219">
        <f t="shared" ref="J401:Q401" si="90">SUBTOTAL(9,J395:J399)</f>
        <v>811311.67999999993</v>
      </c>
      <c r="K401" s="220">
        <f t="shared" si="90"/>
        <v>0</v>
      </c>
      <c r="L401" s="220">
        <f t="shared" si="90"/>
        <v>0</v>
      </c>
      <c r="M401" s="246">
        <f t="shared" si="90"/>
        <v>0</v>
      </c>
      <c r="N401" s="247">
        <f t="shared" si="90"/>
        <v>0</v>
      </c>
      <c r="O401" s="247">
        <f>SUBTOTAL(9,O395:O399)</f>
        <v>811311.67999999993</v>
      </c>
      <c r="P401" s="254">
        <f t="shared" si="90"/>
        <v>15567.88</v>
      </c>
      <c r="Q401" s="254">
        <f t="shared" si="90"/>
        <v>826879.55999999994</v>
      </c>
      <c r="R401" s="246"/>
      <c r="S401" s="246"/>
    </row>
    <row r="402" spans="1:19" s="18" customFormat="1" ht="15.6" outlineLevel="2">
      <c r="A402" s="169" t="s">
        <v>1201</v>
      </c>
      <c r="B402" s="262" t="s">
        <v>1262</v>
      </c>
      <c r="C402" s="163" t="s">
        <v>293</v>
      </c>
      <c r="D402" s="263" t="s">
        <v>99</v>
      </c>
      <c r="E402" s="263" t="s">
        <v>294</v>
      </c>
      <c r="F402" s="263" t="s">
        <v>128</v>
      </c>
      <c r="G402" s="263" t="s">
        <v>295</v>
      </c>
      <c r="H402" s="164"/>
      <c r="I402" s="164"/>
      <c r="J402" s="200">
        <f>SUM(H402+I402)</f>
        <v>0</v>
      </c>
      <c r="K402" s="231"/>
      <c r="L402" s="231"/>
      <c r="M402" s="262"/>
      <c r="N402" s="264"/>
      <c r="O402" s="164">
        <f>+J402-N402</f>
        <v>0</v>
      </c>
      <c r="P402" s="167">
        <f>ROUND(((O402/$R$1)*$R$2),2)</f>
        <v>0</v>
      </c>
      <c r="Q402" s="164">
        <f>+N402+O402+P402</f>
        <v>0</v>
      </c>
      <c r="R402" s="488" t="s">
        <v>761</v>
      </c>
      <c r="S402" s="672" t="s">
        <v>1350</v>
      </c>
    </row>
    <row r="403" spans="1:19" s="24" customFormat="1" ht="15.6" outlineLevel="2">
      <c r="A403" s="258"/>
      <c r="B403" s="265"/>
      <c r="C403" s="260"/>
      <c r="D403" s="261" t="s">
        <v>269</v>
      </c>
      <c r="E403" s="260"/>
      <c r="F403" s="260"/>
      <c r="G403" s="260"/>
      <c r="H403" s="240">
        <f>SUBTOTAL(9,H402:H402)</f>
        <v>0</v>
      </c>
      <c r="I403" s="240">
        <f>SUBTOTAL(9,I402:I402)</f>
        <v>0</v>
      </c>
      <c r="J403" s="194">
        <f t="shared" ref="J403:Q403" si="91">SUBTOTAL(9,J402:J402)</f>
        <v>0</v>
      </c>
      <c r="K403" s="195">
        <f t="shared" si="91"/>
        <v>0</v>
      </c>
      <c r="L403" s="195">
        <f t="shared" si="91"/>
        <v>0</v>
      </c>
      <c r="M403" s="239">
        <f t="shared" si="91"/>
        <v>0</v>
      </c>
      <c r="N403" s="240">
        <f t="shared" si="91"/>
        <v>0</v>
      </c>
      <c r="O403" s="240">
        <f t="shared" si="91"/>
        <v>0</v>
      </c>
      <c r="P403" s="248">
        <f t="shared" si="91"/>
        <v>0</v>
      </c>
      <c r="Q403" s="248">
        <f t="shared" si="91"/>
        <v>0</v>
      </c>
      <c r="R403" s="450"/>
      <c r="S403" s="265"/>
    </row>
    <row r="404" spans="1:19" s="10" customFormat="1" ht="15.6" outlineLevel="2">
      <c r="A404" s="216"/>
      <c r="B404" s="242"/>
      <c r="C404" s="218"/>
      <c r="D404" s="218"/>
      <c r="E404" s="218"/>
      <c r="F404" s="246"/>
      <c r="G404" s="218" t="s">
        <v>296</v>
      </c>
      <c r="H404" s="244">
        <f t="shared" ref="H404:Q404" si="92">SUBTOTAL(9,H402:H402)</f>
        <v>0</v>
      </c>
      <c r="I404" s="244">
        <f t="shared" si="92"/>
        <v>0</v>
      </c>
      <c r="J404" s="219">
        <f t="shared" si="92"/>
        <v>0</v>
      </c>
      <c r="K404" s="220">
        <f t="shared" si="92"/>
        <v>0</v>
      </c>
      <c r="L404" s="220">
        <f t="shared" si="92"/>
        <v>0</v>
      </c>
      <c r="M404" s="246">
        <f t="shared" si="92"/>
        <v>0</v>
      </c>
      <c r="N404" s="247">
        <f t="shared" si="92"/>
        <v>0</v>
      </c>
      <c r="O404" s="247">
        <f t="shared" si="92"/>
        <v>0</v>
      </c>
      <c r="P404" s="254">
        <f t="shared" si="92"/>
        <v>0</v>
      </c>
      <c r="Q404" s="254">
        <f t="shared" si="92"/>
        <v>0</v>
      </c>
      <c r="R404" s="246"/>
      <c r="S404" s="246"/>
    </row>
    <row r="405" spans="1:19" ht="15.6" outlineLevel="4">
      <c r="A405" s="169"/>
      <c r="B405" s="162"/>
      <c r="C405" s="163"/>
      <c r="D405" s="163" t="s">
        <v>106</v>
      </c>
      <c r="E405" s="163"/>
      <c r="F405" s="163" t="s">
        <v>128</v>
      </c>
      <c r="G405" s="163" t="s">
        <v>180</v>
      </c>
      <c r="H405" s="164"/>
      <c r="I405" s="164"/>
      <c r="J405" s="168">
        <f>SUM(H405+I405)</f>
        <v>0</v>
      </c>
      <c r="K405" s="249"/>
      <c r="L405" s="249"/>
      <c r="M405" s="172"/>
      <c r="N405" s="173"/>
      <c r="O405" s="173">
        <f>+J405-N405</f>
        <v>0</v>
      </c>
      <c r="P405" s="199">
        <f>ROUND(((O405/$R$1)*$R$2),2)</f>
        <v>0</v>
      </c>
      <c r="Q405" s="173">
        <f>+N405+O405+P405</f>
        <v>0</v>
      </c>
      <c r="R405" s="447"/>
      <c r="S405" s="172"/>
    </row>
    <row r="406" spans="1:19" s="11" customFormat="1" ht="15.6" outlineLevel="3">
      <c r="A406" s="191"/>
      <c r="B406" s="234"/>
      <c r="C406" s="193"/>
      <c r="D406" s="193" t="s">
        <v>267</v>
      </c>
      <c r="E406" s="193"/>
      <c r="F406" s="193"/>
      <c r="G406" s="193"/>
      <c r="H406" s="236">
        <f t="shared" ref="H406:Q406" si="93">SUBTOTAL(9,H405:H405)</f>
        <v>0</v>
      </c>
      <c r="I406" s="236">
        <f t="shared" si="93"/>
        <v>0</v>
      </c>
      <c r="J406" s="194">
        <f t="shared" si="93"/>
        <v>0</v>
      </c>
      <c r="K406" s="195">
        <f t="shared" si="93"/>
        <v>0</v>
      </c>
      <c r="L406" s="195">
        <f t="shared" si="93"/>
        <v>0</v>
      </c>
      <c r="M406" s="239">
        <f t="shared" si="93"/>
        <v>0</v>
      </c>
      <c r="N406" s="240">
        <f t="shared" si="93"/>
        <v>0</v>
      </c>
      <c r="O406" s="240">
        <f t="shared" si="93"/>
        <v>0</v>
      </c>
      <c r="P406" s="248">
        <f t="shared" si="93"/>
        <v>0</v>
      </c>
      <c r="Q406" s="248">
        <f t="shared" si="93"/>
        <v>0</v>
      </c>
      <c r="R406" s="239"/>
      <c r="S406" s="239"/>
    </row>
    <row r="407" spans="1:19" ht="15.6" outlineLevel="4">
      <c r="A407" s="169" t="s">
        <v>1202</v>
      </c>
      <c r="B407" s="162" t="s">
        <v>669</v>
      </c>
      <c r="C407" s="163" t="s">
        <v>170</v>
      </c>
      <c r="D407" s="163" t="s">
        <v>99</v>
      </c>
      <c r="E407" s="163" t="s">
        <v>27</v>
      </c>
      <c r="F407" s="163" t="s">
        <v>128</v>
      </c>
      <c r="G407" s="163" t="s">
        <v>180</v>
      </c>
      <c r="H407" s="164">
        <f>VLOOKUP(A407,'3. K0215-REFERENCE'!A:D,3,FALSE)</f>
        <v>274488.52</v>
      </c>
      <c r="I407" s="164">
        <f>VLOOKUP(A407,'3. K0215-REFERENCE'!A:D,4,FALSE)</f>
        <v>212577.8</v>
      </c>
      <c r="J407" s="168">
        <f>SUM(H407+I407)</f>
        <v>487066.32</v>
      </c>
      <c r="K407" s="249"/>
      <c r="L407" s="249"/>
      <c r="M407" s="172"/>
      <c r="N407" s="173"/>
      <c r="O407" s="173">
        <f>+J407-N407</f>
        <v>487066.32</v>
      </c>
      <c r="P407" s="199">
        <f>ROUND(((O407/$R$1)*$R$2),2)</f>
        <v>9346.09</v>
      </c>
      <c r="Q407" s="173">
        <f>+N407+O407+P407</f>
        <v>496412.41000000003</v>
      </c>
      <c r="R407" s="448" t="s">
        <v>762</v>
      </c>
      <c r="S407" s="672" t="s">
        <v>1350</v>
      </c>
    </row>
    <row r="408" spans="1:19" ht="15.6" outlineLevel="4">
      <c r="A408" s="169" t="s">
        <v>1203</v>
      </c>
      <c r="B408" s="162" t="s">
        <v>720</v>
      </c>
      <c r="C408" s="163" t="s">
        <v>155</v>
      </c>
      <c r="D408" s="163" t="s">
        <v>99</v>
      </c>
      <c r="E408" s="163" t="s">
        <v>843</v>
      </c>
      <c r="F408" s="163" t="s">
        <v>128</v>
      </c>
      <c r="G408" s="163" t="s">
        <v>180</v>
      </c>
      <c r="H408" s="164">
        <f>VLOOKUP(A408,'3. K0215-REFERENCE'!A:D,3,FALSE)</f>
        <v>13631753.619999999</v>
      </c>
      <c r="I408" s="164">
        <f>VLOOKUP(A408,'3. K0215-REFERENCE'!A:D,4,FALSE)</f>
        <v>22535340.09</v>
      </c>
      <c r="J408" s="168">
        <f>SUM(H408+I408)</f>
        <v>36167093.710000001</v>
      </c>
      <c r="K408" s="249"/>
      <c r="L408" s="249"/>
      <c r="M408" s="172"/>
      <c r="N408" s="173"/>
      <c r="O408" s="173">
        <f>+J408-N408</f>
        <v>36167093.710000001</v>
      </c>
      <c r="P408" s="199">
        <f>ROUND(((O408/$R$1)*$R$2),2)</f>
        <v>693993.54</v>
      </c>
      <c r="Q408" s="173">
        <f>+N408+O408+P408</f>
        <v>36861087.25</v>
      </c>
      <c r="R408" s="448" t="s">
        <v>844</v>
      </c>
      <c r="S408" s="672" t="s">
        <v>1350</v>
      </c>
    </row>
    <row r="409" spans="1:19" s="11" customFormat="1" ht="15.6" outlineLevel="3">
      <c r="A409" s="191"/>
      <c r="B409" s="234"/>
      <c r="C409" s="193"/>
      <c r="D409" s="193" t="s">
        <v>269</v>
      </c>
      <c r="E409" s="193"/>
      <c r="F409" s="193"/>
      <c r="G409" s="193"/>
      <c r="H409" s="236">
        <f t="shared" ref="H409:Q409" si="94">SUBTOTAL(9,H407:H408)</f>
        <v>13906242.139999999</v>
      </c>
      <c r="I409" s="236">
        <f t="shared" si="94"/>
        <v>22747917.890000001</v>
      </c>
      <c r="J409" s="194">
        <f t="shared" si="94"/>
        <v>36654160.030000001</v>
      </c>
      <c r="K409" s="195">
        <f t="shared" si="94"/>
        <v>0</v>
      </c>
      <c r="L409" s="195">
        <f t="shared" si="94"/>
        <v>0</v>
      </c>
      <c r="M409" s="239">
        <f t="shared" si="94"/>
        <v>0</v>
      </c>
      <c r="N409" s="240">
        <f t="shared" si="94"/>
        <v>0</v>
      </c>
      <c r="O409" s="240">
        <f t="shared" si="94"/>
        <v>36654160.030000001</v>
      </c>
      <c r="P409" s="240">
        <f t="shared" si="94"/>
        <v>703339.63</v>
      </c>
      <c r="Q409" s="240">
        <f t="shared" si="94"/>
        <v>37357499.659999996</v>
      </c>
      <c r="R409" s="239"/>
      <c r="S409" s="239"/>
    </row>
    <row r="410" spans="1:19" ht="15.6" outlineLevel="4">
      <c r="A410" s="169" t="s">
        <v>1205</v>
      </c>
      <c r="B410" s="162" t="s">
        <v>736</v>
      </c>
      <c r="C410" s="163" t="s">
        <v>138</v>
      </c>
      <c r="D410" s="163" t="s">
        <v>10</v>
      </c>
      <c r="E410" s="163" t="s">
        <v>182</v>
      </c>
      <c r="F410" s="163" t="s">
        <v>128</v>
      </c>
      <c r="G410" s="163" t="s">
        <v>180</v>
      </c>
      <c r="H410" s="164">
        <f>VLOOKUP(A410,'3. K0215-REFERENCE'!A:D,3,FALSE)</f>
        <v>2423572.75</v>
      </c>
      <c r="I410" s="164">
        <f>VLOOKUP(A410,'3. K0215-REFERENCE'!A:D,4,FALSE)</f>
        <v>8495464.6199999992</v>
      </c>
      <c r="J410" s="168">
        <f>SUM(H410+I410)</f>
        <v>10919037.369999999</v>
      </c>
      <c r="K410" s="249"/>
      <c r="L410" s="249"/>
      <c r="M410" s="172"/>
      <c r="N410" s="173"/>
      <c r="O410" s="173">
        <f>+J410-N410</f>
        <v>10919037.369999999</v>
      </c>
      <c r="P410" s="199">
        <f>ROUND(((O410/$R$1)*$R$2),2)</f>
        <v>209520.33</v>
      </c>
      <c r="Q410" s="173">
        <f>+N410+O410+P410</f>
        <v>11128557.699999999</v>
      </c>
      <c r="R410" s="172"/>
      <c r="S410" s="172"/>
    </row>
    <row r="411" spans="1:19" ht="15.6" outlineLevel="4">
      <c r="A411" s="169" t="s">
        <v>1206</v>
      </c>
      <c r="B411" s="162" t="s">
        <v>737</v>
      </c>
      <c r="C411" s="163" t="s">
        <v>138</v>
      </c>
      <c r="D411" s="163" t="s">
        <v>10</v>
      </c>
      <c r="E411" s="163" t="s">
        <v>182</v>
      </c>
      <c r="F411" s="163" t="s">
        <v>128</v>
      </c>
      <c r="G411" s="163" t="s">
        <v>180</v>
      </c>
      <c r="H411" s="164">
        <f>VLOOKUP(A411,'3. K0215-REFERENCE'!A:D,3,FALSE)</f>
        <v>1356917.46</v>
      </c>
      <c r="I411" s="164">
        <f>VLOOKUP(A411,'3. K0215-REFERENCE'!A:D,4,FALSE)</f>
        <v>3771817.53</v>
      </c>
      <c r="J411" s="168">
        <f>SUM(H411+I411)</f>
        <v>5128734.99</v>
      </c>
      <c r="K411" s="249"/>
      <c r="L411" s="249"/>
      <c r="M411" s="172"/>
      <c r="N411" s="173"/>
      <c r="O411" s="173">
        <f>+J411-N411</f>
        <v>5128734.99</v>
      </c>
      <c r="P411" s="199">
        <f>ROUND(((O411/$R$1)*$R$2),2)</f>
        <v>98412.91</v>
      </c>
      <c r="Q411" s="173">
        <f>+N411+O411+P411</f>
        <v>5227147.9000000004</v>
      </c>
      <c r="R411" s="448"/>
      <c r="S411" s="172"/>
    </row>
    <row r="412" spans="1:19" s="11" customFormat="1" ht="15.6" outlineLevel="3">
      <c r="A412" s="191"/>
      <c r="B412" s="234"/>
      <c r="C412" s="193"/>
      <c r="D412" s="193" t="s">
        <v>270</v>
      </c>
      <c r="E412" s="193"/>
      <c r="F412" s="193"/>
      <c r="G412" s="193"/>
      <c r="H412" s="236">
        <f t="shared" ref="H412:I412" si="95">SUBTOTAL(9,H410:H411)</f>
        <v>3780490.21</v>
      </c>
      <c r="I412" s="236">
        <f t="shared" si="95"/>
        <v>12267282.149999999</v>
      </c>
      <c r="J412" s="194">
        <f t="shared" ref="J412:Q412" si="96">SUBTOTAL(9,J410:J411)</f>
        <v>16047772.359999999</v>
      </c>
      <c r="K412" s="195">
        <f t="shared" si="96"/>
        <v>0</v>
      </c>
      <c r="L412" s="195">
        <f t="shared" si="96"/>
        <v>0</v>
      </c>
      <c r="M412" s="239">
        <f t="shared" si="96"/>
        <v>0</v>
      </c>
      <c r="N412" s="240">
        <f t="shared" si="96"/>
        <v>0</v>
      </c>
      <c r="O412" s="240">
        <f>SUBTOTAL(9,O410:O411)</f>
        <v>16047772.359999999</v>
      </c>
      <c r="P412" s="248">
        <f t="shared" si="96"/>
        <v>307933.24</v>
      </c>
      <c r="Q412" s="248">
        <f t="shared" si="96"/>
        <v>16355705.6</v>
      </c>
      <c r="R412" s="450" t="s">
        <v>803</v>
      </c>
      <c r="S412" s="672" t="s">
        <v>1350</v>
      </c>
    </row>
    <row r="413" spans="1:19" s="10" customFormat="1" ht="15.6" outlineLevel="2">
      <c r="A413" s="216"/>
      <c r="B413" s="242"/>
      <c r="C413" s="218"/>
      <c r="D413" s="218"/>
      <c r="E413" s="218"/>
      <c r="F413" s="218"/>
      <c r="G413" s="218" t="s">
        <v>266</v>
      </c>
      <c r="H413" s="244">
        <f t="shared" ref="H413:I413" si="97">SUBTOTAL(9,H405:H412)</f>
        <v>17686732.349999998</v>
      </c>
      <c r="I413" s="244">
        <f t="shared" si="97"/>
        <v>35015200.039999999</v>
      </c>
      <c r="J413" s="219">
        <f t="shared" ref="J413:Q413" si="98">SUBTOTAL(9,J405:J412)</f>
        <v>52701932.390000001</v>
      </c>
      <c r="K413" s="220">
        <f t="shared" si="98"/>
        <v>0</v>
      </c>
      <c r="L413" s="220">
        <f t="shared" si="98"/>
        <v>0</v>
      </c>
      <c r="M413" s="246">
        <f t="shared" si="98"/>
        <v>0</v>
      </c>
      <c r="N413" s="247">
        <f t="shared" si="98"/>
        <v>0</v>
      </c>
      <c r="O413" s="247">
        <f t="shared" si="98"/>
        <v>52701932.390000001</v>
      </c>
      <c r="P413" s="254">
        <f t="shared" si="98"/>
        <v>1011272.87</v>
      </c>
      <c r="Q413" s="247">
        <f t="shared" si="98"/>
        <v>53713205.259999998</v>
      </c>
      <c r="R413" s="530"/>
      <c r="S413" s="246"/>
    </row>
    <row r="414" spans="1:19" s="9" customFormat="1" ht="15.6" outlineLevel="1">
      <c r="A414" s="222"/>
      <c r="B414" s="266"/>
      <c r="C414" s="224"/>
      <c r="D414" s="224"/>
      <c r="E414" s="224"/>
      <c r="F414" s="224" t="s">
        <v>255</v>
      </c>
      <c r="G414" s="224"/>
      <c r="H414" s="267">
        <f>SUBTOTAL(9,H294:H411)</f>
        <v>311433122.60999984</v>
      </c>
      <c r="I414" s="267">
        <f>SUBTOTAL(9,I294:I411)</f>
        <v>613679638.39000022</v>
      </c>
      <c r="J414" s="225">
        <f t="shared" ref="J414:Q414" si="99">SUBTOTAL(9,J294:J412)</f>
        <v>924047681.13</v>
      </c>
      <c r="K414" s="226">
        <f t="shared" si="99"/>
        <v>0</v>
      </c>
      <c r="L414" s="226">
        <f t="shared" si="99"/>
        <v>0</v>
      </c>
      <c r="M414" s="268">
        <f t="shared" si="99"/>
        <v>0</v>
      </c>
      <c r="N414" s="269">
        <f t="shared" si="99"/>
        <v>0</v>
      </c>
      <c r="O414" s="269">
        <f t="shared" si="99"/>
        <v>965818614.15300143</v>
      </c>
      <c r="P414" s="270">
        <f t="shared" si="99"/>
        <v>18532644.059999995</v>
      </c>
      <c r="Q414" s="270">
        <f t="shared" si="99"/>
        <v>984351258.21300125</v>
      </c>
      <c r="R414" s="452"/>
      <c r="S414" s="671" t="s">
        <v>1350</v>
      </c>
    </row>
    <row r="415" spans="1:19" ht="15.6" outlineLevel="4">
      <c r="A415" s="169" t="s">
        <v>1207</v>
      </c>
      <c r="B415" s="162" t="s">
        <v>84</v>
      </c>
      <c r="C415" s="163" t="s">
        <v>141</v>
      </c>
      <c r="D415" s="163" t="s">
        <v>106</v>
      </c>
      <c r="E415" s="163" t="s">
        <v>178</v>
      </c>
      <c r="F415" s="163" t="s">
        <v>105</v>
      </c>
      <c r="G415" s="163" t="s">
        <v>179</v>
      </c>
      <c r="H415" s="164">
        <f>VLOOKUP(A415,'3. K0215-REFERENCE'!A:D,3,FALSE)</f>
        <v>2772462.44</v>
      </c>
      <c r="I415" s="164">
        <f>VLOOKUP(A415,'3. K0215-REFERENCE'!A:D,4,FALSE)</f>
        <v>6950562.3499999996</v>
      </c>
      <c r="J415" s="200">
        <f>SUM(H415+I415)</f>
        <v>9723024.7899999991</v>
      </c>
      <c r="K415" s="249"/>
      <c r="L415" s="249"/>
      <c r="M415" s="172"/>
      <c r="N415" s="173"/>
      <c r="O415" s="173">
        <f>+J415-N415</f>
        <v>9723024.7899999991</v>
      </c>
      <c r="P415" s="199">
        <f>ROUND(((O415/$R$1)*$R$2),2)</f>
        <v>186570.6</v>
      </c>
      <c r="Q415" s="173">
        <f>+N415+O415+P415</f>
        <v>9909595.3899999987</v>
      </c>
      <c r="R415" s="172"/>
      <c r="S415" s="207"/>
    </row>
    <row r="416" spans="1:19" s="11" customFormat="1" ht="15.6" outlineLevel="3">
      <c r="A416" s="191"/>
      <c r="B416" s="234"/>
      <c r="C416" s="193"/>
      <c r="D416" s="193" t="s">
        <v>267</v>
      </c>
      <c r="E416" s="193"/>
      <c r="F416" s="193"/>
      <c r="G416" s="193"/>
      <c r="H416" s="236">
        <f t="shared" ref="H416:I416" si="100">SUBTOTAL(9,H415:H415)</f>
        <v>2772462.44</v>
      </c>
      <c r="I416" s="236">
        <f t="shared" si="100"/>
        <v>6950562.3499999996</v>
      </c>
      <c r="J416" s="194">
        <f t="shared" ref="J416:Q416" si="101">SUBTOTAL(9,J415:J415)</f>
        <v>9723024.7899999991</v>
      </c>
      <c r="K416" s="195">
        <f t="shared" si="101"/>
        <v>0</v>
      </c>
      <c r="L416" s="195">
        <f t="shared" si="101"/>
        <v>0</v>
      </c>
      <c r="M416" s="239">
        <f t="shared" si="101"/>
        <v>0</v>
      </c>
      <c r="N416" s="240">
        <f t="shared" si="101"/>
        <v>0</v>
      </c>
      <c r="O416" s="240">
        <f t="shared" si="101"/>
        <v>9723024.7899999991</v>
      </c>
      <c r="P416" s="248">
        <f t="shared" si="101"/>
        <v>186570.6</v>
      </c>
      <c r="Q416" s="240">
        <f t="shared" si="101"/>
        <v>9909595.3899999987</v>
      </c>
      <c r="R416" s="239"/>
      <c r="S416" s="239"/>
    </row>
    <row r="417" spans="1:19" s="10" customFormat="1" ht="15.6" outlineLevel="2">
      <c r="A417" s="216"/>
      <c r="B417" s="242"/>
      <c r="C417" s="218"/>
      <c r="D417" s="218"/>
      <c r="E417" s="218"/>
      <c r="F417" s="218"/>
      <c r="G417" s="218" t="s">
        <v>258</v>
      </c>
      <c r="H417" s="244">
        <f t="shared" ref="H417:I417" si="102">SUBTOTAL(9,H415:H415)</f>
        <v>2772462.44</v>
      </c>
      <c r="I417" s="244">
        <f t="shared" si="102"/>
        <v>6950562.3499999996</v>
      </c>
      <c r="J417" s="219">
        <f t="shared" ref="J417:Q417" si="103">SUBTOTAL(9,J415:J415)</f>
        <v>9723024.7899999991</v>
      </c>
      <c r="K417" s="220">
        <f t="shared" si="103"/>
        <v>0</v>
      </c>
      <c r="L417" s="220">
        <f t="shared" si="103"/>
        <v>0</v>
      </c>
      <c r="M417" s="246">
        <f t="shared" si="103"/>
        <v>0</v>
      </c>
      <c r="N417" s="247">
        <f t="shared" si="103"/>
        <v>0</v>
      </c>
      <c r="O417" s="247">
        <f t="shared" si="103"/>
        <v>9723024.7899999991</v>
      </c>
      <c r="P417" s="254">
        <f t="shared" si="103"/>
        <v>186570.6</v>
      </c>
      <c r="Q417" s="247">
        <f t="shared" si="103"/>
        <v>9909595.3899999987</v>
      </c>
      <c r="R417" s="246"/>
      <c r="S417" s="246"/>
    </row>
    <row r="418" spans="1:19" s="9" customFormat="1" ht="15.6" outlineLevel="1">
      <c r="A418" s="222"/>
      <c r="B418" s="266"/>
      <c r="C418" s="224"/>
      <c r="D418" s="224"/>
      <c r="E418" s="224"/>
      <c r="F418" s="224" t="s">
        <v>256</v>
      </c>
      <c r="G418" s="224"/>
      <c r="H418" s="267">
        <f>SUBTOTAL(9,H415)</f>
        <v>2772462.44</v>
      </c>
      <c r="I418" s="267">
        <f>SUBTOTAL(9,I415)</f>
        <v>6950562.3499999996</v>
      </c>
      <c r="J418" s="225">
        <f t="shared" ref="J418:Q418" si="104">SUBTOTAL(9,J415)</f>
        <v>9723024.7899999991</v>
      </c>
      <c r="K418" s="226">
        <f t="shared" si="104"/>
        <v>0</v>
      </c>
      <c r="L418" s="226">
        <f t="shared" si="104"/>
        <v>0</v>
      </c>
      <c r="M418" s="269">
        <f t="shared" si="104"/>
        <v>0</v>
      </c>
      <c r="N418" s="269">
        <f t="shared" si="104"/>
        <v>0</v>
      </c>
      <c r="O418" s="269">
        <f t="shared" si="104"/>
        <v>9723024.7899999991</v>
      </c>
      <c r="P418" s="269">
        <f t="shared" si="104"/>
        <v>186570.6</v>
      </c>
      <c r="Q418" s="269">
        <f t="shared" si="104"/>
        <v>9909595.3899999987</v>
      </c>
      <c r="R418" s="671" t="s">
        <v>1350</v>
      </c>
      <c r="S418" s="268"/>
    </row>
    <row r="419" spans="1:19" ht="15.6" outlineLevel="4">
      <c r="A419" s="169" t="s">
        <v>1208</v>
      </c>
      <c r="B419" s="162" t="s">
        <v>714</v>
      </c>
      <c r="C419" s="163" t="s">
        <v>593</v>
      </c>
      <c r="D419" s="163" t="s">
        <v>106</v>
      </c>
      <c r="E419" s="163" t="s">
        <v>12</v>
      </c>
      <c r="F419" s="163" t="s">
        <v>11</v>
      </c>
      <c r="G419" s="163" t="s">
        <v>101</v>
      </c>
      <c r="H419" s="164">
        <f>VLOOKUP(A419,'3. K0215-REFERENCE'!A:D,3,FALSE)</f>
        <v>634489.29</v>
      </c>
      <c r="I419" s="164">
        <f>VLOOKUP(A419,'3. K0215-REFERENCE'!A:D,4,FALSE)</f>
        <v>1219049.97</v>
      </c>
      <c r="J419" s="168">
        <f t="shared" ref="J419:J428" si="105">SUM(H419+I419)</f>
        <v>1853539.26</v>
      </c>
      <c r="K419" s="249"/>
      <c r="L419" s="249"/>
      <c r="M419" s="172"/>
      <c r="N419" s="173"/>
      <c r="O419" s="173">
        <f>+J419-N419</f>
        <v>1853539.26</v>
      </c>
      <c r="P419" s="199">
        <f t="shared" ref="P419:P428" si="106">ROUND(((O419/$R$1)*$R$2),2)</f>
        <v>35566.699999999997</v>
      </c>
      <c r="Q419" s="173">
        <f t="shared" ref="Q419:Q428" si="107">+N419+O419+P419</f>
        <v>1889105.96</v>
      </c>
      <c r="R419" s="172"/>
      <c r="S419" s="172"/>
    </row>
    <row r="420" spans="1:19" ht="15.6" outlineLevel="4">
      <c r="A420" s="169" t="s">
        <v>1209</v>
      </c>
      <c r="B420" s="162" t="s">
        <v>715</v>
      </c>
      <c r="C420" s="163" t="s">
        <v>593</v>
      </c>
      <c r="D420" s="163" t="s">
        <v>106</v>
      </c>
      <c r="E420" s="163" t="s">
        <v>12</v>
      </c>
      <c r="F420" s="163" t="s">
        <v>11</v>
      </c>
      <c r="G420" s="163" t="s">
        <v>101</v>
      </c>
      <c r="H420" s="164">
        <f>VLOOKUP(A420,'3. K0215-REFERENCE'!A:D,3,FALSE)</f>
        <v>78509.7</v>
      </c>
      <c r="I420" s="164">
        <f>VLOOKUP(A420,'3. K0215-REFERENCE'!A:D,4,FALSE)</f>
        <v>515205.35</v>
      </c>
      <c r="J420" s="168">
        <f t="shared" si="105"/>
        <v>593715.04999999993</v>
      </c>
      <c r="K420" s="249"/>
      <c r="L420" s="249"/>
      <c r="M420" s="172"/>
      <c r="N420" s="173"/>
      <c r="O420" s="173">
        <f>+J420-N420</f>
        <v>593715.04999999993</v>
      </c>
      <c r="P420" s="199">
        <f t="shared" si="106"/>
        <v>11392.52</v>
      </c>
      <c r="Q420" s="173">
        <f t="shared" si="107"/>
        <v>605107.56999999995</v>
      </c>
      <c r="R420" s="172"/>
      <c r="S420" s="172"/>
    </row>
    <row r="421" spans="1:19" ht="15.6" outlineLevel="4">
      <c r="A421" s="169" t="s">
        <v>1210</v>
      </c>
      <c r="B421" s="162" t="s">
        <v>716</v>
      </c>
      <c r="C421" s="163" t="s">
        <v>593</v>
      </c>
      <c r="D421" s="163" t="s">
        <v>106</v>
      </c>
      <c r="E421" s="163" t="s">
        <v>12</v>
      </c>
      <c r="F421" s="163" t="s">
        <v>11</v>
      </c>
      <c r="G421" s="163" t="s">
        <v>101</v>
      </c>
      <c r="H421" s="164">
        <f>VLOOKUP(A421,'3. K0215-REFERENCE'!A:D,3,FALSE)</f>
        <v>4857011.29</v>
      </c>
      <c r="I421" s="164">
        <f>VLOOKUP(A421,'3. K0215-REFERENCE'!A:D,4,FALSE)</f>
        <v>12508082.710000001</v>
      </c>
      <c r="J421" s="168">
        <f t="shared" si="105"/>
        <v>17365094</v>
      </c>
      <c r="K421" s="249"/>
      <c r="L421" s="249"/>
      <c r="M421" s="172"/>
      <c r="N421" s="173"/>
      <c r="O421" s="173">
        <f>+J421-N421</f>
        <v>17365094</v>
      </c>
      <c r="P421" s="199">
        <f t="shared" si="106"/>
        <v>333210.71000000002</v>
      </c>
      <c r="Q421" s="173">
        <f t="shared" si="107"/>
        <v>17698304.710000001</v>
      </c>
      <c r="R421" s="172"/>
      <c r="S421" s="172"/>
    </row>
    <row r="422" spans="1:19" ht="15.6" outlineLevel="4">
      <c r="A422" s="169" t="s">
        <v>1211</v>
      </c>
      <c r="B422" s="162" t="s">
        <v>78</v>
      </c>
      <c r="C422" s="163" t="s">
        <v>593</v>
      </c>
      <c r="D422" s="163" t="s">
        <v>106</v>
      </c>
      <c r="E422" s="163" t="s">
        <v>12</v>
      </c>
      <c r="F422" s="163" t="s">
        <v>11</v>
      </c>
      <c r="G422" s="163" t="s">
        <v>101</v>
      </c>
      <c r="H422" s="164"/>
      <c r="I422" s="164"/>
      <c r="J422" s="168">
        <f t="shared" si="105"/>
        <v>0</v>
      </c>
      <c r="K422" s="249"/>
      <c r="L422" s="249"/>
      <c r="M422" s="172"/>
      <c r="N422" s="173"/>
      <c r="O422" s="173">
        <f>+J422-N422</f>
        <v>0</v>
      </c>
      <c r="P422" s="199">
        <f t="shared" si="106"/>
        <v>0</v>
      </c>
      <c r="Q422" s="173">
        <f t="shared" si="107"/>
        <v>0</v>
      </c>
      <c r="R422" s="172"/>
      <c r="S422" s="172"/>
    </row>
    <row r="423" spans="1:19" s="14" customFormat="1" ht="15.6" outlineLevel="4">
      <c r="A423" s="169" t="s">
        <v>1212</v>
      </c>
      <c r="B423" s="162" t="s">
        <v>718</v>
      </c>
      <c r="C423" s="163" t="s">
        <v>593</v>
      </c>
      <c r="D423" s="163" t="s">
        <v>106</v>
      </c>
      <c r="E423" s="163" t="s">
        <v>12</v>
      </c>
      <c r="F423" s="163" t="s">
        <v>11</v>
      </c>
      <c r="G423" s="163" t="s">
        <v>101</v>
      </c>
      <c r="H423" s="164"/>
      <c r="I423" s="164"/>
      <c r="J423" s="168">
        <f t="shared" si="105"/>
        <v>0</v>
      </c>
      <c r="K423" s="249"/>
      <c r="L423" s="249"/>
      <c r="M423" s="165"/>
      <c r="N423" s="166"/>
      <c r="O423" s="164">
        <f>+J423-N423</f>
        <v>0</v>
      </c>
      <c r="P423" s="199">
        <f t="shared" si="106"/>
        <v>0</v>
      </c>
      <c r="Q423" s="173">
        <f t="shared" si="107"/>
        <v>0</v>
      </c>
      <c r="R423" s="165"/>
      <c r="S423" s="165"/>
    </row>
    <row r="424" spans="1:19" ht="15.6" outlineLevel="4">
      <c r="A424" s="169" t="s">
        <v>1213</v>
      </c>
      <c r="B424" s="162" t="s">
        <v>78</v>
      </c>
      <c r="C424" s="163" t="s">
        <v>593</v>
      </c>
      <c r="D424" s="163" t="s">
        <v>106</v>
      </c>
      <c r="E424" s="163" t="s">
        <v>12</v>
      </c>
      <c r="F424" s="163" t="s">
        <v>11</v>
      </c>
      <c r="G424" s="163" t="s">
        <v>101</v>
      </c>
      <c r="H424" s="164">
        <f>VLOOKUP(A424,'3. K0215-REFERENCE'!A:D,3,FALSE)</f>
        <v>81702.52</v>
      </c>
      <c r="I424" s="164">
        <f>VLOOKUP(A424,'3. K0215-REFERENCE'!A:D,4,FALSE)</f>
        <v>76117.570000000007</v>
      </c>
      <c r="J424" s="168">
        <f t="shared" si="105"/>
        <v>157820.09000000003</v>
      </c>
      <c r="K424" s="249"/>
      <c r="L424" s="249"/>
      <c r="M424" s="172"/>
      <c r="N424" s="173"/>
      <c r="O424" s="173">
        <f>+J424-N424</f>
        <v>157820.09000000003</v>
      </c>
      <c r="P424" s="199">
        <f t="shared" si="106"/>
        <v>3028.34</v>
      </c>
      <c r="Q424" s="173">
        <f t="shared" si="107"/>
        <v>160848.43000000002</v>
      </c>
      <c r="R424" s="172"/>
      <c r="S424" s="172"/>
    </row>
    <row r="425" spans="1:19" ht="15.6" outlineLevel="4">
      <c r="A425" s="169" t="s">
        <v>1214</v>
      </c>
      <c r="B425" s="162" t="s">
        <v>78</v>
      </c>
      <c r="C425" s="163" t="s">
        <v>593</v>
      </c>
      <c r="D425" s="163" t="s">
        <v>106</v>
      </c>
      <c r="E425" s="163" t="s">
        <v>12</v>
      </c>
      <c r="F425" s="163" t="s">
        <v>11</v>
      </c>
      <c r="G425" s="163" t="s">
        <v>101</v>
      </c>
      <c r="H425" s="164">
        <f>VLOOKUP(A425,'3. K0215-REFERENCE'!A:D,3,FALSE)</f>
        <v>13351.47</v>
      </c>
      <c r="I425" s="164">
        <f>VLOOKUP(A425,'3. K0215-REFERENCE'!A:D,4,FALSE)</f>
        <v>183867.21</v>
      </c>
      <c r="J425" s="168">
        <f t="shared" si="105"/>
        <v>197218.68</v>
      </c>
      <c r="K425" s="249"/>
      <c r="L425" s="249"/>
      <c r="M425" s="172"/>
      <c r="N425" s="173"/>
      <c r="O425" s="173">
        <f>+J425-N425</f>
        <v>197218.68</v>
      </c>
      <c r="P425" s="199">
        <f t="shared" si="106"/>
        <v>3784.34</v>
      </c>
      <c r="Q425" s="173">
        <f t="shared" si="107"/>
        <v>201003.02</v>
      </c>
      <c r="R425" s="172"/>
      <c r="S425" s="172"/>
    </row>
    <row r="426" spans="1:19" ht="15.6" outlineLevel="4">
      <c r="A426" s="169" t="s">
        <v>1215</v>
      </c>
      <c r="B426" s="162" t="s">
        <v>78</v>
      </c>
      <c r="C426" s="163" t="s">
        <v>593</v>
      </c>
      <c r="D426" s="163" t="s">
        <v>106</v>
      </c>
      <c r="E426" s="163" t="s">
        <v>12</v>
      </c>
      <c r="F426" s="163" t="s">
        <v>11</v>
      </c>
      <c r="G426" s="163" t="s">
        <v>101</v>
      </c>
      <c r="H426" s="164">
        <f>VLOOKUP(A426,'3. K0215-REFERENCE'!A:D,3,FALSE)</f>
        <v>29977.97</v>
      </c>
      <c r="I426" s="164">
        <f>VLOOKUP(A426,'3. K0215-REFERENCE'!A:D,4,FALSE)</f>
        <v>103562.98</v>
      </c>
      <c r="J426" s="168">
        <f t="shared" si="105"/>
        <v>133540.95000000001</v>
      </c>
      <c r="K426" s="249"/>
      <c r="L426" s="249"/>
      <c r="M426" s="172"/>
      <c r="N426" s="173"/>
      <c r="O426" s="173">
        <f>+J426-N426</f>
        <v>133540.95000000001</v>
      </c>
      <c r="P426" s="199">
        <f t="shared" si="106"/>
        <v>2562.46</v>
      </c>
      <c r="Q426" s="173">
        <f t="shared" si="107"/>
        <v>136103.41</v>
      </c>
      <c r="R426" s="172"/>
      <c r="S426" s="172"/>
    </row>
    <row r="427" spans="1:19" ht="15.6" outlineLevel="4">
      <c r="A427" s="169" t="s">
        <v>1216</v>
      </c>
      <c r="B427" s="162" t="s">
        <v>717</v>
      </c>
      <c r="C427" s="163" t="s">
        <v>593</v>
      </c>
      <c r="D427" s="163" t="s">
        <v>106</v>
      </c>
      <c r="E427" s="163" t="s">
        <v>12</v>
      </c>
      <c r="F427" s="163" t="s">
        <v>11</v>
      </c>
      <c r="G427" s="163" t="s">
        <v>101</v>
      </c>
      <c r="H427" s="164">
        <f>VLOOKUP(A427,'3. K0215-REFERENCE'!A:D,3,FALSE)</f>
        <v>29061.439999999999</v>
      </c>
      <c r="I427" s="164">
        <f>VLOOKUP(A427,'3. K0215-REFERENCE'!A:D,4,FALSE)</f>
        <v>92069.49</v>
      </c>
      <c r="J427" s="168">
        <f t="shared" si="105"/>
        <v>121130.93000000001</v>
      </c>
      <c r="K427" s="249"/>
      <c r="L427" s="249"/>
      <c r="M427" s="172"/>
      <c r="N427" s="173"/>
      <c r="O427" s="173">
        <f>+J427-N427</f>
        <v>121130.93000000001</v>
      </c>
      <c r="P427" s="199">
        <f t="shared" si="106"/>
        <v>2324.33</v>
      </c>
      <c r="Q427" s="173">
        <f>+N427+O427+P427</f>
        <v>123455.26000000001</v>
      </c>
      <c r="R427" s="172"/>
      <c r="S427" s="172"/>
    </row>
    <row r="428" spans="1:19" s="17" customFormat="1" ht="15.6" outlineLevel="4">
      <c r="A428" s="169" t="s">
        <v>1217</v>
      </c>
      <c r="B428" s="162" t="s">
        <v>717</v>
      </c>
      <c r="C428" s="163" t="s">
        <v>593</v>
      </c>
      <c r="D428" s="163" t="s">
        <v>106</v>
      </c>
      <c r="E428" s="163" t="s">
        <v>12</v>
      </c>
      <c r="F428" s="163" t="s">
        <v>11</v>
      </c>
      <c r="G428" s="163" t="s">
        <v>101</v>
      </c>
      <c r="H428" s="164">
        <f>VLOOKUP(A428,'3. K0215-REFERENCE'!A:D,3,FALSE)</f>
        <v>1405141.85</v>
      </c>
      <c r="I428" s="164">
        <f>VLOOKUP(A428,'3. K0215-REFERENCE'!A:D,4,FALSE)</f>
        <v>3377897.83</v>
      </c>
      <c r="J428" s="168">
        <f t="shared" si="105"/>
        <v>4783039.68</v>
      </c>
      <c r="K428" s="249"/>
      <c r="L428" s="249"/>
      <c r="M428" s="162"/>
      <c r="N428" s="164"/>
      <c r="O428" s="164">
        <f>+J428-N428</f>
        <v>4783039.68</v>
      </c>
      <c r="P428" s="167">
        <f t="shared" si="106"/>
        <v>91779.520000000004</v>
      </c>
      <c r="Q428" s="164">
        <f t="shared" si="107"/>
        <v>4874819.1999999993</v>
      </c>
      <c r="R428" s="162"/>
      <c r="S428" s="162"/>
    </row>
    <row r="429" spans="1:19" s="11" customFormat="1" ht="15.6" outlineLevel="3">
      <c r="A429" s="191"/>
      <c r="B429" s="234"/>
      <c r="C429" s="193"/>
      <c r="D429" s="193" t="s">
        <v>607</v>
      </c>
      <c r="E429" s="193"/>
      <c r="F429" s="193"/>
      <c r="G429" s="193"/>
      <c r="H429" s="236">
        <f t="shared" ref="H429:I429" si="108">SUBTOTAL(9,H419:H428)</f>
        <v>7129245.5299999993</v>
      </c>
      <c r="I429" s="236">
        <f t="shared" si="108"/>
        <v>18075853.110000003</v>
      </c>
      <c r="J429" s="194">
        <f>SUBTOTAL(9,J419:J428)</f>
        <v>25205098.639999997</v>
      </c>
      <c r="K429" s="195">
        <f t="shared" ref="K429:P429" si="109">SUBTOTAL(9,K419:K428)</f>
        <v>0</v>
      </c>
      <c r="L429" s="195">
        <f t="shared" si="109"/>
        <v>0</v>
      </c>
      <c r="M429" s="239">
        <f t="shared" si="109"/>
        <v>0</v>
      </c>
      <c r="N429" s="240">
        <f t="shared" si="109"/>
        <v>0</v>
      </c>
      <c r="O429" s="240">
        <f>SUBTOTAL(9,O419:O428)</f>
        <v>25205098.639999997</v>
      </c>
      <c r="P429" s="248">
        <f t="shared" si="109"/>
        <v>483648.92000000016</v>
      </c>
      <c r="Q429" s="240">
        <f>SUBTOTAL(9,Q419:Q428)</f>
        <v>25688747.560000002</v>
      </c>
      <c r="R429" s="239"/>
      <c r="S429" s="239"/>
    </row>
    <row r="430" spans="1:19" s="10" customFormat="1" ht="15.6" outlineLevel="2">
      <c r="A430" s="216"/>
      <c r="B430" s="242"/>
      <c r="C430" s="218"/>
      <c r="D430" s="218"/>
      <c r="E430" s="218"/>
      <c r="F430" s="218"/>
      <c r="G430" s="218" t="s">
        <v>254</v>
      </c>
      <c r="H430" s="244">
        <f>SUBTOTAL(9,H419:H428)</f>
        <v>7129245.5299999993</v>
      </c>
      <c r="I430" s="244">
        <f>SUBTOTAL(9,I419:I428)</f>
        <v>18075853.110000003</v>
      </c>
      <c r="J430" s="219">
        <f t="shared" ref="J430:Q430" si="110">SUBTOTAL(9,J419:J428)</f>
        <v>25205098.639999997</v>
      </c>
      <c r="K430" s="220">
        <f t="shared" si="110"/>
        <v>0</v>
      </c>
      <c r="L430" s="220">
        <f t="shared" si="110"/>
        <v>0</v>
      </c>
      <c r="M430" s="246">
        <f t="shared" si="110"/>
        <v>0</v>
      </c>
      <c r="N430" s="247">
        <f t="shared" si="110"/>
        <v>0</v>
      </c>
      <c r="O430" s="247">
        <f t="shared" si="110"/>
        <v>25205098.639999997</v>
      </c>
      <c r="P430" s="254">
        <f t="shared" si="110"/>
        <v>483648.92000000016</v>
      </c>
      <c r="Q430" s="247">
        <f t="shared" si="110"/>
        <v>25688747.560000002</v>
      </c>
      <c r="R430" s="246"/>
      <c r="S430" s="246"/>
    </row>
    <row r="431" spans="1:19" ht="15.6" outlineLevel="4">
      <c r="A431" s="623" t="s">
        <v>1316</v>
      </c>
      <c r="B431" s="172" t="s">
        <v>1315</v>
      </c>
      <c r="C431" s="163" t="s">
        <v>171</v>
      </c>
      <c r="D431" s="163" t="s">
        <v>100</v>
      </c>
      <c r="E431" s="163" t="s">
        <v>102</v>
      </c>
      <c r="F431" s="163">
        <v>500</v>
      </c>
      <c r="G431" s="163">
        <v>200</v>
      </c>
      <c r="H431" s="164"/>
      <c r="I431" s="164"/>
      <c r="J431" s="170">
        <f>SUM(H431+I431)</f>
        <v>0</v>
      </c>
      <c r="K431" s="249"/>
      <c r="L431" s="249"/>
      <c r="M431" s="172"/>
      <c r="N431" s="173"/>
      <c r="O431" s="173">
        <f>+J431-N431</f>
        <v>0</v>
      </c>
      <c r="P431" s="199">
        <f t="shared" ref="P431" si="111">ROUND(((O431/$R$1)*$R$2),2)</f>
        <v>0</v>
      </c>
      <c r="Q431" s="173">
        <f t="shared" ref="Q431" si="112">+N431+O431+P431</f>
        <v>0</v>
      </c>
      <c r="R431" s="172"/>
      <c r="S431" s="172"/>
    </row>
    <row r="432" spans="1:19" ht="15.6" outlineLevel="4">
      <c r="A432" s="623" t="s">
        <v>1293</v>
      </c>
      <c r="B432" s="172" t="s">
        <v>1294</v>
      </c>
      <c r="C432" s="163">
        <v>5420</v>
      </c>
      <c r="D432" s="163" t="s">
        <v>100</v>
      </c>
      <c r="E432" s="163" t="s">
        <v>102</v>
      </c>
      <c r="F432" s="163">
        <v>500</v>
      </c>
      <c r="G432" s="163">
        <v>200</v>
      </c>
      <c r="H432" s="164">
        <f>VLOOKUP(A432,'3. K0215-REFERENCE'!A:D,3,FALSE)</f>
        <v>4060</v>
      </c>
      <c r="I432" s="164">
        <f>VLOOKUP(A432,'3. K0215-REFERENCE'!A:D,4,FALSE)</f>
        <v>69219.070000000007</v>
      </c>
      <c r="J432" s="170">
        <f>SUM(H432+I432)</f>
        <v>73279.070000000007</v>
      </c>
      <c r="K432" s="249"/>
      <c r="L432" s="249"/>
      <c r="M432" s="172"/>
      <c r="N432" s="173"/>
      <c r="O432" s="173">
        <f>+J432-N432</f>
        <v>73279.070000000007</v>
      </c>
      <c r="P432" s="199">
        <f t="shared" ref="P432" si="113">ROUND(((O432/$R$1)*$R$2),2)</f>
        <v>1406.12</v>
      </c>
      <c r="Q432" s="173">
        <f t="shared" ref="Q432" si="114">+N432+O432+P432</f>
        <v>74685.19</v>
      </c>
      <c r="R432" s="172"/>
      <c r="S432" s="172"/>
    </row>
    <row r="433" spans="1:19" s="578" customFormat="1" ht="15.6" outlineLevel="2">
      <c r="A433" s="570"/>
      <c r="B433" s="571"/>
      <c r="C433" s="572"/>
      <c r="D433" s="572" t="s">
        <v>272</v>
      </c>
      <c r="E433" s="572"/>
      <c r="F433" s="572"/>
      <c r="G433" s="572"/>
      <c r="H433" s="573">
        <f>SUBTOTAL(9,H431:H432)</f>
        <v>4060</v>
      </c>
      <c r="I433" s="573">
        <f>SUBTOTAL(9,I431:I432)</f>
        <v>69219.070000000007</v>
      </c>
      <c r="J433" s="574">
        <f t="shared" ref="J433:N433" si="115">SUBTOTAL(9,J432:J432)</f>
        <v>73279.070000000007</v>
      </c>
      <c r="K433" s="575">
        <f t="shared" si="115"/>
        <v>0</v>
      </c>
      <c r="L433" s="575">
        <f t="shared" si="115"/>
        <v>0</v>
      </c>
      <c r="M433" s="576">
        <f t="shared" si="115"/>
        <v>0</v>
      </c>
      <c r="N433" s="577">
        <f t="shared" si="115"/>
        <v>0</v>
      </c>
      <c r="O433" s="577">
        <f>SUBTOTAL(9,O431:O432)</f>
        <v>73279.070000000007</v>
      </c>
      <c r="P433" s="577">
        <f t="shared" ref="P433:Q433" si="116">SUBTOTAL(9,P431:P432)</f>
        <v>1406.12</v>
      </c>
      <c r="Q433" s="577">
        <f t="shared" si="116"/>
        <v>74685.19</v>
      </c>
      <c r="R433" s="576"/>
      <c r="S433" s="576"/>
    </row>
    <row r="434" spans="1:19" s="10" customFormat="1" ht="15.6" outlineLevel="2">
      <c r="A434" s="216"/>
      <c r="B434" s="242"/>
      <c r="C434" s="218"/>
      <c r="D434" s="218"/>
      <c r="E434" s="218"/>
      <c r="F434" s="218"/>
      <c r="G434" s="218" t="s">
        <v>255</v>
      </c>
      <c r="H434" s="244">
        <f>SUBTOTAL(9,H432:H432)</f>
        <v>4060</v>
      </c>
      <c r="I434" s="244">
        <f>SUBTOTAL(9,I432:I432)</f>
        <v>69219.070000000007</v>
      </c>
      <c r="J434" s="219">
        <f>SUBTOTAL(9,J432:J432)</f>
        <v>73279.070000000007</v>
      </c>
      <c r="K434" s="220">
        <f t="shared" ref="K434:Q434" si="117">SUBTOTAL(9,K432:K432)</f>
        <v>0</v>
      </c>
      <c r="L434" s="220">
        <f t="shared" si="117"/>
        <v>0</v>
      </c>
      <c r="M434" s="246">
        <f t="shared" si="117"/>
        <v>0</v>
      </c>
      <c r="N434" s="247">
        <f t="shared" si="117"/>
        <v>0</v>
      </c>
      <c r="O434" s="247">
        <f t="shared" si="117"/>
        <v>73279.070000000007</v>
      </c>
      <c r="P434" s="254">
        <f t="shared" si="117"/>
        <v>1406.12</v>
      </c>
      <c r="Q434" s="247">
        <f t="shared" si="117"/>
        <v>74685.19</v>
      </c>
      <c r="R434" s="246"/>
      <c r="S434" s="246"/>
    </row>
    <row r="435" spans="1:19" ht="15.6" outlineLevel="4">
      <c r="A435" s="169" t="s">
        <v>1219</v>
      </c>
      <c r="B435" s="162" t="s">
        <v>728</v>
      </c>
      <c r="C435" s="163" t="s">
        <v>164</v>
      </c>
      <c r="D435" s="163" t="s">
        <v>10</v>
      </c>
      <c r="E435" s="163" t="s">
        <v>34</v>
      </c>
      <c r="F435" s="163" t="s">
        <v>11</v>
      </c>
      <c r="G435" s="163" t="s">
        <v>105</v>
      </c>
      <c r="H435" s="164">
        <f>VLOOKUP(A435,'3. K0215-REFERENCE'!A:D,3,FALSE)</f>
        <v>173744.04</v>
      </c>
      <c r="I435" s="164">
        <f>VLOOKUP(A435,'3. K0215-REFERENCE'!A:D,4,FALSE)</f>
        <v>263430.57</v>
      </c>
      <c r="J435" s="168">
        <f t="shared" ref="J435:J442" si="118">SUM(H435+I435)</f>
        <v>437174.61</v>
      </c>
      <c r="K435" s="249"/>
      <c r="L435" s="249"/>
      <c r="M435" s="172"/>
      <c r="N435" s="173"/>
      <c r="O435" s="173">
        <f>+J435-N435</f>
        <v>437174.61</v>
      </c>
      <c r="P435" s="199">
        <f t="shared" ref="P435:P442" si="119">ROUND(((O435/$R$1)*$R$2),2)</f>
        <v>8388.74</v>
      </c>
      <c r="Q435" s="173">
        <f t="shared" ref="Q435:Q442" si="120">+N435+O435+P435</f>
        <v>445563.35</v>
      </c>
      <c r="R435" s="172"/>
      <c r="S435" s="172"/>
    </row>
    <row r="436" spans="1:19" ht="15.6" outlineLevel="4">
      <c r="A436" s="169" t="s">
        <v>1220</v>
      </c>
      <c r="B436" s="162" t="s">
        <v>729</v>
      </c>
      <c r="C436" s="163" t="s">
        <v>164</v>
      </c>
      <c r="D436" s="163" t="s">
        <v>10</v>
      </c>
      <c r="E436" s="163" t="s">
        <v>34</v>
      </c>
      <c r="F436" s="163" t="s">
        <v>11</v>
      </c>
      <c r="G436" s="163" t="s">
        <v>105</v>
      </c>
      <c r="H436" s="164">
        <f>VLOOKUP(A436,'3. K0215-REFERENCE'!A:D,3,FALSE)</f>
        <v>43662.18</v>
      </c>
      <c r="I436" s="164">
        <f>VLOOKUP(A436,'3. K0215-REFERENCE'!A:D,4,FALSE)</f>
        <v>148416.35</v>
      </c>
      <c r="J436" s="168">
        <f t="shared" si="118"/>
        <v>192078.53</v>
      </c>
      <c r="K436" s="249"/>
      <c r="L436" s="249"/>
      <c r="M436" s="172"/>
      <c r="N436" s="173"/>
      <c r="O436" s="173">
        <f>+J436-N436</f>
        <v>192078.53</v>
      </c>
      <c r="P436" s="199">
        <f t="shared" si="119"/>
        <v>3685.71</v>
      </c>
      <c r="Q436" s="173">
        <f t="shared" si="120"/>
        <v>195764.24</v>
      </c>
      <c r="R436" s="172"/>
      <c r="S436" s="172"/>
    </row>
    <row r="437" spans="1:19" ht="15.6" outlineLevel="4">
      <c r="A437" s="169" t="s">
        <v>1221</v>
      </c>
      <c r="B437" s="162" t="s">
        <v>730</v>
      </c>
      <c r="C437" s="163" t="s">
        <v>164</v>
      </c>
      <c r="D437" s="163" t="s">
        <v>10</v>
      </c>
      <c r="E437" s="163" t="s">
        <v>34</v>
      </c>
      <c r="F437" s="163" t="s">
        <v>11</v>
      </c>
      <c r="G437" s="163" t="s">
        <v>105</v>
      </c>
      <c r="H437" s="164">
        <f>VLOOKUP(A437,'3. K0215-REFERENCE'!A:D,3,FALSE)</f>
        <v>2821435.76</v>
      </c>
      <c r="I437" s="164">
        <f>VLOOKUP(A437,'3. K0215-REFERENCE'!A:D,4,FALSE)</f>
        <v>4217321.87</v>
      </c>
      <c r="J437" s="168">
        <f t="shared" si="118"/>
        <v>7038757.6299999999</v>
      </c>
      <c r="K437" s="249"/>
      <c r="L437" s="249"/>
      <c r="M437" s="172"/>
      <c r="N437" s="173"/>
      <c r="O437" s="173">
        <f>+J437-N437</f>
        <v>7038757.6299999999</v>
      </c>
      <c r="P437" s="199">
        <f t="shared" si="119"/>
        <v>135063.45000000001</v>
      </c>
      <c r="Q437" s="173">
        <f t="shared" si="120"/>
        <v>7173821.0800000001</v>
      </c>
      <c r="R437" s="172"/>
      <c r="S437" s="172"/>
    </row>
    <row r="438" spans="1:19" ht="15.6" outlineLevel="4">
      <c r="A438" s="169" t="s">
        <v>1222</v>
      </c>
      <c r="B438" s="162" t="s">
        <v>731</v>
      </c>
      <c r="C438" s="163" t="s">
        <v>164</v>
      </c>
      <c r="D438" s="163" t="s">
        <v>10</v>
      </c>
      <c r="E438" s="163" t="s">
        <v>34</v>
      </c>
      <c r="F438" s="163" t="s">
        <v>11</v>
      </c>
      <c r="G438" s="163" t="s">
        <v>105</v>
      </c>
      <c r="H438" s="164">
        <f>VLOOKUP(A438,'3. K0215-REFERENCE'!A:D,3,FALSE)</f>
        <v>38789.39</v>
      </c>
      <c r="I438" s="164">
        <f>VLOOKUP(A438,'3. K0215-REFERENCE'!A:D,4,FALSE)</f>
        <v>122081.85</v>
      </c>
      <c r="J438" s="168">
        <f t="shared" si="118"/>
        <v>160871.24</v>
      </c>
      <c r="K438" s="249"/>
      <c r="L438" s="249"/>
      <c r="M438" s="172"/>
      <c r="N438" s="173"/>
      <c r="O438" s="173">
        <f>+J438-N438</f>
        <v>160871.24</v>
      </c>
      <c r="P438" s="199">
        <f t="shared" si="119"/>
        <v>3086.88</v>
      </c>
      <c r="Q438" s="173">
        <f t="shared" si="120"/>
        <v>163958.12</v>
      </c>
      <c r="R438" s="172"/>
      <c r="S438" s="172"/>
    </row>
    <row r="439" spans="1:19" ht="15.6" outlineLevel="4">
      <c r="A439" s="169" t="s">
        <v>1223</v>
      </c>
      <c r="B439" s="162" t="s">
        <v>732</v>
      </c>
      <c r="C439" s="163" t="s">
        <v>164</v>
      </c>
      <c r="D439" s="163" t="s">
        <v>10</v>
      </c>
      <c r="E439" s="163" t="s">
        <v>34</v>
      </c>
      <c r="F439" s="163" t="s">
        <v>11</v>
      </c>
      <c r="G439" s="163" t="s">
        <v>105</v>
      </c>
      <c r="H439" s="164"/>
      <c r="I439" s="164"/>
      <c r="J439" s="168">
        <f t="shared" si="118"/>
        <v>0</v>
      </c>
      <c r="K439" s="249"/>
      <c r="L439" s="249"/>
      <c r="M439" s="172"/>
      <c r="N439" s="173"/>
      <c r="O439" s="173">
        <f>+J439-N439</f>
        <v>0</v>
      </c>
      <c r="P439" s="199">
        <f t="shared" si="119"/>
        <v>0</v>
      </c>
      <c r="Q439" s="173">
        <f t="shared" si="120"/>
        <v>0</v>
      </c>
      <c r="R439" s="172"/>
      <c r="S439" s="172"/>
    </row>
    <row r="440" spans="1:19" ht="15.6" outlineLevel="4">
      <c r="A440" s="169" t="s">
        <v>1224</v>
      </c>
      <c r="B440" s="162" t="s">
        <v>733</v>
      </c>
      <c r="C440" s="163" t="s">
        <v>164</v>
      </c>
      <c r="D440" s="163" t="s">
        <v>10</v>
      </c>
      <c r="E440" s="163" t="s">
        <v>34</v>
      </c>
      <c r="F440" s="163" t="s">
        <v>11</v>
      </c>
      <c r="G440" s="163" t="s">
        <v>105</v>
      </c>
      <c r="H440" s="164">
        <f>VLOOKUP(A440,'3. K0215-REFERENCE'!A:D,3,FALSE)</f>
        <v>502.52</v>
      </c>
      <c r="I440" s="164">
        <f>VLOOKUP(A440,'3. K0215-REFERENCE'!A:D,4,FALSE)</f>
        <v>90127.77</v>
      </c>
      <c r="J440" s="168">
        <f t="shared" si="118"/>
        <v>90630.290000000008</v>
      </c>
      <c r="K440" s="249"/>
      <c r="L440" s="249"/>
      <c r="M440" s="172"/>
      <c r="N440" s="173"/>
      <c r="O440" s="173">
        <f>+J440-N440</f>
        <v>90630.290000000008</v>
      </c>
      <c r="P440" s="199">
        <f t="shared" si="119"/>
        <v>1739.06</v>
      </c>
      <c r="Q440" s="173">
        <f t="shared" si="120"/>
        <v>92369.35</v>
      </c>
      <c r="R440" s="172"/>
      <c r="S440" s="172"/>
    </row>
    <row r="441" spans="1:19" ht="15.6" outlineLevel="4">
      <c r="A441" s="169" t="s">
        <v>1225</v>
      </c>
      <c r="B441" s="162" t="s">
        <v>734</v>
      </c>
      <c r="C441" s="163" t="s">
        <v>164</v>
      </c>
      <c r="D441" s="163" t="s">
        <v>10</v>
      </c>
      <c r="E441" s="163" t="s">
        <v>34</v>
      </c>
      <c r="F441" s="163" t="s">
        <v>11</v>
      </c>
      <c r="G441" s="163" t="s">
        <v>105</v>
      </c>
      <c r="H441" s="164"/>
      <c r="I441" s="164"/>
      <c r="J441" s="168">
        <f t="shared" si="118"/>
        <v>0</v>
      </c>
      <c r="K441" s="249"/>
      <c r="L441" s="249"/>
      <c r="M441" s="172"/>
      <c r="N441" s="173"/>
      <c r="O441" s="173">
        <f>+J441-N441</f>
        <v>0</v>
      </c>
      <c r="P441" s="199">
        <f>ROUND(((O441/$R$1)*$R$2),2)</f>
        <v>0</v>
      </c>
      <c r="Q441" s="173">
        <f t="shared" si="120"/>
        <v>0</v>
      </c>
      <c r="R441" s="172"/>
      <c r="S441" s="172"/>
    </row>
    <row r="442" spans="1:19" ht="15.6" outlineLevel="4">
      <c r="A442" s="169" t="s">
        <v>1226</v>
      </c>
      <c r="B442" s="162" t="s">
        <v>735</v>
      </c>
      <c r="C442" s="163" t="s">
        <v>164</v>
      </c>
      <c r="D442" s="163" t="s">
        <v>10</v>
      </c>
      <c r="E442" s="163" t="s">
        <v>34</v>
      </c>
      <c r="F442" s="163" t="s">
        <v>11</v>
      </c>
      <c r="G442" s="163" t="s">
        <v>105</v>
      </c>
      <c r="H442" s="164">
        <f>VLOOKUP(A442,'3. K0215-REFERENCE'!A:D,3,FALSE)</f>
        <v>110707.12</v>
      </c>
      <c r="I442" s="164">
        <f>VLOOKUP(A442,'3. K0215-REFERENCE'!A:D,4,FALSE)</f>
        <v>113757</v>
      </c>
      <c r="J442" s="168">
        <f t="shared" si="118"/>
        <v>224464.12</v>
      </c>
      <c r="K442" s="249"/>
      <c r="L442" s="249"/>
      <c r="M442" s="172"/>
      <c r="N442" s="173"/>
      <c r="O442" s="173">
        <f>+J442-N442</f>
        <v>224464.12</v>
      </c>
      <c r="P442" s="199">
        <f t="shared" si="119"/>
        <v>4307.1400000000003</v>
      </c>
      <c r="Q442" s="173">
        <f t="shared" si="120"/>
        <v>228771.26</v>
      </c>
      <c r="R442" s="172"/>
      <c r="S442" s="172"/>
    </row>
    <row r="443" spans="1:19" s="11" customFormat="1" ht="15.6" outlineLevel="3">
      <c r="A443" s="191"/>
      <c r="B443" s="234"/>
      <c r="C443" s="193"/>
      <c r="D443" s="193" t="s">
        <v>270</v>
      </c>
      <c r="E443" s="193"/>
      <c r="F443" s="193"/>
      <c r="G443" s="193"/>
      <c r="H443" s="236">
        <f t="shared" ref="H443:I443" si="121">SUBTOTAL(9,H435:H442)</f>
        <v>3188841.0100000002</v>
      </c>
      <c r="I443" s="236">
        <f t="shared" si="121"/>
        <v>4955135.4099999992</v>
      </c>
      <c r="J443" s="194">
        <f t="shared" ref="J443:Q443" si="122">SUBTOTAL(9,J435:J442)</f>
        <v>8143976.4199999999</v>
      </c>
      <c r="K443" s="195">
        <f t="shared" si="122"/>
        <v>0</v>
      </c>
      <c r="L443" s="195">
        <f t="shared" si="122"/>
        <v>0</v>
      </c>
      <c r="M443" s="239">
        <f t="shared" si="122"/>
        <v>0</v>
      </c>
      <c r="N443" s="240">
        <f t="shared" si="122"/>
        <v>0</v>
      </c>
      <c r="O443" s="240">
        <f t="shared" si="122"/>
        <v>8143976.4199999999</v>
      </c>
      <c r="P443" s="248">
        <f t="shared" si="122"/>
        <v>156270.98000000004</v>
      </c>
      <c r="Q443" s="240">
        <f t="shared" si="122"/>
        <v>8300247.3999999994</v>
      </c>
      <c r="R443" s="239"/>
      <c r="S443" s="239"/>
    </row>
    <row r="444" spans="1:19" s="10" customFormat="1" ht="15.6" outlineLevel="2">
      <c r="A444" s="216"/>
      <c r="B444" s="242"/>
      <c r="C444" s="218"/>
      <c r="D444" s="218"/>
      <c r="E444" s="218"/>
      <c r="F444" s="218"/>
      <c r="G444" s="218" t="s">
        <v>256</v>
      </c>
      <c r="H444" s="244">
        <f t="shared" ref="H444:I444" si="123">SUBTOTAL(9,H435:H442)</f>
        <v>3188841.0100000002</v>
      </c>
      <c r="I444" s="244">
        <f t="shared" si="123"/>
        <v>4955135.4099999992</v>
      </c>
      <c r="J444" s="219">
        <f t="shared" ref="J444:Q444" si="124">SUBTOTAL(9,J435:J442)</f>
        <v>8143976.4199999999</v>
      </c>
      <c r="K444" s="220">
        <f t="shared" si="124"/>
        <v>0</v>
      </c>
      <c r="L444" s="220">
        <f t="shared" si="124"/>
        <v>0</v>
      </c>
      <c r="M444" s="246">
        <f t="shared" si="124"/>
        <v>0</v>
      </c>
      <c r="N444" s="247">
        <f t="shared" si="124"/>
        <v>0</v>
      </c>
      <c r="O444" s="247">
        <f t="shared" si="124"/>
        <v>8143976.4199999999</v>
      </c>
      <c r="P444" s="254">
        <f t="shared" si="124"/>
        <v>156270.98000000004</v>
      </c>
      <c r="Q444" s="247">
        <f t="shared" si="124"/>
        <v>8300247.3999999994</v>
      </c>
      <c r="R444" s="246"/>
      <c r="S444" s="246"/>
    </row>
    <row r="445" spans="1:19" ht="15.6" outlineLevel="4">
      <c r="A445" s="169" t="s">
        <v>1227</v>
      </c>
      <c r="B445" s="162" t="s">
        <v>298</v>
      </c>
      <c r="C445" s="163" t="s">
        <v>594</v>
      </c>
      <c r="D445" s="163" t="s">
        <v>106</v>
      </c>
      <c r="E445" s="163" t="s">
        <v>248</v>
      </c>
      <c r="F445" s="163" t="s">
        <v>11</v>
      </c>
      <c r="G445" s="163" t="s">
        <v>179</v>
      </c>
      <c r="H445" s="164">
        <f>VLOOKUP(A445,'3. K0215-REFERENCE'!A:D,3,FALSE)</f>
        <v>27955.65</v>
      </c>
      <c r="I445" s="164">
        <f>VLOOKUP(A445,'3. K0215-REFERENCE'!A:D,4,FALSE)</f>
        <v>1520435.44</v>
      </c>
      <c r="J445" s="168">
        <f>SUM(H445+I445)</f>
        <v>1548391.0899999999</v>
      </c>
      <c r="K445" s="249"/>
      <c r="L445" s="249"/>
      <c r="M445" s="172"/>
      <c r="N445" s="173"/>
      <c r="O445" s="173">
        <f>+J445-N445</f>
        <v>1548391.0899999999</v>
      </c>
      <c r="P445" s="199">
        <f>ROUND(((O445/$R$1)*$R$2),2)</f>
        <v>29711.360000000001</v>
      </c>
      <c r="Q445" s="173">
        <f>+N445+O445+P445</f>
        <v>1578102.45</v>
      </c>
      <c r="R445" s="172"/>
      <c r="S445" s="172"/>
    </row>
    <row r="446" spans="1:19" ht="15.6" outlineLevel="4">
      <c r="A446" s="161" t="s">
        <v>1228</v>
      </c>
      <c r="B446" s="162" t="s">
        <v>1263</v>
      </c>
      <c r="C446" s="163" t="s">
        <v>594</v>
      </c>
      <c r="D446" s="163" t="s">
        <v>106</v>
      </c>
      <c r="E446" s="163" t="s">
        <v>248</v>
      </c>
      <c r="F446" s="163" t="s">
        <v>11</v>
      </c>
      <c r="G446" s="163" t="s">
        <v>179</v>
      </c>
      <c r="H446" s="164"/>
      <c r="I446" s="164"/>
      <c r="J446" s="168">
        <f>SUM(H446+I446)</f>
        <v>0</v>
      </c>
      <c r="K446" s="249"/>
      <c r="L446" s="249"/>
      <c r="M446" s="172"/>
      <c r="N446" s="173"/>
      <c r="O446" s="173">
        <v>0</v>
      </c>
      <c r="P446" s="199">
        <v>0</v>
      </c>
      <c r="Q446" s="173">
        <v>0</v>
      </c>
      <c r="R446" s="172"/>
      <c r="S446" s="172"/>
    </row>
    <row r="447" spans="1:19" ht="15.6" outlineLevel="4">
      <c r="A447" s="161" t="s">
        <v>1229</v>
      </c>
      <c r="B447" s="162" t="s">
        <v>485</v>
      </c>
      <c r="C447" s="163" t="s">
        <v>594</v>
      </c>
      <c r="D447" s="163" t="s">
        <v>106</v>
      </c>
      <c r="E447" s="163" t="s">
        <v>248</v>
      </c>
      <c r="F447" s="163" t="s">
        <v>11</v>
      </c>
      <c r="G447" s="163" t="s">
        <v>179</v>
      </c>
      <c r="H447" s="164">
        <f>VLOOKUP(A447,'3. K0215-REFERENCE'!A:D,3,FALSE)</f>
        <v>1316.38</v>
      </c>
      <c r="I447" s="164">
        <f>VLOOKUP(A447,'3. K0215-REFERENCE'!A:D,4,FALSE)</f>
        <v>138661.74</v>
      </c>
      <c r="J447" s="168">
        <f>SUM(H447+I447)</f>
        <v>139978.12</v>
      </c>
      <c r="K447" s="249"/>
      <c r="L447" s="249"/>
      <c r="M447" s="172"/>
      <c r="N447" s="173"/>
      <c r="O447" s="173">
        <f>+J447-N447</f>
        <v>139978.12</v>
      </c>
      <c r="P447" s="199">
        <f>ROUND(((O447/$R$1)*$R$2),2)</f>
        <v>2685.98</v>
      </c>
      <c r="Q447" s="173">
        <f>+N447+O447+P447</f>
        <v>142664.1</v>
      </c>
      <c r="R447" s="172"/>
      <c r="S447" s="172"/>
    </row>
    <row r="448" spans="1:19" s="11" customFormat="1" ht="15.6" outlineLevel="3">
      <c r="A448" s="191"/>
      <c r="B448" s="234"/>
      <c r="C448" s="193"/>
      <c r="D448" s="193" t="s">
        <v>267</v>
      </c>
      <c r="E448" s="193"/>
      <c r="F448" s="193"/>
      <c r="G448" s="193"/>
      <c r="H448" s="236">
        <f t="shared" ref="H448:I448" si="125">SUBTOTAL(9,H445:H447)</f>
        <v>29272.030000000002</v>
      </c>
      <c r="I448" s="236">
        <f t="shared" si="125"/>
        <v>1659097.18</v>
      </c>
      <c r="J448" s="194">
        <f t="shared" ref="J448:Q448" si="126">SUBTOTAL(9,J445:J447)</f>
        <v>1688369.21</v>
      </c>
      <c r="K448" s="195">
        <f t="shared" si="126"/>
        <v>0</v>
      </c>
      <c r="L448" s="195">
        <f t="shared" si="126"/>
        <v>0</v>
      </c>
      <c r="M448" s="239">
        <f t="shared" si="126"/>
        <v>0</v>
      </c>
      <c r="N448" s="240">
        <f t="shared" si="126"/>
        <v>0</v>
      </c>
      <c r="O448" s="240">
        <f t="shared" si="126"/>
        <v>1688369.21</v>
      </c>
      <c r="P448" s="248">
        <f t="shared" si="126"/>
        <v>32397.34</v>
      </c>
      <c r="Q448" s="240">
        <f t="shared" si="126"/>
        <v>1720766.55</v>
      </c>
      <c r="R448" s="239"/>
      <c r="S448" s="239"/>
    </row>
    <row r="449" spans="1:19" s="17" customFormat="1" ht="15.6" outlineLevel="4">
      <c r="A449" s="161" t="s">
        <v>1230</v>
      </c>
      <c r="B449" s="162" t="s">
        <v>303</v>
      </c>
      <c r="C449" s="163" t="s">
        <v>300</v>
      </c>
      <c r="D449" s="163" t="s">
        <v>9</v>
      </c>
      <c r="E449" s="163" t="s">
        <v>248</v>
      </c>
      <c r="F449" s="163" t="s">
        <v>11</v>
      </c>
      <c r="G449" s="163" t="s">
        <v>179</v>
      </c>
      <c r="H449" s="164"/>
      <c r="I449" s="164"/>
      <c r="J449" s="200">
        <f>SUM(H449+I449)</f>
        <v>0</v>
      </c>
      <c r="K449" s="171"/>
      <c r="L449" s="171"/>
      <c r="M449" s="162"/>
      <c r="N449" s="164"/>
      <c r="O449" s="173">
        <f>+J449-N449</f>
        <v>0</v>
      </c>
      <c r="P449" s="167">
        <f>ROUND(((O449/$R$1)*$R$2),2)</f>
        <v>0</v>
      </c>
      <c r="Q449" s="164">
        <f>+N449+O449+P449</f>
        <v>0</v>
      </c>
      <c r="R449" s="162"/>
      <c r="S449" s="162"/>
    </row>
    <row r="450" spans="1:19" s="11" customFormat="1" ht="15.6" outlineLevel="3">
      <c r="A450" s="191"/>
      <c r="B450" s="234"/>
      <c r="C450" s="193"/>
      <c r="D450" s="193" t="s">
        <v>271</v>
      </c>
      <c r="E450" s="193"/>
      <c r="F450" s="193"/>
      <c r="G450" s="193"/>
      <c r="H450" s="236">
        <f t="shared" ref="H450:I450" si="127">SUBTOTAL(9,H449:H449)</f>
        <v>0</v>
      </c>
      <c r="I450" s="236">
        <f t="shared" si="127"/>
        <v>0</v>
      </c>
      <c r="J450" s="194">
        <f>SUBTOTAL(9,J449:J449)</f>
        <v>0</v>
      </c>
      <c r="K450" s="195">
        <f t="shared" ref="K450:Q450" si="128">SUBTOTAL(9,K449:K449)</f>
        <v>0</v>
      </c>
      <c r="L450" s="195">
        <f t="shared" si="128"/>
        <v>0</v>
      </c>
      <c r="M450" s="239">
        <f t="shared" si="128"/>
        <v>0</v>
      </c>
      <c r="N450" s="240">
        <f t="shared" si="128"/>
        <v>0</v>
      </c>
      <c r="O450" s="240">
        <f t="shared" si="128"/>
        <v>0</v>
      </c>
      <c r="P450" s="248">
        <f t="shared" si="128"/>
        <v>0</v>
      </c>
      <c r="Q450" s="240">
        <f t="shared" si="128"/>
        <v>0</v>
      </c>
      <c r="R450" s="239"/>
      <c r="S450" s="239"/>
    </row>
    <row r="451" spans="1:19" s="10" customFormat="1" ht="15.6" outlineLevel="2">
      <c r="A451" s="216"/>
      <c r="B451" s="242"/>
      <c r="C451" s="218"/>
      <c r="D451" s="218"/>
      <c r="E451" s="218"/>
      <c r="F451" s="218"/>
      <c r="G451" s="218" t="s">
        <v>258</v>
      </c>
      <c r="H451" s="244">
        <f t="shared" ref="H451:I451" si="129">SUBTOTAL(9,H445:H449)</f>
        <v>29272.030000000002</v>
      </c>
      <c r="I451" s="244">
        <f t="shared" si="129"/>
        <v>1659097.18</v>
      </c>
      <c r="J451" s="219">
        <f t="shared" ref="J451:Q451" si="130">SUBTOTAL(9,J445:J449)</f>
        <v>1688369.21</v>
      </c>
      <c r="K451" s="220">
        <f t="shared" si="130"/>
        <v>0</v>
      </c>
      <c r="L451" s="220">
        <f t="shared" si="130"/>
        <v>0</v>
      </c>
      <c r="M451" s="246">
        <f t="shared" si="130"/>
        <v>0</v>
      </c>
      <c r="N451" s="247">
        <f t="shared" si="130"/>
        <v>0</v>
      </c>
      <c r="O451" s="247">
        <f t="shared" si="130"/>
        <v>1688369.21</v>
      </c>
      <c r="P451" s="254">
        <f t="shared" si="130"/>
        <v>32397.34</v>
      </c>
      <c r="Q451" s="247">
        <f t="shared" si="130"/>
        <v>1720766.55</v>
      </c>
      <c r="R451" s="246"/>
      <c r="S451" s="246"/>
    </row>
    <row r="452" spans="1:19" ht="15.6" outlineLevel="2">
      <c r="A452" s="169" t="s">
        <v>1218</v>
      </c>
      <c r="B452" s="162" t="s">
        <v>672</v>
      </c>
      <c r="C452" s="163" t="s">
        <v>40</v>
      </c>
      <c r="D452" s="163" t="s">
        <v>99</v>
      </c>
      <c r="E452" s="163" t="s">
        <v>41</v>
      </c>
      <c r="F452" s="163" t="s">
        <v>11</v>
      </c>
      <c r="G452" s="163" t="s">
        <v>109</v>
      </c>
      <c r="H452" s="164">
        <f>VLOOKUP(A452,'3. K0215-REFERENCE'!A:D,3,FALSE)</f>
        <v>147318.59</v>
      </c>
      <c r="I452" s="164">
        <f>VLOOKUP(A452,'3. K0215-REFERENCE'!A:D,4,FALSE)</f>
        <v>121847.39</v>
      </c>
      <c r="J452" s="200">
        <f>SUM(H452+I452)</f>
        <v>269165.98</v>
      </c>
      <c r="K452" s="249"/>
      <c r="L452" s="249"/>
      <c r="M452" s="172"/>
      <c r="N452" s="173"/>
      <c r="O452" s="173">
        <f>+J452-N452</f>
        <v>269165.98</v>
      </c>
      <c r="P452" s="199">
        <f>ROUND(((O452/$R$1)*$R$2),2)</f>
        <v>5164.8999999999996</v>
      </c>
      <c r="Q452" s="173">
        <f>+N452+O452+P452</f>
        <v>274330.88</v>
      </c>
      <c r="R452" s="172"/>
      <c r="S452" s="172"/>
    </row>
    <row r="453" spans="1:19" s="11" customFormat="1" ht="15.6" outlineLevel="3">
      <c r="A453" s="191"/>
      <c r="B453" s="234"/>
      <c r="C453" s="193"/>
      <c r="D453" s="193" t="s">
        <v>269</v>
      </c>
      <c r="E453" s="193"/>
      <c r="F453" s="193"/>
      <c r="G453" s="193"/>
      <c r="H453" s="236">
        <f t="shared" ref="H453:I453" si="131">SUBTOTAL(9,H452:H452)</f>
        <v>147318.59</v>
      </c>
      <c r="I453" s="236">
        <f t="shared" si="131"/>
        <v>121847.39</v>
      </c>
      <c r="J453" s="194">
        <f t="shared" ref="J453:Q453" si="132">SUBTOTAL(9,J452:J452)</f>
        <v>269165.98</v>
      </c>
      <c r="K453" s="195">
        <f t="shared" si="132"/>
        <v>0</v>
      </c>
      <c r="L453" s="195">
        <f t="shared" si="132"/>
        <v>0</v>
      </c>
      <c r="M453" s="239">
        <f t="shared" si="132"/>
        <v>0</v>
      </c>
      <c r="N453" s="240">
        <f t="shared" si="132"/>
        <v>0</v>
      </c>
      <c r="O453" s="240">
        <f t="shared" si="132"/>
        <v>269165.98</v>
      </c>
      <c r="P453" s="248">
        <f t="shared" si="132"/>
        <v>5164.8999999999996</v>
      </c>
      <c r="Q453" s="240">
        <f t="shared" si="132"/>
        <v>274330.88</v>
      </c>
      <c r="R453" s="239"/>
      <c r="S453" s="239"/>
    </row>
    <row r="454" spans="1:19" s="10" customFormat="1" ht="15.6" outlineLevel="2">
      <c r="A454" s="216"/>
      <c r="B454" s="242"/>
      <c r="C454" s="218"/>
      <c r="D454" s="218"/>
      <c r="E454" s="218"/>
      <c r="F454" s="246"/>
      <c r="G454" s="218" t="s">
        <v>260</v>
      </c>
      <c r="H454" s="244">
        <f t="shared" ref="H454:I454" si="133">SUBTOTAL(9,H452:H452)</f>
        <v>147318.59</v>
      </c>
      <c r="I454" s="244">
        <f t="shared" si="133"/>
        <v>121847.39</v>
      </c>
      <c r="J454" s="219">
        <f t="shared" ref="J454:Q454" si="134">SUBTOTAL(9,J452:J452)</f>
        <v>269165.98</v>
      </c>
      <c r="K454" s="220">
        <f t="shared" si="134"/>
        <v>0</v>
      </c>
      <c r="L454" s="220">
        <f t="shared" si="134"/>
        <v>0</v>
      </c>
      <c r="M454" s="246">
        <f t="shared" si="134"/>
        <v>0</v>
      </c>
      <c r="N454" s="247">
        <f t="shared" si="134"/>
        <v>0</v>
      </c>
      <c r="O454" s="247">
        <f t="shared" si="134"/>
        <v>269165.98</v>
      </c>
      <c r="P454" s="254">
        <f t="shared" si="134"/>
        <v>5164.8999999999996</v>
      </c>
      <c r="Q454" s="247">
        <f t="shared" si="134"/>
        <v>274330.88</v>
      </c>
      <c r="R454" s="246"/>
      <c r="S454" s="246"/>
    </row>
    <row r="455" spans="1:19" s="9" customFormat="1" ht="15.6" outlineLevel="1">
      <c r="A455" s="222"/>
      <c r="B455" s="266"/>
      <c r="C455" s="224"/>
      <c r="D455" s="224"/>
      <c r="E455" s="224"/>
      <c r="F455" s="224" t="s">
        <v>257</v>
      </c>
      <c r="G455" s="224"/>
      <c r="H455" s="267">
        <f t="shared" ref="H455:Q455" si="135">SUBTOTAL(9,H419:H452)</f>
        <v>10498737.159999998</v>
      </c>
      <c r="I455" s="267">
        <f t="shared" si="135"/>
        <v>24881152.160000008</v>
      </c>
      <c r="J455" s="225">
        <f t="shared" si="135"/>
        <v>35379889.319999993</v>
      </c>
      <c r="K455" s="226">
        <f t="shared" si="135"/>
        <v>0</v>
      </c>
      <c r="L455" s="226">
        <f t="shared" si="135"/>
        <v>0</v>
      </c>
      <c r="M455" s="268">
        <f t="shared" si="135"/>
        <v>0</v>
      </c>
      <c r="N455" s="269">
        <f t="shared" si="135"/>
        <v>0</v>
      </c>
      <c r="O455" s="269">
        <f t="shared" si="135"/>
        <v>35379889.319999993</v>
      </c>
      <c r="P455" s="270">
        <f t="shared" si="135"/>
        <v>678888.26000000024</v>
      </c>
      <c r="Q455" s="270">
        <f t="shared" si="135"/>
        <v>36058777.580000006</v>
      </c>
      <c r="R455" s="671" t="s">
        <v>1350</v>
      </c>
      <c r="S455" s="268"/>
    </row>
    <row r="456" spans="1:19" ht="15.6" outlineLevel="2">
      <c r="A456" s="169"/>
      <c r="B456" s="162"/>
      <c r="C456" s="163"/>
      <c r="D456" s="163"/>
      <c r="E456" s="163"/>
      <c r="F456" s="163"/>
      <c r="G456" s="163"/>
      <c r="H456" s="164"/>
      <c r="I456" s="164"/>
      <c r="J456" s="200"/>
      <c r="K456" s="249"/>
      <c r="L456" s="249"/>
      <c r="M456" s="172"/>
      <c r="N456" s="173"/>
      <c r="O456" s="173"/>
      <c r="P456" s="199"/>
      <c r="Q456" s="173"/>
      <c r="R456" s="172"/>
      <c r="S456" s="172"/>
    </row>
    <row r="457" spans="1:19" s="11" customFormat="1" ht="15.6" outlineLevel="3">
      <c r="A457" s="191"/>
      <c r="B457" s="234"/>
      <c r="C457" s="193"/>
      <c r="D457" s="193" t="s">
        <v>273</v>
      </c>
      <c r="E457" s="193"/>
      <c r="F457" s="193"/>
      <c r="G457" s="193"/>
      <c r="H457" s="236">
        <f t="shared" ref="H457:I457" si="136">SUBTOTAL(9,H456:H456)</f>
        <v>0</v>
      </c>
      <c r="I457" s="236">
        <f t="shared" si="136"/>
        <v>0</v>
      </c>
      <c r="J457" s="194">
        <f t="shared" ref="J457:Q457" si="137">SUBTOTAL(9,J456:J456)</f>
        <v>0</v>
      </c>
      <c r="K457" s="195">
        <f t="shared" si="137"/>
        <v>0</v>
      </c>
      <c r="L457" s="195">
        <f t="shared" si="137"/>
        <v>0</v>
      </c>
      <c r="M457" s="239">
        <f t="shared" si="137"/>
        <v>0</v>
      </c>
      <c r="N457" s="240">
        <f t="shared" si="137"/>
        <v>0</v>
      </c>
      <c r="O457" s="240">
        <f t="shared" si="137"/>
        <v>0</v>
      </c>
      <c r="P457" s="248">
        <f t="shared" si="137"/>
        <v>0</v>
      </c>
      <c r="Q457" s="240">
        <f t="shared" si="137"/>
        <v>0</v>
      </c>
      <c r="R457" s="239"/>
      <c r="S457" s="239"/>
    </row>
    <row r="458" spans="1:19" s="10" customFormat="1" ht="15.6" outlineLevel="2">
      <c r="A458" s="216"/>
      <c r="B458" s="242"/>
      <c r="C458" s="218"/>
      <c r="D458" s="218"/>
      <c r="E458" s="218"/>
      <c r="F458" s="218"/>
      <c r="G458" s="218" t="s">
        <v>256</v>
      </c>
      <c r="H458" s="244">
        <f t="shared" ref="H458:I458" si="138">SUBTOTAL(9,H456:H456)</f>
        <v>0</v>
      </c>
      <c r="I458" s="244">
        <f t="shared" si="138"/>
        <v>0</v>
      </c>
      <c r="J458" s="219">
        <f t="shared" ref="J458:Q458" si="139">SUBTOTAL(9,J456:J456)</f>
        <v>0</v>
      </c>
      <c r="K458" s="220">
        <f t="shared" si="139"/>
        <v>0</v>
      </c>
      <c r="L458" s="220">
        <f t="shared" si="139"/>
        <v>0</v>
      </c>
      <c r="M458" s="246">
        <f t="shared" si="139"/>
        <v>0</v>
      </c>
      <c r="N458" s="247">
        <f t="shared" si="139"/>
        <v>0</v>
      </c>
      <c r="O458" s="247">
        <f t="shared" si="139"/>
        <v>0</v>
      </c>
      <c r="P458" s="254">
        <f t="shared" si="139"/>
        <v>0</v>
      </c>
      <c r="Q458" s="247">
        <f t="shared" si="139"/>
        <v>0</v>
      </c>
      <c r="R458" s="246"/>
      <c r="S458" s="246"/>
    </row>
    <row r="459" spans="1:19" s="9" customFormat="1" ht="15.6" outlineLevel="1">
      <c r="A459" s="222"/>
      <c r="B459" s="266"/>
      <c r="C459" s="224"/>
      <c r="D459" s="224"/>
      <c r="E459" s="224"/>
      <c r="F459" s="224" t="s">
        <v>259</v>
      </c>
      <c r="G459" s="224"/>
      <c r="H459" s="267">
        <f>SUBTOTAL(9,H456:H456)</f>
        <v>0</v>
      </c>
      <c r="I459" s="267">
        <f t="shared" ref="I459" si="140">SUBTOTAL(9,I456:I456)</f>
        <v>0</v>
      </c>
      <c r="J459" s="225">
        <f t="shared" ref="J459:P459" si="141">SUBTOTAL(9,J456:J456)</f>
        <v>0</v>
      </c>
      <c r="K459" s="226">
        <f t="shared" si="141"/>
        <v>0</v>
      </c>
      <c r="L459" s="226">
        <f t="shared" si="141"/>
        <v>0</v>
      </c>
      <c r="M459" s="268">
        <f t="shared" si="141"/>
        <v>0</v>
      </c>
      <c r="N459" s="269">
        <f t="shared" si="141"/>
        <v>0</v>
      </c>
      <c r="O459" s="269">
        <f>SUBTOTAL(9,O456:O456)</f>
        <v>0</v>
      </c>
      <c r="P459" s="270">
        <f t="shared" si="141"/>
        <v>0</v>
      </c>
      <c r="Q459" s="270">
        <f>SUBTOTAL(9,Q456:Q456)</f>
        <v>0</v>
      </c>
      <c r="R459" s="671"/>
      <c r="S459" s="268"/>
    </row>
    <row r="460" spans="1:19" ht="15.6" outlineLevel="4">
      <c r="A460" s="169" t="s">
        <v>1232</v>
      </c>
      <c r="B460" s="162" t="s">
        <v>742</v>
      </c>
      <c r="C460" s="163" t="s">
        <v>154</v>
      </c>
      <c r="D460" s="163" t="s">
        <v>9</v>
      </c>
      <c r="E460" s="163" t="s">
        <v>18</v>
      </c>
      <c r="F460" s="163" t="s">
        <v>109</v>
      </c>
      <c r="G460" s="163" t="s">
        <v>104</v>
      </c>
      <c r="H460" s="164">
        <f>VLOOKUP(A460,'3. K0215-REFERENCE'!A:D,3,FALSE)</f>
        <v>73243.320000000007</v>
      </c>
      <c r="I460" s="164">
        <f>VLOOKUP(A460,'3. K0215-REFERENCE'!A:D,4,FALSE)</f>
        <v>255697.2</v>
      </c>
      <c r="J460" s="168">
        <f>SUM(H460+I460)</f>
        <v>328940.52</v>
      </c>
      <c r="K460" s="249"/>
      <c r="L460" s="249"/>
      <c r="M460" s="172"/>
      <c r="N460" s="173"/>
      <c r="O460" s="164">
        <f>+J460-N460</f>
        <v>328940.52</v>
      </c>
      <c r="P460" s="199">
        <f>ROUND(((O460/$R$1)*$R$2),2)</f>
        <v>6311.89</v>
      </c>
      <c r="Q460" s="173">
        <f>+N460+O460+P460</f>
        <v>335252.41000000003</v>
      </c>
      <c r="R460" s="172"/>
      <c r="S460" s="172"/>
    </row>
    <row r="461" spans="1:19" s="11" customFormat="1" ht="15.6" outlineLevel="3">
      <c r="A461" s="191"/>
      <c r="B461" s="234"/>
      <c r="C461" s="193"/>
      <c r="D461" s="193" t="s">
        <v>271</v>
      </c>
      <c r="E461" s="193"/>
      <c r="F461" s="193"/>
      <c r="G461" s="193"/>
      <c r="H461" s="236">
        <f t="shared" ref="H461:Q461" si="142">SUBTOTAL(9,H460:H460)</f>
        <v>73243.320000000007</v>
      </c>
      <c r="I461" s="236">
        <f t="shared" si="142"/>
        <v>255697.2</v>
      </c>
      <c r="J461" s="194">
        <f t="shared" si="142"/>
        <v>328940.52</v>
      </c>
      <c r="K461" s="195">
        <f t="shared" si="142"/>
        <v>0</v>
      </c>
      <c r="L461" s="195">
        <f t="shared" si="142"/>
        <v>0</v>
      </c>
      <c r="M461" s="239">
        <f t="shared" si="142"/>
        <v>0</v>
      </c>
      <c r="N461" s="240">
        <f t="shared" si="142"/>
        <v>0</v>
      </c>
      <c r="O461" s="240">
        <f t="shared" si="142"/>
        <v>328940.52</v>
      </c>
      <c r="P461" s="248">
        <f t="shared" si="142"/>
        <v>6311.89</v>
      </c>
      <c r="Q461" s="240">
        <f t="shared" si="142"/>
        <v>335252.41000000003</v>
      </c>
      <c r="R461" s="239"/>
      <c r="S461" s="239"/>
    </row>
    <row r="462" spans="1:19" s="10" customFormat="1" ht="15.6" outlineLevel="2">
      <c r="A462" s="216"/>
      <c r="B462" s="242"/>
      <c r="C462" s="218"/>
      <c r="D462" s="218"/>
      <c r="E462" s="218"/>
      <c r="F462" s="218"/>
      <c r="G462" s="218" t="s">
        <v>264</v>
      </c>
      <c r="H462" s="244">
        <f t="shared" ref="H462:Q462" si="143">SUBTOTAL(9,H460:H460)</f>
        <v>73243.320000000007</v>
      </c>
      <c r="I462" s="244">
        <f t="shared" si="143"/>
        <v>255697.2</v>
      </c>
      <c r="J462" s="219">
        <f t="shared" si="143"/>
        <v>328940.52</v>
      </c>
      <c r="K462" s="220">
        <f t="shared" si="143"/>
        <v>0</v>
      </c>
      <c r="L462" s="220">
        <f t="shared" si="143"/>
        <v>0</v>
      </c>
      <c r="M462" s="246">
        <f t="shared" si="143"/>
        <v>0</v>
      </c>
      <c r="N462" s="247">
        <f t="shared" si="143"/>
        <v>0</v>
      </c>
      <c r="O462" s="247">
        <f t="shared" si="143"/>
        <v>328940.52</v>
      </c>
      <c r="P462" s="254">
        <f t="shared" si="143"/>
        <v>6311.89</v>
      </c>
      <c r="Q462" s="247">
        <f t="shared" si="143"/>
        <v>335252.41000000003</v>
      </c>
      <c r="R462" s="246"/>
      <c r="S462" s="246"/>
    </row>
    <row r="463" spans="1:19" s="9" customFormat="1" ht="15.6" outlineLevel="1">
      <c r="A463" s="222"/>
      <c r="B463" s="266"/>
      <c r="C463" s="224"/>
      <c r="D463" s="224"/>
      <c r="E463" s="224"/>
      <c r="F463" s="224" t="s">
        <v>260</v>
      </c>
      <c r="G463" s="224"/>
      <c r="H463" s="267">
        <f>SUBTOTAL(9,H460:H460)</f>
        <v>73243.320000000007</v>
      </c>
      <c r="I463" s="267">
        <f t="shared" ref="I463:Q463" si="144">SUBTOTAL(9,I460:I460)</f>
        <v>255697.2</v>
      </c>
      <c r="J463" s="225">
        <f t="shared" si="144"/>
        <v>328940.52</v>
      </c>
      <c r="K463" s="226">
        <f t="shared" si="144"/>
        <v>0</v>
      </c>
      <c r="L463" s="226">
        <f t="shared" si="144"/>
        <v>0</v>
      </c>
      <c r="M463" s="268">
        <f t="shared" si="144"/>
        <v>0</v>
      </c>
      <c r="N463" s="269">
        <f t="shared" si="144"/>
        <v>0</v>
      </c>
      <c r="O463" s="269">
        <f>SUBTOTAL(9,O460:O460)</f>
        <v>328940.52</v>
      </c>
      <c r="P463" s="270">
        <f>SUBTOTAL(9,P460:P460)</f>
        <v>6311.89</v>
      </c>
      <c r="Q463" s="269">
        <f t="shared" si="144"/>
        <v>335252.41000000003</v>
      </c>
      <c r="R463" s="268"/>
      <c r="S463" s="268"/>
    </row>
    <row r="464" spans="1:19" ht="15.6">
      <c r="A464" s="271"/>
      <c r="B464" s="162"/>
      <c r="C464" s="163"/>
      <c r="D464" s="163" t="s">
        <v>261</v>
      </c>
      <c r="E464" s="163"/>
      <c r="F464" s="163"/>
      <c r="G464" s="163"/>
      <c r="H464" s="164">
        <f>H45+H63+H111+H132+H135+H291+H296+H306+H313+H349+H356+H358+H360+H362+H372+H375+H390+H393+H396+H398+H400+H403+H406+H409+H412+H416+H429+H433+H443+H448+H450+H453+H457+H461</f>
        <v>1499414889.03</v>
      </c>
      <c r="I464" s="164">
        <f>I45+I63+I111+I132+I135+I291+I296+I306+I313+I349+I356+I358+I360+I362+I372+I375+I390+I393+I396+I398+I400+I403+I406+I409+I412+I416+I429+I433+I443+I448+I450+I453+I457+I461</f>
        <v>2486885800.4999995</v>
      </c>
      <c r="J464" s="168">
        <f t="shared" ref="J464:Q464" si="145">SUBTOTAL(9,J2:J460)</f>
        <v>3986300689.5299993</v>
      </c>
      <c r="K464" s="171">
        <f t="shared" si="145"/>
        <v>2249047179</v>
      </c>
      <c r="L464" s="171">
        <f t="shared" si="145"/>
        <v>10351918</v>
      </c>
      <c r="M464" s="172">
        <f t="shared" si="145"/>
        <v>12.385102717388348</v>
      </c>
      <c r="N464" s="173">
        <f t="shared" si="145"/>
        <v>41770933.02300138</v>
      </c>
      <c r="O464" s="173">
        <f t="shared" si="145"/>
        <v>3986300689.5300007</v>
      </c>
      <c r="P464" s="199">
        <f t="shared" si="145"/>
        <v>76491269.420000046</v>
      </c>
      <c r="Q464" s="173">
        <f t="shared" si="145"/>
        <v>4062791958.9499955</v>
      </c>
      <c r="R464" s="172"/>
      <c r="S464" s="172"/>
    </row>
    <row r="465" spans="1:19" ht="15.6">
      <c r="A465" s="271"/>
      <c r="B465" s="162"/>
      <c r="C465" s="163"/>
      <c r="D465" s="163"/>
      <c r="E465" s="163"/>
      <c r="F465" s="163" t="s">
        <v>261</v>
      </c>
      <c r="G465" s="163"/>
      <c r="H465" s="151">
        <f>H464</f>
        <v>1499414889.03</v>
      </c>
      <c r="I465" s="151">
        <f>I464</f>
        <v>2486885800.4999995</v>
      </c>
      <c r="J465" s="152">
        <f t="shared" ref="J465:Q465" si="146">SUBTOTAL(9,J2:J460)</f>
        <v>3986300689.5299993</v>
      </c>
      <c r="K465" s="171">
        <f t="shared" si="146"/>
        <v>2249047179</v>
      </c>
      <c r="L465" s="171">
        <f t="shared" si="146"/>
        <v>10351918</v>
      </c>
      <c r="M465" s="172">
        <f t="shared" si="146"/>
        <v>12.385102717388348</v>
      </c>
      <c r="N465" s="173">
        <f t="shared" si="146"/>
        <v>41770933.02300138</v>
      </c>
      <c r="O465" s="272">
        <f t="shared" si="146"/>
        <v>3986300689.5300007</v>
      </c>
      <c r="P465" s="273">
        <f t="shared" si="146"/>
        <v>76491269.420000046</v>
      </c>
      <c r="Q465" s="274">
        <f t="shared" si="146"/>
        <v>4062791958.9499955</v>
      </c>
      <c r="R465" s="172"/>
      <c r="S465" s="172"/>
    </row>
    <row r="466" spans="1:19">
      <c r="P466" s="8"/>
    </row>
    <row r="467" spans="1:19">
      <c r="J467" s="21"/>
      <c r="O467" s="49"/>
      <c r="P467" s="5"/>
    </row>
    <row r="468" spans="1:19" ht="15.6">
      <c r="H468" s="446"/>
      <c r="I468" s="446"/>
      <c r="J468" s="629"/>
      <c r="K468" s="819" t="s">
        <v>1361</v>
      </c>
      <c r="L468" s="820"/>
      <c r="O468" s="536">
        <f>+O465-J465</f>
        <v>0</v>
      </c>
      <c r="P468" s="631">
        <f>+P465-R2-0.05</f>
        <v>-5.0001937150955203E-2</v>
      </c>
      <c r="Q468" s="631">
        <f>+Q465-R11-0.05</f>
        <v>-5.0004291534423831E-2</v>
      </c>
    </row>
    <row r="469" spans="1:19">
      <c r="J469" s="21"/>
      <c r="K469" s="819" t="s">
        <v>1362</v>
      </c>
      <c r="L469" s="820"/>
      <c r="N469" s="632" t="s">
        <v>1249</v>
      </c>
      <c r="O469" s="2" t="s">
        <v>1337</v>
      </c>
      <c r="P469" s="536" t="s">
        <v>1338</v>
      </c>
      <c r="Q469" s="536" t="s">
        <v>1339</v>
      </c>
    </row>
    <row r="470" spans="1:19">
      <c r="J470" s="21" t="s">
        <v>342</v>
      </c>
      <c r="K470" s="819" t="s">
        <v>1363</v>
      </c>
      <c r="L470" s="820"/>
      <c r="Q470" s="12"/>
    </row>
    <row r="471" spans="1:19">
      <c r="G471" s="736" t="s">
        <v>1341</v>
      </c>
      <c r="H471" s="20">
        <f>'3. K0215-REFERENCE'!C287</f>
        <v>1499414889.03</v>
      </c>
      <c r="I471" s="20">
        <f>'3. K0215-REFERENCE'!D287</f>
        <v>2486885800.4999976</v>
      </c>
      <c r="J471" s="20">
        <f>'3. K0215-REFERENCE'!E287</f>
        <v>3986300689.5299978</v>
      </c>
      <c r="R471" s="536"/>
    </row>
    <row r="472" spans="1:19">
      <c r="B472" s="17" t="s">
        <v>639</v>
      </c>
      <c r="J472" s="21"/>
    </row>
    <row r="473" spans="1:19">
      <c r="B473" s="388" t="s">
        <v>820</v>
      </c>
      <c r="C473" s="701" t="s">
        <v>1370</v>
      </c>
      <c r="H473" s="20">
        <f>H465-H471</f>
        <v>0</v>
      </c>
      <c r="I473" s="20">
        <f>I465-I471</f>
        <v>0</v>
      </c>
      <c r="J473" s="630">
        <f>J465-J471</f>
        <v>0</v>
      </c>
      <c r="K473" s="2"/>
      <c r="Q473" s="536"/>
    </row>
    <row r="474" spans="1:19">
      <c r="C474" s="700"/>
    </row>
    <row r="490" spans="2:2" ht="23.4">
      <c r="B490" s="55"/>
    </row>
    <row r="491" spans="2:2" ht="23.4">
      <c r="B491" s="55"/>
    </row>
    <row r="492" spans="2:2" ht="23.4">
      <c r="B492" s="55"/>
    </row>
    <row r="493" spans="2:2" ht="23.4">
      <c r="B493" s="55"/>
    </row>
  </sheetData>
  <autoFilter ref="A1:S464" xr:uid="{00000000-0009-0000-0000-000001000000}"/>
  <mergeCells count="3">
    <mergeCell ref="K468:L468"/>
    <mergeCell ref="K469:L469"/>
    <mergeCell ref="K470:L470"/>
  </mergeCells>
  <phoneticPr fontId="16" type="noConversion"/>
  <printOptions horizontalCentered="1" gridLines="1"/>
  <pageMargins left="0" right="0" top="0.48" bottom="0.42" header="0.17" footer="0.16"/>
  <pageSetup paperSize="5" scale="48" fitToHeight="0" orientation="landscape" cellComments="asDisplayed" r:id="rId1"/>
  <headerFooter alignWithMargins="0">
    <oddHeader>&amp;C&amp;"Arial,Bold"&amp;11SCS-MONTHLY LIST OF OPEN DISABILITY CLAIMS AND ACCUMULATIVE COST (K0215) FOR JUNE 2020</oddHeader>
    <oddFooter>&amp;C&amp;P&amp;R&amp;8&amp;D&amp;T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04"/>
  <sheetViews>
    <sheetView topLeftCell="A265" workbookViewId="0">
      <selection activeCell="C29" sqref="C29"/>
    </sheetView>
  </sheetViews>
  <sheetFormatPr defaultColWidth="7.08984375" defaultRowHeight="15.6"/>
  <cols>
    <col min="1" max="1" width="9.08984375" style="608" bestFit="1" customWidth="1"/>
    <col min="2" max="2" width="43.81640625" style="605" customWidth="1"/>
    <col min="3" max="3" width="16" style="607" bestFit="1" customWidth="1"/>
    <col min="4" max="4" width="15.453125" style="607" bestFit="1" customWidth="1"/>
    <col min="5" max="5" width="15.453125" style="606" bestFit="1" customWidth="1"/>
    <col min="6" max="6" width="7.36328125" style="605" bestFit="1" customWidth="1"/>
    <col min="7" max="8" width="7.08984375" style="605"/>
    <col min="9" max="9" width="14.54296875" style="605" bestFit="1" customWidth="1"/>
    <col min="10" max="16384" width="7.08984375" style="605"/>
  </cols>
  <sheetData>
    <row r="1" spans="1:8" s="608" customFormat="1">
      <c r="A1" s="616" t="s">
        <v>1329</v>
      </c>
      <c r="B1" s="616" t="s">
        <v>1328</v>
      </c>
      <c r="C1" s="617" t="s">
        <v>111</v>
      </c>
      <c r="D1" s="617" t="s">
        <v>112</v>
      </c>
      <c r="E1" s="615" t="s">
        <v>113</v>
      </c>
      <c r="G1" s="678" t="s">
        <v>328</v>
      </c>
      <c r="H1" s="677"/>
    </row>
    <row r="2" spans="1:8" ht="15">
      <c r="A2" s="804" t="s">
        <v>858</v>
      </c>
      <c r="B2" s="805" t="s">
        <v>640</v>
      </c>
      <c r="C2" s="810">
        <v>48431.85</v>
      </c>
      <c r="D2" s="810">
        <v>351671.68</v>
      </c>
      <c r="E2" s="624">
        <f>SUM(C2:D2)</f>
        <v>400103.52999999997</v>
      </c>
      <c r="G2" s="703" t="s">
        <v>1351</v>
      </c>
      <c r="H2" s="703" t="s">
        <v>1352</v>
      </c>
    </row>
    <row r="3" spans="1:8" ht="15">
      <c r="A3" s="804" t="s">
        <v>859</v>
      </c>
      <c r="B3" s="805" t="s">
        <v>641</v>
      </c>
      <c r="C3" s="810">
        <v>145094.09</v>
      </c>
      <c r="D3" s="810">
        <v>787574.88</v>
      </c>
      <c r="E3" s="624">
        <f t="shared" ref="E3:E66" si="0">SUM(C3:D3)</f>
        <v>932668.97</v>
      </c>
      <c r="G3" s="703"/>
      <c r="H3" s="703" t="s">
        <v>1481</v>
      </c>
    </row>
    <row r="4" spans="1:8" ht="15">
      <c r="A4" s="804" t="s">
        <v>956</v>
      </c>
      <c r="B4" s="805" t="s">
        <v>834</v>
      </c>
      <c r="C4" s="810">
        <v>100</v>
      </c>
      <c r="D4" s="810">
        <v>55847.14</v>
      </c>
      <c r="E4" s="624">
        <f t="shared" si="0"/>
        <v>55947.14</v>
      </c>
    </row>
    <row r="5" spans="1:8" ht="15">
      <c r="A5" s="804" t="s">
        <v>979</v>
      </c>
      <c r="B5" s="805" t="s">
        <v>492</v>
      </c>
      <c r="C5" s="810">
        <v>10007.969999999999</v>
      </c>
      <c r="D5" s="810">
        <v>234868.94</v>
      </c>
      <c r="E5" s="624">
        <f t="shared" si="0"/>
        <v>244876.91</v>
      </c>
    </row>
    <row r="6" spans="1:8" ht="15">
      <c r="A6" s="804" t="s">
        <v>888</v>
      </c>
      <c r="B6" s="805" t="s">
        <v>493</v>
      </c>
      <c r="C6" s="810">
        <v>19.52</v>
      </c>
      <c r="D6" s="810">
        <v>172597.25</v>
      </c>
      <c r="E6" s="624">
        <f t="shared" si="0"/>
        <v>172616.77</v>
      </c>
    </row>
    <row r="7" spans="1:8" ht="15">
      <c r="A7" s="804" t="s">
        <v>867</v>
      </c>
      <c r="B7" s="805" t="s">
        <v>659</v>
      </c>
      <c r="C7" s="810">
        <v>2266882.42</v>
      </c>
      <c r="D7" s="810">
        <v>3908668.49</v>
      </c>
      <c r="E7" s="624">
        <f t="shared" si="0"/>
        <v>6175550.9100000001</v>
      </c>
    </row>
    <row r="8" spans="1:8" ht="15">
      <c r="A8" s="804" t="s">
        <v>911</v>
      </c>
      <c r="B8" s="805" t="s">
        <v>660</v>
      </c>
      <c r="C8" s="810">
        <v>28178.01</v>
      </c>
      <c r="D8" s="810">
        <v>150310.88</v>
      </c>
      <c r="E8" s="624">
        <f t="shared" si="0"/>
        <v>178488.89</v>
      </c>
    </row>
    <row r="9" spans="1:8" ht="15">
      <c r="A9" s="804" t="s">
        <v>915</v>
      </c>
      <c r="B9" s="805" t="s">
        <v>661</v>
      </c>
      <c r="C9" s="810">
        <v>677732.25</v>
      </c>
      <c r="D9" s="810">
        <v>1606791.78</v>
      </c>
      <c r="E9" s="624">
        <f t="shared" si="0"/>
        <v>2284524.0300000003</v>
      </c>
    </row>
    <row r="10" spans="1:8" ht="15">
      <c r="A10" s="804" t="s">
        <v>865</v>
      </c>
      <c r="B10" s="805" t="s">
        <v>662</v>
      </c>
      <c r="C10" s="810">
        <v>62263.34</v>
      </c>
      <c r="D10" s="810">
        <v>142282.46</v>
      </c>
      <c r="E10" s="624">
        <f t="shared" si="0"/>
        <v>204545.8</v>
      </c>
    </row>
    <row r="11" spans="1:8" ht="15">
      <c r="A11" s="804" t="s">
        <v>969</v>
      </c>
      <c r="B11" s="805" t="s">
        <v>1327</v>
      </c>
      <c r="C11" s="810">
        <v>681409.4</v>
      </c>
      <c r="D11" s="810">
        <v>426354.78</v>
      </c>
      <c r="E11" s="624">
        <f t="shared" si="0"/>
        <v>1107764.1800000002</v>
      </c>
    </row>
    <row r="12" spans="1:8" ht="15">
      <c r="A12" s="804" t="s">
        <v>918</v>
      </c>
      <c r="B12" s="805" t="s">
        <v>663</v>
      </c>
      <c r="C12" s="810">
        <v>0</v>
      </c>
      <c r="D12" s="810">
        <v>7914.61</v>
      </c>
      <c r="E12" s="624">
        <f t="shared" si="0"/>
        <v>7914.61</v>
      </c>
    </row>
    <row r="13" spans="1:8" ht="15">
      <c r="A13" s="804" t="s">
        <v>975</v>
      </c>
      <c r="B13" s="805" t="s">
        <v>494</v>
      </c>
      <c r="C13" s="810">
        <v>6000</v>
      </c>
      <c r="D13" s="810">
        <v>41269.589999999997</v>
      </c>
      <c r="E13" s="624">
        <f t="shared" si="0"/>
        <v>47269.59</v>
      </c>
    </row>
    <row r="14" spans="1:8" ht="15">
      <c r="A14" s="804" t="s">
        <v>878</v>
      </c>
      <c r="B14" s="805" t="s">
        <v>664</v>
      </c>
      <c r="C14" s="810">
        <v>4500</v>
      </c>
      <c r="D14" s="810">
        <v>45411.22</v>
      </c>
      <c r="E14" s="624">
        <f t="shared" si="0"/>
        <v>49911.22</v>
      </c>
    </row>
    <row r="15" spans="1:8" ht="15">
      <c r="A15" s="804" t="s">
        <v>977</v>
      </c>
      <c r="B15" s="805" t="s">
        <v>665</v>
      </c>
      <c r="C15" s="810">
        <v>88752.72</v>
      </c>
      <c r="D15" s="810">
        <v>702553.34</v>
      </c>
      <c r="E15" s="624">
        <f t="shared" si="0"/>
        <v>791306.05999999994</v>
      </c>
    </row>
    <row r="16" spans="1:8" ht="15">
      <c r="A16" s="804" t="s">
        <v>889</v>
      </c>
      <c r="B16" s="805" t="s">
        <v>595</v>
      </c>
      <c r="C16" s="810">
        <v>72183.8</v>
      </c>
      <c r="D16" s="810">
        <v>71128.05</v>
      </c>
      <c r="E16" s="624">
        <f t="shared" si="0"/>
        <v>143311.85</v>
      </c>
    </row>
    <row r="17" spans="1:5" ht="15">
      <c r="A17" s="804" t="s">
        <v>964</v>
      </c>
      <c r="B17" s="805" t="s">
        <v>51</v>
      </c>
      <c r="C17" s="810">
        <v>734065</v>
      </c>
      <c r="D17" s="810">
        <v>200197.87</v>
      </c>
      <c r="E17" s="624">
        <f t="shared" si="0"/>
        <v>934262.87</v>
      </c>
    </row>
    <row r="18" spans="1:5" ht="15">
      <c r="A18" s="808" t="s">
        <v>966</v>
      </c>
      <c r="B18" s="805" t="s">
        <v>1407</v>
      </c>
      <c r="C18" s="810">
        <v>0</v>
      </c>
      <c r="D18" s="810">
        <v>17452.46</v>
      </c>
      <c r="E18" s="624">
        <f t="shared" si="0"/>
        <v>17452.46</v>
      </c>
    </row>
    <row r="19" spans="1:5" ht="15">
      <c r="A19" s="804" t="s">
        <v>876</v>
      </c>
      <c r="B19" s="805" t="s">
        <v>495</v>
      </c>
      <c r="C19" s="810">
        <v>477.9</v>
      </c>
      <c r="D19" s="810">
        <v>11712.77</v>
      </c>
      <c r="E19" s="624">
        <f t="shared" si="0"/>
        <v>12190.67</v>
      </c>
    </row>
    <row r="20" spans="1:5" ht="15">
      <c r="A20" s="804" t="s">
        <v>974</v>
      </c>
      <c r="B20" s="805" t="s">
        <v>81</v>
      </c>
      <c r="C20" s="810">
        <v>209649.41</v>
      </c>
      <c r="D20" s="810">
        <v>142543.28</v>
      </c>
      <c r="E20" s="624">
        <f t="shared" si="0"/>
        <v>352192.69</v>
      </c>
    </row>
    <row r="21" spans="1:5" ht="15">
      <c r="A21" s="808" t="s">
        <v>1185</v>
      </c>
      <c r="B21" s="805" t="s">
        <v>1408</v>
      </c>
      <c r="C21" s="810">
        <v>0</v>
      </c>
      <c r="D21" s="810">
        <v>19525.95</v>
      </c>
      <c r="E21" s="624">
        <f t="shared" si="0"/>
        <v>19525.95</v>
      </c>
    </row>
    <row r="22" spans="1:5" ht="15">
      <c r="A22" s="804" t="s">
        <v>877</v>
      </c>
      <c r="B22" s="805" t="s">
        <v>496</v>
      </c>
      <c r="C22" s="810">
        <v>456946.58</v>
      </c>
      <c r="D22" s="810">
        <v>379220.01</v>
      </c>
      <c r="E22" s="624">
        <f t="shared" si="0"/>
        <v>836166.59000000008</v>
      </c>
    </row>
    <row r="23" spans="1:5" ht="15">
      <c r="A23" s="804" t="s">
        <v>910</v>
      </c>
      <c r="B23" s="805" t="s">
        <v>1326</v>
      </c>
      <c r="C23" s="810">
        <v>0</v>
      </c>
      <c r="D23" s="810">
        <v>7923.52</v>
      </c>
      <c r="E23" s="624">
        <f t="shared" si="0"/>
        <v>7923.52</v>
      </c>
    </row>
    <row r="24" spans="1:5" ht="15">
      <c r="A24" s="804" t="s">
        <v>913</v>
      </c>
      <c r="B24" s="805" t="s">
        <v>643</v>
      </c>
      <c r="C24" s="810">
        <v>1531.66</v>
      </c>
      <c r="D24" s="810">
        <v>66845.09</v>
      </c>
      <c r="E24" s="624">
        <f t="shared" si="0"/>
        <v>68376.75</v>
      </c>
    </row>
    <row r="25" spans="1:5" s="815" customFormat="1" ht="15">
      <c r="A25" s="812" t="s">
        <v>1199</v>
      </c>
      <c r="B25" s="813" t="s">
        <v>668</v>
      </c>
      <c r="C25" s="810">
        <v>124332.07</v>
      </c>
      <c r="D25" s="810">
        <v>686979.61</v>
      </c>
      <c r="E25" s="814">
        <f t="shared" si="0"/>
        <v>811311.67999999993</v>
      </c>
    </row>
    <row r="26" spans="1:5" ht="15">
      <c r="A26" s="804" t="s">
        <v>1175</v>
      </c>
      <c r="B26" s="805" t="s">
        <v>498</v>
      </c>
      <c r="C26" s="810">
        <v>85490.26</v>
      </c>
      <c r="D26" s="810">
        <v>168277.93</v>
      </c>
      <c r="E26" s="624">
        <f t="shared" si="0"/>
        <v>253768.19</v>
      </c>
    </row>
    <row r="27" spans="1:5" ht="15">
      <c r="A27" s="804" t="s">
        <v>1177</v>
      </c>
      <c r="B27" s="805" t="s">
        <v>1298</v>
      </c>
      <c r="C27" s="810">
        <v>761920.45</v>
      </c>
      <c r="D27" s="810">
        <v>815923.22</v>
      </c>
      <c r="E27" s="624">
        <f t="shared" si="0"/>
        <v>1577843.67</v>
      </c>
    </row>
    <row r="28" spans="1:5" ht="15">
      <c r="A28" s="804" t="s">
        <v>1179</v>
      </c>
      <c r="B28" s="805" t="s">
        <v>837</v>
      </c>
      <c r="C28" s="810">
        <v>90621.34</v>
      </c>
      <c r="D28" s="810">
        <v>213078.13</v>
      </c>
      <c r="E28" s="624">
        <f t="shared" si="0"/>
        <v>303699.46999999997</v>
      </c>
    </row>
    <row r="29" spans="1:5" ht="15">
      <c r="A29" s="804" t="s">
        <v>862</v>
      </c>
      <c r="B29" s="805" t="s">
        <v>53</v>
      </c>
      <c r="C29" s="810">
        <v>56303.53</v>
      </c>
      <c r="D29" s="810">
        <v>545184.56000000006</v>
      </c>
      <c r="E29" s="624">
        <f t="shared" si="0"/>
        <v>601488.09000000008</v>
      </c>
    </row>
    <row r="30" spans="1:5" ht="15">
      <c r="A30" s="804" t="s">
        <v>1202</v>
      </c>
      <c r="B30" s="805" t="s">
        <v>669</v>
      </c>
      <c r="C30" s="810">
        <v>274488.52</v>
      </c>
      <c r="D30" s="810">
        <v>212577.8</v>
      </c>
      <c r="E30" s="624">
        <f t="shared" si="0"/>
        <v>487066.32</v>
      </c>
    </row>
    <row r="31" spans="1:5" ht="15">
      <c r="A31" s="804" t="s">
        <v>1187</v>
      </c>
      <c r="B31" s="805" t="s">
        <v>670</v>
      </c>
      <c r="C31" s="810">
        <v>6943</v>
      </c>
      <c r="D31" s="810">
        <v>280233.74</v>
      </c>
      <c r="E31" s="624">
        <f t="shared" si="0"/>
        <v>287176.74</v>
      </c>
    </row>
    <row r="32" spans="1:5" ht="15">
      <c r="A32" s="804" t="s">
        <v>890</v>
      </c>
      <c r="B32" s="805" t="s">
        <v>55</v>
      </c>
      <c r="C32" s="810">
        <v>1562466.49</v>
      </c>
      <c r="D32" s="810">
        <v>332405.75</v>
      </c>
      <c r="E32" s="624">
        <f t="shared" si="0"/>
        <v>1894872.24</v>
      </c>
    </row>
    <row r="33" spans="1:5" ht="15">
      <c r="A33" s="804" t="s">
        <v>1134</v>
      </c>
      <c r="B33" s="805" t="s">
        <v>58</v>
      </c>
      <c r="C33" s="810">
        <v>719383.3</v>
      </c>
      <c r="D33" s="810">
        <v>2509683.39</v>
      </c>
      <c r="E33" s="624">
        <f t="shared" si="0"/>
        <v>3229066.6900000004</v>
      </c>
    </row>
    <row r="34" spans="1:5" ht="15">
      <c r="A34" s="804" t="s">
        <v>1218</v>
      </c>
      <c r="B34" s="807" t="s">
        <v>672</v>
      </c>
      <c r="C34" s="810">
        <v>147318.59</v>
      </c>
      <c r="D34" s="810">
        <v>121847.39</v>
      </c>
      <c r="E34" s="624">
        <f t="shared" si="0"/>
        <v>269165.98</v>
      </c>
    </row>
    <row r="35" spans="1:5" ht="15">
      <c r="A35" s="804" t="s">
        <v>912</v>
      </c>
      <c r="B35" s="805" t="s">
        <v>673</v>
      </c>
      <c r="C35" s="810">
        <v>66159.899999999994</v>
      </c>
      <c r="D35" s="810">
        <v>153022.47</v>
      </c>
      <c r="E35" s="624">
        <f t="shared" si="0"/>
        <v>219182.37</v>
      </c>
    </row>
    <row r="36" spans="1:5" ht="15">
      <c r="A36" s="808" t="s">
        <v>1409</v>
      </c>
      <c r="B36" s="805" t="s">
        <v>1410</v>
      </c>
      <c r="C36" s="810">
        <v>0</v>
      </c>
      <c r="D36" s="810">
        <v>33538.36</v>
      </c>
      <c r="E36" s="624">
        <f t="shared" si="0"/>
        <v>33538.36</v>
      </c>
    </row>
    <row r="37" spans="1:5" ht="15">
      <c r="A37" s="804" t="s">
        <v>892</v>
      </c>
      <c r="B37" s="805" t="s">
        <v>674</v>
      </c>
      <c r="C37" s="810">
        <v>143999.07999999999</v>
      </c>
      <c r="D37" s="810">
        <v>316965.59999999998</v>
      </c>
      <c r="E37" s="624">
        <f t="shared" si="0"/>
        <v>460964.67999999993</v>
      </c>
    </row>
    <row r="38" spans="1:5" ht="15">
      <c r="A38" s="804" t="s">
        <v>1194</v>
      </c>
      <c r="B38" s="805" t="s">
        <v>656</v>
      </c>
      <c r="C38" s="810">
        <v>379026.64</v>
      </c>
      <c r="D38" s="810">
        <v>1417966.65</v>
      </c>
      <c r="E38" s="624">
        <f t="shared" si="0"/>
        <v>1796993.29</v>
      </c>
    </row>
    <row r="39" spans="1:5" ht="15">
      <c r="A39" s="804" t="s">
        <v>1195</v>
      </c>
      <c r="B39" s="805" t="s">
        <v>675</v>
      </c>
      <c r="C39" s="810">
        <v>730020.16</v>
      </c>
      <c r="D39" s="810">
        <v>1882172.74</v>
      </c>
      <c r="E39" s="624">
        <f t="shared" si="0"/>
        <v>2612192.9</v>
      </c>
    </row>
    <row r="40" spans="1:5" ht="15">
      <c r="A40" s="804" t="s">
        <v>1121</v>
      </c>
      <c r="B40" s="805" t="s">
        <v>596</v>
      </c>
      <c r="C40" s="810">
        <v>0</v>
      </c>
      <c r="D40" s="810">
        <v>50760.25</v>
      </c>
      <c r="E40" s="624">
        <f t="shared" si="0"/>
        <v>50760.25</v>
      </c>
    </row>
    <row r="41" spans="1:5" ht="15">
      <c r="A41" s="804" t="s">
        <v>1183</v>
      </c>
      <c r="B41" s="805" t="s">
        <v>676</v>
      </c>
      <c r="C41" s="810">
        <v>331127.5</v>
      </c>
      <c r="D41" s="810">
        <v>2246795.34</v>
      </c>
      <c r="E41" s="624">
        <f t="shared" si="0"/>
        <v>2577922.84</v>
      </c>
    </row>
    <row r="42" spans="1:5" ht="15">
      <c r="A42" s="804" t="s">
        <v>1170</v>
      </c>
      <c r="B42" s="805" t="s">
        <v>59</v>
      </c>
      <c r="C42" s="810">
        <v>1072078.25</v>
      </c>
      <c r="D42" s="810">
        <v>5468747.96</v>
      </c>
      <c r="E42" s="624">
        <f t="shared" si="0"/>
        <v>6540826.21</v>
      </c>
    </row>
    <row r="43" spans="1:5" ht="15">
      <c r="A43" s="804" t="s">
        <v>871</v>
      </c>
      <c r="B43" s="805" t="s">
        <v>60</v>
      </c>
      <c r="C43" s="810">
        <v>101038.58</v>
      </c>
      <c r="D43" s="810">
        <v>619570.53</v>
      </c>
      <c r="E43" s="624">
        <f t="shared" si="0"/>
        <v>720609.11</v>
      </c>
    </row>
    <row r="44" spans="1:5" ht="15">
      <c r="A44" s="804" t="s">
        <v>980</v>
      </c>
      <c r="B44" s="805" t="s">
        <v>657</v>
      </c>
      <c r="C44" s="810">
        <v>7836626.29</v>
      </c>
      <c r="D44" s="810">
        <v>14623238.84</v>
      </c>
      <c r="E44" s="624">
        <f t="shared" si="0"/>
        <v>22459865.129999999</v>
      </c>
    </row>
    <row r="45" spans="1:5" ht="15">
      <c r="A45" s="804" t="s">
        <v>1041</v>
      </c>
      <c r="B45" s="805" t="s">
        <v>677</v>
      </c>
      <c r="C45" s="810">
        <v>15038522.460000001</v>
      </c>
      <c r="D45" s="810">
        <v>30739256.050000001</v>
      </c>
      <c r="E45" s="624">
        <f t="shared" si="0"/>
        <v>45777778.510000005</v>
      </c>
    </row>
    <row r="46" spans="1:5" ht="15">
      <c r="A46" s="804" t="s">
        <v>981</v>
      </c>
      <c r="B46" s="805" t="s">
        <v>678</v>
      </c>
      <c r="C46" s="810">
        <v>32808868.850000001</v>
      </c>
      <c r="D46" s="810">
        <v>44796359.670000002</v>
      </c>
      <c r="E46" s="624">
        <f t="shared" si="0"/>
        <v>77605228.520000011</v>
      </c>
    </row>
    <row r="47" spans="1:5" ht="15">
      <c r="A47" s="804" t="s">
        <v>1042</v>
      </c>
      <c r="B47" s="805" t="s">
        <v>679</v>
      </c>
      <c r="C47" s="810">
        <v>7126679.2999999998</v>
      </c>
      <c r="D47" s="810">
        <v>14250699.390000001</v>
      </c>
      <c r="E47" s="624">
        <f t="shared" si="0"/>
        <v>21377378.690000001</v>
      </c>
    </row>
    <row r="48" spans="1:5" ht="15">
      <c r="A48" s="804" t="s">
        <v>1046</v>
      </c>
      <c r="B48" s="805" t="s">
        <v>500</v>
      </c>
      <c r="C48" s="810">
        <v>34947147.609999999</v>
      </c>
      <c r="D48" s="810">
        <v>57539013.469999999</v>
      </c>
      <c r="E48" s="624">
        <f t="shared" si="0"/>
        <v>92486161.079999998</v>
      </c>
    </row>
    <row r="49" spans="1:5" ht="15">
      <c r="A49" s="804" t="s">
        <v>983</v>
      </c>
      <c r="B49" s="805" t="s">
        <v>501</v>
      </c>
      <c r="C49" s="810">
        <v>57326.64</v>
      </c>
      <c r="D49" s="810">
        <v>203752.69</v>
      </c>
      <c r="E49" s="624">
        <f t="shared" si="0"/>
        <v>261079.33000000002</v>
      </c>
    </row>
    <row r="50" spans="1:5" ht="15">
      <c r="A50" s="804" t="s">
        <v>984</v>
      </c>
      <c r="B50" s="805" t="s">
        <v>582</v>
      </c>
      <c r="C50" s="810">
        <v>1620.79</v>
      </c>
      <c r="D50" s="810">
        <v>85035.15</v>
      </c>
      <c r="E50" s="624">
        <f t="shared" si="0"/>
        <v>86655.939999999988</v>
      </c>
    </row>
    <row r="51" spans="1:5" ht="15">
      <c r="A51" s="804" t="s">
        <v>1017</v>
      </c>
      <c r="B51" s="805" t="s">
        <v>680</v>
      </c>
      <c r="C51" s="810">
        <v>4547127.92</v>
      </c>
      <c r="D51" s="810">
        <v>11574901.57</v>
      </c>
      <c r="E51" s="624">
        <f t="shared" si="0"/>
        <v>16122029.49</v>
      </c>
    </row>
    <row r="52" spans="1:5" ht="15">
      <c r="A52" s="804" t="s">
        <v>985</v>
      </c>
      <c r="B52" s="805" t="s">
        <v>681</v>
      </c>
      <c r="C52" s="810">
        <v>876949.09</v>
      </c>
      <c r="D52" s="810">
        <v>1939299.52</v>
      </c>
      <c r="E52" s="624">
        <f t="shared" si="0"/>
        <v>2816248.61</v>
      </c>
    </row>
    <row r="53" spans="1:5" ht="15">
      <c r="A53" s="804" t="s">
        <v>987</v>
      </c>
      <c r="B53" s="805" t="s">
        <v>503</v>
      </c>
      <c r="C53" s="810">
        <v>2367797.86</v>
      </c>
      <c r="D53" s="810">
        <v>6828030.3700000001</v>
      </c>
      <c r="E53" s="624">
        <f t="shared" si="0"/>
        <v>9195828.2300000004</v>
      </c>
    </row>
    <row r="54" spans="1:5" ht="15">
      <c r="A54" s="804" t="s">
        <v>988</v>
      </c>
      <c r="B54" s="805" t="s">
        <v>504</v>
      </c>
      <c r="C54" s="810">
        <v>27981058.84</v>
      </c>
      <c r="D54" s="810">
        <v>40939333.979999997</v>
      </c>
      <c r="E54" s="624">
        <f t="shared" si="0"/>
        <v>68920392.819999993</v>
      </c>
    </row>
    <row r="55" spans="1:5" ht="15">
      <c r="A55" s="804" t="s">
        <v>989</v>
      </c>
      <c r="B55" s="805" t="s">
        <v>610</v>
      </c>
      <c r="C55" s="810">
        <v>0.59</v>
      </c>
      <c r="D55" s="810">
        <v>27964.44</v>
      </c>
      <c r="E55" s="624">
        <f t="shared" si="0"/>
        <v>27965.03</v>
      </c>
    </row>
    <row r="56" spans="1:5" ht="15">
      <c r="A56" s="804" t="s">
        <v>1027</v>
      </c>
      <c r="B56" s="805" t="s">
        <v>505</v>
      </c>
      <c r="C56" s="810">
        <v>14991592.439999999</v>
      </c>
      <c r="D56" s="810">
        <v>23433725.809999999</v>
      </c>
      <c r="E56" s="624">
        <f t="shared" si="0"/>
        <v>38425318.25</v>
      </c>
    </row>
    <row r="57" spans="1:5" ht="15">
      <c r="A57" s="804" t="s">
        <v>991</v>
      </c>
      <c r="B57" s="805" t="s">
        <v>506</v>
      </c>
      <c r="C57" s="810">
        <v>55652931.409999996</v>
      </c>
      <c r="D57" s="810">
        <v>65023866.020000003</v>
      </c>
      <c r="E57" s="624">
        <f t="shared" si="0"/>
        <v>120676797.43000001</v>
      </c>
    </row>
    <row r="58" spans="1:5" ht="15">
      <c r="A58" s="804" t="s">
        <v>993</v>
      </c>
      <c r="B58" s="805" t="s">
        <v>681</v>
      </c>
      <c r="C58" s="810">
        <v>27768889.559999999</v>
      </c>
      <c r="D58" s="810">
        <v>30516488.170000002</v>
      </c>
      <c r="E58" s="624">
        <f t="shared" si="0"/>
        <v>58285377.730000004</v>
      </c>
    </row>
    <row r="59" spans="1:5" ht="15">
      <c r="A59" s="808" t="s">
        <v>1291</v>
      </c>
      <c r="B59" s="805" t="s">
        <v>1411</v>
      </c>
      <c r="C59" s="810">
        <v>0</v>
      </c>
      <c r="D59" s="810">
        <v>14000.95</v>
      </c>
      <c r="E59" s="624">
        <f t="shared" si="0"/>
        <v>14000.95</v>
      </c>
    </row>
    <row r="60" spans="1:5" ht="15">
      <c r="A60" s="804" t="s">
        <v>995</v>
      </c>
      <c r="B60" s="805" t="s">
        <v>682</v>
      </c>
      <c r="C60" s="810">
        <v>14165523.76</v>
      </c>
      <c r="D60" s="810">
        <v>31230121.050000001</v>
      </c>
      <c r="E60" s="624">
        <f t="shared" si="0"/>
        <v>45395644.810000002</v>
      </c>
    </row>
    <row r="61" spans="1:5" ht="15">
      <c r="A61" s="804" t="s">
        <v>996</v>
      </c>
      <c r="B61" s="805" t="s">
        <v>502</v>
      </c>
      <c r="C61" s="810">
        <v>27199.49</v>
      </c>
      <c r="D61" s="810">
        <v>99745.75</v>
      </c>
      <c r="E61" s="624">
        <f t="shared" si="0"/>
        <v>126945.24</v>
      </c>
    </row>
    <row r="62" spans="1:5" ht="15">
      <c r="A62" s="804" t="s">
        <v>1052</v>
      </c>
      <c r="B62" s="805" t="s">
        <v>507</v>
      </c>
      <c r="C62" s="810">
        <v>18979286.98</v>
      </c>
      <c r="D62" s="810">
        <v>30293384.469999999</v>
      </c>
      <c r="E62" s="624">
        <f t="shared" si="0"/>
        <v>49272671.450000003</v>
      </c>
    </row>
    <row r="63" spans="1:5" ht="15">
      <c r="A63" s="804" t="s">
        <v>982</v>
      </c>
      <c r="B63" s="805" t="s">
        <v>1477</v>
      </c>
      <c r="C63" s="810">
        <v>0</v>
      </c>
      <c r="D63" s="810">
        <v>27656.41</v>
      </c>
      <c r="E63" s="624">
        <f t="shared" si="0"/>
        <v>27656.41</v>
      </c>
    </row>
    <row r="64" spans="1:5" ht="15">
      <c r="A64" s="804" t="s">
        <v>1028</v>
      </c>
      <c r="B64" s="805" t="s">
        <v>508</v>
      </c>
      <c r="C64" s="810">
        <v>20489904.579999998</v>
      </c>
      <c r="D64" s="810">
        <v>47081564.049999997</v>
      </c>
      <c r="E64" s="624">
        <f t="shared" si="0"/>
        <v>67571468.629999995</v>
      </c>
    </row>
    <row r="65" spans="1:5" ht="15">
      <c r="A65" s="804" t="s">
        <v>998</v>
      </c>
      <c r="B65" s="805" t="s">
        <v>509</v>
      </c>
      <c r="C65" s="810">
        <v>41114979.259999998</v>
      </c>
      <c r="D65" s="810">
        <v>43814883.759999998</v>
      </c>
      <c r="E65" s="624">
        <f t="shared" si="0"/>
        <v>84929863.019999996</v>
      </c>
    </row>
    <row r="66" spans="1:5" ht="15">
      <c r="A66" s="804" t="s">
        <v>999</v>
      </c>
      <c r="B66" s="805" t="s">
        <v>510</v>
      </c>
      <c r="C66" s="810">
        <v>38451041.090000004</v>
      </c>
      <c r="D66" s="810">
        <v>50455257.939999998</v>
      </c>
      <c r="E66" s="624">
        <f t="shared" si="0"/>
        <v>88906299.030000001</v>
      </c>
    </row>
    <row r="67" spans="1:5" ht="15">
      <c r="A67" s="804" t="s">
        <v>1014</v>
      </c>
      <c r="B67" s="805" t="s">
        <v>511</v>
      </c>
      <c r="C67" s="810">
        <v>153497.09</v>
      </c>
      <c r="D67" s="810">
        <v>258562.61</v>
      </c>
      <c r="E67" s="624">
        <f t="shared" ref="E67:E130" si="1">SUM(C67:D67)</f>
        <v>412059.69999999995</v>
      </c>
    </row>
    <row r="68" spans="1:5" ht="15">
      <c r="A68" s="804" t="s">
        <v>1030</v>
      </c>
      <c r="B68" s="805" t="s">
        <v>512</v>
      </c>
      <c r="C68" s="810">
        <v>23283300.920000002</v>
      </c>
      <c r="D68" s="810">
        <v>49104995.009999998</v>
      </c>
      <c r="E68" s="624">
        <f t="shared" si="1"/>
        <v>72388295.930000007</v>
      </c>
    </row>
    <row r="69" spans="1:5" ht="15">
      <c r="A69" s="804" t="s">
        <v>1000</v>
      </c>
      <c r="B69" s="805" t="s">
        <v>597</v>
      </c>
      <c r="C69" s="810">
        <v>140912.12</v>
      </c>
      <c r="D69" s="810">
        <v>278924.81</v>
      </c>
      <c r="E69" s="624">
        <f t="shared" si="1"/>
        <v>419836.93</v>
      </c>
    </row>
    <row r="70" spans="1:5" ht="15">
      <c r="A70" s="804" t="s">
        <v>1008</v>
      </c>
      <c r="B70" s="805" t="s">
        <v>513</v>
      </c>
      <c r="C70" s="810">
        <v>27050847.399999999</v>
      </c>
      <c r="D70" s="810">
        <v>50188597.240000002</v>
      </c>
      <c r="E70" s="624">
        <f t="shared" si="1"/>
        <v>77239444.640000001</v>
      </c>
    </row>
    <row r="71" spans="1:5" ht="15">
      <c r="A71" s="804" t="s">
        <v>1053</v>
      </c>
      <c r="B71" s="805" t="s">
        <v>514</v>
      </c>
      <c r="C71" s="810">
        <v>24425064.050000001</v>
      </c>
      <c r="D71" s="810">
        <v>23595991.539999999</v>
      </c>
      <c r="E71" s="624">
        <f t="shared" si="1"/>
        <v>48021055.590000004</v>
      </c>
    </row>
    <row r="72" spans="1:5" ht="15">
      <c r="A72" s="804" t="s">
        <v>1009</v>
      </c>
      <c r="B72" s="805" t="s">
        <v>63</v>
      </c>
      <c r="C72" s="810">
        <v>1868050.33</v>
      </c>
      <c r="D72" s="810">
        <v>846824.9</v>
      </c>
      <c r="E72" s="624">
        <f t="shared" si="1"/>
        <v>2714875.23</v>
      </c>
    </row>
    <row r="73" spans="1:5" ht="15">
      <c r="A73" s="804" t="s">
        <v>1010</v>
      </c>
      <c r="B73" s="805" t="s">
        <v>515</v>
      </c>
      <c r="C73" s="810">
        <v>17931286.920000002</v>
      </c>
      <c r="D73" s="810">
        <v>24612062.899999999</v>
      </c>
      <c r="E73" s="624">
        <f t="shared" si="1"/>
        <v>42543349.82</v>
      </c>
    </row>
    <row r="74" spans="1:5" ht="15">
      <c r="A74" s="804" t="s">
        <v>1024</v>
      </c>
      <c r="B74" s="805" t="s">
        <v>516</v>
      </c>
      <c r="C74" s="810">
        <v>40968261.850000001</v>
      </c>
      <c r="D74" s="810">
        <v>44252923.439999998</v>
      </c>
      <c r="E74" s="624">
        <f t="shared" si="1"/>
        <v>85221185.289999992</v>
      </c>
    </row>
    <row r="75" spans="1:5" ht="15">
      <c r="A75" s="804" t="s">
        <v>1066</v>
      </c>
      <c r="B75" s="805" t="s">
        <v>615</v>
      </c>
      <c r="C75" s="810">
        <v>42422.76</v>
      </c>
      <c r="D75" s="810">
        <v>454494.37</v>
      </c>
      <c r="E75" s="624">
        <f t="shared" si="1"/>
        <v>496917.13</v>
      </c>
    </row>
    <row r="76" spans="1:5" ht="15">
      <c r="A76" s="804" t="s">
        <v>1012</v>
      </c>
      <c r="B76" s="805" t="s">
        <v>517</v>
      </c>
      <c r="C76" s="810">
        <v>9315598.1199999992</v>
      </c>
      <c r="D76" s="810">
        <v>11929644.439999999</v>
      </c>
      <c r="E76" s="624">
        <f t="shared" si="1"/>
        <v>21245242.559999999</v>
      </c>
    </row>
    <row r="77" spans="1:5" ht="15">
      <c r="A77" s="804" t="s">
        <v>1015</v>
      </c>
      <c r="B77" s="805" t="s">
        <v>518</v>
      </c>
      <c r="C77" s="810">
        <v>1.53</v>
      </c>
      <c r="D77" s="810">
        <v>172089.69</v>
      </c>
      <c r="E77" s="624">
        <f t="shared" si="1"/>
        <v>172091.22</v>
      </c>
    </row>
    <row r="78" spans="1:5" ht="15">
      <c r="A78" s="804" t="s">
        <v>1020</v>
      </c>
      <c r="B78" s="805" t="s">
        <v>519</v>
      </c>
      <c r="C78" s="810">
        <v>3192691.26</v>
      </c>
      <c r="D78" s="810">
        <v>7014773.1799999997</v>
      </c>
      <c r="E78" s="624">
        <f t="shared" si="1"/>
        <v>10207464.439999999</v>
      </c>
    </row>
    <row r="79" spans="1:5" ht="15">
      <c r="A79" s="808" t="s">
        <v>1412</v>
      </c>
      <c r="B79" s="809" t="s">
        <v>1413</v>
      </c>
      <c r="C79" s="810">
        <v>15432.85</v>
      </c>
      <c r="D79" s="810">
        <v>38440.26</v>
      </c>
      <c r="E79" s="624">
        <f t="shared" si="1"/>
        <v>53873.11</v>
      </c>
    </row>
    <row r="80" spans="1:5" ht="15">
      <c r="A80" s="808" t="s">
        <v>1049</v>
      </c>
      <c r="B80" s="809" t="s">
        <v>520</v>
      </c>
      <c r="C80" s="810">
        <v>21805670.800000001</v>
      </c>
      <c r="D80" s="810">
        <v>47471844.189999998</v>
      </c>
      <c r="E80" s="624">
        <f t="shared" si="1"/>
        <v>69277514.989999995</v>
      </c>
    </row>
    <row r="81" spans="1:6" ht="15">
      <c r="A81" s="804" t="s">
        <v>1050</v>
      </c>
      <c r="B81" s="805" t="s">
        <v>521</v>
      </c>
      <c r="C81" s="810">
        <v>18794402.850000001</v>
      </c>
      <c r="D81" s="810">
        <v>30331223.879999999</v>
      </c>
      <c r="E81" s="624">
        <f t="shared" si="1"/>
        <v>49125626.730000004</v>
      </c>
    </row>
    <row r="82" spans="1:6" ht="15">
      <c r="A82" s="804" t="s">
        <v>1067</v>
      </c>
      <c r="B82" s="805" t="s">
        <v>616</v>
      </c>
      <c r="C82" s="810">
        <v>10030.379999999999</v>
      </c>
      <c r="D82" s="810">
        <v>64942.63</v>
      </c>
      <c r="E82" s="624">
        <f t="shared" si="1"/>
        <v>74973.009999999995</v>
      </c>
    </row>
    <row r="83" spans="1:6" ht="15">
      <c r="A83" s="804" t="s">
        <v>1051</v>
      </c>
      <c r="B83" s="805" t="s">
        <v>522</v>
      </c>
      <c r="C83" s="810">
        <v>20508255.469999999</v>
      </c>
      <c r="D83" s="810">
        <v>28706582.27</v>
      </c>
      <c r="E83" s="624">
        <f t="shared" si="1"/>
        <v>49214837.739999995</v>
      </c>
    </row>
    <row r="84" spans="1:6" ht="15">
      <c r="A84" s="804" t="s">
        <v>1054</v>
      </c>
      <c r="B84" s="805" t="s">
        <v>479</v>
      </c>
      <c r="C84" s="810">
        <v>8136049.3600000003</v>
      </c>
      <c r="D84" s="810">
        <v>14281311.01</v>
      </c>
      <c r="E84" s="624">
        <f t="shared" si="1"/>
        <v>22417360.370000001</v>
      </c>
      <c r="F84" s="614"/>
    </row>
    <row r="85" spans="1:6" ht="15">
      <c r="A85" s="804" t="s">
        <v>1016</v>
      </c>
      <c r="B85" s="805" t="s">
        <v>523</v>
      </c>
      <c r="C85" s="810">
        <v>1418.35</v>
      </c>
      <c r="D85" s="810">
        <v>241995.21</v>
      </c>
      <c r="E85" s="624">
        <f t="shared" si="1"/>
        <v>243413.56</v>
      </c>
    </row>
    <row r="86" spans="1:6" ht="15">
      <c r="A86" s="804" t="s">
        <v>1029</v>
      </c>
      <c r="B86" s="805" t="s">
        <v>524</v>
      </c>
      <c r="C86" s="810">
        <v>15761886</v>
      </c>
      <c r="D86" s="810">
        <v>25808314.02</v>
      </c>
      <c r="E86" s="624">
        <f t="shared" si="1"/>
        <v>41570200.019999996</v>
      </c>
    </row>
    <row r="87" spans="1:6" ht="15">
      <c r="A87" s="804" t="s">
        <v>1035</v>
      </c>
      <c r="B87" s="805" t="s">
        <v>642</v>
      </c>
      <c r="C87" s="810">
        <v>5900</v>
      </c>
      <c r="D87" s="810">
        <v>37751.08</v>
      </c>
      <c r="E87" s="624">
        <f t="shared" si="1"/>
        <v>43651.08</v>
      </c>
    </row>
    <row r="88" spans="1:6" ht="15">
      <c r="A88" s="804" t="s">
        <v>1048</v>
      </c>
      <c r="B88" s="805" t="s">
        <v>525</v>
      </c>
      <c r="C88" s="810">
        <v>8579619.9100000001</v>
      </c>
      <c r="D88" s="810">
        <v>17963862.300000001</v>
      </c>
      <c r="E88" s="624">
        <f t="shared" si="1"/>
        <v>26543482.210000001</v>
      </c>
    </row>
    <row r="89" spans="1:6" ht="15">
      <c r="A89" s="804" t="s">
        <v>1005</v>
      </c>
      <c r="B89" s="805" t="s">
        <v>685</v>
      </c>
      <c r="C89" s="810">
        <v>44388.21</v>
      </c>
      <c r="D89" s="810">
        <v>238720.53</v>
      </c>
      <c r="E89" s="624">
        <f t="shared" si="1"/>
        <v>283108.74</v>
      </c>
    </row>
    <row r="90" spans="1:6" ht="15">
      <c r="A90" s="804" t="s">
        <v>1047</v>
      </c>
      <c r="B90" s="805" t="s">
        <v>526</v>
      </c>
      <c r="C90" s="810">
        <v>25534075.129999999</v>
      </c>
      <c r="D90" s="810">
        <v>40490796.729999997</v>
      </c>
      <c r="E90" s="624">
        <f t="shared" si="1"/>
        <v>66024871.859999999</v>
      </c>
    </row>
    <row r="91" spans="1:6" ht="15">
      <c r="A91" s="804" t="s">
        <v>1006</v>
      </c>
      <c r="B91" s="805" t="s">
        <v>1323</v>
      </c>
      <c r="C91" s="810">
        <v>11680.84</v>
      </c>
      <c r="D91" s="810">
        <v>82798.45</v>
      </c>
      <c r="E91" s="624">
        <f t="shared" si="1"/>
        <v>94479.29</v>
      </c>
    </row>
    <row r="92" spans="1:6" ht="15">
      <c r="A92" s="804" t="s">
        <v>1034</v>
      </c>
      <c r="B92" s="805" t="s">
        <v>527</v>
      </c>
      <c r="C92" s="810">
        <v>31451877.039999999</v>
      </c>
      <c r="D92" s="810">
        <v>45484058.700000003</v>
      </c>
      <c r="E92" s="624">
        <f t="shared" si="1"/>
        <v>76935935.74000001</v>
      </c>
    </row>
    <row r="93" spans="1:6" ht="15">
      <c r="A93" s="804" t="s">
        <v>1068</v>
      </c>
      <c r="B93" s="805" t="s">
        <v>617</v>
      </c>
      <c r="C93" s="810">
        <v>67684.600000000006</v>
      </c>
      <c r="D93" s="810">
        <v>143942.79999999999</v>
      </c>
      <c r="E93" s="624">
        <f t="shared" si="1"/>
        <v>211627.4</v>
      </c>
    </row>
    <row r="94" spans="1:6" ht="15">
      <c r="A94" s="804" t="s">
        <v>1032</v>
      </c>
      <c r="B94" s="805" t="s">
        <v>528</v>
      </c>
      <c r="C94" s="810">
        <v>24687218.239999998</v>
      </c>
      <c r="D94" s="810">
        <v>32145022.77</v>
      </c>
      <c r="E94" s="624">
        <f t="shared" si="1"/>
        <v>56832241.009999998</v>
      </c>
    </row>
    <row r="95" spans="1:6" ht="15">
      <c r="A95" s="808" t="s">
        <v>1033</v>
      </c>
      <c r="B95" s="805" t="s">
        <v>1414</v>
      </c>
      <c r="C95" s="810">
        <v>0</v>
      </c>
      <c r="D95" s="810">
        <v>63095.1</v>
      </c>
      <c r="E95" s="624">
        <f t="shared" si="1"/>
        <v>63095.1</v>
      </c>
    </row>
    <row r="96" spans="1:6" ht="15">
      <c r="A96" s="804" t="s">
        <v>1043</v>
      </c>
      <c r="B96" s="805" t="s">
        <v>529</v>
      </c>
      <c r="C96" s="810">
        <v>25874881.870000001</v>
      </c>
      <c r="D96" s="810">
        <v>35854195.100000001</v>
      </c>
      <c r="E96" s="624">
        <f t="shared" si="1"/>
        <v>61729076.969999999</v>
      </c>
    </row>
    <row r="97" spans="1:5" ht="15">
      <c r="A97" s="804" t="s">
        <v>1045</v>
      </c>
      <c r="B97" s="805" t="s">
        <v>530</v>
      </c>
      <c r="C97" s="810">
        <v>0</v>
      </c>
      <c r="D97" s="810">
        <v>42013.41</v>
      </c>
      <c r="E97" s="624">
        <f t="shared" si="1"/>
        <v>42013.41</v>
      </c>
    </row>
    <row r="98" spans="1:5" ht="15">
      <c r="A98" s="804" t="s">
        <v>1036</v>
      </c>
      <c r="B98" s="805" t="s">
        <v>531</v>
      </c>
      <c r="C98" s="810">
        <v>22959847.039999999</v>
      </c>
      <c r="D98" s="810">
        <v>41743468.350000001</v>
      </c>
      <c r="E98" s="624">
        <f t="shared" si="1"/>
        <v>64703315.390000001</v>
      </c>
    </row>
    <row r="99" spans="1:5" ht="15">
      <c r="A99" s="804" t="s">
        <v>1007</v>
      </c>
      <c r="B99" s="805" t="s">
        <v>686</v>
      </c>
      <c r="C99" s="810">
        <v>277843.49</v>
      </c>
      <c r="D99" s="810">
        <v>624322.56000000006</v>
      </c>
      <c r="E99" s="624">
        <f t="shared" si="1"/>
        <v>902166.05</v>
      </c>
    </row>
    <row r="100" spans="1:5" ht="15">
      <c r="A100" s="804" t="s">
        <v>1037</v>
      </c>
      <c r="B100" s="805" t="s">
        <v>1322</v>
      </c>
      <c r="C100" s="810">
        <v>1740.86</v>
      </c>
      <c r="D100" s="810">
        <v>58540.13</v>
      </c>
      <c r="E100" s="624">
        <f t="shared" si="1"/>
        <v>60280.99</v>
      </c>
    </row>
    <row r="101" spans="1:5" ht="15">
      <c r="A101" s="804" t="s">
        <v>1031</v>
      </c>
      <c r="B101" s="805" t="s">
        <v>687</v>
      </c>
      <c r="C101" s="810">
        <v>18761521.079999998</v>
      </c>
      <c r="D101" s="810">
        <v>23383296.059999999</v>
      </c>
      <c r="E101" s="624">
        <f t="shared" si="1"/>
        <v>42144817.140000001</v>
      </c>
    </row>
    <row r="102" spans="1:5" ht="15">
      <c r="A102" s="804" t="s">
        <v>1038</v>
      </c>
      <c r="B102" s="805" t="s">
        <v>66</v>
      </c>
      <c r="C102" s="810">
        <v>5846.99</v>
      </c>
      <c r="D102" s="810">
        <v>206514.19</v>
      </c>
      <c r="E102" s="624">
        <f t="shared" si="1"/>
        <v>212361.18</v>
      </c>
    </row>
    <row r="103" spans="1:5" ht="15">
      <c r="A103" s="804" t="s">
        <v>1018</v>
      </c>
      <c r="B103" s="805" t="s">
        <v>304</v>
      </c>
      <c r="C103" s="810">
        <v>25475442.100000001</v>
      </c>
      <c r="D103" s="810">
        <v>35478278.859999999</v>
      </c>
      <c r="E103" s="624">
        <f t="shared" si="1"/>
        <v>60953720.960000001</v>
      </c>
    </row>
    <row r="104" spans="1:5" ht="15">
      <c r="A104" s="804" t="s">
        <v>1021</v>
      </c>
      <c r="B104" s="805" t="s">
        <v>68</v>
      </c>
      <c r="C104" s="810">
        <v>9531410.4800000004</v>
      </c>
      <c r="D104" s="810">
        <v>21623115.920000002</v>
      </c>
      <c r="E104" s="624">
        <f t="shared" si="1"/>
        <v>31154526.400000002</v>
      </c>
    </row>
    <row r="105" spans="1:5" ht="15">
      <c r="A105" s="804" t="s">
        <v>1025</v>
      </c>
      <c r="B105" s="805" t="s">
        <v>69</v>
      </c>
      <c r="C105" s="810">
        <v>16963524.300000001</v>
      </c>
      <c r="D105" s="810">
        <v>26780979.210000001</v>
      </c>
      <c r="E105" s="624">
        <f t="shared" si="1"/>
        <v>43744503.510000005</v>
      </c>
    </row>
    <row r="106" spans="1:5" ht="15">
      <c r="A106" s="804" t="s">
        <v>952</v>
      </c>
      <c r="B106" s="805" t="s">
        <v>688</v>
      </c>
      <c r="C106" s="810">
        <v>41224173</v>
      </c>
      <c r="D106" s="810">
        <v>32245864.050000001</v>
      </c>
      <c r="E106" s="624">
        <f t="shared" si="1"/>
        <v>73470037.049999997</v>
      </c>
    </row>
    <row r="107" spans="1:5" ht="15">
      <c r="A107" s="804" t="s">
        <v>953</v>
      </c>
      <c r="B107" s="805" t="s">
        <v>584</v>
      </c>
      <c r="C107" s="810">
        <v>6963.42</v>
      </c>
      <c r="D107" s="810">
        <v>64788.63</v>
      </c>
      <c r="E107" s="624">
        <f t="shared" si="1"/>
        <v>71752.05</v>
      </c>
    </row>
    <row r="108" spans="1:5" ht="15">
      <c r="A108" s="804" t="s">
        <v>1057</v>
      </c>
      <c r="B108" s="805" t="s">
        <v>585</v>
      </c>
      <c r="C108" s="810">
        <v>20383.400000000001</v>
      </c>
      <c r="D108" s="810">
        <v>40145.35</v>
      </c>
      <c r="E108" s="624">
        <f t="shared" si="1"/>
        <v>60528.75</v>
      </c>
    </row>
    <row r="109" spans="1:5" ht="15">
      <c r="A109" s="804" t="s">
        <v>1058</v>
      </c>
      <c r="B109" s="805" t="s">
        <v>644</v>
      </c>
      <c r="C109" s="810">
        <v>215051.09</v>
      </c>
      <c r="D109" s="810">
        <v>337548.1</v>
      </c>
      <c r="E109" s="624">
        <f t="shared" si="1"/>
        <v>552599.18999999994</v>
      </c>
    </row>
    <row r="110" spans="1:5" ht="15">
      <c r="A110" s="804" t="s">
        <v>1059</v>
      </c>
      <c r="B110" s="805" t="s">
        <v>480</v>
      </c>
      <c r="C110" s="810">
        <v>106207.41</v>
      </c>
      <c r="D110" s="810">
        <v>380423.17</v>
      </c>
      <c r="E110" s="624">
        <f t="shared" si="1"/>
        <v>486630.57999999996</v>
      </c>
    </row>
    <row r="111" spans="1:5" ht="15">
      <c r="A111" s="808" t="s">
        <v>1060</v>
      </c>
      <c r="B111" s="805" t="s">
        <v>481</v>
      </c>
      <c r="C111" s="810">
        <v>522</v>
      </c>
      <c r="D111" s="810">
        <v>10192.84</v>
      </c>
      <c r="E111" s="624">
        <f t="shared" si="1"/>
        <v>10714.84</v>
      </c>
    </row>
    <row r="112" spans="1:5" ht="15">
      <c r="A112" s="804" t="s">
        <v>1061</v>
      </c>
      <c r="B112" s="805" t="s">
        <v>482</v>
      </c>
      <c r="C112" s="810">
        <v>1827537.93</v>
      </c>
      <c r="D112" s="810">
        <v>4345630.55</v>
      </c>
      <c r="E112" s="624">
        <f t="shared" si="1"/>
        <v>6173168.4799999995</v>
      </c>
    </row>
    <row r="113" spans="1:5" ht="15">
      <c r="A113" s="804" t="s">
        <v>1062</v>
      </c>
      <c r="B113" s="805" t="s">
        <v>645</v>
      </c>
      <c r="C113" s="810">
        <v>1733713.26</v>
      </c>
      <c r="D113" s="810">
        <v>2662708.89</v>
      </c>
      <c r="E113" s="624">
        <f t="shared" si="1"/>
        <v>4396422.1500000004</v>
      </c>
    </row>
    <row r="114" spans="1:5" ht="15">
      <c r="A114" s="804" t="s">
        <v>1063</v>
      </c>
      <c r="B114" s="805" t="s">
        <v>646</v>
      </c>
      <c r="C114" s="810">
        <v>1752282.69</v>
      </c>
      <c r="D114" s="810">
        <v>4410718.97</v>
      </c>
      <c r="E114" s="624">
        <f t="shared" si="1"/>
        <v>6163001.6600000001</v>
      </c>
    </row>
    <row r="115" spans="1:5" ht="15">
      <c r="A115" s="804" t="s">
        <v>1064</v>
      </c>
      <c r="B115" s="805" t="s">
        <v>647</v>
      </c>
      <c r="C115" s="810">
        <v>1994470.15</v>
      </c>
      <c r="D115" s="810">
        <v>5884846.0199999996</v>
      </c>
      <c r="E115" s="624">
        <f t="shared" si="1"/>
        <v>7879316.1699999999</v>
      </c>
    </row>
    <row r="116" spans="1:5" ht="15">
      <c r="A116" s="804" t="s">
        <v>1019</v>
      </c>
      <c r="B116" s="805" t="s">
        <v>533</v>
      </c>
      <c r="C116" s="810">
        <v>1089174.51</v>
      </c>
      <c r="D116" s="810">
        <v>2146237.35</v>
      </c>
      <c r="E116" s="624">
        <f t="shared" si="1"/>
        <v>3235411.8600000003</v>
      </c>
    </row>
    <row r="117" spans="1:5" ht="15">
      <c r="A117" s="804" t="s">
        <v>1109</v>
      </c>
      <c r="B117" s="805" t="s">
        <v>534</v>
      </c>
      <c r="C117" s="810">
        <v>89519.53</v>
      </c>
      <c r="D117" s="810">
        <v>497004.14</v>
      </c>
      <c r="E117" s="624">
        <f t="shared" si="1"/>
        <v>586523.67000000004</v>
      </c>
    </row>
    <row r="118" spans="1:5" ht="15">
      <c r="A118" s="804" t="s">
        <v>1110</v>
      </c>
      <c r="B118" s="805" t="s">
        <v>535</v>
      </c>
      <c r="C118" s="810">
        <v>3622103.54</v>
      </c>
      <c r="D118" s="810">
        <v>3547012.54</v>
      </c>
      <c r="E118" s="624">
        <f t="shared" si="1"/>
        <v>7169116.0800000001</v>
      </c>
    </row>
    <row r="119" spans="1:5" ht="15">
      <c r="A119" s="804" t="s">
        <v>1112</v>
      </c>
      <c r="B119" s="805" t="s">
        <v>536</v>
      </c>
      <c r="C119" s="810">
        <v>1031365.35</v>
      </c>
      <c r="D119" s="810">
        <v>1612559.41</v>
      </c>
      <c r="E119" s="624">
        <f t="shared" si="1"/>
        <v>2643924.7599999998</v>
      </c>
    </row>
    <row r="120" spans="1:5" ht="15">
      <c r="A120" s="804" t="s">
        <v>1115</v>
      </c>
      <c r="B120" s="805" t="s">
        <v>537</v>
      </c>
      <c r="C120" s="810">
        <v>237818.58</v>
      </c>
      <c r="D120" s="810">
        <v>477715.42</v>
      </c>
      <c r="E120" s="624">
        <f t="shared" si="1"/>
        <v>715534</v>
      </c>
    </row>
    <row r="121" spans="1:5" ht="15">
      <c r="A121" s="804" t="s">
        <v>1111</v>
      </c>
      <c r="B121" s="805" t="s">
        <v>538</v>
      </c>
      <c r="C121" s="810">
        <v>762848.88</v>
      </c>
      <c r="D121" s="810">
        <v>1291485.8700000001</v>
      </c>
      <c r="E121" s="624">
        <f t="shared" si="1"/>
        <v>2054334.75</v>
      </c>
    </row>
    <row r="122" spans="1:5" ht="15">
      <c r="A122" s="804" t="s">
        <v>1113</v>
      </c>
      <c r="B122" s="805" t="s">
        <v>539</v>
      </c>
      <c r="C122" s="810">
        <v>181881.08</v>
      </c>
      <c r="D122" s="810">
        <v>357516.25</v>
      </c>
      <c r="E122" s="624">
        <f t="shared" si="1"/>
        <v>539397.32999999996</v>
      </c>
    </row>
    <row r="123" spans="1:5" ht="15">
      <c r="A123" s="804" t="s">
        <v>1117</v>
      </c>
      <c r="B123" s="805" t="s">
        <v>540</v>
      </c>
      <c r="C123" s="810">
        <v>2521692.84</v>
      </c>
      <c r="D123" s="810">
        <v>5131004.12</v>
      </c>
      <c r="E123" s="624">
        <f t="shared" si="1"/>
        <v>7652696.96</v>
      </c>
    </row>
    <row r="124" spans="1:5" ht="15">
      <c r="A124" s="804" t="s">
        <v>1124</v>
      </c>
      <c r="B124" s="805" t="s">
        <v>541</v>
      </c>
      <c r="C124" s="810">
        <v>171719.37</v>
      </c>
      <c r="D124" s="810">
        <v>466939.94</v>
      </c>
      <c r="E124" s="624">
        <f t="shared" si="1"/>
        <v>638659.31000000006</v>
      </c>
    </row>
    <row r="125" spans="1:5" ht="15">
      <c r="A125" s="804" t="s">
        <v>1118</v>
      </c>
      <c r="B125" s="805" t="s">
        <v>542</v>
      </c>
      <c r="C125" s="810">
        <v>7110542.9000000004</v>
      </c>
      <c r="D125" s="810">
        <v>11408199.32</v>
      </c>
      <c r="E125" s="624">
        <f t="shared" si="1"/>
        <v>18518742.219999999</v>
      </c>
    </row>
    <row r="126" spans="1:5" ht="15">
      <c r="A126" s="804" t="s">
        <v>1321</v>
      </c>
      <c r="B126" s="805" t="s">
        <v>1320</v>
      </c>
      <c r="C126" s="810">
        <v>0</v>
      </c>
      <c r="D126" s="810">
        <v>30181</v>
      </c>
      <c r="E126" s="624">
        <f t="shared" si="1"/>
        <v>30181</v>
      </c>
    </row>
    <row r="127" spans="1:5" ht="15">
      <c r="A127" s="804" t="s">
        <v>1104</v>
      </c>
      <c r="B127" s="805" t="s">
        <v>1478</v>
      </c>
      <c r="C127" s="810">
        <v>18400.919999999998</v>
      </c>
      <c r="D127" s="810">
        <v>38935.910000000003</v>
      </c>
      <c r="E127" s="624">
        <f t="shared" si="1"/>
        <v>57336.83</v>
      </c>
    </row>
    <row r="128" spans="1:5" ht="15">
      <c r="A128" s="804" t="s">
        <v>1119</v>
      </c>
      <c r="B128" s="805" t="s">
        <v>543</v>
      </c>
      <c r="C128" s="810">
        <v>1685053</v>
      </c>
      <c r="D128" s="810">
        <v>2304860.86</v>
      </c>
      <c r="E128" s="624">
        <f t="shared" si="1"/>
        <v>3989913.86</v>
      </c>
    </row>
    <row r="129" spans="1:5" ht="15">
      <c r="A129" s="804" t="s">
        <v>1108</v>
      </c>
      <c r="B129" s="805" t="s">
        <v>544</v>
      </c>
      <c r="C129" s="810">
        <v>1740919.72</v>
      </c>
      <c r="D129" s="810">
        <v>2693752.14</v>
      </c>
      <c r="E129" s="624">
        <f t="shared" si="1"/>
        <v>4434671.8600000003</v>
      </c>
    </row>
    <row r="130" spans="1:5" ht="15">
      <c r="A130" s="804" t="s">
        <v>1107</v>
      </c>
      <c r="B130" s="805" t="s">
        <v>545</v>
      </c>
      <c r="C130" s="810">
        <v>164551.38</v>
      </c>
      <c r="D130" s="810">
        <v>113810.61</v>
      </c>
      <c r="E130" s="624">
        <f t="shared" si="1"/>
        <v>278361.99</v>
      </c>
    </row>
    <row r="131" spans="1:5" ht="15">
      <c r="A131" s="804" t="s">
        <v>1116</v>
      </c>
      <c r="B131" s="805" t="s">
        <v>546</v>
      </c>
      <c r="C131" s="810">
        <v>4201764.95</v>
      </c>
      <c r="D131" s="810">
        <v>2316556.2400000002</v>
      </c>
      <c r="E131" s="624">
        <f t="shared" ref="E131:E194" si="2">SUM(C131:D131)</f>
        <v>6518321.1900000004</v>
      </c>
    </row>
    <row r="132" spans="1:5" ht="15">
      <c r="A132" s="804" t="s">
        <v>1114</v>
      </c>
      <c r="B132" s="805" t="s">
        <v>547</v>
      </c>
      <c r="C132" s="810">
        <v>5560953.0499999998</v>
      </c>
      <c r="D132" s="810">
        <v>10429780.76</v>
      </c>
      <c r="E132" s="624">
        <f t="shared" si="2"/>
        <v>15990733.809999999</v>
      </c>
    </row>
    <row r="133" spans="1:5" ht="15">
      <c r="A133" s="804" t="s">
        <v>1070</v>
      </c>
      <c r="B133" s="805" t="s">
        <v>690</v>
      </c>
      <c r="C133" s="810">
        <v>57665.440000000002</v>
      </c>
      <c r="D133" s="810">
        <v>217531.27</v>
      </c>
      <c r="E133" s="624">
        <f t="shared" si="2"/>
        <v>275196.70999999996</v>
      </c>
    </row>
    <row r="134" spans="1:5" ht="15">
      <c r="A134" s="804" t="s">
        <v>1071</v>
      </c>
      <c r="B134" s="805" t="s">
        <v>691</v>
      </c>
      <c r="C134" s="810">
        <v>395923.22</v>
      </c>
      <c r="D134" s="810">
        <v>345362.23</v>
      </c>
      <c r="E134" s="624">
        <f t="shared" si="2"/>
        <v>741285.45</v>
      </c>
    </row>
    <row r="135" spans="1:5" ht="15">
      <c r="A135" s="804" t="s">
        <v>1072</v>
      </c>
      <c r="B135" s="805" t="s">
        <v>692</v>
      </c>
      <c r="C135" s="810">
        <v>215423.87</v>
      </c>
      <c r="D135" s="810">
        <v>2325155.46</v>
      </c>
      <c r="E135" s="624">
        <f t="shared" si="2"/>
        <v>2540579.33</v>
      </c>
    </row>
    <row r="136" spans="1:5" ht="15">
      <c r="A136" s="804" t="s">
        <v>1073</v>
      </c>
      <c r="B136" s="805" t="s">
        <v>693</v>
      </c>
      <c r="C136" s="810">
        <v>55426.84</v>
      </c>
      <c r="D136" s="810">
        <v>306923.11</v>
      </c>
      <c r="E136" s="624">
        <f t="shared" si="2"/>
        <v>362349.94999999995</v>
      </c>
    </row>
    <row r="137" spans="1:5" ht="15">
      <c r="A137" s="804" t="s">
        <v>1074</v>
      </c>
      <c r="B137" s="805" t="s">
        <v>694</v>
      </c>
      <c r="C137" s="810">
        <v>124519.11</v>
      </c>
      <c r="D137" s="810">
        <v>623211.23</v>
      </c>
      <c r="E137" s="624">
        <f t="shared" si="2"/>
        <v>747730.34</v>
      </c>
    </row>
    <row r="138" spans="1:5" ht="15">
      <c r="A138" s="804" t="s">
        <v>1075</v>
      </c>
      <c r="B138" s="805" t="s">
        <v>695</v>
      </c>
      <c r="C138" s="810">
        <v>744432.17</v>
      </c>
      <c r="D138" s="810">
        <v>973746.07</v>
      </c>
      <c r="E138" s="624">
        <f t="shared" si="2"/>
        <v>1718178.24</v>
      </c>
    </row>
    <row r="139" spans="1:5" ht="15">
      <c r="A139" s="804" t="s">
        <v>1076</v>
      </c>
      <c r="B139" s="805" t="s">
        <v>696</v>
      </c>
      <c r="C139" s="810">
        <v>108328.33</v>
      </c>
      <c r="D139" s="810">
        <v>202097.8</v>
      </c>
      <c r="E139" s="624">
        <f t="shared" si="2"/>
        <v>310426.13</v>
      </c>
    </row>
    <row r="140" spans="1:5" ht="15">
      <c r="A140" s="804" t="s">
        <v>1077</v>
      </c>
      <c r="B140" s="805" t="s">
        <v>697</v>
      </c>
      <c r="C140" s="810">
        <v>24052</v>
      </c>
      <c r="D140" s="810">
        <v>245257.03</v>
      </c>
      <c r="E140" s="624">
        <f t="shared" si="2"/>
        <v>269309.03000000003</v>
      </c>
    </row>
    <row r="141" spans="1:5" ht="15">
      <c r="A141" s="804" t="s">
        <v>1078</v>
      </c>
      <c r="B141" s="805" t="s">
        <v>698</v>
      </c>
      <c r="C141" s="810">
        <v>131253.14000000001</v>
      </c>
      <c r="D141" s="810">
        <v>671204.17</v>
      </c>
      <c r="E141" s="624">
        <f t="shared" si="2"/>
        <v>802457.31</v>
      </c>
    </row>
    <row r="142" spans="1:5" ht="15">
      <c r="A142" s="804" t="s">
        <v>1080</v>
      </c>
      <c r="B142" s="805" t="s">
        <v>62</v>
      </c>
      <c r="C142" s="810">
        <v>0</v>
      </c>
      <c r="D142" s="810">
        <v>19914.240000000002</v>
      </c>
      <c r="E142" s="624">
        <f t="shared" si="2"/>
        <v>19914.240000000002</v>
      </c>
    </row>
    <row r="143" spans="1:5" ht="15">
      <c r="A143" s="804" t="s">
        <v>1091</v>
      </c>
      <c r="B143" s="805" t="s">
        <v>699</v>
      </c>
      <c r="C143" s="810">
        <v>90263.45</v>
      </c>
      <c r="D143" s="810">
        <v>49068.43</v>
      </c>
      <c r="E143" s="624">
        <f t="shared" si="2"/>
        <v>139331.88</v>
      </c>
    </row>
    <row r="144" spans="1:5" ht="15">
      <c r="A144" s="804" t="s">
        <v>1082</v>
      </c>
      <c r="B144" s="805" t="s">
        <v>700</v>
      </c>
      <c r="C144" s="810">
        <v>98360.639999999999</v>
      </c>
      <c r="D144" s="810">
        <v>275362.25</v>
      </c>
      <c r="E144" s="624">
        <f t="shared" si="2"/>
        <v>373722.89</v>
      </c>
    </row>
    <row r="145" spans="1:5" ht="15">
      <c r="A145" s="804" t="s">
        <v>1083</v>
      </c>
      <c r="B145" s="805" t="s">
        <v>701</v>
      </c>
      <c r="C145" s="810">
        <v>12619.25</v>
      </c>
      <c r="D145" s="810">
        <v>91515.64</v>
      </c>
      <c r="E145" s="624">
        <f t="shared" si="2"/>
        <v>104134.89</v>
      </c>
    </row>
    <row r="146" spans="1:5" ht="15">
      <c r="A146" s="804" t="s">
        <v>1098</v>
      </c>
      <c r="B146" s="805" t="s">
        <v>648</v>
      </c>
      <c r="C146" s="810">
        <v>26245</v>
      </c>
      <c r="D146" s="810">
        <v>150961.18</v>
      </c>
      <c r="E146" s="624">
        <f t="shared" si="2"/>
        <v>177206.18</v>
      </c>
    </row>
    <row r="147" spans="1:5" ht="15">
      <c r="A147" s="804" t="s">
        <v>1086</v>
      </c>
      <c r="B147" s="805" t="s">
        <v>1319</v>
      </c>
      <c r="C147" s="810">
        <v>0</v>
      </c>
      <c r="D147" s="810">
        <v>26461.51</v>
      </c>
      <c r="E147" s="624">
        <f t="shared" si="2"/>
        <v>26461.51</v>
      </c>
    </row>
    <row r="148" spans="1:5" ht="15">
      <c r="A148" s="804" t="s">
        <v>1087</v>
      </c>
      <c r="B148" s="805" t="s">
        <v>702</v>
      </c>
      <c r="C148" s="810">
        <v>14218.52</v>
      </c>
      <c r="D148" s="810">
        <v>149352.35</v>
      </c>
      <c r="E148" s="624">
        <f t="shared" si="2"/>
        <v>163570.87</v>
      </c>
    </row>
    <row r="149" spans="1:5" ht="15">
      <c r="A149" s="804" t="s">
        <v>1088</v>
      </c>
      <c r="B149" s="805" t="s">
        <v>703</v>
      </c>
      <c r="C149" s="810">
        <v>56897.23</v>
      </c>
      <c r="D149" s="810">
        <v>156314.63</v>
      </c>
      <c r="E149" s="624">
        <f t="shared" si="2"/>
        <v>213211.86000000002</v>
      </c>
    </row>
    <row r="150" spans="1:5" ht="15">
      <c r="A150" s="804" t="s">
        <v>1089</v>
      </c>
      <c r="B150" s="805" t="s">
        <v>704</v>
      </c>
      <c r="C150" s="810">
        <v>99205.19</v>
      </c>
      <c r="D150" s="810">
        <v>130684.4</v>
      </c>
      <c r="E150" s="624">
        <f t="shared" si="2"/>
        <v>229889.59</v>
      </c>
    </row>
    <row r="151" spans="1:5" ht="15">
      <c r="A151" s="804" t="s">
        <v>1100</v>
      </c>
      <c r="B151" s="805" t="s">
        <v>705</v>
      </c>
      <c r="C151" s="810">
        <v>111147.04</v>
      </c>
      <c r="D151" s="810">
        <v>338265.27</v>
      </c>
      <c r="E151" s="624">
        <f t="shared" si="2"/>
        <v>449412.31</v>
      </c>
    </row>
    <row r="152" spans="1:5" ht="15">
      <c r="A152" s="808" t="s">
        <v>1101</v>
      </c>
      <c r="B152" s="805" t="s">
        <v>1415</v>
      </c>
      <c r="C152" s="810">
        <v>4350</v>
      </c>
      <c r="D152" s="810">
        <v>49157.69</v>
      </c>
      <c r="E152" s="624">
        <f t="shared" si="2"/>
        <v>53507.69</v>
      </c>
    </row>
    <row r="153" spans="1:5" ht="15">
      <c r="A153" s="808" t="s">
        <v>1293</v>
      </c>
      <c r="B153" s="805" t="s">
        <v>1479</v>
      </c>
      <c r="C153" s="810">
        <v>4060</v>
      </c>
      <c r="D153" s="810">
        <v>69219.070000000007</v>
      </c>
      <c r="E153" s="624">
        <f t="shared" si="2"/>
        <v>73279.070000000007</v>
      </c>
    </row>
    <row r="154" spans="1:5" ht="15">
      <c r="A154" s="808" t="s">
        <v>1416</v>
      </c>
      <c r="B154" s="805" t="s">
        <v>1417</v>
      </c>
      <c r="C154" s="810">
        <v>0</v>
      </c>
      <c r="D154" s="810">
        <v>15186.47</v>
      </c>
      <c r="E154" s="624">
        <f t="shared" si="2"/>
        <v>15186.47</v>
      </c>
    </row>
    <row r="155" spans="1:5" ht="15">
      <c r="A155" s="804" t="s">
        <v>1092</v>
      </c>
      <c r="B155" s="805" t="s">
        <v>1318</v>
      </c>
      <c r="C155" s="810">
        <v>31010.65</v>
      </c>
      <c r="D155" s="810">
        <v>142124</v>
      </c>
      <c r="E155" s="624">
        <f t="shared" si="2"/>
        <v>173134.65</v>
      </c>
    </row>
    <row r="156" spans="1:5" ht="15">
      <c r="A156" s="804" t="s">
        <v>1095</v>
      </c>
      <c r="B156" s="805" t="s">
        <v>619</v>
      </c>
      <c r="C156" s="810">
        <v>74480.06</v>
      </c>
      <c r="D156" s="810">
        <v>486866.23</v>
      </c>
      <c r="E156" s="624">
        <f t="shared" si="2"/>
        <v>561346.29</v>
      </c>
    </row>
    <row r="157" spans="1:5" ht="15">
      <c r="A157" s="804" t="s">
        <v>1081</v>
      </c>
      <c r="B157" s="805" t="s">
        <v>62</v>
      </c>
      <c r="C157" s="810">
        <v>0</v>
      </c>
      <c r="D157" s="810">
        <v>101256.41</v>
      </c>
      <c r="E157" s="624">
        <f t="shared" si="2"/>
        <v>101256.41</v>
      </c>
    </row>
    <row r="158" spans="1:5" ht="15">
      <c r="A158" s="804" t="s">
        <v>1093</v>
      </c>
      <c r="B158" s="805" t="s">
        <v>1317</v>
      </c>
      <c r="C158" s="810">
        <v>0.28999999999999998</v>
      </c>
      <c r="D158" s="810">
        <v>64344.82</v>
      </c>
      <c r="E158" s="624">
        <f t="shared" si="2"/>
        <v>64345.11</v>
      </c>
    </row>
    <row r="159" spans="1:5" ht="15">
      <c r="A159" s="804" t="s">
        <v>1084</v>
      </c>
      <c r="B159" s="805" t="s">
        <v>62</v>
      </c>
      <c r="C159" s="810">
        <v>264933.32</v>
      </c>
      <c r="D159" s="810">
        <v>1067678.43</v>
      </c>
      <c r="E159" s="624">
        <f t="shared" si="2"/>
        <v>1332611.75</v>
      </c>
    </row>
    <row r="160" spans="1:5" ht="15">
      <c r="A160" s="808" t="s">
        <v>1418</v>
      </c>
      <c r="B160" s="805" t="s">
        <v>1419</v>
      </c>
      <c r="C160" s="810">
        <v>19299.599999999999</v>
      </c>
      <c r="D160" s="810">
        <v>129847.24</v>
      </c>
      <c r="E160" s="624">
        <f t="shared" si="2"/>
        <v>149146.84</v>
      </c>
    </row>
    <row r="161" spans="1:5" ht="15">
      <c r="A161" s="804" t="s">
        <v>1099</v>
      </c>
      <c r="B161" s="805" t="s">
        <v>1314</v>
      </c>
      <c r="C161" s="810">
        <v>6662.71</v>
      </c>
      <c r="D161" s="810">
        <v>65908.160000000003</v>
      </c>
      <c r="E161" s="624">
        <f t="shared" si="2"/>
        <v>72570.87000000001</v>
      </c>
    </row>
    <row r="162" spans="1:5" ht="15">
      <c r="A162" s="804" t="s">
        <v>1299</v>
      </c>
      <c r="B162" s="805" t="s">
        <v>1300</v>
      </c>
      <c r="C162" s="810">
        <v>7495.11</v>
      </c>
      <c r="D162" s="810">
        <v>54228.04</v>
      </c>
      <c r="E162" s="624">
        <f t="shared" si="2"/>
        <v>61723.15</v>
      </c>
    </row>
    <row r="163" spans="1:5" ht="15">
      <c r="A163" s="804" t="s">
        <v>1094</v>
      </c>
      <c r="B163" s="805" t="s">
        <v>1313</v>
      </c>
      <c r="C163" s="810">
        <v>17681.87</v>
      </c>
      <c r="D163" s="810">
        <v>84901.77</v>
      </c>
      <c r="E163" s="624">
        <f t="shared" si="2"/>
        <v>102583.64</v>
      </c>
    </row>
    <row r="164" spans="1:5" ht="15">
      <c r="A164" s="804" t="s">
        <v>920</v>
      </c>
      <c r="B164" s="805" t="s">
        <v>706</v>
      </c>
      <c r="C164" s="810">
        <v>2539799.86</v>
      </c>
      <c r="D164" s="810">
        <v>7096779.7800000003</v>
      </c>
      <c r="E164" s="624">
        <f t="shared" si="2"/>
        <v>9636579.6400000006</v>
      </c>
    </row>
    <row r="165" spans="1:5" ht="15">
      <c r="A165" s="804" t="s">
        <v>896</v>
      </c>
      <c r="B165" s="805" t="s">
        <v>76</v>
      </c>
      <c r="C165" s="810">
        <v>582837.31000000006</v>
      </c>
      <c r="D165" s="810">
        <v>1521469.18</v>
      </c>
      <c r="E165" s="624">
        <f t="shared" si="2"/>
        <v>2104306.4900000002</v>
      </c>
    </row>
    <row r="166" spans="1:5" ht="15">
      <c r="A166" s="804" t="s">
        <v>897</v>
      </c>
      <c r="B166" s="805" t="s">
        <v>707</v>
      </c>
      <c r="C166" s="810">
        <v>59823.29</v>
      </c>
      <c r="D166" s="810">
        <v>481975.96</v>
      </c>
      <c r="E166" s="624">
        <f t="shared" si="2"/>
        <v>541799.25</v>
      </c>
    </row>
    <row r="167" spans="1:5" ht="15">
      <c r="A167" s="804" t="s">
        <v>898</v>
      </c>
      <c r="B167" s="805" t="s">
        <v>708</v>
      </c>
      <c r="C167" s="810">
        <v>99163.72</v>
      </c>
      <c r="D167" s="810">
        <v>89203.17</v>
      </c>
      <c r="E167" s="624">
        <f t="shared" si="2"/>
        <v>188366.89</v>
      </c>
    </row>
    <row r="168" spans="1:5" ht="15">
      <c r="A168" s="804" t="s">
        <v>899</v>
      </c>
      <c r="B168" s="805" t="s">
        <v>709</v>
      </c>
      <c r="C168" s="810">
        <v>0</v>
      </c>
      <c r="D168" s="810">
        <v>51637.75</v>
      </c>
      <c r="E168" s="624">
        <f t="shared" si="2"/>
        <v>51637.75</v>
      </c>
    </row>
    <row r="169" spans="1:5" ht="15">
      <c r="A169" s="804" t="s">
        <v>900</v>
      </c>
      <c r="B169" s="805" t="s">
        <v>1312</v>
      </c>
      <c r="C169" s="810">
        <v>7044.08</v>
      </c>
      <c r="D169" s="810">
        <v>63375.16</v>
      </c>
      <c r="E169" s="624">
        <f t="shared" si="2"/>
        <v>70419.240000000005</v>
      </c>
    </row>
    <row r="170" spans="1:5" ht="15">
      <c r="A170" s="804" t="s">
        <v>901</v>
      </c>
      <c r="B170" s="805" t="s">
        <v>710</v>
      </c>
      <c r="C170" s="810">
        <v>88099.54</v>
      </c>
      <c r="D170" s="810">
        <v>426659.05</v>
      </c>
      <c r="E170" s="624">
        <f t="shared" si="2"/>
        <v>514758.58999999997</v>
      </c>
    </row>
    <row r="171" spans="1:5" ht="15">
      <c r="A171" s="804" t="s">
        <v>902</v>
      </c>
      <c r="B171" s="805" t="s">
        <v>711</v>
      </c>
      <c r="C171" s="810">
        <v>1905710.9</v>
      </c>
      <c r="D171" s="810">
        <v>6139760.2300000004</v>
      </c>
      <c r="E171" s="624">
        <f t="shared" si="2"/>
        <v>8045471.1300000008</v>
      </c>
    </row>
    <row r="172" spans="1:5" ht="15">
      <c r="A172" s="804" t="s">
        <v>873</v>
      </c>
      <c r="B172" s="805" t="s">
        <v>712</v>
      </c>
      <c r="C172" s="810">
        <v>18995</v>
      </c>
      <c r="D172" s="810">
        <v>15801.57</v>
      </c>
      <c r="E172" s="624">
        <f t="shared" si="2"/>
        <v>34796.57</v>
      </c>
    </row>
    <row r="173" spans="1:5" ht="15">
      <c r="A173" s="804" t="s">
        <v>874</v>
      </c>
      <c r="B173" s="805" t="s">
        <v>650</v>
      </c>
      <c r="C173" s="810">
        <v>4903844.1100000003</v>
      </c>
      <c r="D173" s="810">
        <v>7984474.1500000004</v>
      </c>
      <c r="E173" s="624">
        <f t="shared" si="2"/>
        <v>12888318.260000002</v>
      </c>
    </row>
    <row r="174" spans="1:5" ht="15">
      <c r="A174" s="804" t="s">
        <v>893</v>
      </c>
      <c r="B174" s="805" t="s">
        <v>713</v>
      </c>
      <c r="C174" s="810">
        <v>1174.51</v>
      </c>
      <c r="D174" s="810">
        <v>107569.41</v>
      </c>
      <c r="E174" s="624">
        <f t="shared" si="2"/>
        <v>108743.92</v>
      </c>
    </row>
    <row r="175" spans="1:5" ht="15">
      <c r="A175" s="804" t="s">
        <v>1208</v>
      </c>
      <c r="B175" s="805" t="s">
        <v>714</v>
      </c>
      <c r="C175" s="810">
        <v>634489.29</v>
      </c>
      <c r="D175" s="810">
        <v>1219049.97</v>
      </c>
      <c r="E175" s="624">
        <f t="shared" si="2"/>
        <v>1853539.26</v>
      </c>
    </row>
    <row r="176" spans="1:5" ht="15">
      <c r="A176" s="804" t="s">
        <v>1209</v>
      </c>
      <c r="B176" s="805" t="s">
        <v>715</v>
      </c>
      <c r="C176" s="810">
        <v>78509.7</v>
      </c>
      <c r="D176" s="810">
        <v>515205.35</v>
      </c>
      <c r="E176" s="624">
        <f t="shared" si="2"/>
        <v>593715.04999999993</v>
      </c>
    </row>
    <row r="177" spans="1:5" ht="15">
      <c r="A177" s="804" t="s">
        <v>1210</v>
      </c>
      <c r="B177" s="805" t="s">
        <v>716</v>
      </c>
      <c r="C177" s="810">
        <v>4857011.29</v>
      </c>
      <c r="D177" s="810">
        <v>12508082.710000001</v>
      </c>
      <c r="E177" s="624">
        <f t="shared" si="2"/>
        <v>17365094</v>
      </c>
    </row>
    <row r="178" spans="1:5" ht="15">
      <c r="A178" s="804" t="s">
        <v>1217</v>
      </c>
      <c r="B178" s="805" t="s">
        <v>717</v>
      </c>
      <c r="C178" s="810">
        <v>1405141.85</v>
      </c>
      <c r="D178" s="810">
        <v>3377897.83</v>
      </c>
      <c r="E178" s="624">
        <f t="shared" si="2"/>
        <v>4783039.68</v>
      </c>
    </row>
    <row r="179" spans="1:5" ht="15">
      <c r="A179" s="804" t="s">
        <v>1213</v>
      </c>
      <c r="B179" s="805" t="s">
        <v>78</v>
      </c>
      <c r="C179" s="810">
        <v>81702.52</v>
      </c>
      <c r="D179" s="810">
        <v>76117.570000000007</v>
      </c>
      <c r="E179" s="624">
        <f t="shared" si="2"/>
        <v>157820.09000000003</v>
      </c>
    </row>
    <row r="180" spans="1:5" ht="15">
      <c r="A180" s="804" t="s">
        <v>1214</v>
      </c>
      <c r="B180" s="805" t="s">
        <v>78</v>
      </c>
      <c r="C180" s="810">
        <v>13351.47</v>
      </c>
      <c r="D180" s="810">
        <v>183867.21</v>
      </c>
      <c r="E180" s="624">
        <f t="shared" si="2"/>
        <v>197218.68</v>
      </c>
    </row>
    <row r="181" spans="1:5" ht="15">
      <c r="A181" s="804" t="s">
        <v>1215</v>
      </c>
      <c r="B181" s="805" t="s">
        <v>78</v>
      </c>
      <c r="C181" s="810">
        <v>29977.97</v>
      </c>
      <c r="D181" s="810">
        <v>103562.98</v>
      </c>
      <c r="E181" s="624">
        <f t="shared" si="2"/>
        <v>133540.95000000001</v>
      </c>
    </row>
    <row r="182" spans="1:5" ht="15">
      <c r="A182" s="804" t="s">
        <v>1231</v>
      </c>
      <c r="B182" s="805" t="s">
        <v>719</v>
      </c>
      <c r="C182" s="810">
        <v>27226684.059999999</v>
      </c>
      <c r="D182" s="810">
        <v>71396960.900000006</v>
      </c>
      <c r="E182" s="624">
        <f t="shared" si="2"/>
        <v>98623644.960000008</v>
      </c>
    </row>
    <row r="183" spans="1:5" ht="15">
      <c r="A183" s="804" t="s">
        <v>1203</v>
      </c>
      <c r="B183" s="805" t="s">
        <v>720</v>
      </c>
      <c r="C183" s="810">
        <v>13631753.619999999</v>
      </c>
      <c r="D183" s="810">
        <v>22535340.09</v>
      </c>
      <c r="E183" s="624">
        <f t="shared" si="2"/>
        <v>36167093.710000001</v>
      </c>
    </row>
    <row r="184" spans="1:5" ht="15">
      <c r="A184" s="804" t="s">
        <v>868</v>
      </c>
      <c r="B184" s="805" t="s">
        <v>548</v>
      </c>
      <c r="C184" s="810">
        <v>6005897.4800000004</v>
      </c>
      <c r="D184" s="810">
        <v>12956128.460000001</v>
      </c>
      <c r="E184" s="624">
        <f t="shared" si="2"/>
        <v>18962025.940000001</v>
      </c>
    </row>
    <row r="185" spans="1:5" ht="15">
      <c r="A185" s="804" t="s">
        <v>869</v>
      </c>
      <c r="B185" s="805" t="s">
        <v>721</v>
      </c>
      <c r="C185" s="810">
        <v>2366682.81</v>
      </c>
      <c r="D185" s="810">
        <v>5838936.9800000004</v>
      </c>
      <c r="E185" s="624">
        <f t="shared" si="2"/>
        <v>8205619.790000001</v>
      </c>
    </row>
    <row r="186" spans="1:5" ht="15">
      <c r="A186" s="804" t="s">
        <v>870</v>
      </c>
      <c r="B186" s="805" t="s">
        <v>549</v>
      </c>
      <c r="C186" s="810">
        <v>462699.35</v>
      </c>
      <c r="D186" s="810">
        <v>445177.89</v>
      </c>
      <c r="E186" s="624">
        <f t="shared" si="2"/>
        <v>907877.24</v>
      </c>
    </row>
    <row r="187" spans="1:5" ht="15">
      <c r="A187" s="804" t="s">
        <v>939</v>
      </c>
      <c r="B187" s="806" t="s">
        <v>550</v>
      </c>
      <c r="C187" s="810">
        <v>12914271.51</v>
      </c>
      <c r="D187" s="810">
        <v>31057257.420000002</v>
      </c>
      <c r="E187" s="624">
        <f t="shared" si="2"/>
        <v>43971528.93</v>
      </c>
    </row>
    <row r="188" spans="1:5" ht="15">
      <c r="A188" s="804" t="s">
        <v>944</v>
      </c>
      <c r="B188" s="805" t="s">
        <v>551</v>
      </c>
      <c r="C188" s="810">
        <v>22185219.52</v>
      </c>
      <c r="D188" s="810">
        <v>31923085.350000001</v>
      </c>
      <c r="E188" s="624">
        <f t="shared" si="2"/>
        <v>54108304.870000005</v>
      </c>
    </row>
    <row r="189" spans="1:5" ht="15">
      <c r="A189" s="804" t="s">
        <v>942</v>
      </c>
      <c r="B189" s="805" t="s">
        <v>611</v>
      </c>
      <c r="C189" s="810">
        <v>350126.79</v>
      </c>
      <c r="D189" s="810">
        <v>650067.05000000005</v>
      </c>
      <c r="E189" s="624">
        <f t="shared" si="2"/>
        <v>1000193.8400000001</v>
      </c>
    </row>
    <row r="190" spans="1:5" ht="15">
      <c r="A190" s="804" t="s">
        <v>947</v>
      </c>
      <c r="B190" s="805" t="s">
        <v>552</v>
      </c>
      <c r="C190" s="810">
        <v>15793063.869999999</v>
      </c>
      <c r="D190" s="810">
        <v>21254121.800000001</v>
      </c>
      <c r="E190" s="624">
        <f t="shared" si="2"/>
        <v>37047185.670000002</v>
      </c>
    </row>
    <row r="191" spans="1:5" ht="15">
      <c r="A191" s="804" t="s">
        <v>946</v>
      </c>
      <c r="B191" s="805" t="s">
        <v>554</v>
      </c>
      <c r="C191" s="810">
        <v>8620581.1899999995</v>
      </c>
      <c r="D191" s="810">
        <v>24767468.41</v>
      </c>
      <c r="E191" s="624">
        <f t="shared" si="2"/>
        <v>33388049.600000001</v>
      </c>
    </row>
    <row r="192" spans="1:5" ht="15">
      <c r="A192" s="804" t="s">
        <v>949</v>
      </c>
      <c r="B192" s="805" t="s">
        <v>556</v>
      </c>
      <c r="C192" s="810">
        <v>11325614.949999999</v>
      </c>
      <c r="D192" s="810">
        <v>30115104.120000001</v>
      </c>
      <c r="E192" s="624">
        <f t="shared" si="2"/>
        <v>41440719.07</v>
      </c>
    </row>
    <row r="193" spans="1:5" ht="15">
      <c r="A193" s="804" t="s">
        <v>934</v>
      </c>
      <c r="B193" s="805" t="s">
        <v>557</v>
      </c>
      <c r="C193" s="810">
        <v>1097315.3400000001</v>
      </c>
      <c r="D193" s="810">
        <v>514906.49</v>
      </c>
      <c r="E193" s="624">
        <f t="shared" si="2"/>
        <v>1612221.83</v>
      </c>
    </row>
    <row r="194" spans="1:5" ht="15">
      <c r="A194" s="804" t="s">
        <v>945</v>
      </c>
      <c r="B194" s="805" t="s">
        <v>558</v>
      </c>
      <c r="C194" s="810">
        <v>1000254.84</v>
      </c>
      <c r="D194" s="810">
        <v>2389072.7999999998</v>
      </c>
      <c r="E194" s="624">
        <f t="shared" si="2"/>
        <v>3389327.6399999997</v>
      </c>
    </row>
    <row r="195" spans="1:5" ht="15">
      <c r="A195" s="804" t="s">
        <v>933</v>
      </c>
      <c r="B195" s="805" t="s">
        <v>559</v>
      </c>
      <c r="C195" s="810">
        <v>664548.47</v>
      </c>
      <c r="D195" s="810">
        <v>1845850.41</v>
      </c>
      <c r="E195" s="624">
        <f t="shared" ref="E195:E258" si="3">SUM(C195:D195)</f>
        <v>2510398.88</v>
      </c>
    </row>
    <row r="196" spans="1:5" ht="15">
      <c r="A196" s="804" t="s">
        <v>936</v>
      </c>
      <c r="B196" s="805" t="s">
        <v>560</v>
      </c>
      <c r="C196" s="810">
        <v>1650440.47</v>
      </c>
      <c r="D196" s="810">
        <v>3847833.78</v>
      </c>
      <c r="E196" s="624">
        <f t="shared" si="3"/>
        <v>5498274.25</v>
      </c>
    </row>
    <row r="197" spans="1:5" ht="15">
      <c r="A197" s="804" t="s">
        <v>937</v>
      </c>
      <c r="B197" s="805" t="s">
        <v>561</v>
      </c>
      <c r="C197" s="810">
        <v>504429.09</v>
      </c>
      <c r="D197" s="810">
        <v>1741235.16</v>
      </c>
      <c r="E197" s="624">
        <f t="shared" si="3"/>
        <v>2245664.25</v>
      </c>
    </row>
    <row r="198" spans="1:5" ht="15">
      <c r="A198" s="804" t="s">
        <v>931</v>
      </c>
      <c r="B198" s="805" t="s">
        <v>562</v>
      </c>
      <c r="C198" s="810">
        <v>8219.74</v>
      </c>
      <c r="D198" s="810">
        <v>197518.63</v>
      </c>
      <c r="E198" s="624">
        <f t="shared" si="3"/>
        <v>205738.37</v>
      </c>
    </row>
    <row r="199" spans="1:5" ht="15">
      <c r="A199" s="804" t="s">
        <v>941</v>
      </c>
      <c r="B199" s="805" t="s">
        <v>563</v>
      </c>
      <c r="C199" s="810">
        <v>5196560.1500000004</v>
      </c>
      <c r="D199" s="810">
        <v>4775677.3</v>
      </c>
      <c r="E199" s="624">
        <f t="shared" si="3"/>
        <v>9972237.4499999993</v>
      </c>
    </row>
    <row r="200" spans="1:5" ht="15">
      <c r="A200" s="804" t="s">
        <v>951</v>
      </c>
      <c r="B200" s="805" t="s">
        <v>564</v>
      </c>
      <c r="C200" s="810">
        <v>130938.08</v>
      </c>
      <c r="D200" s="810">
        <v>36821.42</v>
      </c>
      <c r="E200" s="624">
        <f t="shared" si="3"/>
        <v>167759.5</v>
      </c>
    </row>
    <row r="201" spans="1:5" ht="15">
      <c r="A201" s="804" t="s">
        <v>938</v>
      </c>
      <c r="B201" s="805" t="s">
        <v>565</v>
      </c>
      <c r="C201" s="810">
        <v>4582984.84</v>
      </c>
      <c r="D201" s="810">
        <v>18827126.699999999</v>
      </c>
      <c r="E201" s="624">
        <f t="shared" si="3"/>
        <v>23410111.539999999</v>
      </c>
    </row>
    <row r="202" spans="1:5" ht="15">
      <c r="A202" s="804" t="s">
        <v>935</v>
      </c>
      <c r="B202" s="805" t="s">
        <v>566</v>
      </c>
      <c r="C202" s="810">
        <v>5424086.2400000002</v>
      </c>
      <c r="D202" s="810">
        <v>15985551.789999999</v>
      </c>
      <c r="E202" s="624">
        <f t="shared" si="3"/>
        <v>21409638.030000001</v>
      </c>
    </row>
    <row r="203" spans="1:5" ht="15">
      <c r="A203" s="804" t="s">
        <v>923</v>
      </c>
      <c r="B203" s="805" t="s">
        <v>723</v>
      </c>
      <c r="C203" s="810">
        <v>314645</v>
      </c>
      <c r="D203" s="810">
        <v>193322.46</v>
      </c>
      <c r="E203" s="624">
        <f t="shared" si="3"/>
        <v>507967.45999999996</v>
      </c>
    </row>
    <row r="204" spans="1:5" ht="15">
      <c r="A204" s="804" t="s">
        <v>926</v>
      </c>
      <c r="B204" s="805" t="s">
        <v>723</v>
      </c>
      <c r="C204" s="810">
        <v>297101.2</v>
      </c>
      <c r="D204" s="810">
        <v>1391561.57</v>
      </c>
      <c r="E204" s="624">
        <f t="shared" si="3"/>
        <v>1688662.77</v>
      </c>
    </row>
    <row r="205" spans="1:5" ht="15">
      <c r="A205" s="804" t="s">
        <v>927</v>
      </c>
      <c r="B205" s="805" t="s">
        <v>723</v>
      </c>
      <c r="C205" s="810">
        <v>1284096.8799999999</v>
      </c>
      <c r="D205" s="810">
        <v>1623771.28</v>
      </c>
      <c r="E205" s="624">
        <f t="shared" si="3"/>
        <v>2907868.16</v>
      </c>
    </row>
    <row r="206" spans="1:5" ht="15">
      <c r="A206" s="804" t="s">
        <v>929</v>
      </c>
      <c r="B206" s="805" t="s">
        <v>723</v>
      </c>
      <c r="C206" s="810">
        <v>202667.79</v>
      </c>
      <c r="D206" s="810">
        <v>485794.34</v>
      </c>
      <c r="E206" s="624">
        <f t="shared" si="3"/>
        <v>688462.13</v>
      </c>
    </row>
    <row r="207" spans="1:5" ht="15">
      <c r="A207" s="804" t="s">
        <v>1200</v>
      </c>
      <c r="B207" s="805" t="s">
        <v>724</v>
      </c>
      <c r="C207" s="810">
        <v>1811070.52</v>
      </c>
      <c r="D207" s="810">
        <v>1684734.27</v>
      </c>
      <c r="E207" s="624">
        <f t="shared" si="3"/>
        <v>3495804.79</v>
      </c>
    </row>
    <row r="208" spans="1:5" ht="15">
      <c r="A208" s="804" t="s">
        <v>1127</v>
      </c>
      <c r="B208" s="805" t="s">
        <v>725</v>
      </c>
      <c r="C208" s="810">
        <v>1062764.1599999999</v>
      </c>
      <c r="D208" s="810">
        <v>2442192.89</v>
      </c>
      <c r="E208" s="624">
        <f t="shared" si="3"/>
        <v>3504957.05</v>
      </c>
    </row>
    <row r="209" spans="1:5" ht="15">
      <c r="A209" s="804" t="s">
        <v>971</v>
      </c>
      <c r="B209" s="805" t="s">
        <v>81</v>
      </c>
      <c r="C209" s="810">
        <v>1277362.6100000001</v>
      </c>
      <c r="D209" s="810">
        <v>3555134.02</v>
      </c>
      <c r="E209" s="624">
        <f t="shared" si="3"/>
        <v>4832496.63</v>
      </c>
    </row>
    <row r="210" spans="1:5" ht="15">
      <c r="A210" s="804" t="s">
        <v>972</v>
      </c>
      <c r="B210" s="805" t="s">
        <v>81</v>
      </c>
      <c r="C210" s="810">
        <v>4691354.43</v>
      </c>
      <c r="D210" s="810">
        <v>9590745.2400000002</v>
      </c>
      <c r="E210" s="624">
        <f t="shared" si="3"/>
        <v>14282099.67</v>
      </c>
    </row>
    <row r="211" spans="1:5" ht="15">
      <c r="A211" s="804" t="s">
        <v>1188</v>
      </c>
      <c r="B211" s="805" t="s">
        <v>82</v>
      </c>
      <c r="C211" s="810">
        <v>69938.19</v>
      </c>
      <c r="D211" s="810">
        <v>514185.2</v>
      </c>
      <c r="E211" s="624">
        <f t="shared" si="3"/>
        <v>584123.39</v>
      </c>
    </row>
    <row r="212" spans="1:5" ht="15">
      <c r="A212" s="804" t="s">
        <v>958</v>
      </c>
      <c r="B212" s="805" t="s">
        <v>726</v>
      </c>
      <c r="C212" s="810">
        <v>1009932.6</v>
      </c>
      <c r="D212" s="810">
        <v>2964728.97</v>
      </c>
      <c r="E212" s="624">
        <f t="shared" si="3"/>
        <v>3974661.5700000003</v>
      </c>
    </row>
    <row r="213" spans="1:5" ht="15">
      <c r="A213" s="804" t="s">
        <v>959</v>
      </c>
      <c r="B213" s="805" t="s">
        <v>726</v>
      </c>
      <c r="C213" s="810">
        <v>116137792.41</v>
      </c>
      <c r="D213" s="810">
        <v>133218701.66</v>
      </c>
      <c r="E213" s="624">
        <f t="shared" si="3"/>
        <v>249356494.06999999</v>
      </c>
    </row>
    <row r="214" spans="1:5" ht="15">
      <c r="A214" s="804" t="s">
        <v>961</v>
      </c>
      <c r="B214" s="805" t="s">
        <v>726</v>
      </c>
      <c r="C214" s="810">
        <v>1498979.33</v>
      </c>
      <c r="D214" s="810">
        <v>426567.35</v>
      </c>
      <c r="E214" s="624">
        <f t="shared" si="3"/>
        <v>1925546.6800000002</v>
      </c>
    </row>
    <row r="215" spans="1:5" ht="15">
      <c r="A215" s="804" t="s">
        <v>962</v>
      </c>
      <c r="B215" s="805" t="s">
        <v>726</v>
      </c>
      <c r="C215" s="810">
        <v>1632901.21</v>
      </c>
      <c r="D215" s="810">
        <v>10214566.01</v>
      </c>
      <c r="E215" s="624">
        <f t="shared" si="3"/>
        <v>11847467.219999999</v>
      </c>
    </row>
    <row r="216" spans="1:5" ht="15">
      <c r="A216" s="804" t="s">
        <v>963</v>
      </c>
      <c r="B216" s="805" t="s">
        <v>726</v>
      </c>
      <c r="C216" s="810">
        <v>1286058.29</v>
      </c>
      <c r="D216" s="810">
        <v>4584680.22</v>
      </c>
      <c r="E216" s="624">
        <f t="shared" si="3"/>
        <v>5870738.5099999998</v>
      </c>
    </row>
    <row r="217" spans="1:5" ht="15">
      <c r="A217" s="804" t="s">
        <v>887</v>
      </c>
      <c r="B217" s="805" t="s">
        <v>83</v>
      </c>
      <c r="C217" s="810">
        <v>939583.82</v>
      </c>
      <c r="D217" s="810">
        <v>4686414.82</v>
      </c>
      <c r="E217" s="624">
        <f t="shared" si="3"/>
        <v>5625998.6400000006</v>
      </c>
    </row>
    <row r="218" spans="1:5" ht="15">
      <c r="A218" s="804" t="s">
        <v>1180</v>
      </c>
      <c r="B218" s="807" t="s">
        <v>727</v>
      </c>
      <c r="C218" s="810">
        <v>2580417.33</v>
      </c>
      <c r="D218" s="810">
        <v>5337210.7699999996</v>
      </c>
      <c r="E218" s="624">
        <f t="shared" si="3"/>
        <v>7917628.0999999996</v>
      </c>
    </row>
    <row r="219" spans="1:5" ht="15">
      <c r="A219" s="804" t="s">
        <v>1207</v>
      </c>
      <c r="B219" s="805" t="s">
        <v>84</v>
      </c>
      <c r="C219" s="810">
        <v>2772462.44</v>
      </c>
      <c r="D219" s="810">
        <v>6950562.3499999996</v>
      </c>
      <c r="E219" s="624">
        <f t="shared" si="3"/>
        <v>9723024.7899999991</v>
      </c>
    </row>
    <row r="220" spans="1:5" ht="15">
      <c r="A220" s="804" t="s">
        <v>1172</v>
      </c>
      <c r="B220" s="805" t="s">
        <v>1311</v>
      </c>
      <c r="C220" s="810">
        <v>487568.07</v>
      </c>
      <c r="D220" s="810">
        <v>1080322.3600000001</v>
      </c>
      <c r="E220" s="624">
        <f t="shared" si="3"/>
        <v>1567890.4300000002</v>
      </c>
    </row>
    <row r="221" spans="1:5" ht="15">
      <c r="A221" s="804" t="s">
        <v>921</v>
      </c>
      <c r="B221" s="805" t="s">
        <v>568</v>
      </c>
      <c r="C221" s="810">
        <v>2343117.84</v>
      </c>
      <c r="D221" s="810">
        <v>11600029.390000001</v>
      </c>
      <c r="E221" s="624">
        <f t="shared" si="3"/>
        <v>13943147.23</v>
      </c>
    </row>
    <row r="222" spans="1:5" ht="15">
      <c r="A222" s="804" t="s">
        <v>957</v>
      </c>
      <c r="B222" s="805" t="s">
        <v>85</v>
      </c>
      <c r="C222" s="810">
        <v>7190964.1900000004</v>
      </c>
      <c r="D222" s="810">
        <v>19460996.27</v>
      </c>
      <c r="E222" s="624">
        <f t="shared" si="3"/>
        <v>26651960.460000001</v>
      </c>
    </row>
    <row r="223" spans="1:5" ht="15">
      <c r="A223" s="804" t="s">
        <v>880</v>
      </c>
      <c r="B223" s="805" t="s">
        <v>569</v>
      </c>
      <c r="C223" s="810">
        <v>3790117.95</v>
      </c>
      <c r="D223" s="810">
        <v>4888208.62</v>
      </c>
      <c r="E223" s="624">
        <f t="shared" si="3"/>
        <v>8678326.5700000003</v>
      </c>
    </row>
    <row r="224" spans="1:5" ht="15">
      <c r="A224" s="804" t="s">
        <v>881</v>
      </c>
      <c r="B224" s="805" t="s">
        <v>570</v>
      </c>
      <c r="C224" s="810">
        <v>70915.360000000001</v>
      </c>
      <c r="D224" s="810">
        <v>894968.77</v>
      </c>
      <c r="E224" s="624">
        <f t="shared" si="3"/>
        <v>965884.13</v>
      </c>
    </row>
    <row r="225" spans="1:5" ht="15">
      <c r="A225" s="804" t="s">
        <v>882</v>
      </c>
      <c r="B225" s="805" t="s">
        <v>571</v>
      </c>
      <c r="C225" s="810">
        <v>388607.87</v>
      </c>
      <c r="D225" s="810">
        <v>2347917.36</v>
      </c>
      <c r="E225" s="624">
        <f t="shared" si="3"/>
        <v>2736525.23</v>
      </c>
    </row>
    <row r="226" spans="1:5" ht="15">
      <c r="A226" s="804" t="s">
        <v>883</v>
      </c>
      <c r="B226" s="805" t="s">
        <v>572</v>
      </c>
      <c r="C226" s="810">
        <v>1123946.17</v>
      </c>
      <c r="D226" s="810">
        <v>4783625.2</v>
      </c>
      <c r="E226" s="624">
        <f t="shared" si="3"/>
        <v>5907571.3700000001</v>
      </c>
    </row>
    <row r="227" spans="1:5" ht="15">
      <c r="A227" s="804" t="s">
        <v>884</v>
      </c>
      <c r="B227" s="805" t="s">
        <v>586</v>
      </c>
      <c r="C227" s="810">
        <v>262570.98</v>
      </c>
      <c r="D227" s="810">
        <v>1881971.25</v>
      </c>
      <c r="E227" s="624">
        <f t="shared" si="3"/>
        <v>2144542.23</v>
      </c>
    </row>
    <row r="228" spans="1:5" ht="15">
      <c r="A228" s="804" t="s">
        <v>885</v>
      </c>
      <c r="B228" s="805" t="s">
        <v>573</v>
      </c>
      <c r="C228" s="810">
        <v>272343.99</v>
      </c>
      <c r="D228" s="810">
        <v>1666427.52</v>
      </c>
      <c r="E228" s="624">
        <f t="shared" si="3"/>
        <v>1938771.51</v>
      </c>
    </row>
    <row r="229" spans="1:5" ht="15">
      <c r="A229" s="804" t="s">
        <v>886</v>
      </c>
      <c r="B229" s="805" t="s">
        <v>89</v>
      </c>
      <c r="C229" s="810">
        <v>2420.7600000000002</v>
      </c>
      <c r="D229" s="810">
        <v>393689.25</v>
      </c>
      <c r="E229" s="624">
        <f t="shared" si="3"/>
        <v>396110.01</v>
      </c>
    </row>
    <row r="230" spans="1:5" ht="15">
      <c r="A230" s="804" t="s">
        <v>1310</v>
      </c>
      <c r="B230" s="805" t="s">
        <v>1309</v>
      </c>
      <c r="C230" s="810">
        <v>0.5</v>
      </c>
      <c r="D230" s="810">
        <v>15167.13</v>
      </c>
      <c r="E230" s="624">
        <f t="shared" si="3"/>
        <v>15167.63</v>
      </c>
    </row>
    <row r="231" spans="1:5" ht="15">
      <c r="A231" s="804" t="s">
        <v>1219</v>
      </c>
      <c r="B231" s="805" t="s">
        <v>728</v>
      </c>
      <c r="C231" s="810">
        <v>173744.04</v>
      </c>
      <c r="D231" s="810">
        <v>263430.57</v>
      </c>
      <c r="E231" s="624">
        <f t="shared" si="3"/>
        <v>437174.61</v>
      </c>
    </row>
    <row r="232" spans="1:5" ht="15">
      <c r="A232" s="804" t="s">
        <v>1220</v>
      </c>
      <c r="B232" s="805" t="s">
        <v>729</v>
      </c>
      <c r="C232" s="810">
        <v>43662.18</v>
      </c>
      <c r="D232" s="810">
        <v>148416.35</v>
      </c>
      <c r="E232" s="624">
        <f t="shared" si="3"/>
        <v>192078.53</v>
      </c>
    </row>
    <row r="233" spans="1:5" ht="15">
      <c r="A233" s="804" t="s">
        <v>1221</v>
      </c>
      <c r="B233" s="805" t="s">
        <v>730</v>
      </c>
      <c r="C233" s="810">
        <v>2821435.76</v>
      </c>
      <c r="D233" s="810">
        <v>4217321.87</v>
      </c>
      <c r="E233" s="624">
        <f t="shared" si="3"/>
        <v>7038757.6299999999</v>
      </c>
    </row>
    <row r="234" spans="1:5" ht="15">
      <c r="A234" s="804" t="s">
        <v>1222</v>
      </c>
      <c r="B234" s="805" t="s">
        <v>731</v>
      </c>
      <c r="C234" s="810">
        <v>38789.39</v>
      </c>
      <c r="D234" s="810">
        <v>122081.85</v>
      </c>
      <c r="E234" s="624">
        <f t="shared" si="3"/>
        <v>160871.24</v>
      </c>
    </row>
    <row r="235" spans="1:5" ht="15">
      <c r="A235" s="804" t="s">
        <v>1224</v>
      </c>
      <c r="B235" s="805" t="s">
        <v>733</v>
      </c>
      <c r="C235" s="810">
        <v>502.52</v>
      </c>
      <c r="D235" s="810">
        <v>90127.77</v>
      </c>
      <c r="E235" s="624">
        <f t="shared" si="3"/>
        <v>90630.290000000008</v>
      </c>
    </row>
    <row r="236" spans="1:5" ht="15">
      <c r="A236" s="804" t="s">
        <v>1226</v>
      </c>
      <c r="B236" s="805" t="s">
        <v>735</v>
      </c>
      <c r="C236" s="810">
        <v>110707.12</v>
      </c>
      <c r="D236" s="810">
        <v>113757</v>
      </c>
      <c r="E236" s="624">
        <f t="shared" si="3"/>
        <v>224464.12</v>
      </c>
    </row>
    <row r="237" spans="1:5" ht="15">
      <c r="A237" s="804" t="s">
        <v>1205</v>
      </c>
      <c r="B237" s="805" t="s">
        <v>736</v>
      </c>
      <c r="C237" s="810">
        <v>2423572.75</v>
      </c>
      <c r="D237" s="810">
        <v>8495464.6199999992</v>
      </c>
      <c r="E237" s="624">
        <f t="shared" si="3"/>
        <v>10919037.369999999</v>
      </c>
    </row>
    <row r="238" spans="1:5" ht="15">
      <c r="A238" s="804" t="s">
        <v>1206</v>
      </c>
      <c r="B238" s="805" t="s">
        <v>737</v>
      </c>
      <c r="C238" s="810">
        <v>1356917.46</v>
      </c>
      <c r="D238" s="810">
        <v>3771817.53</v>
      </c>
      <c r="E238" s="624">
        <f t="shared" si="3"/>
        <v>5128734.99</v>
      </c>
    </row>
    <row r="239" spans="1:5" ht="15">
      <c r="A239" s="808" t="s">
        <v>1303</v>
      </c>
      <c r="B239" s="805" t="s">
        <v>43</v>
      </c>
      <c r="C239" s="810">
        <v>57910.32</v>
      </c>
      <c r="D239" s="810">
        <v>20363.849999999999</v>
      </c>
      <c r="E239" s="624">
        <f t="shared" si="3"/>
        <v>78274.17</v>
      </c>
    </row>
    <row r="240" spans="1:5" ht="15">
      <c r="A240" s="804" t="s">
        <v>916</v>
      </c>
      <c r="B240" s="805" t="s">
        <v>90</v>
      </c>
      <c r="C240" s="810">
        <v>20758144.440000001</v>
      </c>
      <c r="D240" s="810">
        <v>49517617.149999999</v>
      </c>
      <c r="E240" s="624">
        <f t="shared" si="3"/>
        <v>70275761.590000004</v>
      </c>
    </row>
    <row r="241" spans="1:5" ht="15">
      <c r="A241" s="804" t="s">
        <v>917</v>
      </c>
      <c r="B241" s="805" t="s">
        <v>738</v>
      </c>
      <c r="C241" s="810">
        <v>0</v>
      </c>
      <c r="D241" s="810">
        <v>51523.98</v>
      </c>
      <c r="E241" s="624">
        <f t="shared" si="3"/>
        <v>51523.98</v>
      </c>
    </row>
    <row r="242" spans="1:5" ht="15">
      <c r="A242" s="804" t="s">
        <v>1164</v>
      </c>
      <c r="B242" s="805" t="s">
        <v>739</v>
      </c>
      <c r="C242" s="810">
        <v>15421340.529999999</v>
      </c>
      <c r="D242" s="810">
        <v>48539008.840000004</v>
      </c>
      <c r="E242" s="624">
        <f t="shared" si="3"/>
        <v>63960349.370000005</v>
      </c>
    </row>
    <row r="243" spans="1:5" ht="15">
      <c r="A243" s="804" t="s">
        <v>1168</v>
      </c>
      <c r="B243" s="805" t="s">
        <v>739</v>
      </c>
      <c r="C243" s="810">
        <v>157478563.59999999</v>
      </c>
      <c r="D243" s="810">
        <v>277005601.88</v>
      </c>
      <c r="E243" s="624">
        <f t="shared" si="3"/>
        <v>434484165.48000002</v>
      </c>
    </row>
    <row r="244" spans="1:5" ht="15">
      <c r="A244" s="804" t="s">
        <v>1135</v>
      </c>
      <c r="B244" s="805" t="s">
        <v>92</v>
      </c>
      <c r="C244" s="810">
        <v>5803250.8700000001</v>
      </c>
      <c r="D244" s="810">
        <v>1590165</v>
      </c>
      <c r="E244" s="624">
        <f t="shared" si="3"/>
        <v>7393415.8700000001</v>
      </c>
    </row>
    <row r="245" spans="1:5" ht="15">
      <c r="A245" s="804" t="s">
        <v>1137</v>
      </c>
      <c r="B245" s="805" t="s">
        <v>92</v>
      </c>
      <c r="C245" s="810">
        <v>106941.44</v>
      </c>
      <c r="D245" s="810">
        <v>868395.29</v>
      </c>
      <c r="E245" s="624">
        <f t="shared" si="3"/>
        <v>975336.73</v>
      </c>
    </row>
    <row r="246" spans="1:5" ht="15">
      <c r="A246" s="804" t="s">
        <v>1138</v>
      </c>
      <c r="B246" s="805" t="s">
        <v>92</v>
      </c>
      <c r="C246" s="810">
        <v>80834.929999999993</v>
      </c>
      <c r="D246" s="810">
        <v>636878</v>
      </c>
      <c r="E246" s="624">
        <f t="shared" si="3"/>
        <v>717712.92999999993</v>
      </c>
    </row>
    <row r="247" spans="1:5" ht="15">
      <c r="A247" s="804" t="s">
        <v>1139</v>
      </c>
      <c r="B247" s="805" t="s">
        <v>92</v>
      </c>
      <c r="C247" s="810">
        <v>59101.83</v>
      </c>
      <c r="D247" s="810">
        <v>565005.57999999996</v>
      </c>
      <c r="E247" s="624">
        <f t="shared" si="3"/>
        <v>624107.40999999992</v>
      </c>
    </row>
    <row r="248" spans="1:5" ht="15">
      <c r="A248" s="804" t="s">
        <v>1140</v>
      </c>
      <c r="B248" s="805" t="s">
        <v>92</v>
      </c>
      <c r="C248" s="810">
        <v>3006237.15</v>
      </c>
      <c r="D248" s="810">
        <v>2409147.14</v>
      </c>
      <c r="E248" s="624">
        <f t="shared" si="3"/>
        <v>5415384.29</v>
      </c>
    </row>
    <row r="249" spans="1:5" ht="15">
      <c r="A249" s="804" t="s">
        <v>1141</v>
      </c>
      <c r="B249" s="805" t="s">
        <v>92</v>
      </c>
      <c r="C249" s="810">
        <v>2831552.12</v>
      </c>
      <c r="D249" s="810">
        <v>6556196.3499999996</v>
      </c>
      <c r="E249" s="624">
        <f t="shared" si="3"/>
        <v>9387748.4699999988</v>
      </c>
    </row>
    <row r="250" spans="1:5" ht="15">
      <c r="A250" s="804" t="s">
        <v>1142</v>
      </c>
      <c r="B250" s="805" t="s">
        <v>92</v>
      </c>
      <c r="C250" s="810">
        <v>5269010.5</v>
      </c>
      <c r="D250" s="810">
        <v>7623350.2999999998</v>
      </c>
      <c r="E250" s="624">
        <f t="shared" si="3"/>
        <v>12892360.800000001</v>
      </c>
    </row>
    <row r="251" spans="1:5" ht="15">
      <c r="A251" s="804" t="s">
        <v>1143</v>
      </c>
      <c r="B251" s="805" t="s">
        <v>92</v>
      </c>
      <c r="C251" s="810">
        <v>11752636.01</v>
      </c>
      <c r="D251" s="810">
        <v>19296677.66</v>
      </c>
      <c r="E251" s="624">
        <f t="shared" si="3"/>
        <v>31049313.670000002</v>
      </c>
    </row>
    <row r="252" spans="1:5" ht="15">
      <c r="A252" s="804" t="s">
        <v>1144</v>
      </c>
      <c r="B252" s="805" t="s">
        <v>92</v>
      </c>
      <c r="C252" s="810">
        <v>5444956.3600000003</v>
      </c>
      <c r="D252" s="810">
        <v>3226816.1</v>
      </c>
      <c r="E252" s="624">
        <f t="shared" si="3"/>
        <v>8671772.4600000009</v>
      </c>
    </row>
    <row r="253" spans="1:5" ht="15">
      <c r="A253" s="804" t="s">
        <v>1145</v>
      </c>
      <c r="B253" s="805" t="s">
        <v>92</v>
      </c>
      <c r="C253" s="810">
        <v>2157786.16</v>
      </c>
      <c r="D253" s="810">
        <v>6783444.9900000002</v>
      </c>
      <c r="E253" s="624">
        <f t="shared" si="3"/>
        <v>8941231.1500000004</v>
      </c>
    </row>
    <row r="254" spans="1:5" ht="15">
      <c r="A254" s="804" t="s">
        <v>1146</v>
      </c>
      <c r="B254" s="805" t="s">
        <v>92</v>
      </c>
      <c r="C254" s="810">
        <v>12495558.91</v>
      </c>
      <c r="D254" s="810">
        <v>32600061.920000002</v>
      </c>
      <c r="E254" s="624">
        <f t="shared" si="3"/>
        <v>45095620.829999998</v>
      </c>
    </row>
    <row r="255" spans="1:5" ht="15">
      <c r="A255" s="804" t="s">
        <v>1147</v>
      </c>
      <c r="B255" s="805" t="s">
        <v>92</v>
      </c>
      <c r="C255" s="810">
        <v>6855198.9199999999</v>
      </c>
      <c r="D255" s="810">
        <v>16109841.35</v>
      </c>
      <c r="E255" s="624">
        <f t="shared" si="3"/>
        <v>22965040.27</v>
      </c>
    </row>
    <row r="256" spans="1:5" ht="15">
      <c r="A256" s="804" t="s">
        <v>1148</v>
      </c>
      <c r="B256" s="805" t="s">
        <v>92</v>
      </c>
      <c r="C256" s="810">
        <v>1535965.33</v>
      </c>
      <c r="D256" s="810">
        <v>2828553.24</v>
      </c>
      <c r="E256" s="624">
        <f t="shared" si="3"/>
        <v>4364518.57</v>
      </c>
    </row>
    <row r="257" spans="1:5" ht="15">
      <c r="A257" s="804" t="s">
        <v>1149</v>
      </c>
      <c r="B257" s="805" t="s">
        <v>92</v>
      </c>
      <c r="C257" s="810">
        <v>2401576.98</v>
      </c>
      <c r="D257" s="810">
        <v>4552590.42</v>
      </c>
      <c r="E257" s="624">
        <f t="shared" si="3"/>
        <v>6954167.4000000004</v>
      </c>
    </row>
    <row r="258" spans="1:5" ht="15">
      <c r="A258" s="804" t="s">
        <v>1150</v>
      </c>
      <c r="B258" s="805" t="s">
        <v>92</v>
      </c>
      <c r="C258" s="810">
        <v>4423733.37</v>
      </c>
      <c r="D258" s="810">
        <v>9543971.1799999997</v>
      </c>
      <c r="E258" s="624">
        <f t="shared" si="3"/>
        <v>13967704.550000001</v>
      </c>
    </row>
    <row r="259" spans="1:5" ht="15">
      <c r="A259" s="804" t="s">
        <v>1151</v>
      </c>
      <c r="B259" s="805" t="s">
        <v>92</v>
      </c>
      <c r="C259" s="810">
        <v>4946392.53</v>
      </c>
      <c r="D259" s="810">
        <v>6360223.0599999996</v>
      </c>
      <c r="E259" s="624">
        <f t="shared" ref="E259:E284" si="4">SUM(C259:D259)</f>
        <v>11306615.59</v>
      </c>
    </row>
    <row r="260" spans="1:5" ht="15">
      <c r="A260" s="804" t="s">
        <v>1152</v>
      </c>
      <c r="B260" s="805" t="s">
        <v>92</v>
      </c>
      <c r="C260" s="810">
        <v>1513540.47</v>
      </c>
      <c r="D260" s="810">
        <v>2088554.21</v>
      </c>
      <c r="E260" s="624">
        <f t="shared" si="4"/>
        <v>3602094.6799999997</v>
      </c>
    </row>
    <row r="261" spans="1:5" ht="15">
      <c r="A261" s="804" t="s">
        <v>1156</v>
      </c>
      <c r="B261" s="805" t="s">
        <v>92</v>
      </c>
      <c r="C261" s="810">
        <v>64671.15</v>
      </c>
      <c r="D261" s="810">
        <v>196591.98</v>
      </c>
      <c r="E261" s="624">
        <f t="shared" si="4"/>
        <v>261263.13</v>
      </c>
    </row>
    <row r="262" spans="1:5" ht="15">
      <c r="A262" s="804" t="s">
        <v>1157</v>
      </c>
      <c r="B262" s="805" t="s">
        <v>92</v>
      </c>
      <c r="C262" s="810">
        <v>129913.84</v>
      </c>
      <c r="D262" s="810">
        <v>365554.04</v>
      </c>
      <c r="E262" s="624">
        <f t="shared" si="4"/>
        <v>495467.88</v>
      </c>
    </row>
    <row r="263" spans="1:5" ht="15">
      <c r="A263" s="804" t="s">
        <v>1158</v>
      </c>
      <c r="B263" s="805" t="s">
        <v>92</v>
      </c>
      <c r="C263" s="810">
        <v>103267.26</v>
      </c>
      <c r="D263" s="810">
        <v>153060.63</v>
      </c>
      <c r="E263" s="624">
        <f t="shared" si="4"/>
        <v>256327.89</v>
      </c>
    </row>
    <row r="264" spans="1:5" ht="15">
      <c r="A264" s="804" t="s">
        <v>1159</v>
      </c>
      <c r="B264" s="805" t="s">
        <v>92</v>
      </c>
      <c r="C264" s="810">
        <v>378675</v>
      </c>
      <c r="D264" s="810">
        <v>1038006.02</v>
      </c>
      <c r="E264" s="624">
        <f t="shared" si="4"/>
        <v>1416681.02</v>
      </c>
    </row>
    <row r="265" spans="1:5" ht="15">
      <c r="A265" s="804" t="s">
        <v>1160</v>
      </c>
      <c r="B265" s="805" t="s">
        <v>92</v>
      </c>
      <c r="C265" s="810">
        <v>44741.64</v>
      </c>
      <c r="D265" s="810">
        <v>322799.18</v>
      </c>
      <c r="E265" s="624">
        <f t="shared" si="4"/>
        <v>367540.82</v>
      </c>
    </row>
    <row r="266" spans="1:5" ht="15">
      <c r="A266" s="804" t="s">
        <v>1161</v>
      </c>
      <c r="B266" s="805" t="s">
        <v>92</v>
      </c>
      <c r="C266" s="810">
        <v>1299865.6200000001</v>
      </c>
      <c r="D266" s="810">
        <v>4877351.87</v>
      </c>
      <c r="E266" s="624">
        <f t="shared" si="4"/>
        <v>6177217.4900000002</v>
      </c>
    </row>
    <row r="267" spans="1:5" ht="15">
      <c r="A267" s="804" t="s">
        <v>1189</v>
      </c>
      <c r="B267" s="805" t="s">
        <v>574</v>
      </c>
      <c r="C267" s="810">
        <v>4052429.16</v>
      </c>
      <c r="D267" s="810">
        <v>5739115.8700000001</v>
      </c>
      <c r="E267" s="624">
        <f t="shared" si="4"/>
        <v>9791545.0300000012</v>
      </c>
    </row>
    <row r="268" spans="1:5" ht="15">
      <c r="A268" s="804" t="s">
        <v>1190</v>
      </c>
      <c r="B268" s="805" t="s">
        <v>575</v>
      </c>
      <c r="C268" s="810">
        <v>1857008.83</v>
      </c>
      <c r="D268" s="810">
        <v>4574481.57</v>
      </c>
      <c r="E268" s="624">
        <f t="shared" si="4"/>
        <v>6431490.4000000004</v>
      </c>
    </row>
    <row r="269" spans="1:5" ht="15">
      <c r="A269" s="804" t="s">
        <v>909</v>
      </c>
      <c r="B269" s="805" t="s">
        <v>93</v>
      </c>
      <c r="C269" s="810">
        <v>0</v>
      </c>
      <c r="D269" s="810">
        <v>30705.54</v>
      </c>
      <c r="E269" s="624">
        <f t="shared" si="4"/>
        <v>30705.54</v>
      </c>
    </row>
    <row r="270" spans="1:5" ht="15">
      <c r="A270" s="804" t="s">
        <v>891</v>
      </c>
      <c r="B270" s="805" t="s">
        <v>576</v>
      </c>
      <c r="C270" s="810">
        <v>1872848.11</v>
      </c>
      <c r="D270" s="810">
        <v>1347131.52</v>
      </c>
      <c r="E270" s="624">
        <f t="shared" si="4"/>
        <v>3219979.63</v>
      </c>
    </row>
    <row r="271" spans="1:5" ht="15">
      <c r="A271" s="808" t="s">
        <v>1162</v>
      </c>
      <c r="B271" s="805" t="s">
        <v>851</v>
      </c>
      <c r="C271" s="810">
        <v>18640.099999999999</v>
      </c>
      <c r="D271" s="810">
        <v>143881.60999999999</v>
      </c>
      <c r="E271" s="624">
        <f t="shared" si="4"/>
        <v>162521.71</v>
      </c>
    </row>
    <row r="272" spans="1:5" ht="15">
      <c r="A272" s="804" t="s">
        <v>1216</v>
      </c>
      <c r="B272" s="805" t="s">
        <v>717</v>
      </c>
      <c r="C272" s="810">
        <v>29061.439999999999</v>
      </c>
      <c r="D272" s="810">
        <v>92069.49</v>
      </c>
      <c r="E272" s="624">
        <f t="shared" si="4"/>
        <v>121130.93000000001</v>
      </c>
    </row>
    <row r="273" spans="1:9" ht="15">
      <c r="A273" s="804" t="s">
        <v>1295</v>
      </c>
      <c r="B273" s="805" t="s">
        <v>1480</v>
      </c>
      <c r="C273" s="810">
        <v>0</v>
      </c>
      <c r="D273" s="810">
        <v>9304.2000000000007</v>
      </c>
      <c r="E273" s="624">
        <f t="shared" si="4"/>
        <v>9304.2000000000007</v>
      </c>
    </row>
    <row r="274" spans="1:9" ht="15">
      <c r="A274" s="808" t="s">
        <v>1182</v>
      </c>
      <c r="B274" s="805" t="s">
        <v>1420</v>
      </c>
      <c r="C274" s="810">
        <v>18190.96</v>
      </c>
      <c r="D274" s="810">
        <v>32494.47</v>
      </c>
      <c r="E274" s="624">
        <f t="shared" si="4"/>
        <v>50685.43</v>
      </c>
    </row>
    <row r="275" spans="1:9" ht="15">
      <c r="A275" s="804" t="s">
        <v>1169</v>
      </c>
      <c r="B275" s="805" t="s">
        <v>835</v>
      </c>
      <c r="C275" s="810">
        <v>1575989.04</v>
      </c>
      <c r="D275" s="810">
        <v>5139109.46</v>
      </c>
      <c r="E275" s="624">
        <f t="shared" si="4"/>
        <v>6715098.5</v>
      </c>
    </row>
    <row r="276" spans="1:9" ht="15">
      <c r="A276" s="804" t="s">
        <v>1193</v>
      </c>
      <c r="B276" s="805" t="s">
        <v>621</v>
      </c>
      <c r="C276" s="810">
        <v>5000</v>
      </c>
      <c r="D276" s="810">
        <v>45404.92</v>
      </c>
      <c r="E276" s="624">
        <f t="shared" si="4"/>
        <v>50404.92</v>
      </c>
    </row>
    <row r="277" spans="1:9" ht="15">
      <c r="A277" s="804" t="s">
        <v>1227</v>
      </c>
      <c r="B277" s="805" t="s">
        <v>1306</v>
      </c>
      <c r="C277" s="810">
        <v>27955.65</v>
      </c>
      <c r="D277" s="810">
        <v>1520435.44</v>
      </c>
      <c r="E277" s="624">
        <f t="shared" si="4"/>
        <v>1548391.0899999999</v>
      </c>
      <c r="I277" s="620"/>
    </row>
    <row r="278" spans="1:9" ht="15">
      <c r="A278" s="804" t="s">
        <v>1232</v>
      </c>
      <c r="B278" s="805" t="s">
        <v>742</v>
      </c>
      <c r="C278" s="810">
        <v>73243.320000000007</v>
      </c>
      <c r="D278" s="810">
        <v>255697.2</v>
      </c>
      <c r="E278" s="624">
        <f t="shared" si="4"/>
        <v>328940.52</v>
      </c>
    </row>
    <row r="279" spans="1:9" ht="15">
      <c r="A279" s="804" t="s">
        <v>1229</v>
      </c>
      <c r="B279" s="805" t="s">
        <v>485</v>
      </c>
      <c r="C279" s="810">
        <v>1316.38</v>
      </c>
      <c r="D279" s="810">
        <v>138661.74</v>
      </c>
      <c r="E279" s="624">
        <f t="shared" si="4"/>
        <v>139978.12</v>
      </c>
    </row>
    <row r="280" spans="1:9" ht="15">
      <c r="A280" s="804" t="s">
        <v>1128</v>
      </c>
      <c r="B280" s="805" t="s">
        <v>288</v>
      </c>
      <c r="C280" s="810">
        <v>0</v>
      </c>
      <c r="D280" s="810">
        <v>6495.36</v>
      </c>
      <c r="E280" s="624">
        <f t="shared" si="4"/>
        <v>6495.36</v>
      </c>
    </row>
    <row r="281" spans="1:9" ht="15">
      <c r="A281" s="804" t="s">
        <v>1129</v>
      </c>
      <c r="B281" s="805" t="s">
        <v>743</v>
      </c>
      <c r="C281" s="810">
        <v>135043.14000000001</v>
      </c>
      <c r="D281" s="810">
        <v>36385.49</v>
      </c>
      <c r="E281" s="624">
        <f t="shared" si="4"/>
        <v>171428.63</v>
      </c>
    </row>
    <row r="282" spans="1:9" ht="15">
      <c r="A282" s="804" t="s">
        <v>1133</v>
      </c>
      <c r="B282" s="805" t="s">
        <v>622</v>
      </c>
      <c r="C282" s="810">
        <v>92478.29</v>
      </c>
      <c r="D282" s="810">
        <v>553474.14</v>
      </c>
      <c r="E282" s="624">
        <f t="shared" si="4"/>
        <v>645952.43000000005</v>
      </c>
    </row>
    <row r="283" spans="1:9" ht="15">
      <c r="A283" s="804" t="s">
        <v>976</v>
      </c>
      <c r="B283" s="805" t="s">
        <v>1305</v>
      </c>
      <c r="C283" s="810">
        <v>31775.69</v>
      </c>
      <c r="D283" s="810">
        <v>51722.45</v>
      </c>
      <c r="E283" s="624">
        <f t="shared" si="4"/>
        <v>83498.14</v>
      </c>
    </row>
    <row r="284" spans="1:9" ht="15">
      <c r="A284" s="804" t="s">
        <v>1131</v>
      </c>
      <c r="B284" s="805" t="s">
        <v>588</v>
      </c>
      <c r="C284" s="810">
        <v>97290.73</v>
      </c>
      <c r="D284" s="810">
        <v>138720.85999999999</v>
      </c>
      <c r="E284" s="624">
        <f t="shared" si="4"/>
        <v>236011.58999999997</v>
      </c>
    </row>
    <row r="285" spans="1:9" ht="15">
      <c r="A285" s="612"/>
      <c r="B285" s="611"/>
      <c r="C285" s="613"/>
      <c r="D285" s="613"/>
      <c r="E285" s="624"/>
    </row>
    <row r="286" spans="1:9" ht="15">
      <c r="A286" s="612"/>
      <c r="B286" s="611"/>
      <c r="C286" s="613"/>
      <c r="D286" s="613"/>
      <c r="E286" s="624"/>
    </row>
    <row r="287" spans="1:9" ht="15">
      <c r="A287" s="612" t="s">
        <v>113</v>
      </c>
      <c r="B287" s="611"/>
      <c r="C287" s="610">
        <f>SUM(C2:C286)</f>
        <v>1499414889.03</v>
      </c>
      <c r="D287" s="610">
        <f>SUM(D2:D286)</f>
        <v>2486885800.4999976</v>
      </c>
      <c r="E287" s="610">
        <f>C287+D287</f>
        <v>3986300689.5299978</v>
      </c>
      <c r="F287" s="703" t="s">
        <v>1343</v>
      </c>
      <c r="I287" s="620"/>
    </row>
    <row r="288" spans="1:9">
      <c r="E288" s="609"/>
    </row>
    <row r="290" spans="3:9">
      <c r="C290" s="621">
        <f>C287</f>
        <v>1499414889.03</v>
      </c>
      <c r="D290" s="621">
        <f t="shared" ref="D290:E290" si="5">D287</f>
        <v>2486885800.4999976</v>
      </c>
      <c r="E290" s="621">
        <f t="shared" si="5"/>
        <v>3986300689.5299978</v>
      </c>
      <c r="F290" s="605" t="s">
        <v>1482</v>
      </c>
    </row>
    <row r="291" spans="3:9">
      <c r="C291" s="607">
        <f>'2. K0215-June 30, 2024'!H465</f>
        <v>1499414889.03</v>
      </c>
      <c r="D291" s="607">
        <f>'2. K0215-June 30, 2024'!I465</f>
        <v>2486885800.4999995</v>
      </c>
      <c r="E291" s="607">
        <f>'2. K0215-June 30, 2024'!J465</f>
        <v>3986300689.5299993</v>
      </c>
      <c r="F291" s="605" t="s">
        <v>1349</v>
      </c>
    </row>
    <row r="292" spans="3:9">
      <c r="C292" s="607">
        <f>C290-C291</f>
        <v>0</v>
      </c>
      <c r="D292" s="607">
        <f>D290-D291</f>
        <v>0</v>
      </c>
      <c r="E292" s="607">
        <f>E290-E291</f>
        <v>0</v>
      </c>
    </row>
    <row r="304" spans="3:9">
      <c r="I304" s="620"/>
    </row>
  </sheetData>
  <autoFilter ref="A1:I285" xr:uid="{00000000-0009-0000-0000-000002000000}"/>
  <printOptions horizontalCentered="1"/>
  <pageMargins left="0" right="0" top="1" bottom="1" header="0.5" footer="0.25"/>
  <pageSetup scale="15" orientation="portrait" r:id="rId1"/>
  <headerFooter alignWithMargins="0">
    <oddHeader>&amp;C&amp;"Arial,Bold"SCS Monthly List of Open Disability Claims &amp; Accumulative Costs
June 30, 2022</oddHeader>
    <oddFooter>&amp;LK0215
Prepared by: Payable/Receivable Unit
Financial Operations
Complete Date: 08/10/2022&amp;CPage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86"/>
  <sheetViews>
    <sheetView workbookViewId="0">
      <selection activeCell="A4" sqref="A4"/>
    </sheetView>
  </sheetViews>
  <sheetFormatPr defaultColWidth="9.81640625" defaultRowHeight="15.6"/>
  <cols>
    <col min="1" max="1" width="9.90625" style="108" customWidth="1"/>
    <col min="2" max="2" width="12.08984375" style="104" customWidth="1"/>
    <col min="3" max="4" width="14.81640625" style="105" bestFit="1" customWidth="1"/>
    <col min="5" max="5" width="14.36328125" style="105" customWidth="1"/>
    <col min="6" max="6" width="13.6328125" style="105" customWidth="1"/>
    <col min="7" max="7" width="2.1796875" style="105" customWidth="1"/>
    <col min="8" max="8" width="24.08984375" style="105" customWidth="1"/>
    <col min="9" max="9" width="1.81640625" style="105" customWidth="1"/>
    <col min="10" max="10" width="10.6328125" style="600" customWidth="1"/>
    <col min="11" max="11" width="1.36328125" style="105" customWidth="1"/>
    <col min="12" max="12" width="10.6328125" style="105" customWidth="1"/>
    <col min="13" max="13" width="1.81640625" style="105" customWidth="1"/>
    <col min="14" max="14" width="10.6328125" style="105" customWidth="1"/>
    <col min="15" max="15" width="1.36328125" style="105" customWidth="1"/>
    <col min="16" max="16" width="10.6328125" style="105" customWidth="1"/>
    <col min="17" max="17" width="10.81640625" style="105" bestFit="1" customWidth="1"/>
    <col min="18" max="18" width="10.08984375" style="105" bestFit="1" customWidth="1"/>
    <col min="19" max="16384" width="9.81640625" style="105"/>
  </cols>
  <sheetData>
    <row r="1" spans="1:19">
      <c r="A1" s="65" t="s">
        <v>189</v>
      </c>
      <c r="J1" s="598"/>
    </row>
    <row r="2" spans="1:19">
      <c r="A2" s="65" t="s">
        <v>1275</v>
      </c>
      <c r="J2" s="598"/>
    </row>
    <row r="3" spans="1:19">
      <c r="A3" s="65" t="s">
        <v>1475</v>
      </c>
      <c r="C3" s="6"/>
      <c r="D3" s="56"/>
      <c r="E3" s="6"/>
      <c r="F3" s="6"/>
      <c r="G3" s="391"/>
      <c r="J3" s="598"/>
    </row>
    <row r="4" spans="1:19" s="6" customFormat="1">
      <c r="A4" s="59"/>
      <c r="D4" s="275"/>
      <c r="E4" s="275"/>
      <c r="F4" s="275"/>
      <c r="H4" s="287"/>
      <c r="J4" s="598"/>
    </row>
    <row r="5" spans="1:19">
      <c r="A5" s="686" t="s">
        <v>1353</v>
      </c>
      <c r="B5" s="105"/>
      <c r="E5" s="132"/>
      <c r="F5" s="132"/>
      <c r="J5" s="598"/>
    </row>
    <row r="6" spans="1:19">
      <c r="A6" s="104"/>
      <c r="C6" s="104"/>
      <c r="D6" s="132" t="s">
        <v>1274</v>
      </c>
      <c r="E6" s="288"/>
      <c r="F6" s="288"/>
      <c r="J6" s="598"/>
    </row>
    <row r="7" spans="1:19">
      <c r="A7" s="288"/>
      <c r="B7" s="132" t="s">
        <v>1277</v>
      </c>
      <c r="C7" s="132" t="s">
        <v>1274</v>
      </c>
      <c r="D7" s="132" t="s">
        <v>249</v>
      </c>
      <c r="E7" s="288"/>
      <c r="F7" s="288"/>
      <c r="J7" s="599"/>
      <c r="K7" s="290"/>
      <c r="L7" s="290"/>
      <c r="N7" s="289"/>
      <c r="O7" s="290"/>
      <c r="P7" s="290"/>
    </row>
    <row r="8" spans="1:19">
      <c r="A8" s="132" t="s">
        <v>251</v>
      </c>
      <c r="B8" s="132" t="s">
        <v>1278</v>
      </c>
      <c r="C8" s="288" t="s">
        <v>1276</v>
      </c>
      <c r="D8" s="288" t="s">
        <v>250</v>
      </c>
      <c r="E8" s="313"/>
      <c r="F8" s="313"/>
      <c r="J8" s="598"/>
      <c r="L8" s="6"/>
      <c r="N8" s="6"/>
      <c r="P8" s="6"/>
    </row>
    <row r="9" spans="1:19">
      <c r="A9" s="145" t="s">
        <v>253</v>
      </c>
      <c r="B9" s="145" t="s">
        <v>252</v>
      </c>
      <c r="C9" s="561" t="s">
        <v>212</v>
      </c>
      <c r="D9" s="561" t="s">
        <v>1287</v>
      </c>
      <c r="E9" s="312"/>
      <c r="F9" s="312"/>
      <c r="H9" s="291"/>
      <c r="J9" s="598"/>
      <c r="L9" s="122"/>
      <c r="N9" s="122"/>
      <c r="P9" s="122"/>
    </row>
    <row r="10" spans="1:19">
      <c r="A10" s="105">
        <v>808</v>
      </c>
      <c r="B10" s="113">
        <f>+('1. Summary 2324'!D21+'1. Summary 2324'!D33+'1. Summary 2324'!D43+'1. Summary 2324'!D44+'1. Summary 2324'!D45+'1. Summary 2324'!D46)/(+'1. Summary 2324'!D$67+'1. Summary 2324'!D$30)</f>
        <v>2.6308750635926227E-2</v>
      </c>
      <c r="C10" s="104">
        <f>+('1. Summary 2324'!G$89 -'1. Summary 2324'!F$86)</f>
        <v>-48772846.834826998</v>
      </c>
      <c r="D10" s="104">
        <f>(+B10*C$10)</f>
        <v>-1283152.6651816873</v>
      </c>
      <c r="E10" s="104"/>
      <c r="F10" s="104"/>
      <c r="H10" s="291"/>
      <c r="J10" s="598"/>
      <c r="L10" s="97"/>
      <c r="N10" s="97"/>
      <c r="P10" s="97"/>
    </row>
    <row r="11" spans="1:19">
      <c r="A11" s="105">
        <v>810</v>
      </c>
      <c r="B11" s="113">
        <f>+(+'1. Summary 2324'!D22+'1. Summary 2324'!D23+'1. Summary 2324'!D34+'1. Summary 2324'!D47)/(+'1. Summary 2324'!D$67+'1. Summary 2324'!D$30)</f>
        <v>2.9774848591108392E-3</v>
      </c>
      <c r="C11" s="104">
        <f>+('1. Summary 2324'!G$89 -'1. Summary 2324'!F$86)</f>
        <v>-48772846.834826998</v>
      </c>
      <c r="D11" s="104">
        <f>(+B11*C$10)</f>
        <v>-145220.41298642941</v>
      </c>
      <c r="E11" s="104"/>
      <c r="F11" s="104"/>
      <c r="H11" s="296"/>
      <c r="J11" s="598"/>
      <c r="L11" s="282"/>
      <c r="N11" s="282"/>
      <c r="P11" s="282"/>
    </row>
    <row r="12" spans="1:19">
      <c r="A12" s="105">
        <v>815</v>
      </c>
      <c r="B12" s="113">
        <f>+(+'1. Summary 2324'!D24+'1. Summary 2324'!D25+'1. Summary 2324'!D35+'1. Summary 2324'!D48+'1. Summary 2324'!D63+'1. Summary 2324'!D64+'1. Summary 2324'!D65)/(+'1. Summary 2324'!D$67+'1. Summary 2324'!D$30)</f>
        <v>0.13243485068888713</v>
      </c>
      <c r="C12" s="104">
        <f>+('1. Summary 2324'!G$89 -'1. Summary 2324'!F$86)</f>
        <v>-48772846.834826998</v>
      </c>
      <c r="D12" s="104">
        <f t="shared" ref="D12:D15" si="0">(+B12*C$10)</f>
        <v>-6459224.6882422753</v>
      </c>
      <c r="E12" s="104"/>
      <c r="F12" s="104"/>
      <c r="J12" s="598"/>
      <c r="L12" s="122"/>
      <c r="N12" s="122"/>
      <c r="P12" s="122"/>
    </row>
    <row r="13" spans="1:19">
      <c r="A13" s="105">
        <v>820</v>
      </c>
      <c r="B13" s="113">
        <f>+('1. Summary 2324'!D26+'1. Summary 2324'!D36+'1. Summary 2324'!D39+'1. Summary 2324'!D54+'1. Summary 2324'!D55+'1. Summary 2324'!D56+'1. Summary 2324'!D57+'1. Summary 2324'!D58+'1. Summary 2324'!D59+'1. Summary 2324'!D60+'1. Summary 2324'!D61+'1. Summary 2324'!D66)/(+'1. Summary 2324'!D$67+'1. Summary 2324'!D$30)</f>
        <v>8.6035929922109802E-2</v>
      </c>
      <c r="C13" s="104">
        <f>+('1. Summary 2324'!G$89 -'1. Summary 2324'!F$86)</f>
        <v>-48772846.834826998</v>
      </c>
      <c r="D13" s="104">
        <f t="shared" si="0"/>
        <v>-4196217.2323829709</v>
      </c>
      <c r="E13" s="104"/>
      <c r="F13" s="104"/>
      <c r="H13" s="564"/>
      <c r="J13" s="598"/>
    </row>
    <row r="14" spans="1:19">
      <c r="A14" s="105">
        <v>825</v>
      </c>
      <c r="B14" s="113">
        <f>+(+'1. Summary 2324'!D27+'1. Summary 2324'!D37+'1. Summary 2324'!D49+'1. Summary 2324'!D50+'1. Summary 2324'!D51+'1. Summary 2324'!D52+'1. Summary 2324'!D53+'1. Summary 2324'!D62)/(+'1. Summary 2324'!D$67+'1. Summary 2324'!D$30)</f>
        <v>3.5602294398524941E-3</v>
      </c>
      <c r="C14" s="104">
        <f>+('1. Summary 2324'!G$89 -'1. Summary 2324'!F$86)</f>
        <v>-48772846.834826998</v>
      </c>
      <c r="D14" s="104">
        <f>(+B14*C$10)+0.06</f>
        <v>-173642.46516676762</v>
      </c>
      <c r="E14" s="104"/>
      <c r="F14" s="104"/>
      <c r="H14" s="562"/>
      <c r="J14" s="598"/>
    </row>
    <row r="15" spans="1:19">
      <c r="A15" s="105">
        <v>830</v>
      </c>
      <c r="B15" s="113">
        <f>+(+'1. Summary 2324'!D28+'1. Summary 2324'!D40+'1. Summary 2324'!D41+'1. Summary 2324'!D42)/(+'1. Summary 2324'!D$67+'1. Summary 2324'!D$30)</f>
        <v>0.20313523716744053</v>
      </c>
      <c r="C15" s="104">
        <f>+('1. Summary 2324'!G$89 -'1. Summary 2324'!F$86)</f>
        <v>-48772846.834826998</v>
      </c>
      <c r="D15" s="104">
        <f t="shared" si="0"/>
        <v>-9907483.8091238327</v>
      </c>
      <c r="E15" s="104"/>
      <c r="F15" s="104"/>
      <c r="J15" s="598"/>
    </row>
    <row r="16" spans="1:19">
      <c r="A16" s="105">
        <v>835</v>
      </c>
      <c r="B16" s="560">
        <f>+(+'1. Summary 2324'!D29+'1. Summary 2324'!D38)/(+'1. Summary 2324'!D$67+'1. Summary 2324'!D$30)</f>
        <v>0.54554751728667306</v>
      </c>
      <c r="C16" s="104">
        <f>+('1. Summary 2324'!G$89 -'1. Summary 2324'!F$86)</f>
        <v>-48772846.834826998</v>
      </c>
      <c r="D16" s="128">
        <f>(+B16*C$10)</f>
        <v>-26607905.501743041</v>
      </c>
      <c r="E16" s="104"/>
      <c r="F16" s="104"/>
      <c r="J16" s="598"/>
      <c r="N16" s="132"/>
      <c r="S16" s="132"/>
    </row>
    <row r="17" spans="1:20">
      <c r="B17" s="484">
        <f>SUM(B10:B16)</f>
        <v>1</v>
      </c>
      <c r="C17" s="104"/>
      <c r="D17" s="314">
        <f>SUM(D10:D16)</f>
        <v>-48772846.774827003</v>
      </c>
      <c r="E17" s="72" t="s">
        <v>1333</v>
      </c>
      <c r="F17" s="315"/>
      <c r="J17" s="598"/>
      <c r="N17" s="132"/>
      <c r="S17" s="132"/>
    </row>
    <row r="18" spans="1:20">
      <c r="B18" s="484"/>
      <c r="C18" s="104"/>
      <c r="D18" s="314"/>
      <c r="E18" s="72"/>
      <c r="F18" s="315"/>
      <c r="J18" s="598"/>
      <c r="N18" s="132"/>
      <c r="S18" s="132"/>
    </row>
    <row r="19" spans="1:20">
      <c r="B19" s="484"/>
      <c r="C19" s="104"/>
      <c r="D19" s="314"/>
      <c r="E19" s="72"/>
      <c r="F19" s="315"/>
      <c r="J19" s="598"/>
      <c r="N19" s="132"/>
      <c r="S19" s="132"/>
    </row>
    <row r="20" spans="1:20" ht="15.75" customHeight="1">
      <c r="A20" s="821" t="s">
        <v>1381</v>
      </c>
      <c r="B20" s="821"/>
      <c r="C20" s="821"/>
      <c r="D20" s="821"/>
      <c r="E20" s="821"/>
      <c r="F20" s="821"/>
      <c r="G20" s="821"/>
      <c r="H20" s="821"/>
      <c r="I20" s="104"/>
      <c r="J20" s="598"/>
      <c r="R20" s="132"/>
      <c r="S20" s="132"/>
      <c r="T20" s="132"/>
    </row>
    <row r="21" spans="1:20" ht="15.75" customHeight="1">
      <c r="A21" s="821"/>
      <c r="B21" s="821"/>
      <c r="C21" s="821"/>
      <c r="D21" s="821"/>
      <c r="E21" s="821"/>
      <c r="F21" s="821"/>
      <c r="G21" s="821"/>
      <c r="H21" s="821"/>
    </row>
    <row r="22" spans="1:20">
      <c r="A22" s="821"/>
      <c r="B22" s="821"/>
      <c r="C22" s="821"/>
      <c r="D22" s="821"/>
      <c r="E22" s="821"/>
      <c r="F22" s="821"/>
      <c r="G22" s="821"/>
      <c r="H22" s="821"/>
    </row>
    <row r="23" spans="1:20">
      <c r="A23" s="821"/>
      <c r="B23" s="821"/>
      <c r="C23" s="821"/>
      <c r="D23" s="821"/>
      <c r="E23" s="821"/>
      <c r="F23" s="821"/>
      <c r="G23" s="821"/>
      <c r="H23" s="821"/>
    </row>
    <row r="24" spans="1:20">
      <c r="A24" s="821"/>
      <c r="B24" s="821"/>
      <c r="C24" s="821"/>
      <c r="D24" s="821"/>
      <c r="E24" s="821"/>
      <c r="F24" s="821"/>
      <c r="G24" s="821"/>
      <c r="H24" s="821"/>
    </row>
    <row r="25" spans="1:20" ht="13.95" customHeight="1">
      <c r="A25" s="108" t="s">
        <v>1288</v>
      </c>
      <c r="C25" s="104"/>
      <c r="D25" s="123"/>
      <c r="E25" s="104"/>
      <c r="F25" s="104"/>
    </row>
    <row r="26" spans="1:20">
      <c r="A26" s="134"/>
      <c r="C26" s="104"/>
      <c r="D26" s="123"/>
      <c r="E26" s="104"/>
      <c r="F26" s="104"/>
    </row>
    <row r="27" spans="1:20">
      <c r="A27" s="134"/>
      <c r="C27" s="104"/>
      <c r="D27" s="136"/>
      <c r="E27" s="104"/>
      <c r="F27" s="104"/>
    </row>
    <row r="28" spans="1:20">
      <c r="A28" s="65"/>
      <c r="B28" s="72"/>
      <c r="C28" s="72"/>
      <c r="D28" s="74"/>
      <c r="E28" s="72"/>
      <c r="F28" s="72"/>
    </row>
    <row r="29" spans="1:20">
      <c r="C29" s="107"/>
      <c r="D29" s="107"/>
      <c r="E29" s="304"/>
      <c r="F29" s="304"/>
    </row>
    <row r="30" spans="1:20">
      <c r="A30" s="65"/>
      <c r="E30" s="79"/>
      <c r="F30" s="79"/>
    </row>
    <row r="31" spans="1:20">
      <c r="A31" s="134"/>
      <c r="E31" s="305"/>
      <c r="F31" s="306"/>
    </row>
    <row r="32" spans="1:20">
      <c r="A32" s="134"/>
      <c r="E32" s="120"/>
      <c r="F32" s="120"/>
    </row>
    <row r="33" spans="1:10" s="7" customFormat="1">
      <c r="A33" s="279"/>
      <c r="B33" s="102"/>
      <c r="E33" s="120"/>
      <c r="F33" s="120"/>
      <c r="J33" s="601"/>
    </row>
    <row r="34" spans="1:10">
      <c r="A34" s="71"/>
      <c r="E34" s="120"/>
      <c r="F34" s="120"/>
    </row>
    <row r="35" spans="1:10">
      <c r="C35" s="120"/>
      <c r="D35" s="120"/>
      <c r="E35" s="280"/>
      <c r="F35" s="280"/>
    </row>
    <row r="36" spans="1:10">
      <c r="A36" s="65"/>
      <c r="C36" s="120"/>
      <c r="D36" s="120"/>
      <c r="E36" s="120"/>
      <c r="F36" s="120"/>
    </row>
    <row r="37" spans="1:10">
      <c r="A37" s="134"/>
      <c r="C37" s="120"/>
      <c r="D37" s="120"/>
      <c r="E37" s="83"/>
      <c r="F37" s="83"/>
    </row>
    <row r="38" spans="1:10">
      <c r="A38" s="134"/>
      <c r="C38" s="120"/>
      <c r="D38" s="120"/>
      <c r="E38" s="84"/>
      <c r="F38" s="84"/>
    </row>
    <row r="39" spans="1:10">
      <c r="A39" s="134"/>
      <c r="C39" s="120"/>
      <c r="D39" s="120"/>
      <c r="E39" s="84"/>
      <c r="F39" s="84"/>
    </row>
    <row r="40" spans="1:10">
      <c r="A40" s="134"/>
      <c r="C40" s="120"/>
      <c r="D40" s="120"/>
      <c r="E40" s="84"/>
      <c r="F40" s="84"/>
    </row>
    <row r="41" spans="1:10">
      <c r="A41" s="134"/>
      <c r="C41" s="120"/>
      <c r="D41" s="120"/>
      <c r="E41" s="84"/>
      <c r="F41" s="84"/>
    </row>
    <row r="42" spans="1:10">
      <c r="A42" s="139"/>
      <c r="C42" s="120"/>
      <c r="D42" s="120"/>
    </row>
    <row r="43" spans="1:10">
      <c r="A43" s="65"/>
      <c r="B43" s="72"/>
      <c r="C43" s="88"/>
      <c r="D43" s="88"/>
    </row>
    <row r="44" spans="1:10">
      <c r="A44" s="65"/>
      <c r="B44" s="72"/>
      <c r="C44" s="88"/>
      <c r="D44" s="88"/>
    </row>
    <row r="45" spans="1:10">
      <c r="A45" s="65"/>
      <c r="B45" s="72"/>
      <c r="C45" s="88"/>
      <c r="D45" s="88"/>
    </row>
    <row r="46" spans="1:10">
      <c r="C46" s="120"/>
      <c r="D46" s="120"/>
      <c r="E46" s="123"/>
      <c r="F46" s="123"/>
    </row>
    <row r="47" spans="1:10">
      <c r="C47" s="120"/>
      <c r="D47" s="120"/>
      <c r="E47" s="123"/>
      <c r="F47" s="123"/>
    </row>
    <row r="48" spans="1:10">
      <c r="A48" s="281"/>
      <c r="B48" s="72"/>
      <c r="C48" s="88"/>
      <c r="D48" s="88"/>
      <c r="E48" s="79"/>
      <c r="F48" s="79"/>
      <c r="G48" s="104"/>
    </row>
    <row r="49" spans="1:10">
      <c r="C49" s="120"/>
      <c r="F49" s="305"/>
    </row>
    <row r="50" spans="1:10">
      <c r="A50" s="65"/>
      <c r="B50" s="72"/>
      <c r="C50" s="88"/>
      <c r="F50" s="282"/>
    </row>
    <row r="51" spans="1:10" ht="13.95" customHeight="1">
      <c r="C51" s="120"/>
      <c r="F51" s="305"/>
    </row>
    <row r="52" spans="1:10">
      <c r="A52" s="283"/>
      <c r="B52" s="284"/>
      <c r="C52" s="103"/>
      <c r="F52" s="102"/>
    </row>
    <row r="53" spans="1:10">
      <c r="A53" s="112"/>
      <c r="B53" s="285"/>
      <c r="C53" s="108"/>
      <c r="F53" s="102"/>
    </row>
    <row r="54" spans="1:10">
      <c r="A54" s="307"/>
      <c r="C54" s="308"/>
      <c r="F54" s="286"/>
    </row>
    <row r="55" spans="1:10">
      <c r="B55" s="72"/>
      <c r="C55" s="310"/>
      <c r="F55" s="7"/>
    </row>
    <row r="56" spans="1:10">
      <c r="A56" s="103"/>
      <c r="B56" s="102"/>
      <c r="C56" s="7"/>
      <c r="D56" s="7"/>
      <c r="E56" s="7"/>
      <c r="F56" s="7"/>
    </row>
    <row r="57" spans="1:10">
      <c r="A57" s="103"/>
      <c r="B57" s="102"/>
      <c r="C57" s="7"/>
      <c r="D57" s="7"/>
      <c r="E57" s="7"/>
      <c r="F57" s="7"/>
    </row>
    <row r="59" spans="1:10">
      <c r="A59" s="105"/>
      <c r="B59" s="105"/>
      <c r="H59" s="132"/>
      <c r="I59" s="132" t="s">
        <v>209</v>
      </c>
    </row>
    <row r="60" spans="1:10">
      <c r="A60" s="105"/>
      <c r="B60" s="105"/>
      <c r="C60" s="297">
        <f>+C55+C56+C57</f>
        <v>0</v>
      </c>
      <c r="H60" s="132"/>
      <c r="I60" s="132" t="s">
        <v>210</v>
      </c>
    </row>
    <row r="61" spans="1:10">
      <c r="A61" s="105"/>
      <c r="B61" s="105"/>
      <c r="H61" s="132" t="s">
        <v>212</v>
      </c>
      <c r="I61" s="132" t="s">
        <v>213</v>
      </c>
      <c r="J61" s="600" t="s">
        <v>214</v>
      </c>
    </row>
    <row r="62" spans="1:10">
      <c r="A62" s="108" t="s">
        <v>215</v>
      </c>
      <c r="H62" s="132" t="s">
        <v>216</v>
      </c>
      <c r="I62" s="132" t="s">
        <v>195</v>
      </c>
      <c r="J62" s="600" t="s">
        <v>217</v>
      </c>
    </row>
    <row r="63" spans="1:10">
      <c r="A63" s="108" t="s">
        <v>245</v>
      </c>
    </row>
    <row r="64" spans="1:10">
      <c r="A64" s="108" t="s">
        <v>218</v>
      </c>
      <c r="D64" s="104"/>
      <c r="E64" s="298" t="s">
        <v>219</v>
      </c>
      <c r="F64" s="298"/>
      <c r="G64" s="104">
        <v>3458981</v>
      </c>
      <c r="H64" s="104">
        <f>+G64-I64</f>
        <v>708325</v>
      </c>
      <c r="I64" s="104">
        <v>2750656</v>
      </c>
      <c r="J64" s="600">
        <f>+H64/G64</f>
        <v>0.20477851714131995</v>
      </c>
    </row>
    <row r="65" spans="1:10">
      <c r="A65" s="105" t="s">
        <v>220</v>
      </c>
      <c r="B65" s="105"/>
      <c r="C65" s="104"/>
      <c r="D65" s="104"/>
      <c r="E65" s="104"/>
      <c r="F65" s="104"/>
      <c r="G65" s="104">
        <v>89131</v>
      </c>
      <c r="H65" s="104">
        <f>+G65-I65</f>
        <v>11777</v>
      </c>
      <c r="I65" s="104">
        <v>77354</v>
      </c>
      <c r="J65" s="600">
        <f>+H65/G65</f>
        <v>0.13213135721578351</v>
      </c>
    </row>
    <row r="66" spans="1:10">
      <c r="A66" s="105" t="s">
        <v>225</v>
      </c>
      <c r="B66" s="105"/>
      <c r="H66" s="104"/>
      <c r="I66" s="104"/>
    </row>
    <row r="67" spans="1:10">
      <c r="A67" s="105"/>
      <c r="B67" s="105" t="s">
        <v>226</v>
      </c>
      <c r="D67" s="104"/>
      <c r="E67" s="104"/>
      <c r="F67" s="104"/>
      <c r="G67" s="104">
        <f>+G64+G65</f>
        <v>3548112</v>
      </c>
      <c r="H67" s="104">
        <f>+G67-I67</f>
        <v>720102</v>
      </c>
      <c r="I67" s="104">
        <f>+I64+I65</f>
        <v>2828010</v>
      </c>
      <c r="J67" s="600">
        <f>+H67/G67</f>
        <v>0.20295357080047077</v>
      </c>
    </row>
    <row r="68" spans="1:10">
      <c r="A68" s="105"/>
      <c r="B68" s="311" t="s">
        <v>227</v>
      </c>
      <c r="D68" s="104"/>
      <c r="E68" s="104"/>
      <c r="F68" s="104"/>
      <c r="G68" s="104"/>
      <c r="H68" s="104"/>
      <c r="I68" s="104"/>
    </row>
    <row r="69" spans="1:10">
      <c r="A69" s="105"/>
      <c r="B69" s="105"/>
      <c r="D69" s="104"/>
      <c r="E69" s="104"/>
      <c r="F69" s="104"/>
      <c r="G69" s="104"/>
      <c r="H69" s="104"/>
    </row>
    <row r="70" spans="1:10">
      <c r="A70" s="105" t="s">
        <v>246</v>
      </c>
      <c r="B70" s="105"/>
      <c r="D70" s="104"/>
      <c r="E70" s="104"/>
      <c r="F70" s="104"/>
      <c r="G70" s="104">
        <v>2750656</v>
      </c>
      <c r="H70" s="104"/>
    </row>
    <row r="71" spans="1:10">
      <c r="A71" s="105" t="s">
        <v>247</v>
      </c>
      <c r="B71" s="105"/>
      <c r="D71" s="104"/>
      <c r="E71" s="104"/>
      <c r="F71" s="104"/>
      <c r="G71" s="104">
        <v>77354</v>
      </c>
      <c r="H71" s="104"/>
    </row>
    <row r="72" spans="1:10">
      <c r="A72" s="105"/>
      <c r="B72" s="105"/>
      <c r="D72" s="104"/>
      <c r="E72" s="104"/>
      <c r="F72" s="104"/>
      <c r="G72" s="104"/>
      <c r="H72" s="104"/>
      <c r="I72" s="104"/>
    </row>
    <row r="73" spans="1:10">
      <c r="A73" s="105"/>
      <c r="B73" s="105" t="s">
        <v>799</v>
      </c>
      <c r="G73" s="104">
        <f>+G70+G71</f>
        <v>2828010</v>
      </c>
      <c r="I73" s="104"/>
    </row>
    <row r="74" spans="1:10">
      <c r="A74" s="105"/>
      <c r="B74" s="105"/>
    </row>
    <row r="86" spans="4:4">
      <c r="D86" s="105">
        <v>1844000</v>
      </c>
    </row>
  </sheetData>
  <mergeCells count="1">
    <mergeCell ref="A20:H24"/>
  </mergeCells>
  <phoneticPr fontId="16" type="noConversion"/>
  <printOptions horizontalCentered="1"/>
  <pageMargins left="0.7" right="0.7" top="0.75" bottom="0.75" header="0.3" footer="0.3"/>
  <pageSetup scale="96" orientation="landscape" cellComments="asDisplayed" r:id="rId1"/>
  <headerFooter alignWithMargins="0">
    <oddFooter>&amp;L&amp;F, &amp;A&amp;R&amp;D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85"/>
  <sheetViews>
    <sheetView workbookViewId="0">
      <selection activeCell="A4" sqref="A4"/>
    </sheetView>
  </sheetViews>
  <sheetFormatPr defaultColWidth="9.81640625" defaultRowHeight="15.6"/>
  <cols>
    <col min="1" max="1" width="14.08984375" style="108" customWidth="1"/>
    <col min="2" max="2" width="17" style="104" customWidth="1"/>
    <col min="3" max="3" width="5.453125" style="636" customWidth="1"/>
    <col min="4" max="4" width="15.36328125" style="105" customWidth="1"/>
    <col min="5" max="5" width="3.90625" style="105" customWidth="1"/>
    <col min="6" max="6" width="17.6328125" style="105" bestFit="1" customWidth="1"/>
    <col min="7" max="7" width="14.36328125" style="105" customWidth="1"/>
    <col min="8" max="8" width="13.6328125" style="105" customWidth="1"/>
    <col min="9" max="9" width="15.6328125" style="104" bestFit="1" customWidth="1"/>
    <col min="10" max="10" width="14.08984375" style="105" customWidth="1"/>
    <col min="11" max="11" width="15.453125" style="105" customWidth="1"/>
    <col min="12" max="12" width="10.6328125" style="105" customWidth="1"/>
    <col min="13" max="13" width="1.36328125" style="105" customWidth="1"/>
    <col min="14" max="14" width="10.6328125" style="105" customWidth="1"/>
    <col min="15" max="15" width="1.81640625" style="105" customWidth="1"/>
    <col min="16" max="16" width="10.6328125" style="105" customWidth="1"/>
    <col min="17" max="17" width="1.36328125" style="105" customWidth="1"/>
    <col min="18" max="18" width="10.6328125" style="105" customWidth="1"/>
    <col min="19" max="19" width="10.81640625" style="105" bestFit="1" customWidth="1"/>
    <col min="20" max="20" width="10.08984375" style="105" bestFit="1" customWidth="1"/>
    <col min="21" max="16384" width="9.81640625" style="105"/>
  </cols>
  <sheetData>
    <row r="1" spans="1:22">
      <c r="A1" s="65" t="s">
        <v>189</v>
      </c>
    </row>
    <row r="2" spans="1:22">
      <c r="A2" s="65" t="s">
        <v>794</v>
      </c>
    </row>
    <row r="3" spans="1:22">
      <c r="A3" s="65" t="s">
        <v>1475</v>
      </c>
      <c r="D3" s="6"/>
      <c r="E3" s="56"/>
      <c r="F3" s="6"/>
      <c r="G3" s="6"/>
      <c r="H3" s="6"/>
      <c r="I3" s="602"/>
    </row>
    <row r="4" spans="1:22">
      <c r="A4" s="65"/>
      <c r="B4" s="58"/>
      <c r="C4" s="635"/>
      <c r="D4" s="56"/>
      <c r="E4" s="56"/>
      <c r="F4" s="56"/>
      <c r="G4" s="56"/>
      <c r="H4" s="56"/>
    </row>
    <row r="5" spans="1:22" ht="46.8">
      <c r="A5" s="471" t="s">
        <v>784</v>
      </c>
      <c r="B5" s="292" t="s">
        <v>1289</v>
      </c>
      <c r="C5" s="687" t="s">
        <v>1354</v>
      </c>
      <c r="D5" s="590" t="s">
        <v>1290</v>
      </c>
      <c r="E5" s="292"/>
      <c r="F5" s="292" t="s">
        <v>1422</v>
      </c>
      <c r="G5" s="293"/>
      <c r="H5" s="294"/>
      <c r="J5" s="291"/>
      <c r="L5" s="97"/>
      <c r="N5" s="97"/>
      <c r="P5" s="97"/>
      <c r="R5" s="97"/>
    </row>
    <row r="6" spans="1:22">
      <c r="A6" s="131" t="s">
        <v>278</v>
      </c>
      <c r="B6" s="532"/>
      <c r="C6" s="680"/>
      <c r="D6" s="120"/>
      <c r="E6" s="276"/>
      <c r="F6" s="800">
        <f>-'1. Summary 2324'!F17</f>
        <v>-6293359.8348270003</v>
      </c>
      <c r="G6" s="480"/>
      <c r="H6" s="295"/>
      <c r="J6" s="296"/>
      <c r="L6" s="282"/>
      <c r="N6" s="282"/>
      <c r="P6" s="282"/>
      <c r="R6" s="282"/>
    </row>
    <row r="7" spans="1:22">
      <c r="A7" s="131" t="s">
        <v>102</v>
      </c>
      <c r="B7" s="532"/>
      <c r="C7" s="680"/>
      <c r="D7" s="120"/>
      <c r="E7" s="276"/>
      <c r="F7" s="800">
        <f>-F6</f>
        <v>6293359.8348270003</v>
      </c>
      <c r="G7" s="480"/>
      <c r="H7" s="295"/>
      <c r="L7" s="122"/>
      <c r="N7" s="122"/>
      <c r="P7" s="122"/>
      <c r="R7" s="122"/>
    </row>
    <row r="8" spans="1:22">
      <c r="A8" s="131" t="s">
        <v>279</v>
      </c>
      <c r="B8" s="532"/>
      <c r="C8" s="680"/>
      <c r="D8" s="120"/>
      <c r="E8" s="276"/>
      <c r="F8" s="800">
        <f>-'4. Non Current Liab'!D17</f>
        <v>48772846.774827003</v>
      </c>
      <c r="G8" s="689" t="s">
        <v>1356</v>
      </c>
      <c r="H8" s="295"/>
      <c r="J8" s="104"/>
      <c r="K8" s="104"/>
    </row>
    <row r="9" spans="1:22">
      <c r="A9" s="131" t="s">
        <v>280</v>
      </c>
      <c r="B9" s="277">
        <f>'4. Non Current Liab'!D10</f>
        <v>-1283152.6651816873</v>
      </c>
      <c r="C9" s="681" t="s">
        <v>1355</v>
      </c>
      <c r="D9" s="104"/>
      <c r="E9" s="295"/>
      <c r="F9" s="800">
        <f>(B9-D9)</f>
        <v>-1283152.6651816873</v>
      </c>
      <c r="G9" s="480"/>
      <c r="H9" s="295"/>
      <c r="J9" s="104"/>
      <c r="K9" s="104"/>
    </row>
    <row r="10" spans="1:22">
      <c r="A10" s="131" t="s">
        <v>281</v>
      </c>
      <c r="B10" s="277">
        <f>'4. Non Current Liab'!D11</f>
        <v>-145220.41298642941</v>
      </c>
      <c r="C10" s="681" t="s">
        <v>1355</v>
      </c>
      <c r="D10" s="104"/>
      <c r="E10" s="295"/>
      <c r="F10" s="800">
        <f t="shared" ref="F10" si="0">(B10-D10)</f>
        <v>-145220.41298642941</v>
      </c>
      <c r="G10" s="480"/>
      <c r="H10" s="295"/>
      <c r="J10" s="104"/>
      <c r="K10" s="104"/>
    </row>
    <row r="11" spans="1:22">
      <c r="A11" s="131" t="s">
        <v>282</v>
      </c>
      <c r="B11" s="277">
        <f>'4. Non Current Liab'!D12</f>
        <v>-6459224.6882422753</v>
      </c>
      <c r="C11" s="681" t="s">
        <v>1355</v>
      </c>
      <c r="D11" s="104"/>
      <c r="E11" s="295"/>
      <c r="F11" s="800">
        <f>(B11-D11)</f>
        <v>-6459224.6882422753</v>
      </c>
      <c r="G11" s="480"/>
      <c r="H11" s="480"/>
      <c r="I11" s="646"/>
      <c r="J11" s="104"/>
      <c r="K11" s="104"/>
      <c r="P11" s="132"/>
      <c r="U11" s="132"/>
    </row>
    <row r="12" spans="1:22">
      <c r="A12" s="131" t="s">
        <v>136</v>
      </c>
      <c r="B12" s="277">
        <f>'4. Non Current Liab'!D13</f>
        <v>-4196217.2323829709</v>
      </c>
      <c r="C12" s="681" t="s">
        <v>1355</v>
      </c>
      <c r="D12" s="104"/>
      <c r="E12" s="295"/>
      <c r="F12" s="800">
        <f>(B12-D12)</f>
        <v>-4196217.2323829709</v>
      </c>
      <c r="G12" s="480"/>
      <c r="H12" s="480"/>
      <c r="I12" s="646"/>
      <c r="J12" s="104"/>
      <c r="K12" s="104"/>
      <c r="L12" s="297"/>
      <c r="P12" s="132"/>
      <c r="U12" s="132"/>
    </row>
    <row r="13" spans="1:22">
      <c r="A13" s="131" t="s">
        <v>283</v>
      </c>
      <c r="B13" s="277">
        <f>'4. Non Current Liab'!D14</f>
        <v>-173642.46516676762</v>
      </c>
      <c r="C13" s="681" t="s">
        <v>1355</v>
      </c>
      <c r="D13" s="104"/>
      <c r="E13" s="295"/>
      <c r="F13" s="800">
        <f>(B13-D13)</f>
        <v>-173642.46516676762</v>
      </c>
      <c r="G13" s="480"/>
      <c r="H13" s="480"/>
      <c r="I13" s="646"/>
      <c r="J13" s="104"/>
      <c r="K13" s="104"/>
      <c r="T13" s="132"/>
      <c r="U13" s="132"/>
      <c r="V13" s="132"/>
    </row>
    <row r="14" spans="1:22">
      <c r="A14" s="131" t="s">
        <v>13</v>
      </c>
      <c r="B14" s="277">
        <f>'4. Non Current Liab'!D15</f>
        <v>-9907483.8091238327</v>
      </c>
      <c r="C14" s="681" t="s">
        <v>1355</v>
      </c>
      <c r="D14" s="104"/>
      <c r="E14" s="295"/>
      <c r="F14" s="800">
        <f>(B14-D14)</f>
        <v>-9907483.8091238327</v>
      </c>
      <c r="G14" s="480"/>
      <c r="H14" s="480"/>
      <c r="I14" s="646"/>
      <c r="J14" s="104"/>
      <c r="K14" s="104"/>
      <c r="T14" s="132"/>
      <c r="U14" s="132"/>
      <c r="V14" s="132"/>
    </row>
    <row r="15" spans="1:22">
      <c r="A15" s="131" t="s">
        <v>14</v>
      </c>
      <c r="B15" s="277">
        <f>'4. Non Current Liab'!D16</f>
        <v>-26607905.501743041</v>
      </c>
      <c r="C15" s="681" t="s">
        <v>1355</v>
      </c>
      <c r="D15" s="104"/>
      <c r="E15" s="295"/>
      <c r="F15" s="800">
        <f>(B15-D15)</f>
        <v>-26607905.501743041</v>
      </c>
      <c r="G15" s="597"/>
      <c r="H15" s="597"/>
      <c r="I15" s="646"/>
      <c r="J15" s="104"/>
      <c r="K15" s="104"/>
    </row>
    <row r="16" spans="1:22">
      <c r="A16" s="131" t="s">
        <v>284</v>
      </c>
      <c r="B16" s="277"/>
      <c r="C16" s="681"/>
      <c r="D16" s="278"/>
      <c r="E16" s="592"/>
      <c r="F16" s="801">
        <f>D18</f>
        <v>0</v>
      </c>
      <c r="G16" s="480"/>
      <c r="H16" s="589"/>
      <c r="I16" s="646"/>
      <c r="J16" s="589"/>
      <c r="K16" s="589"/>
      <c r="M16" s="104"/>
      <c r="N16" s="298"/>
      <c r="S16" s="104"/>
      <c r="T16" s="104"/>
      <c r="U16" s="104"/>
      <c r="V16" s="123"/>
    </row>
    <row r="17" spans="1:22">
      <c r="A17" s="588" t="s">
        <v>1304</v>
      </c>
      <c r="B17" s="474"/>
      <c r="C17" s="682"/>
      <c r="D17" s="533"/>
      <c r="E17" s="592"/>
      <c r="F17" s="475"/>
      <c r="G17" s="589"/>
      <c r="H17" s="589"/>
      <c r="I17" s="603"/>
      <c r="J17" s="589"/>
      <c r="K17" s="589"/>
      <c r="M17" s="104"/>
      <c r="N17" s="298"/>
      <c r="S17" s="104"/>
      <c r="T17" s="104"/>
      <c r="U17" s="104"/>
      <c r="V17" s="123"/>
    </row>
    <row r="18" spans="1:22" ht="16.2" thickBot="1">
      <c r="A18" s="276"/>
      <c r="B18" s="472">
        <f>SUM(B9:B16)</f>
        <v>-48772846.774827003</v>
      </c>
      <c r="C18" s="683"/>
      <c r="D18" s="554">
        <f>SUM(D9:D17)</f>
        <v>0</v>
      </c>
      <c r="E18" s="277"/>
      <c r="F18" s="473">
        <f>SUM(F6:F17)</f>
        <v>-3.7252902984619141E-9</v>
      </c>
      <c r="G18" s="295" t="s">
        <v>785</v>
      </c>
      <c r="H18" s="563"/>
      <c r="L18" s="104"/>
      <c r="M18" s="104"/>
      <c r="N18" s="104"/>
      <c r="S18" s="104"/>
      <c r="T18" s="104"/>
      <c r="U18" s="104"/>
      <c r="V18" s="123"/>
    </row>
    <row r="19" spans="1:22" ht="16.2" thickTop="1">
      <c r="A19" s="276"/>
      <c r="B19" s="277"/>
      <c r="C19" s="681"/>
      <c r="D19" s="278"/>
      <c r="E19" s="278"/>
      <c r="F19" s="276"/>
      <c r="G19" s="276"/>
      <c r="H19" s="104"/>
      <c r="T19" s="104"/>
      <c r="U19" s="104"/>
      <c r="V19" s="123"/>
    </row>
    <row r="20" spans="1:22">
      <c r="A20" s="108" t="s">
        <v>1272</v>
      </c>
      <c r="B20" s="299"/>
      <c r="C20" s="684"/>
      <c r="D20" s="300"/>
      <c r="E20" s="106"/>
      <c r="F20" s="104"/>
      <c r="G20" s="104"/>
      <c r="H20" s="104"/>
      <c r="M20" s="104"/>
      <c r="N20" s="104"/>
      <c r="S20" s="104"/>
      <c r="T20" s="104"/>
      <c r="U20" s="104"/>
      <c r="V20" s="123"/>
    </row>
    <row r="21" spans="1:22">
      <c r="A21" s="105"/>
      <c r="B21" s="299"/>
      <c r="C21" s="684"/>
      <c r="D21" s="300"/>
      <c r="E21" s="106"/>
      <c r="F21" s="104"/>
      <c r="G21" s="104"/>
      <c r="H21" s="104"/>
      <c r="K21" s="311"/>
      <c r="M21" s="104"/>
      <c r="N21" s="104"/>
      <c r="P21" s="104"/>
      <c r="Q21" s="104"/>
      <c r="S21" s="104"/>
    </row>
    <row r="22" spans="1:22">
      <c r="A22" s="105"/>
      <c r="B22" s="299"/>
      <c r="C22" s="684"/>
      <c r="D22" s="300"/>
      <c r="E22" s="106"/>
      <c r="F22" s="72"/>
      <c r="G22" s="72"/>
      <c r="H22" s="72"/>
      <c r="M22" s="104"/>
      <c r="N22" s="104"/>
      <c r="P22" s="104"/>
      <c r="S22" s="104"/>
      <c r="T22" s="301"/>
    </row>
    <row r="23" spans="1:22">
      <c r="A23" s="105"/>
      <c r="B23" s="299"/>
      <c r="C23" s="684"/>
      <c r="D23" s="300"/>
      <c r="E23" s="106"/>
      <c r="F23" s="137"/>
      <c r="G23" s="137"/>
      <c r="H23" s="137"/>
      <c r="S23" s="140"/>
      <c r="T23" s="104"/>
      <c r="U23" s="72"/>
    </row>
    <row r="24" spans="1:22">
      <c r="A24" s="105"/>
      <c r="B24" s="299"/>
      <c r="C24" s="684"/>
      <c r="D24" s="300"/>
      <c r="E24" s="106"/>
      <c r="F24" s="104"/>
      <c r="G24" s="104"/>
      <c r="H24" s="104"/>
    </row>
    <row r="25" spans="1:22">
      <c r="A25" s="104"/>
      <c r="B25" s="299"/>
      <c r="C25" s="684"/>
      <c r="D25" s="104"/>
      <c r="E25" s="302"/>
      <c r="F25" s="104"/>
      <c r="G25" s="104"/>
      <c r="H25" s="104"/>
    </row>
    <row r="26" spans="1:22">
      <c r="B26" s="299"/>
      <c r="C26" s="684"/>
      <c r="D26" s="104"/>
      <c r="E26" s="104"/>
      <c r="F26" s="104"/>
      <c r="G26" s="104"/>
      <c r="H26" s="104"/>
    </row>
    <row r="27" spans="1:22">
      <c r="A27" s="104"/>
      <c r="B27" s="299"/>
      <c r="C27" s="684"/>
      <c r="D27" s="104"/>
      <c r="E27" s="104"/>
      <c r="F27" s="104"/>
      <c r="G27" s="104"/>
      <c r="H27" s="104"/>
    </row>
    <row r="28" spans="1:22">
      <c r="A28" s="134"/>
      <c r="D28" s="104"/>
      <c r="E28" s="123"/>
      <c r="F28" s="104"/>
      <c r="G28" s="104"/>
      <c r="H28" s="104"/>
    </row>
    <row r="29" spans="1:22">
      <c r="A29" s="104"/>
      <c r="D29" s="104"/>
      <c r="E29" s="303"/>
      <c r="F29" s="104"/>
      <c r="G29" s="104"/>
      <c r="H29" s="104"/>
      <c r="M29" s="104"/>
      <c r="N29" s="104"/>
      <c r="P29" s="104"/>
      <c r="S29" s="104"/>
    </row>
    <row r="30" spans="1:22">
      <c r="A30" s="134"/>
      <c r="D30" s="104"/>
      <c r="E30" s="123"/>
      <c r="F30" s="104"/>
      <c r="G30" s="104"/>
      <c r="H30" s="104"/>
      <c r="M30" s="104"/>
      <c r="N30" s="104"/>
      <c r="P30" s="104"/>
      <c r="S30" s="104"/>
    </row>
    <row r="31" spans="1:22">
      <c r="A31" s="134"/>
      <c r="D31" s="104"/>
      <c r="E31" s="123"/>
      <c r="F31" s="104"/>
      <c r="G31" s="104"/>
      <c r="H31" s="104"/>
      <c r="M31" s="104"/>
      <c r="N31" s="104"/>
      <c r="P31" s="104"/>
      <c r="Q31" s="104"/>
      <c r="S31" s="104"/>
    </row>
    <row r="32" spans="1:22">
      <c r="A32" s="134"/>
      <c r="D32" s="104"/>
      <c r="E32" s="123"/>
      <c r="F32" s="104"/>
      <c r="G32" s="104"/>
      <c r="H32" s="104"/>
      <c r="Q32" s="104"/>
      <c r="S32" s="104"/>
    </row>
    <row r="33" spans="1:9">
      <c r="A33" s="134"/>
      <c r="D33" s="104"/>
      <c r="E33" s="123"/>
      <c r="F33" s="104"/>
      <c r="G33" s="104"/>
      <c r="H33" s="104"/>
    </row>
    <row r="34" spans="1:9">
      <c r="A34" s="134"/>
      <c r="D34" s="104"/>
      <c r="E34" s="123"/>
      <c r="F34" s="104"/>
      <c r="G34" s="104"/>
      <c r="H34" s="104"/>
    </row>
    <row r="35" spans="1:9">
      <c r="A35" s="134"/>
      <c r="D35" s="104"/>
      <c r="E35" s="123"/>
      <c r="F35" s="104"/>
      <c r="G35" s="104"/>
      <c r="H35" s="104"/>
    </row>
    <row r="36" spans="1:9" ht="13.95" customHeight="1">
      <c r="A36" s="134"/>
      <c r="D36" s="104"/>
      <c r="E36" s="123"/>
      <c r="F36" s="104"/>
      <c r="G36" s="104"/>
      <c r="H36" s="104"/>
    </row>
    <row r="37" spans="1:9">
      <c r="A37" s="134"/>
      <c r="D37" s="104"/>
      <c r="E37" s="123"/>
      <c r="F37" s="104"/>
      <c r="G37" s="104"/>
      <c r="H37" s="104"/>
    </row>
    <row r="38" spans="1:9">
      <c r="A38" s="134"/>
      <c r="D38" s="104"/>
      <c r="E38" s="136"/>
      <c r="F38" s="104"/>
      <c r="G38" s="104"/>
      <c r="H38" s="104"/>
    </row>
    <row r="39" spans="1:9">
      <c r="A39" s="65"/>
      <c r="B39" s="72"/>
      <c r="D39" s="72"/>
      <c r="E39" s="74"/>
      <c r="F39" s="72"/>
      <c r="G39" s="72"/>
      <c r="H39" s="72"/>
    </row>
    <row r="40" spans="1:9">
      <c r="D40" s="107"/>
      <c r="E40" s="107"/>
      <c r="F40" s="304"/>
      <c r="G40" s="304"/>
      <c r="H40" s="304"/>
    </row>
    <row r="41" spans="1:9">
      <c r="A41" s="65"/>
      <c r="F41" s="79"/>
      <c r="G41" s="79"/>
      <c r="H41" s="79"/>
    </row>
    <row r="42" spans="1:9">
      <c r="A42" s="134"/>
      <c r="F42" s="305"/>
      <c r="G42" s="305"/>
      <c r="H42" s="306"/>
    </row>
    <row r="43" spans="1:9">
      <c r="A43" s="134"/>
      <c r="F43" s="120"/>
      <c r="G43" s="120"/>
      <c r="H43" s="120"/>
    </row>
    <row r="44" spans="1:9" s="7" customFormat="1">
      <c r="A44" s="279"/>
      <c r="B44" s="102"/>
      <c r="C44" s="636"/>
      <c r="F44" s="120"/>
      <c r="G44" s="120"/>
      <c r="H44" s="120"/>
      <c r="I44" s="102"/>
    </row>
    <row r="45" spans="1:9">
      <c r="A45" s="71"/>
      <c r="F45" s="120"/>
      <c r="G45" s="120"/>
      <c r="H45" s="120"/>
    </row>
    <row r="46" spans="1:9">
      <c r="D46" s="120"/>
      <c r="E46" s="120"/>
      <c r="F46" s="280"/>
      <c r="G46" s="280"/>
      <c r="H46" s="280"/>
    </row>
    <row r="47" spans="1:9">
      <c r="A47" s="65"/>
      <c r="D47" s="120"/>
      <c r="E47" s="120"/>
      <c r="F47" s="120"/>
      <c r="G47" s="120"/>
      <c r="H47" s="120"/>
    </row>
    <row r="48" spans="1:9">
      <c r="A48" s="134"/>
      <c r="D48" s="120"/>
      <c r="E48" s="120"/>
      <c r="F48" s="83"/>
      <c r="G48" s="83"/>
      <c r="H48" s="83"/>
    </row>
    <row r="49" spans="1:8">
      <c r="A49" s="134"/>
      <c r="D49" s="120"/>
      <c r="E49" s="120"/>
      <c r="F49" s="84"/>
      <c r="G49" s="84"/>
      <c r="H49" s="84"/>
    </row>
    <row r="50" spans="1:8">
      <c r="A50" s="134"/>
      <c r="D50" s="120"/>
      <c r="E50" s="120"/>
      <c r="F50" s="84"/>
      <c r="G50" s="84"/>
      <c r="H50" s="84"/>
    </row>
    <row r="51" spans="1:8">
      <c r="A51" s="134"/>
      <c r="D51" s="120"/>
      <c r="E51" s="120"/>
      <c r="F51" s="84"/>
      <c r="G51" s="84"/>
      <c r="H51" s="84"/>
    </row>
    <row r="52" spans="1:8">
      <c r="A52" s="134"/>
      <c r="D52" s="120"/>
      <c r="E52" s="120"/>
      <c r="F52" s="84"/>
      <c r="G52" s="84"/>
      <c r="H52" s="84"/>
    </row>
    <row r="53" spans="1:8">
      <c r="A53" s="139"/>
      <c r="D53" s="120"/>
      <c r="E53" s="120"/>
      <c r="F53" s="84"/>
      <c r="G53" s="84"/>
      <c r="H53" s="84"/>
    </row>
    <row r="54" spans="1:8">
      <c r="A54" s="65"/>
      <c r="B54" s="72"/>
      <c r="D54" s="88"/>
      <c r="E54" s="88"/>
      <c r="F54" s="72"/>
      <c r="G54" s="72"/>
      <c r="H54" s="72"/>
    </row>
    <row r="55" spans="1:8">
      <c r="A55" s="65"/>
      <c r="B55" s="72"/>
      <c r="D55" s="88"/>
      <c r="E55" s="88"/>
      <c r="F55" s="72"/>
      <c r="G55" s="72"/>
      <c r="H55" s="72"/>
    </row>
    <row r="56" spans="1:8">
      <c r="A56" s="65"/>
      <c r="B56" s="72"/>
      <c r="D56" s="88"/>
      <c r="E56" s="88"/>
      <c r="F56" s="72"/>
      <c r="G56" s="72"/>
      <c r="H56" s="72"/>
    </row>
    <row r="57" spans="1:8">
      <c r="D57" s="120"/>
      <c r="E57" s="120"/>
      <c r="F57" s="123"/>
      <c r="G57" s="123"/>
      <c r="H57" s="123"/>
    </row>
    <row r="58" spans="1:8">
      <c r="D58" s="120"/>
      <c r="E58" s="120"/>
      <c r="F58" s="123"/>
      <c r="G58" s="123"/>
      <c r="H58" s="123"/>
    </row>
    <row r="59" spans="1:8">
      <c r="A59" s="281"/>
      <c r="B59" s="72"/>
      <c r="D59" s="88"/>
      <c r="E59" s="88"/>
      <c r="F59" s="79"/>
      <c r="G59" s="79"/>
      <c r="H59" s="79"/>
    </row>
    <row r="60" spans="1:8">
      <c r="D60" s="120"/>
      <c r="E60" s="120"/>
      <c r="F60" s="305"/>
      <c r="G60" s="305"/>
      <c r="H60" s="305"/>
    </row>
    <row r="61" spans="1:8">
      <c r="A61" s="65"/>
      <c r="B61" s="72"/>
      <c r="D61" s="88"/>
      <c r="E61" s="88"/>
      <c r="F61" s="282"/>
      <c r="G61" s="282"/>
      <c r="H61" s="282"/>
    </row>
    <row r="62" spans="1:8" ht="13.95" customHeight="1">
      <c r="D62" s="120"/>
      <c r="E62" s="88"/>
      <c r="F62" s="305"/>
      <c r="G62" s="305"/>
      <c r="H62" s="305"/>
    </row>
    <row r="63" spans="1:8">
      <c r="A63" s="283"/>
      <c r="B63" s="284"/>
      <c r="C63" s="688"/>
      <c r="D63" s="103"/>
      <c r="E63" s="102"/>
      <c r="F63" s="102"/>
      <c r="G63" s="102"/>
      <c r="H63" s="102"/>
    </row>
    <row r="64" spans="1:8">
      <c r="A64" s="112"/>
      <c r="B64" s="285"/>
      <c r="C64" s="688"/>
      <c r="D64" s="108"/>
      <c r="E64" s="104"/>
      <c r="F64" s="102"/>
      <c r="G64" s="102"/>
      <c r="H64" s="102"/>
    </row>
    <row r="65" spans="1:12">
      <c r="A65" s="307"/>
      <c r="D65" s="308"/>
      <c r="E65" s="309"/>
      <c r="F65" s="286"/>
      <c r="G65" s="286"/>
      <c r="H65" s="286"/>
    </row>
    <row r="66" spans="1:12">
      <c r="B66" s="72"/>
      <c r="D66" s="310"/>
      <c r="E66" s="72"/>
      <c r="F66" s="7"/>
      <c r="G66" s="7"/>
      <c r="H66" s="7"/>
    </row>
    <row r="67" spans="1:12">
      <c r="A67" s="103"/>
      <c r="B67" s="102"/>
      <c r="D67" s="7"/>
      <c r="E67" s="7"/>
      <c r="F67" s="7"/>
      <c r="G67" s="7"/>
      <c r="H67" s="7"/>
    </row>
    <row r="68" spans="1:12">
      <c r="A68" s="103"/>
      <c r="B68" s="102"/>
      <c r="D68" s="7"/>
      <c r="E68" s="7"/>
      <c r="F68" s="7"/>
      <c r="G68" s="7"/>
      <c r="H68" s="7"/>
    </row>
    <row r="70" spans="1:12">
      <c r="A70" s="105"/>
      <c r="B70" s="105"/>
      <c r="C70" s="679"/>
      <c r="J70" s="132"/>
      <c r="K70" s="132"/>
    </row>
    <row r="71" spans="1:12">
      <c r="A71" s="105"/>
      <c r="B71" s="105"/>
      <c r="C71" s="679"/>
      <c r="D71" s="297"/>
      <c r="J71" s="132"/>
      <c r="K71" s="132"/>
    </row>
    <row r="72" spans="1:12">
      <c r="A72" s="105"/>
      <c r="B72" s="105"/>
      <c r="C72" s="679"/>
      <c r="J72" s="132"/>
      <c r="K72" s="132"/>
      <c r="L72" s="132"/>
    </row>
    <row r="73" spans="1:12">
      <c r="J73" s="132"/>
      <c r="K73" s="132"/>
      <c r="L73" s="132"/>
    </row>
    <row r="75" spans="1:12">
      <c r="E75" s="104"/>
      <c r="F75" s="298"/>
      <c r="G75" s="298"/>
      <c r="H75" s="298"/>
      <c r="J75" s="104"/>
      <c r="K75" s="104"/>
      <c r="L75" s="123"/>
    </row>
    <row r="76" spans="1:12">
      <c r="A76" s="105"/>
      <c r="B76" s="105"/>
      <c r="C76" s="679"/>
      <c r="D76" s="104"/>
      <c r="E76" s="104"/>
      <c r="F76" s="104"/>
      <c r="G76" s="104"/>
      <c r="H76" s="104"/>
      <c r="J76" s="104"/>
      <c r="K76" s="104"/>
      <c r="L76" s="123"/>
    </row>
    <row r="77" spans="1:12">
      <c r="A77" s="105"/>
      <c r="B77" s="105"/>
      <c r="C77" s="679"/>
      <c r="J77" s="104"/>
      <c r="K77" s="104"/>
      <c r="L77" s="123"/>
    </row>
    <row r="78" spans="1:12">
      <c r="A78" s="105"/>
      <c r="B78" s="105"/>
      <c r="C78" s="679"/>
      <c r="E78" s="104"/>
      <c r="F78" s="104"/>
      <c r="G78" s="104"/>
      <c r="H78" s="104"/>
      <c r="J78" s="104"/>
      <c r="K78" s="104"/>
      <c r="L78" s="123"/>
    </row>
    <row r="79" spans="1:12">
      <c r="A79" s="105"/>
      <c r="B79" s="311"/>
      <c r="C79" s="685"/>
      <c r="E79" s="104"/>
      <c r="F79" s="104"/>
      <c r="G79" s="104"/>
      <c r="H79" s="104"/>
      <c r="J79" s="104"/>
      <c r="K79" s="104"/>
    </row>
    <row r="80" spans="1:12">
      <c r="A80" s="105"/>
      <c r="B80" s="105"/>
      <c r="C80" s="679"/>
      <c r="E80" s="104"/>
      <c r="F80" s="104"/>
      <c r="G80" s="104"/>
      <c r="H80" s="104"/>
      <c r="J80" s="104"/>
    </row>
    <row r="81" spans="1:11">
      <c r="A81" s="105"/>
      <c r="B81" s="105"/>
      <c r="C81" s="679"/>
      <c r="E81" s="104"/>
      <c r="F81" s="104"/>
      <c r="G81" s="104"/>
      <c r="H81" s="104"/>
      <c r="J81" s="104"/>
    </row>
    <row r="82" spans="1:11">
      <c r="A82" s="105"/>
      <c r="B82" s="105"/>
      <c r="C82" s="679"/>
      <c r="E82" s="104"/>
      <c r="F82" s="104"/>
      <c r="G82" s="104"/>
      <c r="H82" s="104"/>
      <c r="J82" s="104"/>
    </row>
    <row r="83" spans="1:11">
      <c r="A83" s="105"/>
      <c r="B83" s="105"/>
      <c r="C83" s="679"/>
      <c r="E83" s="104"/>
      <c r="F83" s="104"/>
      <c r="G83" s="104"/>
      <c r="H83" s="104"/>
      <c r="J83" s="104"/>
      <c r="K83" s="104"/>
    </row>
    <row r="84" spans="1:11">
      <c r="A84" s="105"/>
      <c r="B84" s="105"/>
      <c r="C84" s="679"/>
      <c r="K84" s="104"/>
    </row>
    <row r="85" spans="1:11">
      <c r="A85" s="105"/>
      <c r="B85" s="105"/>
      <c r="C85" s="679"/>
      <c r="E85" s="105">
        <v>1844000</v>
      </c>
    </row>
  </sheetData>
  <phoneticPr fontId="16" type="noConversion"/>
  <pageMargins left="0.7" right="0.7" top="0.75" bottom="0.75" header="0.3" footer="0.3"/>
  <pageSetup fitToHeight="0" orientation="landscape" cellComments="asDisplayed" r:id="rId1"/>
  <headerFooter alignWithMargins="0">
    <oddFooter>&amp;L&amp;F, &amp;A&amp;R&amp;D</oddFooter>
  </headerFooter>
  <rowBreaks count="1" manualBreakCount="1">
    <brk id="55" max="4"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9"/>
  <sheetViews>
    <sheetView workbookViewId="0">
      <selection activeCell="I6" sqref="I6"/>
    </sheetView>
  </sheetViews>
  <sheetFormatPr defaultColWidth="8.90625" defaultRowHeight="15.6"/>
  <cols>
    <col min="1" max="1" width="1.36328125" style="366" bestFit="1" customWidth="1"/>
    <col min="2" max="2" width="26.08984375" style="366" customWidth="1"/>
    <col min="3" max="3" width="11.08984375" style="366" bestFit="1" customWidth="1"/>
    <col min="4" max="4" width="1.6328125" style="366" bestFit="1" customWidth="1"/>
    <col min="5" max="5" width="10.81640625" style="366" customWidth="1"/>
    <col min="6" max="6" width="1.6328125" style="366" customWidth="1"/>
    <col min="7" max="7" width="14.453125" style="366" customWidth="1"/>
    <col min="8" max="8" width="1.1796875" style="366" customWidth="1"/>
    <col min="9" max="9" width="12.54296875" style="366" customWidth="1"/>
    <col min="10" max="10" width="1.6328125" style="366" customWidth="1"/>
    <col min="11" max="11" width="11.453125" style="366" customWidth="1"/>
    <col min="12" max="12" width="1.81640625" style="366" customWidth="1"/>
    <col min="13" max="13" width="11.81640625" style="366" customWidth="1"/>
    <col min="14" max="16384" width="8.90625" style="366"/>
  </cols>
  <sheetData>
    <row r="1" spans="2:15">
      <c r="B1" s="366" t="s">
        <v>457</v>
      </c>
      <c r="I1" s="691" t="s">
        <v>1404</v>
      </c>
    </row>
    <row r="2" spans="2:15">
      <c r="B2" s="366" t="s">
        <v>817</v>
      </c>
    </row>
    <row r="4" spans="2:15" s="367" customFormat="1">
      <c r="C4" s="367" t="s">
        <v>188</v>
      </c>
      <c r="I4" s="367" t="s">
        <v>188</v>
      </c>
      <c r="K4" s="367" t="s">
        <v>800</v>
      </c>
      <c r="M4" s="367" t="s">
        <v>448</v>
      </c>
    </row>
    <row r="5" spans="2:15" s="368" customFormat="1">
      <c r="C5" s="369">
        <v>45108</v>
      </c>
      <c r="E5" s="583" t="s">
        <v>366</v>
      </c>
      <c r="G5" s="583" t="s">
        <v>367</v>
      </c>
      <c r="I5" s="369">
        <v>45473</v>
      </c>
      <c r="K5" s="369" t="s">
        <v>801</v>
      </c>
      <c r="M5" s="369" t="s">
        <v>802</v>
      </c>
      <c r="N5" s="690"/>
      <c r="O5" s="691"/>
    </row>
    <row r="6" spans="2:15" s="368" customFormat="1">
      <c r="B6" s="370" t="s">
        <v>456</v>
      </c>
      <c r="E6" s="367"/>
      <c r="G6" s="367"/>
    </row>
    <row r="7" spans="2:15">
      <c r="B7" s="366" t="s">
        <v>454</v>
      </c>
      <c r="C7" s="371"/>
      <c r="D7" s="371"/>
      <c r="E7" s="371"/>
      <c r="F7" s="371"/>
      <c r="G7" s="371"/>
      <c r="H7" s="371"/>
      <c r="I7" s="371"/>
      <c r="J7" s="371"/>
      <c r="K7" s="371"/>
      <c r="L7" s="371"/>
      <c r="M7" s="371"/>
    </row>
    <row r="8" spans="2:15">
      <c r="B8" s="366" t="s">
        <v>453</v>
      </c>
      <c r="C8" s="372"/>
      <c r="D8" s="372"/>
      <c r="E8" s="372"/>
      <c r="F8" s="372"/>
      <c r="G8" s="372"/>
      <c r="H8" s="372"/>
      <c r="I8" s="372"/>
      <c r="J8" s="372"/>
      <c r="K8" s="372"/>
      <c r="L8" s="372"/>
      <c r="M8" s="372"/>
    </row>
    <row r="9" spans="2:15">
      <c r="C9" s="373"/>
      <c r="D9" s="373"/>
      <c r="E9" s="373"/>
      <c r="F9" s="373"/>
      <c r="G9" s="373"/>
      <c r="H9" s="373"/>
      <c r="I9" s="373"/>
      <c r="J9" s="373"/>
      <c r="K9" s="373"/>
      <c r="L9" s="373"/>
      <c r="M9" s="373"/>
    </row>
    <row r="10" spans="2:15">
      <c r="B10" s="374" t="s">
        <v>455</v>
      </c>
      <c r="C10" s="373"/>
      <c r="D10" s="373"/>
      <c r="E10" s="373"/>
      <c r="F10" s="373"/>
      <c r="G10" s="373"/>
      <c r="H10" s="373"/>
      <c r="I10" s="373"/>
      <c r="J10" s="373"/>
      <c r="K10" s="373"/>
      <c r="L10" s="373"/>
      <c r="M10" s="373"/>
    </row>
    <row r="11" spans="2:15">
      <c r="B11" s="366" t="s">
        <v>454</v>
      </c>
      <c r="C11" s="371"/>
      <c r="D11" s="371"/>
      <c r="E11" s="371"/>
      <c r="F11" s="371"/>
      <c r="G11" s="371"/>
      <c r="H11" s="371"/>
      <c r="I11" s="371"/>
      <c r="J11" s="371"/>
      <c r="K11" s="371"/>
      <c r="L11" s="371"/>
      <c r="M11" s="371"/>
    </row>
    <row r="12" spans="2:15">
      <c r="B12" s="366" t="s">
        <v>453</v>
      </c>
      <c r="C12" s="375"/>
      <c r="D12" s="372"/>
      <c r="E12" s="375"/>
      <c r="F12" s="372"/>
      <c r="G12" s="375"/>
      <c r="H12" s="372"/>
      <c r="I12" s="375"/>
      <c r="J12" s="372"/>
      <c r="K12" s="375"/>
      <c r="L12" s="372"/>
      <c r="M12" s="375"/>
    </row>
    <row r="13" spans="2:15">
      <c r="C13" s="373"/>
      <c r="D13" s="373"/>
      <c r="E13" s="373"/>
      <c r="F13" s="373"/>
      <c r="G13" s="373"/>
      <c r="H13" s="373"/>
      <c r="I13" s="373"/>
      <c r="J13" s="373"/>
      <c r="K13" s="373"/>
      <c r="L13" s="373"/>
      <c r="M13" s="373"/>
    </row>
    <row r="14" spans="2:15">
      <c r="B14" s="376" t="s">
        <v>206</v>
      </c>
      <c r="C14" s="372">
        <f>SUM(C7:C12)</f>
        <v>0</v>
      </c>
      <c r="D14" s="372"/>
      <c r="E14" s="372">
        <f>SUM(E7:E12)</f>
        <v>0</v>
      </c>
      <c r="F14" s="372"/>
      <c r="G14" s="372">
        <f>SUM(G7:G12)</f>
        <v>0</v>
      </c>
      <c r="H14" s="372"/>
      <c r="I14" s="372">
        <f>SUM(I7:I12)</f>
        <v>0</v>
      </c>
      <c r="J14" s="372"/>
      <c r="K14" s="372">
        <f>SUM(K7:K12)</f>
        <v>0</v>
      </c>
      <c r="L14" s="372"/>
      <c r="M14" s="372">
        <f>SUM(M7:M12)</f>
        <v>0</v>
      </c>
    </row>
    <row r="16" spans="2:15">
      <c r="B16" s="366" t="s">
        <v>829</v>
      </c>
      <c r="C16" s="377">
        <f>C7+C11</f>
        <v>0</v>
      </c>
      <c r="D16" s="378"/>
      <c r="E16" s="377">
        <f>E7+E11</f>
        <v>0</v>
      </c>
      <c r="F16" s="378" t="s">
        <v>444</v>
      </c>
      <c r="G16" s="377">
        <f>G7+G11</f>
        <v>0</v>
      </c>
      <c r="H16" s="378" t="s">
        <v>444</v>
      </c>
      <c r="I16" s="377">
        <f>I7+I11</f>
        <v>0</v>
      </c>
      <c r="J16" s="378"/>
      <c r="K16" s="377">
        <f>K7+K11</f>
        <v>0</v>
      </c>
      <c r="L16" s="378"/>
      <c r="M16" s="377">
        <f>M7+M11</f>
        <v>0</v>
      </c>
    </row>
    <row r="17" spans="1:13">
      <c r="C17" s="379"/>
      <c r="E17" s="379"/>
      <c r="G17" s="379"/>
      <c r="K17" s="379"/>
      <c r="M17" s="379"/>
    </row>
    <row r="18" spans="1:13">
      <c r="B18" s="366" t="s">
        <v>786</v>
      </c>
    </row>
    <row r="19" spans="1:13">
      <c r="I19" s="487" t="s">
        <v>1357</v>
      </c>
    </row>
    <row r="20" spans="1:13">
      <c r="C20" s="379"/>
      <c r="E20" s="379"/>
      <c r="G20" s="379"/>
      <c r="I20" s="379"/>
      <c r="K20" s="379"/>
      <c r="M20" s="379"/>
    </row>
    <row r="21" spans="1:13">
      <c r="B21" s="366" t="s">
        <v>790</v>
      </c>
      <c r="D21" s="693" t="s">
        <v>1348</v>
      </c>
      <c r="E21" s="596"/>
      <c r="F21" s="698"/>
      <c r="G21" s="582"/>
      <c r="I21" s="698" t="s">
        <v>1360</v>
      </c>
    </row>
    <row r="22" spans="1:13" ht="16.2" thickBot="1">
      <c r="B22" s="366" t="s">
        <v>469</v>
      </c>
      <c r="E22" s="579">
        <f>E21+E16</f>
        <v>0</v>
      </c>
      <c r="G22" s="380">
        <f>G21+G16</f>
        <v>0</v>
      </c>
    </row>
    <row r="23" spans="1:13" ht="16.2" thickTop="1"/>
    <row r="24" spans="1:13" ht="16.2">
      <c r="A24" s="626"/>
    </row>
    <row r="27" spans="1:13">
      <c r="C27" s="379"/>
      <c r="E27" s="379"/>
      <c r="G27" s="379"/>
      <c r="I27" s="379"/>
      <c r="K27" s="379"/>
      <c r="M27" s="379"/>
    </row>
    <row r="29" spans="1:13">
      <c r="B29" s="625"/>
    </row>
  </sheetData>
  <pageMargins left="0.7" right="0.7" top="0.75" bottom="0.75" header="0.3" footer="0.3"/>
  <pageSetup scale="8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T143"/>
  <sheetViews>
    <sheetView zoomScale="70" zoomScaleNormal="70" workbookViewId="0">
      <selection activeCell="E138" sqref="E138"/>
    </sheetView>
  </sheetViews>
  <sheetFormatPr defaultColWidth="8.90625" defaultRowHeight="18"/>
  <cols>
    <col min="1" max="1" width="2" style="316" customWidth="1"/>
    <col min="2" max="2" width="41.6328125" style="316" customWidth="1"/>
    <col min="3" max="3" width="16.1796875" style="317" customWidth="1"/>
    <col min="4" max="4" width="9.08984375" style="316" customWidth="1"/>
    <col min="5" max="5" width="16.1796875" style="316" customWidth="1"/>
    <col min="6" max="6" width="2.81640625" style="316" customWidth="1"/>
    <col min="7" max="7" width="17.36328125" style="316" customWidth="1"/>
    <col min="8" max="8" width="2" style="316" customWidth="1"/>
    <col min="9" max="9" width="20.36328125" style="316" customWidth="1"/>
    <col min="10" max="10" width="1.54296875" style="316" customWidth="1"/>
    <col min="11" max="11" width="20.90625" style="318" bestFit="1" customWidth="1"/>
    <col min="12" max="12" width="3.453125" style="318" customWidth="1"/>
    <col min="13" max="13" width="21.90625" style="319" customWidth="1"/>
    <col min="14" max="14" width="3.54296875" style="318" customWidth="1"/>
    <col min="15" max="15" width="18.54296875" style="316" customWidth="1"/>
    <col min="16" max="16" width="17.6328125" style="316" customWidth="1"/>
    <col min="17" max="17" width="18.453125" style="316" customWidth="1"/>
    <col min="18" max="16384" width="8.90625" style="316"/>
  </cols>
  <sheetData>
    <row r="1" spans="1:15" ht="24" customHeight="1">
      <c r="A1" s="822" t="s">
        <v>823</v>
      </c>
      <c r="B1" s="822"/>
      <c r="C1" s="822"/>
      <c r="D1" s="822"/>
      <c r="E1" s="822"/>
      <c r="F1" s="822"/>
      <c r="G1" s="822"/>
      <c r="H1" s="822"/>
      <c r="I1" s="822"/>
      <c r="J1" s="822"/>
      <c r="K1" s="822"/>
      <c r="L1" s="822"/>
      <c r="M1" s="822"/>
      <c r="N1" s="822"/>
    </row>
    <row r="3" spans="1:15">
      <c r="B3" s="802" t="s">
        <v>1476</v>
      </c>
      <c r="C3" s="351" t="s">
        <v>189</v>
      </c>
      <c r="K3" s="316"/>
    </row>
    <row r="4" spans="1:15">
      <c r="I4" s="319" t="s">
        <v>376</v>
      </c>
      <c r="K4" s="319" t="s">
        <v>377</v>
      </c>
      <c r="M4" s="318" t="s">
        <v>368</v>
      </c>
    </row>
    <row r="5" spans="1:15" s="320" customFormat="1">
      <c r="C5" s="321"/>
      <c r="I5" s="322" t="s">
        <v>373</v>
      </c>
      <c r="K5" s="322" t="s">
        <v>374</v>
      </c>
      <c r="M5" s="323" t="s">
        <v>1423</v>
      </c>
      <c r="N5" s="323"/>
    </row>
    <row r="6" spans="1:15" s="324" customFormat="1">
      <c r="B6" s="320" t="s">
        <v>380</v>
      </c>
      <c r="C6" s="325" t="s">
        <v>394</v>
      </c>
      <c r="D6" s="326" t="s">
        <v>388</v>
      </c>
      <c r="I6" s="327"/>
      <c r="K6" s="327"/>
      <c r="M6" s="328"/>
      <c r="N6" s="328"/>
    </row>
    <row r="7" spans="1:15">
      <c r="B7" s="316" t="s">
        <v>372</v>
      </c>
      <c r="C7" s="317" t="s">
        <v>593</v>
      </c>
      <c r="D7" s="791" t="s">
        <v>12</v>
      </c>
      <c r="E7" s="316" t="s">
        <v>590</v>
      </c>
      <c r="I7" s="319">
        <f>'1. Summary 2324'!D77</f>
        <v>0</v>
      </c>
      <c r="K7" s="319">
        <f>'1. Summary 2324'!F77</f>
        <v>28118000</v>
      </c>
      <c r="M7" s="329">
        <f t="shared" ref="M7:M13" si="0">K7+I7</f>
        <v>28118000</v>
      </c>
      <c r="N7" s="329"/>
      <c r="O7" s="316" t="s">
        <v>788</v>
      </c>
    </row>
    <row r="8" spans="1:15">
      <c r="B8" s="316" t="s">
        <v>1279</v>
      </c>
      <c r="C8" s="317" t="s">
        <v>594</v>
      </c>
      <c r="D8" s="317" t="s">
        <v>248</v>
      </c>
      <c r="E8" s="316" t="s">
        <v>590</v>
      </c>
      <c r="I8" s="319">
        <f>'1. Summary 2324'!D78</f>
        <v>0</v>
      </c>
      <c r="K8" s="319">
        <f>'1. Summary 2324'!F78</f>
        <v>136487</v>
      </c>
      <c r="M8" s="329">
        <f t="shared" si="0"/>
        <v>136487</v>
      </c>
      <c r="N8" s="329"/>
      <c r="O8" s="316" t="s">
        <v>788</v>
      </c>
    </row>
    <row r="9" spans="1:15">
      <c r="B9" s="316" t="s">
        <v>387</v>
      </c>
      <c r="C9" s="317" t="s">
        <v>171</v>
      </c>
      <c r="D9" s="317" t="s">
        <v>102</v>
      </c>
      <c r="E9" s="316" t="s">
        <v>383</v>
      </c>
      <c r="I9" s="319">
        <f>'1. Summary 2324'!D79</f>
        <v>0</v>
      </c>
      <c r="K9" s="319">
        <f>'1. Summary 2324'!F79</f>
        <v>0</v>
      </c>
      <c r="M9" s="329">
        <f t="shared" si="0"/>
        <v>0</v>
      </c>
      <c r="N9" s="329"/>
      <c r="O9" s="316" t="s">
        <v>788</v>
      </c>
    </row>
    <row r="10" spans="1:15">
      <c r="B10" s="316" t="s">
        <v>375</v>
      </c>
      <c r="C10" s="317" t="s">
        <v>398</v>
      </c>
      <c r="D10" s="791" t="s">
        <v>56</v>
      </c>
      <c r="E10" s="316" t="s">
        <v>383</v>
      </c>
      <c r="I10" s="319">
        <f>'1. Summary 2324'!D80</f>
        <v>0</v>
      </c>
      <c r="K10" s="319">
        <f>'1. Summary 2324'!F80</f>
        <v>290000</v>
      </c>
      <c r="M10" s="329">
        <f t="shared" si="0"/>
        <v>290000</v>
      </c>
      <c r="N10" s="329"/>
      <c r="O10" s="316" t="s">
        <v>788</v>
      </c>
    </row>
    <row r="11" spans="1:15">
      <c r="B11" s="316" t="s">
        <v>638</v>
      </c>
      <c r="C11" s="317" t="s">
        <v>126</v>
      </c>
      <c r="D11" s="791" t="s">
        <v>629</v>
      </c>
      <c r="E11" s="316" t="s">
        <v>590</v>
      </c>
      <c r="I11" s="319">
        <f>'1. Summary 2324'!D81</f>
        <v>0</v>
      </c>
      <c r="K11" s="319">
        <f>'1. Summary 2324'!F81</f>
        <v>1210000</v>
      </c>
      <c r="M11" s="329">
        <f t="shared" si="0"/>
        <v>1210000</v>
      </c>
      <c r="N11" s="329"/>
      <c r="O11" s="316" t="s">
        <v>788</v>
      </c>
    </row>
    <row r="12" spans="1:15">
      <c r="B12" s="316" t="s">
        <v>1280</v>
      </c>
      <c r="C12" s="317" t="s">
        <v>593</v>
      </c>
      <c r="D12" s="791" t="s">
        <v>1273</v>
      </c>
      <c r="E12" s="316" t="s">
        <v>590</v>
      </c>
      <c r="I12" s="319">
        <f>'1. Summary 2324'!D82</f>
        <v>0</v>
      </c>
      <c r="K12" s="319">
        <f>'1. Summary 2324'!F82</f>
        <v>3000</v>
      </c>
      <c r="M12" s="329">
        <f t="shared" si="0"/>
        <v>3000</v>
      </c>
      <c r="N12" s="329"/>
      <c r="O12" s="316" t="s">
        <v>788</v>
      </c>
    </row>
    <row r="13" spans="1:15">
      <c r="B13" s="316" t="s">
        <v>1281</v>
      </c>
      <c r="C13" s="317" t="s">
        <v>593</v>
      </c>
      <c r="D13" s="317" t="s">
        <v>854</v>
      </c>
      <c r="E13" s="316" t="s">
        <v>590</v>
      </c>
      <c r="I13" s="319">
        <f>'1. Summary 2324'!D83</f>
        <v>0</v>
      </c>
      <c r="K13" s="319">
        <f>'1. Summary 2324'!F83</f>
        <v>7000</v>
      </c>
      <c r="M13" s="329">
        <f t="shared" si="0"/>
        <v>7000</v>
      </c>
      <c r="N13" s="329"/>
      <c r="O13" s="316" t="s">
        <v>788</v>
      </c>
    </row>
    <row r="14" spans="1:15">
      <c r="D14" s="317"/>
      <c r="I14" s="319"/>
      <c r="K14" s="319"/>
      <c r="M14" s="329"/>
      <c r="N14" s="329"/>
    </row>
    <row r="15" spans="1:15">
      <c r="B15" s="330" t="s">
        <v>382</v>
      </c>
      <c r="D15" s="317"/>
      <c r="I15" s="319"/>
      <c r="K15" s="319"/>
      <c r="M15" s="318"/>
      <c r="O15" s="477"/>
    </row>
    <row r="16" spans="1:15" ht="18.75" customHeight="1">
      <c r="B16" s="316" t="s">
        <v>400</v>
      </c>
      <c r="D16" s="317" t="s">
        <v>348</v>
      </c>
      <c r="E16" s="316" t="s">
        <v>385</v>
      </c>
      <c r="I16" s="793">
        <f>'1. Summary 2324'!F10</f>
        <v>6293359.8348270003</v>
      </c>
      <c r="K16" s="793">
        <f>'1. Summary 2324'!J73</f>
        <v>-48772846.834826998</v>
      </c>
      <c r="M16" s="332">
        <f>K16+I16</f>
        <v>-42479487</v>
      </c>
      <c r="N16" s="329"/>
      <c r="O16" s="316" t="s">
        <v>1405</v>
      </c>
    </row>
    <row r="17" spans="2:20">
      <c r="D17" s="317"/>
      <c r="I17" s="319"/>
      <c r="K17" s="319"/>
      <c r="M17" s="329"/>
      <c r="N17" s="329"/>
      <c r="O17" s="476" t="str">
        <f>IF((ROUND(M16,-3)/1000)=ROUND(M82,0),"Matches","Does not match")</f>
        <v>Matches</v>
      </c>
    </row>
    <row r="18" spans="2:20">
      <c r="D18" s="333"/>
      <c r="I18" s="319"/>
      <c r="K18" s="319"/>
      <c r="M18" s="329"/>
      <c r="N18" s="329"/>
      <c r="O18" s="319"/>
      <c r="Q18" s="319"/>
    </row>
    <row r="19" spans="2:20" ht="18.600000000000001" thickBot="1">
      <c r="C19" s="351" t="s">
        <v>379</v>
      </c>
      <c r="D19" s="333"/>
      <c r="I19" s="334">
        <f>SUM(I7:I18)</f>
        <v>6293359.8348270003</v>
      </c>
      <c r="K19" s="334">
        <f>SUM(K7:K18)</f>
        <v>-19008359.834826998</v>
      </c>
      <c r="M19" s="334">
        <f>SUM(M7:M18)</f>
        <v>-12715000</v>
      </c>
      <c r="N19" s="329"/>
      <c r="O19" s="477"/>
      <c r="Q19" s="358"/>
    </row>
    <row r="20" spans="2:20" ht="18.600000000000001" thickTop="1">
      <c r="D20" s="333"/>
      <c r="I20" s="319"/>
      <c r="K20" s="319"/>
      <c r="M20" s="329"/>
      <c r="N20" s="329"/>
      <c r="Q20" s="531"/>
    </row>
    <row r="21" spans="2:20">
      <c r="B21" s="330" t="s">
        <v>381</v>
      </c>
      <c r="D21" s="333"/>
      <c r="I21" s="319"/>
      <c r="K21" s="319"/>
      <c r="M21" s="318"/>
    </row>
    <row r="22" spans="2:20">
      <c r="B22" s="316" t="s">
        <v>1282</v>
      </c>
      <c r="C22" s="317" t="s">
        <v>141</v>
      </c>
      <c r="D22" s="791" t="s">
        <v>178</v>
      </c>
      <c r="E22" s="316" t="s">
        <v>383</v>
      </c>
      <c r="I22" s="319">
        <f>'1. Summary 2324'!D72</f>
        <v>0</v>
      </c>
      <c r="K22" s="319">
        <f>'1. Summary 2324'!F72</f>
        <v>8337000</v>
      </c>
      <c r="M22" s="329">
        <f>K22+I22</f>
        <v>8337000</v>
      </c>
      <c r="N22" s="329"/>
      <c r="O22" s="316" t="s">
        <v>1286</v>
      </c>
    </row>
    <row r="23" spans="2:20">
      <c r="B23" s="316" t="s">
        <v>1283</v>
      </c>
      <c r="C23" s="317" t="s">
        <v>466</v>
      </c>
      <c r="D23" s="791" t="s">
        <v>591</v>
      </c>
      <c r="E23" s="316" t="s">
        <v>590</v>
      </c>
      <c r="I23" s="319">
        <f>'1. Summary 2324'!D73</f>
        <v>0</v>
      </c>
      <c r="K23" s="319">
        <f>'1. Summary 2324'!F73</f>
        <v>4378000</v>
      </c>
      <c r="M23" s="329">
        <f>K23+I23</f>
        <v>4378000</v>
      </c>
      <c r="N23" s="329"/>
    </row>
    <row r="24" spans="2:20">
      <c r="C24" s="351" t="s">
        <v>384</v>
      </c>
      <c r="D24" s="333"/>
      <c r="I24" s="335">
        <f>SUM(I22:I23)</f>
        <v>0</v>
      </c>
      <c r="K24" s="335">
        <f>SUM(K22:K23)</f>
        <v>12715000</v>
      </c>
      <c r="M24" s="335">
        <f>SUM(M22:M23)</f>
        <v>12715000</v>
      </c>
      <c r="N24" s="329"/>
    </row>
    <row r="25" spans="2:20">
      <c r="D25" s="333"/>
      <c r="I25" s="319"/>
      <c r="K25" s="319"/>
      <c r="M25" s="318"/>
    </row>
    <row r="26" spans="2:20" ht="18" customHeight="1">
      <c r="B26" s="316" t="s">
        <v>824</v>
      </c>
      <c r="D26" s="333"/>
      <c r="I26" s="319">
        <f>I19+I24</f>
        <v>6293359.8348270003</v>
      </c>
      <c r="K26" s="319">
        <f>K19+K24</f>
        <v>-6293359.8348269984</v>
      </c>
      <c r="M26" s="336">
        <f>M19+M24</f>
        <v>0</v>
      </c>
      <c r="N26" s="319"/>
      <c r="O26" s="478" t="s">
        <v>825</v>
      </c>
      <c r="P26" s="478"/>
      <c r="Q26" s="478"/>
      <c r="R26" s="478"/>
      <c r="S26" s="478"/>
      <c r="T26" s="478"/>
    </row>
    <row r="27" spans="2:20">
      <c r="B27" s="627" t="s">
        <v>452</v>
      </c>
      <c r="D27" s="333"/>
      <c r="M27" s="336"/>
      <c r="O27" s="476" t="str">
        <f>IF((ROUND(M26,-3)/1000)=ROUND(M68,0),"Matches","Does not match")</f>
        <v>Matches</v>
      </c>
    </row>
    <row r="28" spans="2:20">
      <c r="B28" s="627"/>
      <c r="D28" s="317"/>
      <c r="M28" s="336"/>
    </row>
    <row r="29" spans="2:20" hidden="1">
      <c r="B29" s="628" t="s">
        <v>401</v>
      </c>
      <c r="D29" s="317" t="s">
        <v>18</v>
      </c>
      <c r="M29" s="336">
        <f>I29+K29</f>
        <v>0</v>
      </c>
    </row>
    <row r="30" spans="2:20" hidden="1">
      <c r="B30" s="628" t="s">
        <v>403</v>
      </c>
      <c r="D30" s="317" t="s">
        <v>424</v>
      </c>
      <c r="M30" s="336">
        <f>I30+K30</f>
        <v>0</v>
      </c>
    </row>
    <row r="31" spans="2:20" hidden="1">
      <c r="B31" s="628" t="s">
        <v>414</v>
      </c>
      <c r="D31" s="317" t="s">
        <v>378</v>
      </c>
      <c r="M31" s="336">
        <f>I31+K31</f>
        <v>0</v>
      </c>
      <c r="N31" s="329"/>
    </row>
    <row r="32" spans="2:20" hidden="1">
      <c r="B32" s="628" t="s">
        <v>404</v>
      </c>
      <c r="D32" s="317" t="s">
        <v>425</v>
      </c>
      <c r="M32" s="336">
        <f t="shared" ref="M32:M50" si="1">I32+K32</f>
        <v>0</v>
      </c>
    </row>
    <row r="33" spans="2:16" ht="36" hidden="1">
      <c r="B33" s="628" t="s">
        <v>405</v>
      </c>
      <c r="D33" s="317" t="s">
        <v>426</v>
      </c>
      <c r="M33" s="336">
        <f t="shared" si="1"/>
        <v>0</v>
      </c>
    </row>
    <row r="34" spans="2:16" ht="36" hidden="1">
      <c r="B34" s="628" t="s">
        <v>406</v>
      </c>
      <c r="D34" s="338" t="s">
        <v>402</v>
      </c>
      <c r="M34" s="336">
        <f t="shared" si="1"/>
        <v>0</v>
      </c>
    </row>
    <row r="35" spans="2:16" hidden="1">
      <c r="B35" s="628" t="s">
        <v>407</v>
      </c>
      <c r="D35" s="317" t="s">
        <v>427</v>
      </c>
      <c r="M35" s="336">
        <f>I35+K35</f>
        <v>0</v>
      </c>
    </row>
    <row r="36" spans="2:16" hidden="1">
      <c r="B36" s="628" t="s">
        <v>408</v>
      </c>
      <c r="D36" s="317" t="s">
        <v>428</v>
      </c>
      <c r="M36" s="336">
        <f t="shared" si="1"/>
        <v>0</v>
      </c>
    </row>
    <row r="37" spans="2:16" hidden="1">
      <c r="B37" s="628" t="s">
        <v>412</v>
      </c>
      <c r="D37" s="317">
        <v>9940</v>
      </c>
      <c r="M37" s="336">
        <f t="shared" si="1"/>
        <v>0</v>
      </c>
    </row>
    <row r="38" spans="2:16" hidden="1">
      <c r="B38" s="628" t="s">
        <v>413</v>
      </c>
      <c r="D38" s="317" t="s">
        <v>429</v>
      </c>
      <c r="M38" s="336">
        <f t="shared" si="1"/>
        <v>0</v>
      </c>
    </row>
    <row r="39" spans="2:16" ht="36" hidden="1">
      <c r="B39" s="628" t="s">
        <v>409</v>
      </c>
      <c r="D39" s="317" t="s">
        <v>430</v>
      </c>
      <c r="M39" s="336">
        <f t="shared" si="1"/>
        <v>0</v>
      </c>
    </row>
    <row r="40" spans="2:16" ht="36" hidden="1">
      <c r="B40" s="628" t="s">
        <v>410</v>
      </c>
      <c r="D40" s="317" t="s">
        <v>431</v>
      </c>
      <c r="M40" s="336">
        <f t="shared" si="1"/>
        <v>0</v>
      </c>
    </row>
    <row r="41" spans="2:16" ht="36" hidden="1">
      <c r="B41" s="628" t="s">
        <v>411</v>
      </c>
      <c r="D41" s="317" t="s">
        <v>432</v>
      </c>
      <c r="M41" s="336">
        <f t="shared" si="1"/>
        <v>0</v>
      </c>
    </row>
    <row r="42" spans="2:16" hidden="1">
      <c r="B42" s="628" t="s">
        <v>415</v>
      </c>
      <c r="D42" s="317" t="s">
        <v>433</v>
      </c>
      <c r="M42" s="336">
        <f t="shared" si="1"/>
        <v>0</v>
      </c>
    </row>
    <row r="43" spans="2:16" hidden="1">
      <c r="B43" s="628" t="s">
        <v>416</v>
      </c>
      <c r="D43" s="317" t="s">
        <v>434</v>
      </c>
      <c r="M43" s="336">
        <f t="shared" si="1"/>
        <v>0</v>
      </c>
    </row>
    <row r="44" spans="2:16" hidden="1">
      <c r="B44" s="628" t="s">
        <v>417</v>
      </c>
      <c r="D44" s="317" t="s">
        <v>435</v>
      </c>
      <c r="M44" s="336">
        <f t="shared" si="1"/>
        <v>0</v>
      </c>
    </row>
    <row r="45" spans="2:16" hidden="1">
      <c r="B45" s="628" t="s">
        <v>418</v>
      </c>
      <c r="D45" s="317">
        <v>3175</v>
      </c>
      <c r="M45" s="336">
        <f t="shared" si="1"/>
        <v>0</v>
      </c>
    </row>
    <row r="46" spans="2:16" hidden="1">
      <c r="B46" s="628" t="s">
        <v>419</v>
      </c>
      <c r="D46" s="317">
        <v>9935</v>
      </c>
      <c r="M46" s="336">
        <f t="shared" si="1"/>
        <v>0</v>
      </c>
    </row>
    <row r="47" spans="2:16" hidden="1">
      <c r="B47" s="628" t="s">
        <v>420</v>
      </c>
      <c r="D47" s="317">
        <v>9990</v>
      </c>
      <c r="M47" s="336">
        <f t="shared" si="1"/>
        <v>0</v>
      </c>
    </row>
    <row r="48" spans="2:16" ht="21" customHeight="1">
      <c r="B48" s="628" t="s">
        <v>798</v>
      </c>
      <c r="D48" s="317">
        <v>9970</v>
      </c>
      <c r="I48" s="790"/>
      <c r="K48" s="790"/>
      <c r="M48" s="336">
        <f t="shared" si="1"/>
        <v>0</v>
      </c>
      <c r="O48" s="737" t="s">
        <v>1406</v>
      </c>
      <c r="P48" s="359" t="s">
        <v>1471</v>
      </c>
    </row>
    <row r="49" spans="1:19" hidden="1">
      <c r="B49" s="628" t="s">
        <v>422</v>
      </c>
      <c r="D49" s="317">
        <v>9950</v>
      </c>
      <c r="M49" s="336">
        <f t="shared" si="1"/>
        <v>0</v>
      </c>
    </row>
    <row r="50" spans="1:19">
      <c r="B50" s="628" t="s">
        <v>423</v>
      </c>
      <c r="C50" s="333" t="s">
        <v>399</v>
      </c>
      <c r="D50" s="317" t="s">
        <v>436</v>
      </c>
      <c r="K50" s="790"/>
      <c r="M50" s="336">
        <f t="shared" si="1"/>
        <v>0</v>
      </c>
      <c r="O50" s="737" t="s">
        <v>1406</v>
      </c>
      <c r="P50" s="359" t="s">
        <v>1471</v>
      </c>
    </row>
    <row r="51" spans="1:19">
      <c r="B51" s="330"/>
      <c r="D51" s="333"/>
      <c r="M51" s="336"/>
    </row>
    <row r="52" spans="1:19">
      <c r="M52" s="336"/>
    </row>
    <row r="53" spans="1:19">
      <c r="C53" s="351" t="s">
        <v>637</v>
      </c>
      <c r="M53" s="336">
        <f>SUM(M28:M52)</f>
        <v>0</v>
      </c>
      <c r="N53" s="319"/>
      <c r="O53" s="340"/>
      <c r="P53" s="319"/>
      <c r="Q53" s="319"/>
    </row>
    <row r="54" spans="1:19">
      <c r="M54" s="336"/>
      <c r="P54" s="340"/>
      <c r="Q54" s="340"/>
    </row>
    <row r="55" spans="1:19" ht="18" customHeight="1" thickBot="1">
      <c r="B55" s="316" t="s">
        <v>389</v>
      </c>
      <c r="M55" s="381">
        <f>SUM(M26+M53)</f>
        <v>0</v>
      </c>
      <c r="N55" s="319"/>
      <c r="O55" s="738" t="s">
        <v>826</v>
      </c>
      <c r="P55" s="739"/>
      <c r="Q55" s="739"/>
      <c r="R55" s="324"/>
      <c r="S55" s="324"/>
    </row>
    <row r="56" spans="1:19" ht="18.600000000000001" thickTop="1">
      <c r="N56" s="319"/>
      <c r="O56" s="341"/>
      <c r="P56" s="341"/>
      <c r="Q56" s="340"/>
    </row>
    <row r="57" spans="1:19">
      <c r="O57" s="319"/>
      <c r="Q57" s="319"/>
    </row>
    <row r="58" spans="1:19" s="342" customFormat="1" ht="9" customHeight="1">
      <c r="C58" s="343"/>
      <c r="K58" s="344"/>
      <c r="L58" s="344"/>
      <c r="M58" s="345"/>
      <c r="N58" s="344"/>
      <c r="Q58" s="345"/>
    </row>
    <row r="59" spans="1:19" ht="11.25" customHeight="1"/>
    <row r="60" spans="1:19">
      <c r="A60" s="823" t="s">
        <v>397</v>
      </c>
      <c r="B60" s="823"/>
      <c r="C60" s="823"/>
      <c r="D60" s="823"/>
      <c r="E60" s="823"/>
      <c r="F60" s="823"/>
      <c r="G60" s="823"/>
      <c r="H60" s="823"/>
      <c r="I60" s="823"/>
      <c r="J60" s="823"/>
      <c r="K60" s="823"/>
      <c r="L60" s="823"/>
      <c r="M60" s="823"/>
      <c r="N60" s="823"/>
    </row>
    <row r="61" spans="1:19">
      <c r="G61" s="346"/>
      <c r="H61" s="346"/>
      <c r="I61" s="346"/>
      <c r="J61" s="346"/>
      <c r="K61" s="346"/>
      <c r="L61" s="346"/>
      <c r="M61" s="346"/>
      <c r="N61" s="346"/>
    </row>
    <row r="62" spans="1:19">
      <c r="B62" s="802" t="s">
        <v>1476</v>
      </c>
      <c r="C62" s="347" t="s">
        <v>386</v>
      </c>
      <c r="G62" s="346"/>
      <c r="H62" s="346"/>
      <c r="I62" s="346"/>
      <c r="J62" s="346"/>
      <c r="K62" s="346"/>
      <c r="L62" s="346"/>
      <c r="M62" s="346"/>
      <c r="N62" s="346"/>
    </row>
    <row r="63" spans="1:19">
      <c r="D63" s="346"/>
      <c r="E63" s="346"/>
      <c r="F63" s="346"/>
      <c r="G63" s="346"/>
      <c r="H63" s="346"/>
      <c r="I63" s="346"/>
      <c r="J63" s="346"/>
      <c r="K63" s="346"/>
      <c r="L63" s="346"/>
      <c r="M63" s="316"/>
      <c r="N63" s="316"/>
      <c r="P63" s="348"/>
    </row>
    <row r="64" spans="1:19">
      <c r="C64" s="349" t="s">
        <v>395</v>
      </c>
      <c r="J64" s="47"/>
      <c r="K64" s="47"/>
      <c r="L64" s="47"/>
      <c r="M64" s="48">
        <f>'1. Summary 2324'!J109</f>
        <v>0</v>
      </c>
      <c r="N64" s="48"/>
      <c r="O64" s="737" t="s">
        <v>1474</v>
      </c>
    </row>
    <row r="65" spans="2:15">
      <c r="C65" s="349" t="s">
        <v>827</v>
      </c>
      <c r="G65" s="47"/>
      <c r="H65" s="47"/>
      <c r="I65" s="47"/>
      <c r="J65" s="47"/>
      <c r="K65" s="47"/>
      <c r="L65" s="47"/>
      <c r="M65" s="48">
        <v>0</v>
      </c>
      <c r="N65" s="48"/>
    </row>
    <row r="66" spans="2:15">
      <c r="C66" s="349"/>
      <c r="G66" s="47"/>
      <c r="H66" s="47"/>
      <c r="I66" s="47"/>
      <c r="J66" s="47"/>
      <c r="K66" s="47"/>
      <c r="L66" s="47"/>
      <c r="M66" s="48"/>
      <c r="N66" s="48"/>
    </row>
    <row r="67" spans="2:15">
      <c r="D67" s="47" t="s">
        <v>396</v>
      </c>
      <c r="G67" s="47"/>
      <c r="H67" s="47"/>
      <c r="I67" s="47"/>
      <c r="J67" s="47"/>
      <c r="K67" s="47"/>
      <c r="L67" s="47"/>
      <c r="M67" s="48"/>
      <c r="N67" s="48"/>
    </row>
    <row r="68" spans="2:15" ht="18.600000000000001" thickBot="1">
      <c r="G68" s="47"/>
      <c r="H68" s="47"/>
      <c r="I68" s="47"/>
      <c r="K68" s="47"/>
      <c r="L68" s="47"/>
      <c r="M68" s="350">
        <f>SUM(M64:M67)</f>
        <v>0</v>
      </c>
      <c r="N68" s="48"/>
      <c r="O68" s="356"/>
    </row>
    <row r="69" spans="2:15" ht="18.600000000000001" thickTop="1">
      <c r="G69" s="47"/>
      <c r="H69" s="47"/>
      <c r="I69" s="47"/>
      <c r="J69" s="47"/>
      <c r="K69" s="48"/>
      <c r="L69" s="48"/>
      <c r="M69" s="48"/>
      <c r="N69" s="48"/>
      <c r="O69" s="346"/>
    </row>
    <row r="70" spans="2:15">
      <c r="B70" s="802" t="s">
        <v>1476</v>
      </c>
      <c r="C70" s="351" t="s">
        <v>451</v>
      </c>
      <c r="E70" s="352"/>
      <c r="F70" s="352"/>
      <c r="G70" s="352"/>
      <c r="H70" s="352"/>
      <c r="I70" s="352"/>
      <c r="J70" s="353"/>
      <c r="K70" s="48"/>
      <c r="L70" s="48"/>
      <c r="M70" s="48"/>
      <c r="N70" s="48"/>
      <c r="O70" s="354"/>
    </row>
    <row r="71" spans="2:15">
      <c r="C71" s="355" t="str">
        <f t="shared" ref="C71:C77" si="2">B7</f>
        <v>Service Revolving Fund</v>
      </c>
      <c r="G71" s="47"/>
      <c r="H71" s="47"/>
      <c r="I71" s="47"/>
      <c r="J71" s="47"/>
      <c r="K71" s="47"/>
      <c r="L71" s="47"/>
      <c r="M71" s="48">
        <f t="shared" ref="M71:M77" si="3">-M7/1000</f>
        <v>-28118</v>
      </c>
      <c r="N71" s="48"/>
    </row>
    <row r="72" spans="2:15">
      <c r="C72" s="355" t="str">
        <f t="shared" si="2"/>
        <v>Technology Services Revolving Fund</v>
      </c>
      <c r="M72" s="48">
        <f t="shared" si="3"/>
        <v>-136.48699999999999</v>
      </c>
      <c r="N72" s="48"/>
    </row>
    <row r="73" spans="2:15">
      <c r="C73" s="355" t="str">
        <f t="shared" si="2"/>
        <v>Prison Industries Revolving Fund</v>
      </c>
      <c r="M73" s="48">
        <f t="shared" si="3"/>
        <v>0</v>
      </c>
      <c r="N73" s="48"/>
    </row>
    <row r="74" spans="2:15">
      <c r="C74" s="355" t="str">
        <f t="shared" si="2"/>
        <v>Architecture Revolving Fund</v>
      </c>
      <c r="M74" s="48">
        <f t="shared" si="3"/>
        <v>-290</v>
      </c>
      <c r="N74" s="48"/>
    </row>
    <row r="75" spans="2:15">
      <c r="C75" s="355" t="str">
        <f t="shared" si="2"/>
        <v>Public Safety Comm. Revolving Fund</v>
      </c>
      <c r="M75" s="48">
        <f t="shared" si="3"/>
        <v>-1210</v>
      </c>
      <c r="N75" s="48"/>
    </row>
    <row r="76" spans="2:15">
      <c r="C76" s="355" t="str">
        <f t="shared" si="2"/>
        <v>Natural Gas Services Program Fund</v>
      </c>
      <c r="M76" s="48">
        <f t="shared" si="3"/>
        <v>-3</v>
      </c>
      <c r="N76" s="48"/>
    </row>
    <row r="77" spans="2:15">
      <c r="C77" s="355" t="str">
        <f t="shared" si="2"/>
        <v>State Motor Vehicle Insurance Account</v>
      </c>
      <c r="M77" s="48">
        <f t="shared" si="3"/>
        <v>-7</v>
      </c>
      <c r="N77" s="48"/>
    </row>
    <row r="78" spans="2:15">
      <c r="C78" s="355"/>
      <c r="M78" s="48"/>
      <c r="N78" s="48"/>
    </row>
    <row r="79" spans="2:15">
      <c r="C79" s="355" t="str">
        <f>B22</f>
        <v>State Lottery Fund</v>
      </c>
      <c r="M79" s="48">
        <f>-M22/1000</f>
        <v>-8337</v>
      </c>
      <c r="N79" s="356"/>
    </row>
    <row r="80" spans="2:15">
      <c r="C80" s="355" t="str">
        <f>B23</f>
        <v>Inmate Welfare Fund</v>
      </c>
      <c r="M80" s="356">
        <f>-M23/1000</f>
        <v>-4378</v>
      </c>
      <c r="N80" s="356"/>
    </row>
    <row r="81" spans="2:17">
      <c r="M81" s="316"/>
      <c r="N81" s="316"/>
    </row>
    <row r="82" spans="2:17" ht="18.600000000000001" thickBot="1">
      <c r="D82" s="316" t="s">
        <v>828</v>
      </c>
      <c r="M82" s="357">
        <f>SUM(M68:M81)</f>
        <v>-42479.487000000001</v>
      </c>
      <c r="N82" s="358"/>
      <c r="O82" s="358"/>
      <c r="P82" s="358"/>
    </row>
    <row r="83" spans="2:17" ht="18.600000000000001" thickTop="1"/>
    <row r="84" spans="2:17" s="342" customFormat="1" ht="9" customHeight="1">
      <c r="C84" s="343"/>
      <c r="K84" s="344"/>
      <c r="L84" s="344"/>
      <c r="M84" s="345"/>
      <c r="N84" s="344"/>
      <c r="Q84" s="345"/>
    </row>
    <row r="85" spans="2:17" ht="18" hidden="1" customHeight="1"/>
    <row r="86" spans="2:17" ht="18" hidden="1" customHeight="1">
      <c r="I86" s="319"/>
      <c r="K86" s="319"/>
      <c r="M86" s="318" t="s">
        <v>368</v>
      </c>
    </row>
    <row r="87" spans="2:17" ht="18" hidden="1" customHeight="1">
      <c r="B87" s="359" t="s">
        <v>458</v>
      </c>
      <c r="D87" s="316">
        <v>1844000</v>
      </c>
      <c r="E87" s="359"/>
      <c r="F87" s="359"/>
      <c r="G87" s="359"/>
      <c r="H87" s="359"/>
      <c r="I87" s="331"/>
      <c r="J87" s="359"/>
      <c r="K87" s="331"/>
      <c r="L87" s="360"/>
      <c r="M87" s="360"/>
    </row>
    <row r="88" spans="2:17" ht="18" hidden="1" customHeight="1">
      <c r="I88" s="322" t="s">
        <v>373</v>
      </c>
      <c r="J88" s="320"/>
      <c r="K88" s="322" t="s">
        <v>374</v>
      </c>
      <c r="L88" s="320"/>
      <c r="M88" s="323" t="str">
        <f>M5</f>
        <v>6/30/2023 Bal</v>
      </c>
    </row>
    <row r="89" spans="2:17" ht="18" hidden="1" customHeight="1">
      <c r="B89" s="382" t="s">
        <v>450</v>
      </c>
    </row>
    <row r="90" spans="2:17" ht="18" hidden="1" customHeight="1"/>
    <row r="91" spans="2:17" ht="18" hidden="1" customHeight="1">
      <c r="B91" s="330" t="s">
        <v>441</v>
      </c>
      <c r="C91" s="316"/>
      <c r="M91" s="319">
        <f>I91+K91</f>
        <v>0</v>
      </c>
    </row>
    <row r="92" spans="2:17" ht="18" hidden="1" customHeight="1"/>
    <row r="93" spans="2:17" ht="18" hidden="1" customHeight="1">
      <c r="B93" s="330" t="s">
        <v>447</v>
      </c>
      <c r="D93" s="333"/>
    </row>
    <row r="94" spans="2:17" ht="18" hidden="1" customHeight="1">
      <c r="B94" s="330"/>
      <c r="D94" s="317"/>
    </row>
    <row r="95" spans="2:17" ht="18" hidden="1" customHeight="1">
      <c r="B95" s="337" t="s">
        <v>401</v>
      </c>
      <c r="D95" s="317" t="s">
        <v>18</v>
      </c>
      <c r="M95" s="319">
        <f>I95+K95</f>
        <v>0</v>
      </c>
    </row>
    <row r="96" spans="2:17" ht="18" hidden="1" customHeight="1">
      <c r="B96" s="337" t="s">
        <v>403</v>
      </c>
      <c r="D96" s="317" t="s">
        <v>424</v>
      </c>
      <c r="M96" s="319">
        <f>I96+K96</f>
        <v>0</v>
      </c>
    </row>
    <row r="97" spans="2:14" ht="18" hidden="1" customHeight="1">
      <c r="B97" s="337" t="s">
        <v>414</v>
      </c>
      <c r="D97" s="317" t="s">
        <v>378</v>
      </c>
      <c r="M97" s="319">
        <f t="shared" ref="M97:M116" si="4">I97+K97</f>
        <v>0</v>
      </c>
      <c r="N97" s="329"/>
    </row>
    <row r="98" spans="2:14" ht="36" hidden="1" customHeight="1">
      <c r="B98" s="337" t="s">
        <v>404</v>
      </c>
      <c r="D98" s="317" t="s">
        <v>425</v>
      </c>
      <c r="M98" s="319">
        <f t="shared" si="4"/>
        <v>0</v>
      </c>
    </row>
    <row r="99" spans="2:14" ht="36" hidden="1" customHeight="1">
      <c r="B99" s="337" t="s">
        <v>405</v>
      </c>
      <c r="D99" s="317" t="s">
        <v>426</v>
      </c>
      <c r="M99" s="319">
        <f t="shared" si="4"/>
        <v>0</v>
      </c>
    </row>
    <row r="100" spans="2:14" ht="36" hidden="1" customHeight="1">
      <c r="B100" s="337" t="s">
        <v>406</v>
      </c>
      <c r="D100" s="338" t="s">
        <v>402</v>
      </c>
      <c r="M100" s="319">
        <f t="shared" si="4"/>
        <v>0</v>
      </c>
    </row>
    <row r="101" spans="2:14" ht="18" hidden="1" customHeight="1">
      <c r="B101" s="337" t="s">
        <v>407</v>
      </c>
      <c r="D101" s="317" t="s">
        <v>427</v>
      </c>
      <c r="M101" s="319">
        <f t="shared" si="4"/>
        <v>0</v>
      </c>
    </row>
    <row r="102" spans="2:14" ht="18" hidden="1" customHeight="1">
      <c r="B102" s="337" t="s">
        <v>408</v>
      </c>
      <c r="D102" s="317" t="s">
        <v>428</v>
      </c>
      <c r="M102" s="319">
        <f t="shared" si="4"/>
        <v>0</v>
      </c>
    </row>
    <row r="103" spans="2:14" ht="18" hidden="1" customHeight="1">
      <c r="B103" s="337" t="s">
        <v>412</v>
      </c>
      <c r="D103" s="317">
        <v>9940</v>
      </c>
      <c r="M103" s="319">
        <f t="shared" si="4"/>
        <v>0</v>
      </c>
    </row>
    <row r="104" spans="2:14" ht="18" hidden="1" customHeight="1">
      <c r="B104" s="337" t="s">
        <v>413</v>
      </c>
      <c r="D104" s="317" t="s">
        <v>429</v>
      </c>
      <c r="M104" s="319">
        <f t="shared" si="4"/>
        <v>0</v>
      </c>
    </row>
    <row r="105" spans="2:14" ht="36" hidden="1" customHeight="1">
      <c r="B105" s="337" t="s">
        <v>409</v>
      </c>
      <c r="D105" s="317" t="s">
        <v>430</v>
      </c>
      <c r="M105" s="319">
        <f t="shared" si="4"/>
        <v>0</v>
      </c>
    </row>
    <row r="106" spans="2:14" ht="36" hidden="1" customHeight="1">
      <c r="B106" s="337" t="s">
        <v>410</v>
      </c>
      <c r="D106" s="317" t="s">
        <v>431</v>
      </c>
      <c r="M106" s="319">
        <f t="shared" si="4"/>
        <v>0</v>
      </c>
    </row>
    <row r="107" spans="2:14" ht="36" hidden="1" customHeight="1">
      <c r="B107" s="337" t="s">
        <v>411</v>
      </c>
      <c r="D107" s="317" t="s">
        <v>432</v>
      </c>
      <c r="M107" s="319">
        <f t="shared" si="4"/>
        <v>0</v>
      </c>
    </row>
    <row r="108" spans="2:14" ht="18" hidden="1" customHeight="1">
      <c r="B108" s="337" t="s">
        <v>415</v>
      </c>
      <c r="D108" s="317" t="s">
        <v>433</v>
      </c>
      <c r="M108" s="319">
        <f t="shared" si="4"/>
        <v>0</v>
      </c>
    </row>
    <row r="109" spans="2:14" ht="36" hidden="1" customHeight="1">
      <c r="B109" s="337" t="s">
        <v>416</v>
      </c>
      <c r="D109" s="317" t="s">
        <v>434</v>
      </c>
      <c r="M109" s="319">
        <f t="shared" si="4"/>
        <v>0</v>
      </c>
    </row>
    <row r="110" spans="2:14" ht="36" hidden="1" customHeight="1">
      <c r="B110" s="337" t="s">
        <v>417</v>
      </c>
      <c r="D110" s="317" t="s">
        <v>435</v>
      </c>
      <c r="M110" s="319">
        <f t="shared" si="4"/>
        <v>0</v>
      </c>
    </row>
    <row r="111" spans="2:14" ht="18" hidden="1" customHeight="1">
      <c r="B111" s="337" t="s">
        <v>418</v>
      </c>
      <c r="D111" s="317">
        <v>3175</v>
      </c>
      <c r="M111" s="319">
        <f t="shared" si="4"/>
        <v>0</v>
      </c>
    </row>
    <row r="112" spans="2:14" ht="18" hidden="1" customHeight="1">
      <c r="B112" s="337" t="s">
        <v>419</v>
      </c>
      <c r="D112" s="317">
        <v>9935</v>
      </c>
      <c r="M112" s="319">
        <f t="shared" si="4"/>
        <v>0</v>
      </c>
    </row>
    <row r="113" spans="2:17" ht="18" hidden="1" customHeight="1">
      <c r="B113" s="337" t="s">
        <v>420</v>
      </c>
      <c r="D113" s="317">
        <v>9990</v>
      </c>
      <c r="M113" s="319">
        <f t="shared" si="4"/>
        <v>0</v>
      </c>
    </row>
    <row r="114" spans="2:17" ht="36" hidden="1" customHeight="1">
      <c r="B114" s="337" t="s">
        <v>421</v>
      </c>
      <c r="D114" s="317">
        <v>9970</v>
      </c>
      <c r="M114" s="319">
        <f t="shared" si="4"/>
        <v>0</v>
      </c>
    </row>
    <row r="115" spans="2:17" ht="18" hidden="1" customHeight="1">
      <c r="B115" s="339" t="s">
        <v>422</v>
      </c>
      <c r="D115" s="317">
        <v>9950</v>
      </c>
      <c r="M115" s="319">
        <f t="shared" si="4"/>
        <v>0</v>
      </c>
    </row>
    <row r="116" spans="2:17" ht="18" hidden="1" customHeight="1">
      <c r="B116" s="339" t="s">
        <v>423</v>
      </c>
      <c r="C116" s="333" t="s">
        <v>399</v>
      </c>
      <c r="D116" s="317" t="s">
        <v>436</v>
      </c>
      <c r="M116" s="319">
        <f t="shared" si="4"/>
        <v>0</v>
      </c>
    </row>
    <row r="117" spans="2:17" ht="18" hidden="1" customHeight="1"/>
    <row r="118" spans="2:17" ht="18" hidden="1" customHeight="1"/>
    <row r="119" spans="2:17" s="342" customFormat="1" ht="9" hidden="1" customHeight="1">
      <c r="C119" s="343"/>
      <c r="K119" s="344"/>
      <c r="L119" s="344"/>
      <c r="M119" s="345"/>
      <c r="N119" s="344"/>
      <c r="Q119" s="345"/>
    </row>
    <row r="120" spans="2:17">
      <c r="C120" s="316"/>
      <c r="E120" s="383" t="s">
        <v>364</v>
      </c>
      <c r="G120" s="383" t="s">
        <v>390</v>
      </c>
      <c r="H120" s="383"/>
      <c r="I120" s="384" t="s">
        <v>371</v>
      </c>
      <c r="J120" s="47"/>
      <c r="K120" s="47"/>
      <c r="L120" s="47"/>
      <c r="M120" s="316"/>
      <c r="N120" s="384"/>
    </row>
    <row r="121" spans="2:17">
      <c r="C121" s="47" t="s">
        <v>365</v>
      </c>
      <c r="E121" s="385">
        <f>'1. Summary 2324'!K19</f>
        <v>-14535</v>
      </c>
      <c r="G121" s="385">
        <f>'1. Summary 2324'!L19</f>
        <v>14535</v>
      </c>
      <c r="H121" s="385"/>
      <c r="I121" s="48">
        <f>'1. Summary 2324'!N19</f>
        <v>0</v>
      </c>
      <c r="J121" s="47"/>
      <c r="K121" s="316"/>
      <c r="L121" s="47"/>
      <c r="M121" s="316"/>
      <c r="N121" s="48"/>
    </row>
    <row r="122" spans="2:17">
      <c r="C122" s="48" t="s">
        <v>366</v>
      </c>
      <c r="E122" s="48">
        <f>'1. Summary 2324'!K20</f>
        <v>688411.03019000008</v>
      </c>
      <c r="G122" s="385">
        <f>'1. Summary 2324'!L20</f>
        <v>0</v>
      </c>
      <c r="H122" s="48"/>
      <c r="I122" s="48">
        <f>'1. Summary 2324'!N20</f>
        <v>688411.03019000008</v>
      </c>
      <c r="J122" s="47"/>
      <c r="K122" s="316"/>
      <c r="L122" s="48"/>
      <c r="M122" s="316"/>
      <c r="N122" s="48"/>
    </row>
    <row r="123" spans="2:17">
      <c r="C123" s="47" t="s">
        <v>367</v>
      </c>
      <c r="E123" s="48">
        <f>'1. Summary 2324'!K21</f>
        <v>-686591.03019000008</v>
      </c>
      <c r="G123" s="385">
        <f>'1. Summary 2324'!L21</f>
        <v>-1820</v>
      </c>
      <c r="H123" s="48"/>
      <c r="I123" s="48">
        <f>'1. Summary 2324'!N21</f>
        <v>-688411.03019000008</v>
      </c>
      <c r="J123" s="47"/>
      <c r="K123" s="316"/>
      <c r="L123" s="47"/>
      <c r="M123" s="316"/>
      <c r="N123" s="48"/>
    </row>
    <row r="124" spans="2:17" ht="18.600000000000001" thickBot="1">
      <c r="C124" s="47" t="s">
        <v>446</v>
      </c>
      <c r="E124" s="350">
        <f>'1. Summary 2324'!K22</f>
        <v>-12715</v>
      </c>
      <c r="G124" s="386">
        <f>'1. Summary 2324'!L22</f>
        <v>12715</v>
      </c>
      <c r="H124" s="48"/>
      <c r="I124" s="350">
        <f>'1. Summary 2324'!N22</f>
        <v>0</v>
      </c>
      <c r="J124" s="48"/>
      <c r="K124" s="316"/>
      <c r="L124" s="47"/>
      <c r="M124" s="316"/>
      <c r="N124" s="48"/>
    </row>
    <row r="125" spans="2:17" ht="18.600000000000001" thickTop="1">
      <c r="C125" s="47" t="s">
        <v>369</v>
      </c>
      <c r="E125" s="48">
        <f>'1. Summary 2324'!K23</f>
        <v>6293</v>
      </c>
      <c r="G125" s="385">
        <f>'1. Summary 2324'!L23</f>
        <v>0</v>
      </c>
      <c r="H125" s="48"/>
      <c r="I125" s="48">
        <f>'1. Summary 2324'!N23</f>
        <v>6293</v>
      </c>
      <c r="J125" s="48"/>
      <c r="K125" s="316"/>
      <c r="L125" s="47"/>
      <c r="M125" s="316"/>
      <c r="N125" s="48"/>
    </row>
    <row r="126" spans="2:17">
      <c r="C126" s="47" t="s">
        <v>370</v>
      </c>
      <c r="D126" s="48"/>
      <c r="E126" s="48">
        <f>'1. Summary 2324'!K24</f>
        <v>-19008</v>
      </c>
      <c r="F126" s="48"/>
      <c r="G126" s="385">
        <f>'1. Summary 2324'!L24</f>
        <v>12715</v>
      </c>
      <c r="H126" s="48"/>
      <c r="I126" s="48">
        <f>'1. Summary 2324'!N24</f>
        <v>-6293</v>
      </c>
      <c r="J126" s="48"/>
      <c r="K126" s="316"/>
      <c r="L126" s="47"/>
      <c r="M126" s="316"/>
      <c r="N126" s="48"/>
      <c r="O126" s="316" t="s">
        <v>449</v>
      </c>
    </row>
    <row r="127" spans="2:17">
      <c r="C127" s="47"/>
      <c r="D127" s="48"/>
      <c r="E127" s="48"/>
      <c r="F127" s="48"/>
      <c r="G127" s="48"/>
      <c r="H127" s="48"/>
      <c r="I127" s="48"/>
      <c r="J127" s="48"/>
      <c r="K127" s="47"/>
      <c r="L127" s="47"/>
      <c r="M127" s="48"/>
      <c r="N127" s="48"/>
    </row>
    <row r="128" spans="2:17" s="342" customFormat="1" ht="9" customHeight="1">
      <c r="C128" s="343"/>
      <c r="K128" s="344"/>
      <c r="L128" s="344"/>
      <c r="M128" s="345"/>
      <c r="N128" s="344"/>
      <c r="Q128" s="345"/>
    </row>
    <row r="129" spans="1:17">
      <c r="Q129" s="319"/>
    </row>
    <row r="130" spans="1:17">
      <c r="A130" s="822" t="s">
        <v>783</v>
      </c>
      <c r="B130" s="822"/>
      <c r="C130" s="822"/>
      <c r="D130" s="822"/>
      <c r="E130" s="822"/>
      <c r="F130" s="822"/>
      <c r="G130" s="822"/>
      <c r="H130" s="822"/>
      <c r="I130" s="822"/>
      <c r="J130" s="822"/>
      <c r="K130" s="822"/>
      <c r="L130" s="822"/>
      <c r="M130" s="822"/>
      <c r="N130" s="822"/>
      <c r="Q130" s="319"/>
    </row>
    <row r="132" spans="1:17">
      <c r="B132" s="316" t="s">
        <v>787</v>
      </c>
    </row>
    <row r="133" spans="1:17">
      <c r="C133" s="824" t="s">
        <v>441</v>
      </c>
      <c r="D133" s="824"/>
      <c r="E133" s="824"/>
      <c r="G133" s="824" t="s">
        <v>443</v>
      </c>
      <c r="H133" s="824"/>
      <c r="I133" s="824"/>
      <c r="J133" s="824"/>
      <c r="K133" s="824"/>
      <c r="L133" s="824"/>
      <c r="M133" s="824"/>
    </row>
    <row r="134" spans="1:17">
      <c r="B134" s="316" t="s">
        <v>437</v>
      </c>
      <c r="C134" s="316"/>
      <c r="I134" s="318"/>
    </row>
    <row r="135" spans="1:17">
      <c r="B135" s="316" t="s">
        <v>438</v>
      </c>
      <c r="C135" s="316"/>
      <c r="G135" s="824" t="s">
        <v>442</v>
      </c>
      <c r="H135" s="824"/>
      <c r="I135" s="824"/>
      <c r="K135" s="825" t="s">
        <v>460</v>
      </c>
      <c r="L135" s="825"/>
      <c r="M135" s="825"/>
    </row>
    <row r="136" spans="1:17">
      <c r="B136" s="316" t="s">
        <v>439</v>
      </c>
      <c r="C136" s="316"/>
      <c r="I136" s="318"/>
      <c r="K136" s="319"/>
      <c r="L136" s="319"/>
    </row>
    <row r="137" spans="1:17">
      <c r="C137" s="387">
        <v>2024</v>
      </c>
      <c r="D137" s="387"/>
      <c r="E137" s="387">
        <v>2023</v>
      </c>
      <c r="G137" s="387">
        <f>C137</f>
        <v>2024</v>
      </c>
      <c r="H137" s="387"/>
      <c r="I137" s="387">
        <f>E137</f>
        <v>2023</v>
      </c>
      <c r="K137" s="387"/>
      <c r="L137" s="387"/>
      <c r="M137" s="387"/>
      <c r="P137" s="387"/>
    </row>
    <row r="138" spans="1:17">
      <c r="B138" s="316" t="s">
        <v>1284</v>
      </c>
      <c r="C138" s="319">
        <f>'1. Summary 2324'!K9</f>
        <v>0</v>
      </c>
      <c r="D138" s="319"/>
      <c r="E138" s="319">
        <f>'1. Summary 2324'!N9</f>
        <v>0</v>
      </c>
      <c r="G138" s="361" t="str">
        <f>'1. Summary 2324'!O9</f>
        <v>G1</v>
      </c>
      <c r="H138" s="319"/>
      <c r="I138" s="361">
        <f>'1. Summary 2324'!Q9</f>
        <v>0</v>
      </c>
      <c r="K138" s="361"/>
      <c r="L138" s="361"/>
      <c r="M138" s="361"/>
    </row>
    <row r="139" spans="1:17">
      <c r="B139" s="316" t="s">
        <v>782</v>
      </c>
      <c r="C139" s="319">
        <f>'1. Summary 2324'!K10</f>
        <v>688411.03019000008</v>
      </c>
      <c r="D139" s="356"/>
      <c r="E139" s="319">
        <f>'1. Summary 2324'!N10</f>
        <v>0</v>
      </c>
      <c r="G139" s="361" t="str">
        <f>'1. Summary 2324'!O10</f>
        <v>G2</v>
      </c>
      <c r="H139" s="356"/>
      <c r="I139" s="361">
        <f>'1. Summary 2324'!Q10</f>
        <v>0</v>
      </c>
      <c r="K139" s="361"/>
      <c r="L139" s="361"/>
      <c r="M139" s="361"/>
    </row>
    <row r="140" spans="1:17">
      <c r="B140" s="316" t="s">
        <v>744</v>
      </c>
      <c r="C140" s="362">
        <f>'1. Summary 2324'!K11</f>
        <v>-688411.03019000008</v>
      </c>
      <c r="D140" s="356"/>
      <c r="E140" s="362">
        <f>'1. Summary 2324'!N11</f>
        <v>0</v>
      </c>
      <c r="G140" s="361" t="str">
        <f>'1. Summary 2324'!O11</f>
        <v>G3</v>
      </c>
      <c r="H140" s="356"/>
      <c r="I140" s="361">
        <f>'1. Summary 2324'!Q11</f>
        <v>0</v>
      </c>
      <c r="K140" s="361"/>
      <c r="L140" s="361"/>
      <c r="M140" s="361"/>
    </row>
    <row r="141" spans="1:17" ht="18.600000000000001" thickBot="1">
      <c r="B141" s="316" t="s">
        <v>1285</v>
      </c>
      <c r="C141" s="364">
        <f>SUM(C138:C140)</f>
        <v>0</v>
      </c>
      <c r="D141" s="363" t="s">
        <v>444</v>
      </c>
      <c r="E141" s="364">
        <f>SUM(E138:E140)</f>
        <v>0</v>
      </c>
      <c r="G141" s="364">
        <f>SUM(G138:G140)</f>
        <v>0</v>
      </c>
      <c r="H141" s="364"/>
      <c r="I141" s="364">
        <f>SUM(I138:I140)</f>
        <v>0</v>
      </c>
      <c r="K141" s="364">
        <f>SUM(K138:K140)</f>
        <v>0</v>
      </c>
      <c r="L141" s="364"/>
      <c r="M141" s="364">
        <f>SUM(M138:M140)</f>
        <v>0</v>
      </c>
    </row>
    <row r="142" spans="1:17" ht="18.600000000000001" thickTop="1"/>
    <row r="143" spans="1:17">
      <c r="B143" s="340" t="s">
        <v>445</v>
      </c>
      <c r="C143" s="365">
        <f>G124</f>
        <v>12715</v>
      </c>
      <c r="D143" s="316" t="s">
        <v>440</v>
      </c>
    </row>
  </sheetData>
  <mergeCells count="7">
    <mergeCell ref="A1:N1"/>
    <mergeCell ref="A60:N60"/>
    <mergeCell ref="A130:N130"/>
    <mergeCell ref="G135:I135"/>
    <mergeCell ref="C133:E133"/>
    <mergeCell ref="G133:M133"/>
    <mergeCell ref="K135:M135"/>
  </mergeCells>
  <printOptions horizontalCentered="1"/>
  <pageMargins left="0.25" right="0.25" top="0.75" bottom="0.75" header="0.3" footer="0.3"/>
  <pageSetup scale="42" orientation="portrait" r:id="rId1"/>
  <headerFooter>
    <oddHeader>&amp;C&amp;"Arial,Bold"&amp;18Workers' Compensation Liability</oddHeader>
    <oddFooter>&amp;R&amp;D</oddFooter>
  </headerFooter>
  <rowBreaks count="1" manualBreakCount="1">
    <brk id="83" max="13" man="1"/>
  </rowBreaks>
  <ignoredErrors>
    <ignoredError sqref="D22 D16 D7:D8" numberStoredAsText="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3BCF-5684-401A-A81C-D950BE9CC233}">
  <dimension ref="A1:B332"/>
  <sheetViews>
    <sheetView topLeftCell="A298" workbookViewId="0">
      <selection activeCell="A309" sqref="A309:A319"/>
    </sheetView>
  </sheetViews>
  <sheetFormatPr defaultRowHeight="15"/>
  <cols>
    <col min="1" max="1" width="114.81640625" bestFit="1" customWidth="1"/>
    <col min="2" max="2" width="14.54296875" bestFit="1" customWidth="1"/>
  </cols>
  <sheetData>
    <row r="1" spans="1:1">
      <c r="A1" t="s">
        <v>1491</v>
      </c>
    </row>
    <row r="2" spans="1:1">
      <c r="A2" s="811" t="s">
        <v>1483</v>
      </c>
    </row>
    <row r="3" spans="1:1">
      <c r="A3" s="811" t="s">
        <v>1484</v>
      </c>
    </row>
    <row r="4" spans="1:1">
      <c r="A4" s="811" t="s">
        <v>1492</v>
      </c>
    </row>
    <row r="5" spans="1:1">
      <c r="A5" s="811" t="s">
        <v>1493</v>
      </c>
    </row>
    <row r="6" spans="1:1">
      <c r="A6" s="811" t="s">
        <v>1494</v>
      </c>
    </row>
    <row r="7" spans="1:1">
      <c r="A7" s="811" t="s">
        <v>1495</v>
      </c>
    </row>
    <row r="8" spans="1:1">
      <c r="A8" s="811" t="s">
        <v>1496</v>
      </c>
    </row>
    <row r="9" spans="1:1">
      <c r="A9" s="811" t="s">
        <v>1497</v>
      </c>
    </row>
    <row r="10" spans="1:1">
      <c r="A10" s="811" t="s">
        <v>1498</v>
      </c>
    </row>
    <row r="11" spans="1:1">
      <c r="A11" s="811" t="s">
        <v>1499</v>
      </c>
    </row>
    <row r="12" spans="1:1">
      <c r="A12" s="811" t="s">
        <v>1500</v>
      </c>
    </row>
    <row r="13" spans="1:1">
      <c r="A13" s="811" t="s">
        <v>1501</v>
      </c>
    </row>
    <row r="14" spans="1:1">
      <c r="A14" s="811" t="s">
        <v>1502</v>
      </c>
    </row>
    <row r="15" spans="1:1">
      <c r="A15" s="811" t="s">
        <v>1503</v>
      </c>
    </row>
    <row r="16" spans="1:1">
      <c r="A16" s="811" t="s">
        <v>1504</v>
      </c>
    </row>
    <row r="17" spans="1:1">
      <c r="A17" s="811" t="s">
        <v>1505</v>
      </c>
    </row>
    <row r="18" spans="1:1">
      <c r="A18" s="811" t="s">
        <v>1506</v>
      </c>
    </row>
    <row r="19" spans="1:1">
      <c r="A19" s="811" t="s">
        <v>1507</v>
      </c>
    </row>
    <row r="20" spans="1:1">
      <c r="A20" s="811" t="s">
        <v>1508</v>
      </c>
    </row>
    <row r="21" spans="1:1">
      <c r="A21" s="811" t="s">
        <v>1509</v>
      </c>
    </row>
    <row r="22" spans="1:1">
      <c r="A22" s="811" t="s">
        <v>1510</v>
      </c>
    </row>
    <row r="23" spans="1:1">
      <c r="A23" s="811" t="s">
        <v>1511</v>
      </c>
    </row>
    <row r="24" spans="1:1">
      <c r="A24" s="811" t="s">
        <v>1512</v>
      </c>
    </row>
    <row r="25" spans="1:1">
      <c r="A25" s="811" t="s">
        <v>1513</v>
      </c>
    </row>
    <row r="26" spans="1:1">
      <c r="A26" s="811" t="s">
        <v>1514</v>
      </c>
    </row>
    <row r="27" spans="1:1">
      <c r="A27" s="811" t="s">
        <v>1515</v>
      </c>
    </row>
    <row r="28" spans="1:1">
      <c r="A28" s="811" t="s">
        <v>1516</v>
      </c>
    </row>
    <row r="29" spans="1:1">
      <c r="A29" s="811" t="s">
        <v>1517</v>
      </c>
    </row>
    <row r="30" spans="1:1">
      <c r="A30" s="811" t="s">
        <v>1518</v>
      </c>
    </row>
    <row r="31" spans="1:1">
      <c r="A31" s="811" t="s">
        <v>1519</v>
      </c>
    </row>
    <row r="32" spans="1:1">
      <c r="A32" s="811" t="s">
        <v>1520</v>
      </c>
    </row>
    <row r="33" spans="1:1">
      <c r="A33" s="811" t="s">
        <v>1521</v>
      </c>
    </row>
    <row r="34" spans="1:1">
      <c r="A34" s="811" t="s">
        <v>1522</v>
      </c>
    </row>
    <row r="35" spans="1:1">
      <c r="A35" s="811" t="s">
        <v>1523</v>
      </c>
    </row>
    <row r="36" spans="1:1">
      <c r="A36" s="811" t="s">
        <v>1524</v>
      </c>
    </row>
    <row r="37" spans="1:1">
      <c r="A37" s="811" t="s">
        <v>1525</v>
      </c>
    </row>
    <row r="38" spans="1:1">
      <c r="A38" s="811" t="s">
        <v>1526</v>
      </c>
    </row>
    <row r="39" spans="1:1">
      <c r="A39" s="811" t="s">
        <v>1527</v>
      </c>
    </row>
    <row r="40" spans="1:1">
      <c r="A40" s="811" t="s">
        <v>1528</v>
      </c>
    </row>
    <row r="41" spans="1:1">
      <c r="A41" s="811" t="s">
        <v>1529</v>
      </c>
    </row>
    <row r="42" spans="1:1">
      <c r="A42" s="811" t="s">
        <v>1530</v>
      </c>
    </row>
    <row r="43" spans="1:1">
      <c r="A43" s="811" t="s">
        <v>1531</v>
      </c>
    </row>
    <row r="44" spans="1:1">
      <c r="A44" s="811" t="s">
        <v>1532</v>
      </c>
    </row>
    <row r="45" spans="1:1">
      <c r="A45" s="811" t="s">
        <v>1533</v>
      </c>
    </row>
    <row r="46" spans="1:1">
      <c r="A46" s="811" t="s">
        <v>1534</v>
      </c>
    </row>
    <row r="47" spans="1:1">
      <c r="A47" s="811" t="s">
        <v>1535</v>
      </c>
    </row>
    <row r="48" spans="1:1">
      <c r="A48" s="811" t="s">
        <v>1536</v>
      </c>
    </row>
    <row r="49" spans="1:1">
      <c r="A49" s="811" t="s">
        <v>1537</v>
      </c>
    </row>
    <row r="50" spans="1:1">
      <c r="A50" s="811" t="s">
        <v>1538</v>
      </c>
    </row>
    <row r="51" spans="1:1">
      <c r="A51" s="811" t="s">
        <v>1539</v>
      </c>
    </row>
    <row r="52" spans="1:1">
      <c r="A52" s="811" t="s">
        <v>1540</v>
      </c>
    </row>
    <row r="53" spans="1:1">
      <c r="A53" s="811" t="s">
        <v>1541</v>
      </c>
    </row>
    <row r="54" spans="1:1">
      <c r="A54" s="811" t="s">
        <v>1485</v>
      </c>
    </row>
    <row r="55" spans="1:1">
      <c r="A55" s="811" t="s">
        <v>1484</v>
      </c>
    </row>
    <row r="56" spans="1:1">
      <c r="A56" s="811" t="s">
        <v>1492</v>
      </c>
    </row>
    <row r="57" spans="1:1">
      <c r="A57" s="811" t="s">
        <v>1542</v>
      </c>
    </row>
    <row r="58" spans="1:1">
      <c r="A58" s="811" t="s">
        <v>1543</v>
      </c>
    </row>
    <row r="59" spans="1:1">
      <c r="A59" s="811" t="s">
        <v>1544</v>
      </c>
    </row>
    <row r="60" spans="1:1">
      <c r="A60" s="811" t="s">
        <v>1545</v>
      </c>
    </row>
    <row r="61" spans="1:1">
      <c r="A61" s="811" t="s">
        <v>1546</v>
      </c>
    </row>
    <row r="62" spans="1:1">
      <c r="A62" s="811" t="s">
        <v>1547</v>
      </c>
    </row>
    <row r="63" spans="1:1">
      <c r="A63" s="811" t="s">
        <v>1548</v>
      </c>
    </row>
    <row r="64" spans="1:1">
      <c r="A64" s="811" t="s">
        <v>1549</v>
      </c>
    </row>
    <row r="65" spans="1:1">
      <c r="A65" s="811" t="s">
        <v>1550</v>
      </c>
    </row>
    <row r="66" spans="1:1">
      <c r="A66" s="811" t="s">
        <v>1551</v>
      </c>
    </row>
    <row r="67" spans="1:1">
      <c r="A67" s="811" t="s">
        <v>1552</v>
      </c>
    </row>
    <row r="68" spans="1:1">
      <c r="A68" s="811" t="s">
        <v>1553</v>
      </c>
    </row>
    <row r="69" spans="1:1">
      <c r="A69" s="811" t="s">
        <v>1554</v>
      </c>
    </row>
    <row r="70" spans="1:1">
      <c r="A70" s="811" t="s">
        <v>1555</v>
      </c>
    </row>
    <row r="71" spans="1:1">
      <c r="A71" s="811" t="s">
        <v>1556</v>
      </c>
    </row>
    <row r="72" spans="1:1">
      <c r="A72" s="811" t="s">
        <v>1557</v>
      </c>
    </row>
    <row r="73" spans="1:1">
      <c r="A73" s="811" t="s">
        <v>1558</v>
      </c>
    </row>
    <row r="74" spans="1:1">
      <c r="A74" s="811" t="s">
        <v>1559</v>
      </c>
    </row>
    <row r="75" spans="1:1">
      <c r="A75" s="811" t="s">
        <v>1560</v>
      </c>
    </row>
    <row r="76" spans="1:1">
      <c r="A76" s="811" t="s">
        <v>1561</v>
      </c>
    </row>
    <row r="77" spans="1:1">
      <c r="A77" s="811" t="s">
        <v>1562</v>
      </c>
    </row>
    <row r="78" spans="1:1">
      <c r="A78" s="811" t="s">
        <v>1563</v>
      </c>
    </row>
    <row r="79" spans="1:1">
      <c r="A79" s="811" t="s">
        <v>1564</v>
      </c>
    </row>
    <row r="80" spans="1:1">
      <c r="A80" s="811" t="s">
        <v>1565</v>
      </c>
    </row>
    <row r="81" spans="1:1">
      <c r="A81" s="811" t="s">
        <v>1566</v>
      </c>
    </row>
    <row r="82" spans="1:1">
      <c r="A82" s="811" t="s">
        <v>1567</v>
      </c>
    </row>
    <row r="83" spans="1:1">
      <c r="A83" s="811" t="s">
        <v>1568</v>
      </c>
    </row>
    <row r="84" spans="1:1">
      <c r="A84" s="811" t="s">
        <v>1569</v>
      </c>
    </row>
    <row r="85" spans="1:1">
      <c r="A85" s="811" t="s">
        <v>1570</v>
      </c>
    </row>
    <row r="86" spans="1:1">
      <c r="A86" s="811" t="s">
        <v>1571</v>
      </c>
    </row>
    <row r="87" spans="1:1">
      <c r="A87" s="811" t="s">
        <v>1572</v>
      </c>
    </row>
    <row r="88" spans="1:1">
      <c r="A88" s="811" t="s">
        <v>1573</v>
      </c>
    </row>
    <row r="89" spans="1:1">
      <c r="A89" s="811" t="s">
        <v>1574</v>
      </c>
    </row>
    <row r="90" spans="1:1">
      <c r="A90" s="811" t="s">
        <v>1575</v>
      </c>
    </row>
    <row r="91" spans="1:1">
      <c r="A91" s="811" t="s">
        <v>1576</v>
      </c>
    </row>
    <row r="92" spans="1:1">
      <c r="A92" s="811" t="s">
        <v>1577</v>
      </c>
    </row>
    <row r="93" spans="1:1">
      <c r="A93" s="811" t="s">
        <v>1578</v>
      </c>
    </row>
    <row r="94" spans="1:1">
      <c r="A94" s="811" t="s">
        <v>1579</v>
      </c>
    </row>
    <row r="95" spans="1:1">
      <c r="A95" s="811" t="s">
        <v>1580</v>
      </c>
    </row>
    <row r="96" spans="1:1">
      <c r="A96" s="811" t="s">
        <v>1581</v>
      </c>
    </row>
    <row r="97" spans="1:1">
      <c r="A97" s="811" t="s">
        <v>1582</v>
      </c>
    </row>
    <row r="98" spans="1:1">
      <c r="A98" s="811" t="s">
        <v>1583</v>
      </c>
    </row>
    <row r="99" spans="1:1">
      <c r="A99" s="811" t="s">
        <v>1584</v>
      </c>
    </row>
    <row r="100" spans="1:1">
      <c r="A100" s="811" t="s">
        <v>1585</v>
      </c>
    </row>
    <row r="101" spans="1:1">
      <c r="A101" s="811" t="s">
        <v>1586</v>
      </c>
    </row>
    <row r="102" spans="1:1">
      <c r="A102" s="811" t="s">
        <v>1587</v>
      </c>
    </row>
    <row r="103" spans="1:1">
      <c r="A103" s="811" t="s">
        <v>1588</v>
      </c>
    </row>
    <row r="104" spans="1:1">
      <c r="A104" s="811" t="s">
        <v>1589</v>
      </c>
    </row>
    <row r="105" spans="1:1">
      <c r="A105" s="811" t="s">
        <v>1590</v>
      </c>
    </row>
    <row r="106" spans="1:1">
      <c r="A106" s="811" t="s">
        <v>1486</v>
      </c>
    </row>
    <row r="107" spans="1:1">
      <c r="A107" s="811" t="s">
        <v>1484</v>
      </c>
    </row>
    <row r="108" spans="1:1">
      <c r="A108" s="811" t="s">
        <v>1492</v>
      </c>
    </row>
    <row r="109" spans="1:1">
      <c r="A109" s="811" t="s">
        <v>1591</v>
      </c>
    </row>
    <row r="110" spans="1:1">
      <c r="A110" s="811" t="s">
        <v>1592</v>
      </c>
    </row>
    <row r="111" spans="1:1">
      <c r="A111" s="811" t="s">
        <v>1593</v>
      </c>
    </row>
    <row r="112" spans="1:1">
      <c r="A112" s="811" t="s">
        <v>1594</v>
      </c>
    </row>
    <row r="113" spans="1:1">
      <c r="A113" s="811" t="s">
        <v>1595</v>
      </c>
    </row>
    <row r="114" spans="1:1">
      <c r="A114" s="811" t="s">
        <v>1596</v>
      </c>
    </row>
    <row r="115" spans="1:1">
      <c r="A115" s="811" t="s">
        <v>1597</v>
      </c>
    </row>
    <row r="116" spans="1:1">
      <c r="A116" s="811" t="s">
        <v>1598</v>
      </c>
    </row>
    <row r="117" spans="1:1">
      <c r="A117" s="811" t="s">
        <v>1599</v>
      </c>
    </row>
    <row r="118" spans="1:1">
      <c r="A118" s="811" t="s">
        <v>1600</v>
      </c>
    </row>
    <row r="119" spans="1:1">
      <c r="A119" s="811" t="s">
        <v>1601</v>
      </c>
    </row>
    <row r="120" spans="1:1">
      <c r="A120" s="811" t="s">
        <v>1602</v>
      </c>
    </row>
    <row r="121" spans="1:1">
      <c r="A121" s="811" t="s">
        <v>1603</v>
      </c>
    </row>
    <row r="122" spans="1:1">
      <c r="A122" s="811" t="s">
        <v>1604</v>
      </c>
    </row>
    <row r="123" spans="1:1">
      <c r="A123" s="811" t="s">
        <v>1605</v>
      </c>
    </row>
    <row r="124" spans="1:1">
      <c r="A124" s="811" t="s">
        <v>1606</v>
      </c>
    </row>
    <row r="125" spans="1:1">
      <c r="A125" s="811" t="s">
        <v>1607</v>
      </c>
    </row>
    <row r="126" spans="1:1">
      <c r="A126" s="811" t="s">
        <v>1608</v>
      </c>
    </row>
    <row r="127" spans="1:1">
      <c r="A127" s="811" t="s">
        <v>1609</v>
      </c>
    </row>
    <row r="128" spans="1:1">
      <c r="A128" s="811" t="s">
        <v>1610</v>
      </c>
    </row>
    <row r="129" spans="1:1">
      <c r="A129" s="811" t="s">
        <v>1611</v>
      </c>
    </row>
    <row r="130" spans="1:1">
      <c r="A130" s="811" t="s">
        <v>1612</v>
      </c>
    </row>
    <row r="131" spans="1:1">
      <c r="A131" s="811" t="s">
        <v>1613</v>
      </c>
    </row>
    <row r="132" spans="1:1">
      <c r="A132" s="811" t="s">
        <v>1614</v>
      </c>
    </row>
    <row r="133" spans="1:1">
      <c r="A133" s="811" t="s">
        <v>1615</v>
      </c>
    </row>
    <row r="134" spans="1:1">
      <c r="A134" s="811" t="s">
        <v>1616</v>
      </c>
    </row>
    <row r="135" spans="1:1">
      <c r="A135" s="811" t="s">
        <v>1617</v>
      </c>
    </row>
    <row r="136" spans="1:1">
      <c r="A136" s="811" t="s">
        <v>1618</v>
      </c>
    </row>
    <row r="137" spans="1:1">
      <c r="A137" s="811" t="s">
        <v>1619</v>
      </c>
    </row>
    <row r="138" spans="1:1">
      <c r="A138" s="811" t="s">
        <v>1620</v>
      </c>
    </row>
    <row r="139" spans="1:1">
      <c r="A139" s="811" t="s">
        <v>1621</v>
      </c>
    </row>
    <row r="140" spans="1:1">
      <c r="A140" s="811" t="s">
        <v>1622</v>
      </c>
    </row>
    <row r="141" spans="1:1">
      <c r="A141" s="811" t="s">
        <v>1623</v>
      </c>
    </row>
    <row r="142" spans="1:1">
      <c r="A142" s="811" t="s">
        <v>1624</v>
      </c>
    </row>
    <row r="143" spans="1:1">
      <c r="A143" s="811" t="s">
        <v>1625</v>
      </c>
    </row>
    <row r="144" spans="1:1">
      <c r="A144" s="811" t="s">
        <v>1626</v>
      </c>
    </row>
    <row r="145" spans="1:1">
      <c r="A145" s="811" t="s">
        <v>1627</v>
      </c>
    </row>
    <row r="146" spans="1:1">
      <c r="A146" s="811" t="s">
        <v>1628</v>
      </c>
    </row>
    <row r="147" spans="1:1">
      <c r="A147" s="811" t="s">
        <v>1629</v>
      </c>
    </row>
    <row r="148" spans="1:1">
      <c r="A148" s="811" t="s">
        <v>1630</v>
      </c>
    </row>
    <row r="149" spans="1:1">
      <c r="A149" s="811" t="s">
        <v>1631</v>
      </c>
    </row>
    <row r="150" spans="1:1">
      <c r="A150" s="811" t="s">
        <v>1632</v>
      </c>
    </row>
    <row r="151" spans="1:1">
      <c r="A151" s="811" t="s">
        <v>1633</v>
      </c>
    </row>
    <row r="152" spans="1:1">
      <c r="A152" s="811" t="s">
        <v>1634</v>
      </c>
    </row>
    <row r="153" spans="1:1">
      <c r="A153" s="811" t="s">
        <v>1635</v>
      </c>
    </row>
    <row r="154" spans="1:1">
      <c r="A154" s="811" t="s">
        <v>1636</v>
      </c>
    </row>
    <row r="155" spans="1:1">
      <c r="A155" s="811" t="s">
        <v>1637</v>
      </c>
    </row>
    <row r="156" spans="1:1">
      <c r="A156" s="811" t="s">
        <v>1638</v>
      </c>
    </row>
    <row r="157" spans="1:1">
      <c r="A157" s="811" t="s">
        <v>1639</v>
      </c>
    </row>
    <row r="158" spans="1:1">
      <c r="A158" s="811" t="s">
        <v>1487</v>
      </c>
    </row>
    <row r="159" spans="1:1">
      <c r="A159" s="811" t="s">
        <v>1484</v>
      </c>
    </row>
    <row r="160" spans="1:1">
      <c r="A160" s="811" t="s">
        <v>1492</v>
      </c>
    </row>
    <row r="161" spans="1:1">
      <c r="A161" s="811" t="s">
        <v>1640</v>
      </c>
    </row>
    <row r="162" spans="1:1">
      <c r="A162" s="811" t="s">
        <v>1641</v>
      </c>
    </row>
    <row r="163" spans="1:1">
      <c r="A163" s="811" t="s">
        <v>1642</v>
      </c>
    </row>
    <row r="164" spans="1:1">
      <c r="A164" s="811" t="s">
        <v>1643</v>
      </c>
    </row>
    <row r="165" spans="1:1">
      <c r="A165" s="811" t="s">
        <v>1644</v>
      </c>
    </row>
    <row r="166" spans="1:1">
      <c r="A166" s="811" t="s">
        <v>1645</v>
      </c>
    </row>
    <row r="167" spans="1:1">
      <c r="A167" s="811" t="s">
        <v>1646</v>
      </c>
    </row>
    <row r="168" spans="1:1">
      <c r="A168" s="811" t="s">
        <v>1647</v>
      </c>
    </row>
    <row r="169" spans="1:1">
      <c r="A169" s="811" t="s">
        <v>1648</v>
      </c>
    </row>
    <row r="170" spans="1:1">
      <c r="A170" s="811" t="s">
        <v>1649</v>
      </c>
    </row>
    <row r="171" spans="1:1">
      <c r="A171" s="811" t="s">
        <v>1650</v>
      </c>
    </row>
    <row r="172" spans="1:1">
      <c r="A172" s="811" t="s">
        <v>1651</v>
      </c>
    </row>
    <row r="173" spans="1:1">
      <c r="A173" s="811" t="s">
        <v>1652</v>
      </c>
    </row>
    <row r="174" spans="1:1">
      <c r="A174" s="811" t="s">
        <v>1653</v>
      </c>
    </row>
    <row r="175" spans="1:1">
      <c r="A175" s="811" t="s">
        <v>1654</v>
      </c>
    </row>
    <row r="176" spans="1:1">
      <c r="A176" s="811" t="s">
        <v>1655</v>
      </c>
    </row>
    <row r="177" spans="1:1">
      <c r="A177" s="811" t="s">
        <v>1656</v>
      </c>
    </row>
    <row r="178" spans="1:1">
      <c r="A178" s="811" t="s">
        <v>1657</v>
      </c>
    </row>
    <row r="179" spans="1:1">
      <c r="A179" s="811" t="s">
        <v>1658</v>
      </c>
    </row>
    <row r="180" spans="1:1">
      <c r="A180" s="811" t="s">
        <v>1659</v>
      </c>
    </row>
    <row r="181" spans="1:1">
      <c r="A181" s="811" t="s">
        <v>1660</v>
      </c>
    </row>
    <row r="182" spans="1:1">
      <c r="A182" s="811" t="s">
        <v>1661</v>
      </c>
    </row>
    <row r="183" spans="1:1">
      <c r="A183" s="811" t="s">
        <v>1662</v>
      </c>
    </row>
    <row r="184" spans="1:1">
      <c r="A184" s="811" t="s">
        <v>1663</v>
      </c>
    </row>
    <row r="185" spans="1:1">
      <c r="A185" s="811" t="s">
        <v>1664</v>
      </c>
    </row>
    <row r="186" spans="1:1">
      <c r="A186" s="811" t="s">
        <v>1665</v>
      </c>
    </row>
    <row r="187" spans="1:1">
      <c r="A187" s="811" t="s">
        <v>1666</v>
      </c>
    </row>
    <row r="188" spans="1:1">
      <c r="A188" s="811" t="s">
        <v>1667</v>
      </c>
    </row>
    <row r="189" spans="1:1">
      <c r="A189" s="811" t="s">
        <v>1668</v>
      </c>
    </row>
    <row r="190" spans="1:1">
      <c r="A190" s="811" t="s">
        <v>1669</v>
      </c>
    </row>
    <row r="191" spans="1:1">
      <c r="A191" s="811" t="s">
        <v>1670</v>
      </c>
    </row>
    <row r="192" spans="1:1">
      <c r="A192" s="811" t="s">
        <v>1671</v>
      </c>
    </row>
    <row r="193" spans="1:1">
      <c r="A193" s="811" t="s">
        <v>1672</v>
      </c>
    </row>
    <row r="194" spans="1:1">
      <c r="A194" s="811" t="s">
        <v>1673</v>
      </c>
    </row>
    <row r="195" spans="1:1">
      <c r="A195" s="811" t="s">
        <v>1674</v>
      </c>
    </row>
    <row r="196" spans="1:1">
      <c r="A196" s="811" t="s">
        <v>1675</v>
      </c>
    </row>
    <row r="197" spans="1:1">
      <c r="A197" s="811" t="s">
        <v>1676</v>
      </c>
    </row>
    <row r="198" spans="1:1">
      <c r="A198" s="811" t="s">
        <v>1677</v>
      </c>
    </row>
    <row r="199" spans="1:1">
      <c r="A199" s="811" t="s">
        <v>1678</v>
      </c>
    </row>
    <row r="200" spans="1:1">
      <c r="A200" s="811" t="s">
        <v>1679</v>
      </c>
    </row>
    <row r="201" spans="1:1">
      <c r="A201" s="811" t="s">
        <v>1680</v>
      </c>
    </row>
    <row r="202" spans="1:1">
      <c r="A202" s="811" t="s">
        <v>1681</v>
      </c>
    </row>
    <row r="203" spans="1:1">
      <c r="A203" s="811" t="s">
        <v>1682</v>
      </c>
    </row>
    <row r="204" spans="1:1">
      <c r="A204" s="811" t="s">
        <v>1683</v>
      </c>
    </row>
    <row r="205" spans="1:1">
      <c r="A205" s="811" t="s">
        <v>1684</v>
      </c>
    </row>
    <row r="206" spans="1:1">
      <c r="A206" s="811" t="s">
        <v>1685</v>
      </c>
    </row>
    <row r="207" spans="1:1">
      <c r="A207" s="811" t="s">
        <v>1686</v>
      </c>
    </row>
    <row r="208" spans="1:1">
      <c r="A208" s="811" t="s">
        <v>1687</v>
      </c>
    </row>
    <row r="209" spans="1:1">
      <c r="A209" s="811" t="s">
        <v>1688</v>
      </c>
    </row>
    <row r="210" spans="1:1">
      <c r="A210" s="811" t="s">
        <v>1488</v>
      </c>
    </row>
    <row r="211" spans="1:1">
      <c r="A211" s="811" t="s">
        <v>1484</v>
      </c>
    </row>
    <row r="212" spans="1:1">
      <c r="A212" s="811" t="s">
        <v>1492</v>
      </c>
    </row>
    <row r="213" spans="1:1">
      <c r="A213" s="811" t="s">
        <v>1689</v>
      </c>
    </row>
    <row r="214" spans="1:1">
      <c r="A214" s="811" t="s">
        <v>1690</v>
      </c>
    </row>
    <row r="215" spans="1:1">
      <c r="A215" s="811" t="s">
        <v>1691</v>
      </c>
    </row>
    <row r="216" spans="1:1">
      <c r="A216" s="811" t="s">
        <v>1692</v>
      </c>
    </row>
    <row r="217" spans="1:1">
      <c r="A217" s="811" t="s">
        <v>1693</v>
      </c>
    </row>
    <row r="218" spans="1:1">
      <c r="A218" s="811" t="s">
        <v>1694</v>
      </c>
    </row>
    <row r="219" spans="1:1">
      <c r="A219" s="811" t="s">
        <v>1695</v>
      </c>
    </row>
    <row r="220" spans="1:1">
      <c r="A220" s="811" t="s">
        <v>1696</v>
      </c>
    </row>
    <row r="221" spans="1:1">
      <c r="A221" s="811" t="s">
        <v>1697</v>
      </c>
    </row>
    <row r="222" spans="1:1">
      <c r="A222" s="811" t="s">
        <v>1698</v>
      </c>
    </row>
    <row r="223" spans="1:1">
      <c r="A223" s="811" t="s">
        <v>1699</v>
      </c>
    </row>
    <row r="224" spans="1:1">
      <c r="A224" s="811" t="s">
        <v>1700</v>
      </c>
    </row>
    <row r="225" spans="1:1">
      <c r="A225" s="811" t="s">
        <v>1701</v>
      </c>
    </row>
    <row r="226" spans="1:1">
      <c r="A226" s="811" t="s">
        <v>1702</v>
      </c>
    </row>
    <row r="227" spans="1:1">
      <c r="A227" s="811" t="s">
        <v>1703</v>
      </c>
    </row>
    <row r="228" spans="1:1">
      <c r="A228" s="811" t="s">
        <v>1704</v>
      </c>
    </row>
    <row r="229" spans="1:1">
      <c r="A229" s="811" t="s">
        <v>1705</v>
      </c>
    </row>
    <row r="230" spans="1:1">
      <c r="A230" s="811" t="s">
        <v>1706</v>
      </c>
    </row>
    <row r="231" spans="1:1">
      <c r="A231" s="811" t="s">
        <v>1707</v>
      </c>
    </row>
    <row r="232" spans="1:1">
      <c r="A232" s="811" t="s">
        <v>1708</v>
      </c>
    </row>
    <row r="233" spans="1:1">
      <c r="A233" s="811" t="s">
        <v>1709</v>
      </c>
    </row>
    <row r="234" spans="1:1">
      <c r="A234" s="811" t="s">
        <v>1710</v>
      </c>
    </row>
    <row r="235" spans="1:1">
      <c r="A235" s="811" t="s">
        <v>1711</v>
      </c>
    </row>
    <row r="236" spans="1:1">
      <c r="A236" s="811" t="s">
        <v>1712</v>
      </c>
    </row>
    <row r="237" spans="1:1">
      <c r="A237" s="811" t="s">
        <v>1713</v>
      </c>
    </row>
    <row r="238" spans="1:1">
      <c r="A238" s="811" t="s">
        <v>1714</v>
      </c>
    </row>
    <row r="239" spans="1:1">
      <c r="A239" s="811" t="s">
        <v>1715</v>
      </c>
    </row>
    <row r="240" spans="1:1">
      <c r="A240" s="811" t="s">
        <v>1716</v>
      </c>
    </row>
    <row r="241" spans="1:1">
      <c r="A241" s="811" t="s">
        <v>1717</v>
      </c>
    </row>
    <row r="242" spans="1:1">
      <c r="A242" s="811" t="s">
        <v>1718</v>
      </c>
    </row>
    <row r="243" spans="1:1">
      <c r="A243" s="811" t="s">
        <v>1719</v>
      </c>
    </row>
    <row r="244" spans="1:1">
      <c r="A244" s="811" t="s">
        <v>1720</v>
      </c>
    </row>
    <row r="245" spans="1:1">
      <c r="A245" s="811" t="s">
        <v>1721</v>
      </c>
    </row>
    <row r="246" spans="1:1">
      <c r="A246" s="811" t="s">
        <v>1722</v>
      </c>
    </row>
    <row r="247" spans="1:1">
      <c r="A247" s="811" t="s">
        <v>1723</v>
      </c>
    </row>
    <row r="248" spans="1:1">
      <c r="A248" s="811" t="s">
        <v>1724</v>
      </c>
    </row>
    <row r="249" spans="1:1">
      <c r="A249" s="811" t="s">
        <v>1725</v>
      </c>
    </row>
    <row r="250" spans="1:1">
      <c r="A250" s="811" t="s">
        <v>1726</v>
      </c>
    </row>
    <row r="251" spans="1:1">
      <c r="A251" s="811" t="s">
        <v>1727</v>
      </c>
    </row>
    <row r="252" spans="1:1">
      <c r="A252" s="811" t="s">
        <v>1728</v>
      </c>
    </row>
    <row r="253" spans="1:1">
      <c r="A253" s="811" t="s">
        <v>1729</v>
      </c>
    </row>
    <row r="254" spans="1:1">
      <c r="A254" s="811" t="s">
        <v>1730</v>
      </c>
    </row>
    <row r="255" spans="1:1">
      <c r="A255" s="811" t="s">
        <v>1731</v>
      </c>
    </row>
    <row r="256" spans="1:1">
      <c r="A256" s="811" t="s">
        <v>1732</v>
      </c>
    </row>
    <row r="257" spans="1:1">
      <c r="A257" s="811" t="s">
        <v>1733</v>
      </c>
    </row>
    <row r="258" spans="1:1">
      <c r="A258" s="811" t="s">
        <v>1734</v>
      </c>
    </row>
    <row r="259" spans="1:1">
      <c r="A259" s="811" t="s">
        <v>1735</v>
      </c>
    </row>
    <row r="260" spans="1:1">
      <c r="A260" s="811" t="s">
        <v>1736</v>
      </c>
    </row>
    <row r="261" spans="1:1">
      <c r="A261" s="811" t="s">
        <v>1737</v>
      </c>
    </row>
    <row r="262" spans="1:1">
      <c r="A262" s="811" t="s">
        <v>1489</v>
      </c>
    </row>
    <row r="263" spans="1:1">
      <c r="A263" s="811" t="s">
        <v>1484</v>
      </c>
    </row>
    <row r="264" spans="1:1">
      <c r="A264" s="811" t="s">
        <v>1492</v>
      </c>
    </row>
    <row r="265" spans="1:1">
      <c r="A265" s="811" t="s">
        <v>1738</v>
      </c>
    </row>
    <row r="266" spans="1:1">
      <c r="A266" s="811" t="s">
        <v>1739</v>
      </c>
    </row>
    <row r="267" spans="1:1">
      <c r="A267" s="811" t="s">
        <v>1740</v>
      </c>
    </row>
    <row r="268" spans="1:1">
      <c r="A268" s="811" t="s">
        <v>1741</v>
      </c>
    </row>
    <row r="269" spans="1:1">
      <c r="A269" s="811" t="s">
        <v>1742</v>
      </c>
    </row>
    <row r="270" spans="1:1">
      <c r="A270" s="811" t="s">
        <v>1743</v>
      </c>
    </row>
    <row r="271" spans="1:1">
      <c r="A271" s="811" t="s">
        <v>1744</v>
      </c>
    </row>
    <row r="272" spans="1:1">
      <c r="A272" s="811" t="s">
        <v>1745</v>
      </c>
    </row>
    <row r="273" spans="1:1">
      <c r="A273" s="811" t="s">
        <v>1746</v>
      </c>
    </row>
    <row r="274" spans="1:1">
      <c r="A274" s="811" t="s">
        <v>1747</v>
      </c>
    </row>
    <row r="275" spans="1:1">
      <c r="A275" s="811" t="s">
        <v>1748</v>
      </c>
    </row>
    <row r="276" spans="1:1">
      <c r="A276" s="811" t="s">
        <v>1749</v>
      </c>
    </row>
    <row r="277" spans="1:1">
      <c r="A277" s="811" t="s">
        <v>1750</v>
      </c>
    </row>
    <row r="278" spans="1:1">
      <c r="A278" s="811" t="s">
        <v>1751</v>
      </c>
    </row>
    <row r="279" spans="1:1">
      <c r="A279" s="811" t="s">
        <v>1752</v>
      </c>
    </row>
    <row r="280" spans="1:1">
      <c r="A280" s="811" t="s">
        <v>1753</v>
      </c>
    </row>
    <row r="281" spans="1:1">
      <c r="A281" s="811" t="s">
        <v>1754</v>
      </c>
    </row>
    <row r="282" spans="1:1">
      <c r="A282" s="811" t="s">
        <v>1755</v>
      </c>
    </row>
    <row r="283" spans="1:1">
      <c r="A283" s="811" t="s">
        <v>1756</v>
      </c>
    </row>
    <row r="284" spans="1:1">
      <c r="A284" s="811" t="s">
        <v>1757</v>
      </c>
    </row>
    <row r="285" spans="1:1">
      <c r="A285" s="811" t="s">
        <v>1758</v>
      </c>
    </row>
    <row r="286" spans="1:1">
      <c r="A286" s="811" t="s">
        <v>1759</v>
      </c>
    </row>
    <row r="287" spans="1:1">
      <c r="A287" s="811" t="s">
        <v>1760</v>
      </c>
    </row>
    <row r="288" spans="1:1">
      <c r="A288" s="811" t="s">
        <v>1761</v>
      </c>
    </row>
    <row r="289" spans="1:1">
      <c r="A289" s="811" t="s">
        <v>1762</v>
      </c>
    </row>
    <row r="290" spans="1:1">
      <c r="A290" s="811" t="s">
        <v>1763</v>
      </c>
    </row>
    <row r="291" spans="1:1">
      <c r="A291" s="811" t="s">
        <v>1764</v>
      </c>
    </row>
    <row r="292" spans="1:1">
      <c r="A292" s="811" t="s">
        <v>1765</v>
      </c>
    </row>
    <row r="293" spans="1:1">
      <c r="A293" s="811" t="s">
        <v>1766</v>
      </c>
    </row>
    <row r="294" spans="1:1">
      <c r="A294" s="811" t="s">
        <v>1767</v>
      </c>
    </row>
    <row r="295" spans="1:1">
      <c r="A295" s="811" t="s">
        <v>1768</v>
      </c>
    </row>
    <row r="296" spans="1:1">
      <c r="A296" s="811" t="s">
        <v>1769</v>
      </c>
    </row>
    <row r="297" spans="1:1">
      <c r="A297" s="811" t="s">
        <v>1770</v>
      </c>
    </row>
    <row r="298" spans="1:1">
      <c r="A298" s="811" t="s">
        <v>1771</v>
      </c>
    </row>
    <row r="299" spans="1:1">
      <c r="A299" s="811" t="s">
        <v>1772</v>
      </c>
    </row>
    <row r="300" spans="1:1">
      <c r="A300" s="811" t="s">
        <v>1773</v>
      </c>
    </row>
    <row r="301" spans="1:1">
      <c r="A301" s="811" t="s">
        <v>1774</v>
      </c>
    </row>
    <row r="302" spans="1:1">
      <c r="A302" s="811" t="s">
        <v>1775</v>
      </c>
    </row>
    <row r="303" spans="1:1">
      <c r="A303" s="811" t="s">
        <v>1776</v>
      </c>
    </row>
    <row r="304" spans="1:1">
      <c r="A304" s="811" t="s">
        <v>1777</v>
      </c>
    </row>
    <row r="305" spans="1:1">
      <c r="A305" s="811" t="s">
        <v>1778</v>
      </c>
    </row>
    <row r="306" spans="1:1">
      <c r="A306" s="811" t="s">
        <v>1779</v>
      </c>
    </row>
    <row r="307" spans="1:1">
      <c r="A307" s="811" t="s">
        <v>1780</v>
      </c>
    </row>
    <row r="308" spans="1:1">
      <c r="A308" s="811" t="s">
        <v>1781</v>
      </c>
    </row>
    <row r="309" spans="1:1">
      <c r="A309" s="811" t="s">
        <v>1782</v>
      </c>
    </row>
    <row r="310" spans="1:1">
      <c r="A310" s="811" t="s">
        <v>1783</v>
      </c>
    </row>
    <row r="311" spans="1:1">
      <c r="A311" s="811" t="s">
        <v>1784</v>
      </c>
    </row>
    <row r="312" spans="1:1">
      <c r="A312" s="811" t="s">
        <v>1785</v>
      </c>
    </row>
    <row r="313" spans="1:1">
      <c r="A313" s="811" t="s">
        <v>1786</v>
      </c>
    </row>
    <row r="314" spans="1:1">
      <c r="A314" s="811" t="s">
        <v>1490</v>
      </c>
    </row>
    <row r="315" spans="1:1">
      <c r="A315" s="811" t="s">
        <v>1484</v>
      </c>
    </row>
    <row r="316" spans="1:1">
      <c r="A316" s="811" t="s">
        <v>1492</v>
      </c>
    </row>
    <row r="317" spans="1:1">
      <c r="A317" s="811" t="s">
        <v>1787</v>
      </c>
    </row>
    <row r="318" spans="1:1">
      <c r="A318" s="811" t="s">
        <v>1788</v>
      </c>
    </row>
    <row r="319" spans="1:1">
      <c r="A319" s="811" t="s">
        <v>1789</v>
      </c>
    </row>
    <row r="320" spans="1:1">
      <c r="A320" s="811" t="s">
        <v>1790</v>
      </c>
    </row>
    <row r="321" spans="1:2">
      <c r="A321" s="811" t="s">
        <v>1791</v>
      </c>
    </row>
    <row r="322" spans="1:2">
      <c r="A322" s="811" t="s">
        <v>1792</v>
      </c>
    </row>
    <row r="323" spans="1:2">
      <c r="A323" s="811" t="s">
        <v>1793</v>
      </c>
    </row>
    <row r="324" spans="1:2">
      <c r="A324" s="811" t="s">
        <v>1794</v>
      </c>
    </row>
    <row r="325" spans="1:2">
      <c r="A325" s="811" t="s">
        <v>1795</v>
      </c>
    </row>
    <row r="326" spans="1:2">
      <c r="A326" s="811" t="s">
        <v>1796</v>
      </c>
    </row>
    <row r="327" spans="1:2">
      <c r="A327" s="811" t="s">
        <v>1797</v>
      </c>
    </row>
    <row r="328" spans="1:2">
      <c r="A328" s="811" t="s">
        <v>1798</v>
      </c>
    </row>
    <row r="329" spans="1:2">
      <c r="A329" s="811" t="s">
        <v>1799</v>
      </c>
    </row>
    <row r="330" spans="1:2">
      <c r="A330" s="811" t="s">
        <v>1800</v>
      </c>
    </row>
    <row r="331" spans="1:2">
      <c r="A331" s="811" t="s">
        <v>1801</v>
      </c>
      <c r="B331">
        <v>686591030.19000006</v>
      </c>
    </row>
    <row r="332" spans="1:2">
      <c r="B332" s="540">
        <v>686591030.19000006</v>
      </c>
    </row>
  </sheetData>
  <phoneticPr fontId="13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O18"/>
  <sheetViews>
    <sheetView workbookViewId="0">
      <selection activeCell="F23" sqref="F23"/>
    </sheetView>
  </sheetViews>
  <sheetFormatPr defaultRowHeight="15"/>
  <cols>
    <col min="1" max="1" width="8" bestFit="1" customWidth="1"/>
    <col min="2" max="2" width="29.90625" bestFit="1" customWidth="1"/>
    <col min="3" max="3" width="10.1796875" bestFit="1" customWidth="1"/>
    <col min="4" max="4" width="17.36328125" bestFit="1" customWidth="1"/>
    <col min="5" max="5" width="43.08984375" bestFit="1" customWidth="1"/>
    <col min="6" max="6" width="10.81640625" customWidth="1"/>
    <col min="7" max="7" width="12.36328125" customWidth="1"/>
    <col min="8" max="8" width="19.1796875" style="540" bestFit="1" customWidth="1"/>
    <col min="9" max="9" width="18.453125" customWidth="1"/>
    <col min="10" max="10" width="30.6328125" bestFit="1" customWidth="1"/>
    <col min="11" max="11" width="12" bestFit="1" customWidth="1"/>
    <col min="12" max="12" width="7.1796875" bestFit="1" customWidth="1"/>
    <col min="13" max="13" width="12.1796875" bestFit="1" customWidth="1"/>
    <col min="14" max="14" width="7.1796875" bestFit="1" customWidth="1"/>
    <col min="15" max="15" width="7.453125" bestFit="1" customWidth="1"/>
  </cols>
  <sheetData>
    <row r="2" spans="1:15" ht="15.6">
      <c r="I2" s="789" t="s">
        <v>1458</v>
      </c>
    </row>
    <row r="3" spans="1:15">
      <c r="I3" s="544">
        <f>SUM(Table_CY_GAAP[Amount])-SUMIFS(Table_CY_GAAP[[#All],[Amount]],Table_CY_GAAP[[#All],[Fund]],"0948000")</f>
        <v>-42479487</v>
      </c>
    </row>
    <row r="4" spans="1:15">
      <c r="A4" t="s">
        <v>388</v>
      </c>
      <c r="B4" t="s">
        <v>1424</v>
      </c>
      <c r="C4" t="s">
        <v>1425</v>
      </c>
      <c r="D4" t="s">
        <v>1426</v>
      </c>
      <c r="E4" t="s">
        <v>1427</v>
      </c>
      <c r="F4" t="s">
        <v>1428</v>
      </c>
      <c r="G4" s="545" t="s">
        <v>1429</v>
      </c>
      <c r="H4" s="788" t="s">
        <v>1457</v>
      </c>
      <c r="I4" s="540" t="s">
        <v>1430</v>
      </c>
      <c r="J4" t="s">
        <v>1431</v>
      </c>
      <c r="K4" t="s">
        <v>1432</v>
      </c>
      <c r="L4" t="s">
        <v>119</v>
      </c>
      <c r="M4" t="s">
        <v>1433</v>
      </c>
      <c r="N4" t="s">
        <v>120</v>
      </c>
      <c r="O4" t="s">
        <v>1434</v>
      </c>
    </row>
    <row r="5" spans="1:15">
      <c r="A5" t="s">
        <v>1450</v>
      </c>
      <c r="B5" t="s">
        <v>1436</v>
      </c>
      <c r="C5" t="s">
        <v>1437</v>
      </c>
      <c r="D5" t="s">
        <v>1439</v>
      </c>
      <c r="E5" t="s">
        <v>1443</v>
      </c>
      <c r="F5" t="s">
        <v>1444</v>
      </c>
      <c r="G5" t="s">
        <v>1445</v>
      </c>
      <c r="H5" t="str">
        <f>Table_CY_GAAP[[#This Row],[Fund]]&amp;Table_CY_GAAP[[#This Row],[GLAccount]]</f>
        <v>056200006920000000</v>
      </c>
      <c r="I5" s="540">
        <v>-8337000</v>
      </c>
      <c r="J5" t="s">
        <v>1468</v>
      </c>
      <c r="K5" t="s">
        <v>1435</v>
      </c>
      <c r="L5" t="s">
        <v>105</v>
      </c>
      <c r="M5" t="s">
        <v>1438</v>
      </c>
      <c r="N5" t="s">
        <v>179</v>
      </c>
    </row>
    <row r="6" spans="1:15">
      <c r="A6" t="s">
        <v>1440</v>
      </c>
      <c r="B6" t="s">
        <v>1436</v>
      </c>
      <c r="C6" t="s">
        <v>1437</v>
      </c>
      <c r="D6" t="s">
        <v>1439</v>
      </c>
      <c r="E6" t="s">
        <v>1443</v>
      </c>
      <c r="F6" t="s">
        <v>1444</v>
      </c>
      <c r="G6" t="s">
        <v>1445</v>
      </c>
      <c r="H6" t="str">
        <f>Table_CY_GAAP[[#This Row],[Fund]]&amp;Table_CY_GAAP[[#This Row],[GLAccount]]</f>
        <v>094800006920000000</v>
      </c>
      <c r="I6" s="620">
        <v>-67944000</v>
      </c>
      <c r="J6" t="s">
        <v>1441</v>
      </c>
      <c r="K6" t="s">
        <v>1435</v>
      </c>
      <c r="L6" t="s">
        <v>105</v>
      </c>
      <c r="M6" t="s">
        <v>1438</v>
      </c>
      <c r="N6" t="s">
        <v>1442</v>
      </c>
    </row>
    <row r="7" spans="1:15">
      <c r="A7" t="s">
        <v>1446</v>
      </c>
      <c r="B7" t="s">
        <v>1436</v>
      </c>
      <c r="C7" t="s">
        <v>1437</v>
      </c>
      <c r="D7" t="s">
        <v>1439</v>
      </c>
      <c r="E7" t="s">
        <v>1443</v>
      </c>
      <c r="F7" t="s">
        <v>1444</v>
      </c>
      <c r="G7" t="s">
        <v>1445</v>
      </c>
      <c r="H7" t="str">
        <f>Table_CY_GAAP[[#This Row],[Fund]]&amp;Table_CY_GAAP[[#This Row],[GLAccount]]</f>
        <v>091700006920000000</v>
      </c>
      <c r="I7" s="620">
        <v>-4378000</v>
      </c>
      <c r="J7" t="s">
        <v>1447</v>
      </c>
      <c r="K7" t="s">
        <v>1435</v>
      </c>
      <c r="L7" t="s">
        <v>105</v>
      </c>
      <c r="M7" t="s">
        <v>1435</v>
      </c>
      <c r="N7" t="s">
        <v>109</v>
      </c>
    </row>
    <row r="8" spans="1:15">
      <c r="A8" t="s">
        <v>1451</v>
      </c>
      <c r="B8" t="s">
        <v>1436</v>
      </c>
      <c r="C8" t="s">
        <v>1437</v>
      </c>
      <c r="D8" t="s">
        <v>1439</v>
      </c>
      <c r="E8" t="s">
        <v>1443</v>
      </c>
      <c r="F8" t="s">
        <v>1444</v>
      </c>
      <c r="G8" t="s">
        <v>1445</v>
      </c>
      <c r="H8" t="str">
        <f>Table_CY_GAAP[[#This Row],[Fund]]&amp;Table_CY_GAAP[[#This Row],[GLAccount]]</f>
        <v>066600006920000000</v>
      </c>
      <c r="I8" s="540">
        <v>-28118000</v>
      </c>
      <c r="J8" t="s">
        <v>1461</v>
      </c>
      <c r="K8" t="s">
        <v>1438</v>
      </c>
      <c r="L8" t="s">
        <v>11</v>
      </c>
      <c r="M8" t="s">
        <v>1435</v>
      </c>
      <c r="N8" t="s">
        <v>101</v>
      </c>
    </row>
    <row r="9" spans="1:15">
      <c r="A9" t="s">
        <v>1454</v>
      </c>
      <c r="B9" t="s">
        <v>1436</v>
      </c>
      <c r="C9" t="s">
        <v>1437</v>
      </c>
      <c r="D9" t="s">
        <v>1439</v>
      </c>
      <c r="E9" t="s">
        <v>1443</v>
      </c>
      <c r="F9" t="s">
        <v>1444</v>
      </c>
      <c r="G9" t="s">
        <v>1445</v>
      </c>
      <c r="H9" t="str">
        <f>Table_CY_GAAP[[#This Row],[Fund]]&amp;Table_CY_GAAP[[#This Row],[GLAccount]]</f>
        <v>060200006920000000</v>
      </c>
      <c r="I9" s="540">
        <v>-290000</v>
      </c>
      <c r="J9" t="s">
        <v>1462</v>
      </c>
      <c r="K9" t="s">
        <v>1438</v>
      </c>
      <c r="L9" t="s">
        <v>11</v>
      </c>
      <c r="M9" t="s">
        <v>1435</v>
      </c>
      <c r="N9" t="s">
        <v>11</v>
      </c>
    </row>
    <row r="10" spans="1:15">
      <c r="A10" t="s">
        <v>1452</v>
      </c>
      <c r="B10" t="s">
        <v>1436</v>
      </c>
      <c r="C10" t="s">
        <v>1437</v>
      </c>
      <c r="D10" t="s">
        <v>1439</v>
      </c>
      <c r="E10" t="s">
        <v>1443</v>
      </c>
      <c r="F10" t="s">
        <v>1444</v>
      </c>
      <c r="G10" t="s">
        <v>1445</v>
      </c>
      <c r="H10" t="str">
        <f>Table_CY_GAAP[[#This Row],[Fund]]&amp;Table_CY_GAAP[[#This Row],[GLAccount]]</f>
        <v>973000006920000000</v>
      </c>
      <c r="I10" s="540">
        <v>-136487</v>
      </c>
      <c r="J10" t="s">
        <v>1469</v>
      </c>
      <c r="K10" t="s">
        <v>1438</v>
      </c>
      <c r="L10" t="s">
        <v>11</v>
      </c>
      <c r="M10" t="s">
        <v>1435</v>
      </c>
      <c r="N10" t="s">
        <v>179</v>
      </c>
    </row>
    <row r="11" spans="1:15">
      <c r="A11" t="s">
        <v>1456</v>
      </c>
      <c r="B11" t="s">
        <v>1436</v>
      </c>
      <c r="C11" t="s">
        <v>1437</v>
      </c>
      <c r="D11" t="s">
        <v>1439</v>
      </c>
      <c r="E11" t="s">
        <v>1443</v>
      </c>
      <c r="F11" t="s">
        <v>1444</v>
      </c>
      <c r="G11" t="s">
        <v>1445</v>
      </c>
      <c r="H11" t="str">
        <f>Table_CY_GAAP[[#This Row],[Fund]]&amp;Table_CY_GAAP[[#This Row],[GLAccount]]</f>
        <v>002600006920000000</v>
      </c>
      <c r="I11" s="540">
        <v>-7000</v>
      </c>
      <c r="J11" t="s">
        <v>1459</v>
      </c>
      <c r="K11" t="s">
        <v>1438</v>
      </c>
      <c r="L11" t="s">
        <v>11</v>
      </c>
      <c r="M11" t="s">
        <v>1435</v>
      </c>
      <c r="N11" t="s">
        <v>109</v>
      </c>
    </row>
    <row r="12" spans="1:15">
      <c r="A12" t="s">
        <v>1448</v>
      </c>
      <c r="B12" t="s">
        <v>1436</v>
      </c>
      <c r="C12" t="s">
        <v>1437</v>
      </c>
      <c r="D12" t="s">
        <v>1439</v>
      </c>
      <c r="E12" t="s">
        <v>1443</v>
      </c>
      <c r="F12" t="s">
        <v>1444</v>
      </c>
      <c r="G12" t="s">
        <v>1445</v>
      </c>
      <c r="H12" t="str">
        <f>Table_CY_GAAP[[#This Row],[Fund]]&amp;Table_CY_GAAP[[#This Row],[GLAccount]]</f>
        <v>974600006920000000</v>
      </c>
      <c r="I12" s="620">
        <v>-3000</v>
      </c>
      <c r="J12" t="s">
        <v>1449</v>
      </c>
      <c r="K12" t="s">
        <v>1438</v>
      </c>
      <c r="L12" t="s">
        <v>11</v>
      </c>
      <c r="M12" t="s">
        <v>1435</v>
      </c>
      <c r="N12" t="s">
        <v>109</v>
      </c>
    </row>
    <row r="13" spans="1:15">
      <c r="A13" t="s">
        <v>1455</v>
      </c>
      <c r="B13" t="s">
        <v>1436</v>
      </c>
      <c r="C13" t="s">
        <v>1437</v>
      </c>
      <c r="D13" t="s">
        <v>1439</v>
      </c>
      <c r="E13" t="s">
        <v>1443</v>
      </c>
      <c r="F13" t="s">
        <v>1444</v>
      </c>
      <c r="G13" t="s">
        <v>1445</v>
      </c>
      <c r="H13" t="str">
        <f>Table_CY_GAAP[[#This Row],[Fund]]&amp;Table_CY_GAAP[[#This Row],[GLAccount]]</f>
        <v>975100006920000000</v>
      </c>
      <c r="I13" s="620">
        <v>-1210000</v>
      </c>
      <c r="J13" t="s">
        <v>1460</v>
      </c>
      <c r="K13" t="s">
        <v>1438</v>
      </c>
      <c r="L13" t="s">
        <v>11</v>
      </c>
      <c r="M13" t="s">
        <v>1435</v>
      </c>
      <c r="N13" t="s">
        <v>109</v>
      </c>
    </row>
    <row r="17" spans="9:9">
      <c r="I17" s="544"/>
    </row>
    <row r="18" spans="9:9">
      <c r="I18" s="544"/>
    </row>
  </sheetData>
  <pageMargins left="0.7" right="0.7" top="0.75" bottom="0.75" header="0.3" footer="0.3"/>
  <pageSetup paperSize="5" scale="55" fitToHeight="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6.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121</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280</v>
      </c>
      <c r="AT9" s="882"/>
      <c r="AU9" s="882"/>
      <c r="AV9" s="883"/>
      <c r="AW9" s="34"/>
      <c r="AX9" s="881"/>
      <c r="AY9" s="882"/>
      <c r="AZ9" s="882"/>
      <c r="BA9" s="882"/>
      <c r="BB9" s="882"/>
      <c r="BC9" s="883"/>
      <c r="BD9" s="912">
        <f>'1. Summary 2324'!G21</f>
        <v>122145.43738519636</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121</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281</v>
      </c>
      <c r="AT12" s="882"/>
      <c r="AU12" s="882"/>
      <c r="AV12" s="883"/>
      <c r="AW12" s="34"/>
      <c r="AX12" s="881"/>
      <c r="AY12" s="882"/>
      <c r="AZ12" s="882"/>
      <c r="BA12" s="882"/>
      <c r="BB12" s="882"/>
      <c r="BC12" s="883"/>
      <c r="BD12" s="912">
        <f>'1. Summary 2324'!G22</f>
        <v>10202.534968383728</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121</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282</v>
      </c>
      <c r="AT15" s="882"/>
      <c r="AU15" s="882"/>
      <c r="AV15" s="883"/>
      <c r="AW15" s="34"/>
      <c r="AX15" s="881"/>
      <c r="AY15" s="882"/>
      <c r="AZ15" s="882"/>
      <c r="BA15" s="882"/>
      <c r="BB15" s="882"/>
      <c r="BC15" s="883"/>
      <c r="BD15" s="912">
        <f>'1. Summary 2324'!G24</f>
        <v>603157.16070608329</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121</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2324'!G26</f>
        <v>465705.81571941049</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121</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283</v>
      </c>
      <c r="AT21" s="882"/>
      <c r="AU21" s="882"/>
      <c r="AV21" s="883"/>
      <c r="AW21" s="34"/>
      <c r="AX21" s="881"/>
      <c r="AY21" s="882"/>
      <c r="AZ21" s="882"/>
      <c r="BA21" s="882"/>
      <c r="BB21" s="882"/>
      <c r="BC21" s="883"/>
      <c r="BD21" s="912">
        <f>'1. Summary 2324'!G27</f>
        <v>1147.1633525840814</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121</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14</v>
      </c>
      <c r="AT24" s="882"/>
      <c r="AU24" s="882"/>
      <c r="AV24" s="883"/>
      <c r="AW24" s="34"/>
      <c r="AX24" s="881"/>
      <c r="AY24" s="882"/>
      <c r="AZ24" s="882"/>
      <c r="BA24" s="882"/>
      <c r="BB24" s="882"/>
      <c r="BC24" s="883"/>
      <c r="BD24" s="912">
        <f>'1. Summary 2324'!G29</f>
        <v>3432683.0640612757</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121</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281</v>
      </c>
      <c r="AT27" s="882"/>
      <c r="AU27" s="882"/>
      <c r="AV27" s="883"/>
      <c r="AW27" s="34"/>
      <c r="AX27" s="881"/>
      <c r="AY27" s="882"/>
      <c r="AZ27" s="882"/>
      <c r="BA27" s="882"/>
      <c r="BB27" s="882"/>
      <c r="BC27" s="883"/>
      <c r="BD27" s="915">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c r="CF27" s="584"/>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c r="CF29" s="584"/>
    </row>
    <row r="30" spans="2:84" ht="30.75" customHeight="1">
      <c r="C30" s="881" t="s">
        <v>121</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'1. Summary 2324'!G30-'1. Summary 2324'!G25-'1. Summary 2324'!G23+0.02</f>
        <v>4635041.1961929332</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4"/>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9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9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9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9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9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9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9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9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9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9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9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9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9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900-00000D000000}">
      <formula1>0</formula1>
      <formula2>7</formula2>
    </dataValidation>
    <dataValidation type="textLength" allowBlank="1" showInputMessage="1" showErrorMessage="1" error="EXCEEDED CHARACTER LIMIT!!!!!!" prompt="DESCRIPTION (25 CHARACTER LIMIT)" sqref="B29 B23 B14 B20 B11 B26 B17 B35 B32" xr:uid="{00000000-0002-0000-09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'TC 35'!BS2:CC3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352</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1340</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281</v>
      </c>
      <c r="AT9" s="882"/>
      <c r="AU9" s="882"/>
      <c r="AV9" s="883"/>
      <c r="AW9" s="34"/>
      <c r="AX9" s="881"/>
      <c r="AY9" s="882"/>
      <c r="AZ9" s="882"/>
      <c r="BA9" s="882"/>
      <c r="BB9" s="882"/>
      <c r="BC9" s="883"/>
      <c r="BD9" s="912">
        <f>'1. Summary 2324'!D23</f>
        <v>0</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F9" s="585"/>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c r="CF10" s="585"/>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c r="CF11" s="585"/>
    </row>
    <row r="12" spans="2:88" ht="30.75" customHeight="1">
      <c r="C12" s="881" t="s">
        <v>1340</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0</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c r="CF12" s="585"/>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c r="CF13" s="585"/>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c r="CF14" s="585"/>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c r="CF15" s="585"/>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c r="CF17" s="584"/>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5"/>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YOU'VE EXCEEDED CHARACTER LIMIT!!!!!" prompt="FUND NUMBER(7)" sqref="C21 C15 C9 C30 C27 C18 C33 C24 C12" xr:uid="{00000000-0002-0000-0A00-000000000000}">
      <formula1>0</formula1>
      <formula2>7</formula2>
    </dataValidation>
    <dataValidation type="textLength" allowBlank="1" showInputMessage="1" showErrorMessage="1" error="YOU'VE EXCEEDED CHARACTER LIMIT!!!!!" prompt="AGENCY NUMBER (4)" sqref="J18:M18 J27:M27 J30:M30 J33:M33 J9:M9 J15:M15 J21:M21 J24:M24 J12:M12" xr:uid="{00000000-0002-0000-0A00-000001000000}">
      <formula1>0</formula1>
      <formula2>4</formula2>
    </dataValidation>
    <dataValidation type="textLength" allowBlank="1" showInputMessage="1" showErrorMessage="1" error="YOU'VE EXCEEDED CHARACTER LIMIT!!!!!" prompt="FISCAL YEAR (4)" sqref="N18:Q18 N27:Q27 N30:Q30 N33:Q33 N9:Q9 N15:Q15 N21:Q21 N24:Q24 N12:Q12" xr:uid="{00000000-0002-0000-0A00-000002000000}">
      <formula1>0</formula1>
      <formula2>4</formula2>
    </dataValidation>
    <dataValidation type="textLength" allowBlank="1" showInputMessage="1" showErrorMessage="1" error="YOU'VE EXCEEDED CHARACTER LIMIT!!!!!" prompt="REFERENCE/ITEM(6)" sqref="S18:X18 S27:X27 S30:X30 S33:X33 S9:X9 S15:X15 S21:X21 S24:X24 S12:X12" xr:uid="{00000000-0002-0000-0A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A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A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A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A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A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A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A00-00000A000000}">
      <formula1>0</formula1>
      <formula2>3</formula2>
    </dataValidation>
    <dataValidation type="textLength" allowBlank="1" showInputMessage="1" showErrorMessage="1" error="EXCEEDED CHARACTER LIMIT!!!!!!" prompt="ACCOUNT (4)" sqref="AS18:AV18 AS27:AV27 AS30:AV30 AS21:AV21 AS9:AV9 AS33:AV33 AS24:AV24 AS15:AV15 AS12:AV12" xr:uid="{00000000-0002-0000-0A00-00000B000000}">
      <formula1>0</formula1>
      <formula2>4</formula2>
    </dataValidation>
    <dataValidation type="textLength" allowBlank="1" showInputMessage="1" showErrorMessage="1" error="EXCEEDED CHARACTER LIMIT!!!!!!" prompt="REVENUE / OBJECT CODE (6)" sqref="AX18:BC18 AX33:BC33 AX9:BC9 AX15:BC15 AX21:BC21 AX24:BC24 AX27:BC27 AX30:BC30 AX12:BC12" xr:uid="{00000000-0002-0000-0A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A00-00000D000000}">
      <formula1>0</formula1>
      <formula2>7</formula2>
    </dataValidation>
    <dataValidation type="textLength" allowBlank="1" showInputMessage="1" showErrorMessage="1" error="EXCEEDED CHARACTER LIMIT!!!!!!" prompt="DESCRIPTION (25 CHARACTER LIMIT)" sqref="B29 B23 B11 B20 B32 B26 B17 B35 B14" xr:uid="{00000000-0002-0000-0A00-00000E000000}">
      <formula1>0</formula1>
      <formula2>25</formula2>
    </dataValidation>
  </dataValidations>
  <pageMargins left="0.217" right="0.25" top="0.2" bottom="0.3" header="0.5" footer="0.5"/>
  <pageSetup paperSize="5" scale="63" pageOrder="overThenDown"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'TC 35'!BS2:CC3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353</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45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282</v>
      </c>
      <c r="AT9" s="882"/>
      <c r="AU9" s="882"/>
      <c r="AV9" s="883"/>
      <c r="AW9" s="34"/>
      <c r="AX9" s="881"/>
      <c r="AY9" s="882"/>
      <c r="AZ9" s="882"/>
      <c r="BA9" s="882"/>
      <c r="BB9" s="882"/>
      <c r="BC9" s="883"/>
      <c r="BD9" s="912">
        <f>'1. Summary 2324'!G25</f>
        <v>115957.23310170474</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F9" s="585"/>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c r="CF10" s="585"/>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c r="CF11" s="585"/>
    </row>
    <row r="12" spans="2:88" ht="30.75" customHeight="1">
      <c r="C12" s="881" t="s">
        <v>45</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115957.23310170474</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c r="CF12" s="585"/>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c r="CF13" s="585"/>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c r="CF14" s="585"/>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c r="CF15" s="585"/>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c r="CF17" s="584"/>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5"/>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EXCEEDED CHARACTER LIMIT!!!!!!" prompt="DESCRIPTION (25 CHARACTER LIMIT)" sqref="B29 B23 B11 B20 B32 B26 B17 B35 B14" xr:uid="{00000000-0002-0000-0B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0B00-000001000000}">
      <formula1>0</formula1>
      <formula2>7</formula2>
    </dataValidation>
    <dataValidation type="textLength" allowBlank="1" showInputMessage="1" showErrorMessage="1" error="EXCEEDED CHARACTER LIMIT!!!!!!" prompt="REVENUE / OBJECT CODE (6)" sqref="AX18:BC18 AX33:BC33 AX9:BC9 AX15:BC15 AX21:BC21 AX24:BC24 AX27:BC27 AX30:BC30 AX12:BC12" xr:uid="{00000000-0002-0000-0B00-000002000000}">
      <formula1>0</formula1>
      <formula2>6</formula2>
    </dataValidation>
    <dataValidation type="textLength" allowBlank="1" showInputMessage="1" showErrorMessage="1" error="EXCEEDED CHARACTER LIMIT!!!!!!" prompt="ACCOUNT (4)" sqref="AS18:AV18 AS27:AV27 AS30:AV30 AS21:AV21 AS9:AV9 AS33:AV33 AS24:AV24 AS15:AV15 AS12:AV12" xr:uid="{00000000-0002-0000-0B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0B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0B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0B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B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B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0B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0B00-00000A000000}">
      <formula1>0</formula1>
      <formula2>5</formula2>
    </dataValidation>
    <dataValidation type="textLength" allowBlank="1" showInputMessage="1" showErrorMessage="1" error="YOU'VE EXCEEDED CHARACTER LIMIT!!!!!" prompt="REFERENCE/ITEM(6)" sqref="S18:X18 S27:X27 S30:X30 S33:X33 S9:X9 S15:X15 S21:X21 S24:X24 S12:X12" xr:uid="{00000000-0002-0000-0B00-00000B000000}">
      <formula1>0</formula1>
      <formula2>6</formula2>
    </dataValidation>
    <dataValidation type="textLength" allowBlank="1" showInputMessage="1" showErrorMessage="1" error="YOU'VE EXCEEDED CHARACTER LIMIT!!!!!" prompt="FISCAL YEAR (4)" sqref="N18:Q18 N27:Q27 N30:Q30 N33:Q33 N9:Q9 N15:Q15 N21:Q21 N24:Q24 N12:Q12" xr:uid="{00000000-0002-0000-0B00-00000C000000}">
      <formula1>0</formula1>
      <formula2>4</formula2>
    </dataValidation>
    <dataValidation type="textLength" allowBlank="1" showInputMessage="1" showErrorMessage="1" error="YOU'VE EXCEEDED CHARACTER LIMIT!!!!!" prompt="AGENCY NUMBER (4)" sqref="J18:M18 J27:M27 J30:M30 J33:M33 J9:M9 J15:M15 J21:M21 J24:M24 J12:M12" xr:uid="{00000000-0002-0000-0B00-00000D000000}">
      <formula1>0</formula1>
      <formula2>4</formula2>
    </dataValidation>
    <dataValidation type="textLength" allowBlank="1" showInputMessage="1" showErrorMessage="1" error="YOU'VE EXCEEDED CHARACTER LIMIT!!!!!" prompt="FUND NUMBER(7)" sqref="C21 C15 C9 C30 C27 C18 C33 C24 C12" xr:uid="{00000000-0002-0000-0B00-00000E000000}">
      <formula1>0</formula1>
      <formula2>7</formula2>
    </dataValidation>
  </dataValidations>
  <pageMargins left="0.217" right="0.25" top="0.2" bottom="0.3" header="0.5" footer="0.5"/>
  <pageSetup paperSize="5" scale="63" pageOrder="overThenDown"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J43"/>
  <sheetViews>
    <sheetView zoomScale="70" zoomScaleNormal="70" workbookViewId="0">
      <selection activeCell="BD27" sqref="BD27:BQ27"/>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3.08984375" style="26" bestFit="1" customWidth="1"/>
    <col min="85" max="16384" width="2.81640625" style="26"/>
  </cols>
  <sheetData>
    <row r="1" spans="1:88" ht="15.75" customHeight="1">
      <c r="A1" s="792" t="s">
        <v>1472</v>
      </c>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1: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917"/>
      <c r="BU2" s="917"/>
      <c r="BV2" s="917"/>
      <c r="BW2" s="917"/>
      <c r="BX2" s="917"/>
      <c r="BY2" s="917"/>
      <c r="BZ2" s="917"/>
      <c r="CA2" s="917"/>
      <c r="CB2" s="917"/>
      <c r="CC2" s="918"/>
    </row>
    <row r="3" spans="1: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1: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1: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354</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1: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1: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1: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1: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280</v>
      </c>
      <c r="AT9" s="882"/>
      <c r="AU9" s="882"/>
      <c r="AV9" s="883"/>
      <c r="AW9" s="34"/>
      <c r="AX9" s="881"/>
      <c r="AY9" s="882"/>
      <c r="AZ9" s="882"/>
      <c r="BA9" s="882"/>
      <c r="BB9" s="882"/>
      <c r="BC9" s="883"/>
      <c r="BD9" s="912">
        <f>'1. Summary 2324'!G33</f>
        <v>19752.145651776336</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1: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1: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1: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19752.145651776336</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1: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1: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1:88" ht="30.75" customHeight="1">
      <c r="C15" s="881" t="s">
        <v>127</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281</v>
      </c>
      <c r="AT15" s="882"/>
      <c r="AU15" s="882"/>
      <c r="AV15" s="883"/>
      <c r="AW15" s="34"/>
      <c r="AX15" s="881"/>
      <c r="AY15" s="882"/>
      <c r="AZ15" s="882"/>
      <c r="BA15" s="882"/>
      <c r="BB15" s="882"/>
      <c r="BC15" s="883"/>
      <c r="BD15" s="912">
        <f>'1. Summary 2324'!G34</f>
        <v>8535.848652749959</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1: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127</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8535.848652749959</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127</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282</v>
      </c>
      <c r="AT21" s="882"/>
      <c r="AU21" s="882"/>
      <c r="AV21" s="883"/>
      <c r="AW21" s="34"/>
      <c r="AX21" s="881"/>
      <c r="AY21" s="882"/>
      <c r="AZ21" s="882"/>
      <c r="BA21" s="882"/>
      <c r="BB21" s="882"/>
      <c r="BC21" s="883"/>
      <c r="BD21" s="912">
        <f>'1. Summary 2324'!G35</f>
        <v>55405.760020458154</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127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55405.760020458154</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127</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'1. Summary 2324'!G36</f>
        <v>4930.8711238315746</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127</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4930.8711238315746</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
        <v>127</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283</v>
      </c>
      <c r="AT33" s="882"/>
      <c r="AU33" s="882"/>
      <c r="AV33" s="883"/>
      <c r="AW33" s="34"/>
      <c r="AX33" s="881"/>
      <c r="AY33" s="882"/>
      <c r="AZ33" s="882"/>
      <c r="BA33" s="882"/>
      <c r="BB33" s="882"/>
      <c r="BC33" s="883"/>
      <c r="BD33" s="912">
        <f>'1. Summary 2324'!G37</f>
        <v>116.51071522527282</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C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C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C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C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C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C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C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C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C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C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C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C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C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C00-00000D000000}">
      <formula1>0</formula1>
      <formula2>7</formula2>
    </dataValidation>
    <dataValidation type="textLength" allowBlank="1" showInputMessage="1" showErrorMessage="1" error="EXCEEDED CHARACTER LIMIT!!!!!!" prompt="DESCRIPTION (25 CHARACTER LIMIT)" sqref="B11 B32 B14 B20 B26 B23 B17 B29 B35" xr:uid="{00000000-0002-0000-0C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355</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(3)'!BD33:BQ33</f>
        <v>116.51071522527282</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14</v>
      </c>
      <c r="AT12" s="882"/>
      <c r="AU12" s="882"/>
      <c r="AV12" s="883"/>
      <c r="AW12" s="34"/>
      <c r="AX12" s="881"/>
      <c r="AY12" s="882"/>
      <c r="AZ12" s="882"/>
      <c r="BA12" s="882"/>
      <c r="BB12" s="882"/>
      <c r="BC12" s="883"/>
      <c r="BD12" s="912">
        <f>'1. Summary 2324'!G38</f>
        <v>643.76922026055308</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127</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643.76922026055308</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21</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2324'!G39</f>
        <v>5156.6493257411885</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21</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5156.6493257411885</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20</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v>
      </c>
      <c r="AT24" s="882"/>
      <c r="AU24" s="882"/>
      <c r="AV24" s="883"/>
      <c r="AW24" s="34"/>
      <c r="AX24" s="881"/>
      <c r="AY24" s="882"/>
      <c r="AZ24" s="882"/>
      <c r="BA24" s="882"/>
      <c r="BB24" s="882"/>
      <c r="BC24" s="883"/>
      <c r="BD24" s="912">
        <f>'1. Summary 2324'!G40</f>
        <v>324916.75852061913</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20</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324916.75852061913</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21</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13</v>
      </c>
      <c r="AT30" s="882"/>
      <c r="AU30" s="882"/>
      <c r="AV30" s="883"/>
      <c r="AW30" s="34"/>
      <c r="AX30" s="881"/>
      <c r="AY30" s="882"/>
      <c r="AZ30" s="882"/>
      <c r="BA30" s="882"/>
      <c r="BB30" s="882"/>
      <c r="BC30" s="883"/>
      <c r="BD30" s="912">
        <f>'1. Summary 2324'!G41</f>
        <v>795989.62084128673</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
        <v>21</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795989.62084128673</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D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D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D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D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D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D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D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D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D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D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D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D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D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D00-00000D000000}">
      <formula1>0</formula1>
      <formula2>7</formula2>
    </dataValidation>
    <dataValidation type="textLength" allowBlank="1" showInputMessage="1" showErrorMessage="1" error="EXCEEDED CHARACTER LIMIT!!!!!!" prompt="DESCRIPTION (25 CHARACTER LIMIT)" sqref="B11 B32 B14 B20 B26 B23 B17 B29 B35" xr:uid="{00000000-0002-0000-0D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32" width="2.81640625" style="26"/>
    <col min="33" max="33" width="3.1796875" style="26" customWidth="1"/>
    <col min="34" max="81" width="2.81640625" style="26"/>
    <col min="82" max="82" width="1.81640625" style="26" customWidth="1"/>
    <col min="83" max="83" width="2.81640625" style="26"/>
    <col min="84" max="84" width="15.453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356</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c r="AT9" s="882"/>
      <c r="AU9" s="882"/>
      <c r="AV9" s="883"/>
      <c r="AW9" s="34"/>
      <c r="AX9" s="881"/>
      <c r="AY9" s="882"/>
      <c r="AZ9" s="882"/>
      <c r="BA9" s="882"/>
      <c r="BB9" s="882"/>
      <c r="BC9" s="883"/>
      <c r="BD9" s="912"/>
      <c r="BE9" s="913"/>
      <c r="BF9" s="913"/>
      <c r="BG9" s="913"/>
      <c r="BH9" s="913"/>
      <c r="BI9" s="913"/>
      <c r="BJ9" s="913"/>
      <c r="BK9" s="913"/>
      <c r="BL9" s="913"/>
      <c r="BM9" s="913"/>
      <c r="BN9" s="913"/>
      <c r="BO9" s="913"/>
      <c r="BP9" s="913"/>
      <c r="BQ9" s="914"/>
      <c r="BR9" s="34"/>
      <c r="BS9" s="33"/>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c r="AT12" s="882"/>
      <c r="AU12" s="882"/>
      <c r="AV12" s="883"/>
      <c r="AW12" s="34"/>
      <c r="AX12" s="881"/>
      <c r="AY12" s="882"/>
      <c r="AZ12" s="882"/>
      <c r="BA12" s="882"/>
      <c r="BB12" s="882"/>
      <c r="BC12" s="883"/>
      <c r="BD12" s="912"/>
      <c r="BE12" s="913"/>
      <c r="BF12" s="913"/>
      <c r="BG12" s="913"/>
      <c r="BH12" s="913"/>
      <c r="BI12" s="913"/>
      <c r="BJ12" s="913"/>
      <c r="BK12" s="913"/>
      <c r="BL12" s="913"/>
      <c r="BM12" s="913"/>
      <c r="BN12" s="913"/>
      <c r="BO12" s="913"/>
      <c r="BP12" s="913"/>
      <c r="BQ12" s="914"/>
      <c r="BR12" s="34"/>
      <c r="BS12" s="33"/>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30</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280</v>
      </c>
      <c r="AT15" s="882"/>
      <c r="AU15" s="882"/>
      <c r="AV15" s="883"/>
      <c r="AW15" s="34"/>
      <c r="AX15" s="881"/>
      <c r="AY15" s="882"/>
      <c r="AZ15" s="882"/>
      <c r="BA15" s="882"/>
      <c r="BB15" s="882"/>
      <c r="BC15" s="883"/>
      <c r="BD15" s="912">
        <f>'1. Summary 2324'!G43</f>
        <v>10445.354736205682</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30</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10445.354736205682</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28</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280</v>
      </c>
      <c r="AT21" s="882"/>
      <c r="AU21" s="882"/>
      <c r="AV21" s="883"/>
      <c r="AW21" s="34"/>
      <c r="AX21" s="881"/>
      <c r="AY21" s="882"/>
      <c r="AZ21" s="882"/>
      <c r="BA21" s="882"/>
      <c r="BB21" s="882"/>
      <c r="BC21" s="883"/>
      <c r="BD21" s="912">
        <f>'1. Summary 2324'!G44</f>
        <v>10723.65839887417</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28</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10723.65839887417</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462</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280</v>
      </c>
      <c r="AT27" s="882"/>
      <c r="AU27" s="882"/>
      <c r="AV27" s="883"/>
      <c r="AW27" s="34"/>
      <c r="AX27" s="881"/>
      <c r="AY27" s="882"/>
      <c r="AZ27" s="882"/>
      <c r="BA27" s="882"/>
      <c r="BB27" s="882"/>
      <c r="BC27" s="883"/>
      <c r="BD27" s="912">
        <f>'1. Summary 2324'!G45</f>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462</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0</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39</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927" t="s">
        <v>280</v>
      </c>
      <c r="AT33" s="882"/>
      <c r="AU33" s="882"/>
      <c r="AV33" s="883"/>
      <c r="AW33" s="34"/>
      <c r="AX33" s="881"/>
      <c r="AY33" s="882"/>
      <c r="AZ33" s="882"/>
      <c r="BA33" s="882"/>
      <c r="BB33" s="882"/>
      <c r="BC33" s="883"/>
      <c r="BD33" s="912">
        <f>'1. Summary 2324'!G46</f>
        <v>2503.8383845648627</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E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E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E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E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E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E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E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E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E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E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E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E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E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E00-00000D000000}">
      <formula1>0</formula1>
      <formula2>7</formula2>
    </dataValidation>
    <dataValidation type="textLength" allowBlank="1" showInputMessage="1" showErrorMessage="1" error="EXCEEDED CHARACTER LIMIT!!!!!!" prompt="DESCRIPTION (25 CHARACTER LIMIT)" sqref="B11 B32 B14 B20 B26 B23 B17 B29 B35" xr:uid="{00000000-0002-0000-0E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1.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357</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39</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(5)'!BD33:BQ33</f>
        <v>2503.8383845648627</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186</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927" t="s">
        <v>281</v>
      </c>
      <c r="AT12" s="882"/>
      <c r="AU12" s="882"/>
      <c r="AV12" s="883"/>
      <c r="AW12" s="34"/>
      <c r="AX12" s="881"/>
      <c r="AY12" s="882"/>
      <c r="AZ12" s="882"/>
      <c r="BA12" s="882"/>
      <c r="BB12" s="882"/>
      <c r="BC12" s="883"/>
      <c r="BD12" s="912">
        <f>'1. Summary 2324'!G47</f>
        <v>0</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0407</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0</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19</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282</v>
      </c>
      <c r="AT18" s="882"/>
      <c r="AU18" s="882"/>
      <c r="AV18" s="883"/>
      <c r="AW18" s="34"/>
      <c r="AX18" s="881"/>
      <c r="AY18" s="882"/>
      <c r="AZ18" s="882"/>
      <c r="BA18" s="882"/>
      <c r="BB18" s="882"/>
      <c r="BC18" s="883"/>
      <c r="BD18" s="912">
        <f>'1. Summary 2324'!G48</f>
        <v>405.25442556684573</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tr">
        <f>C18</f>
        <v>0933</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405.25442556684573</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927" t="s">
        <v>16</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283</v>
      </c>
      <c r="AT24" s="882"/>
      <c r="AU24" s="882"/>
      <c r="AV24" s="883"/>
      <c r="AW24" s="34"/>
      <c r="AX24" s="881"/>
      <c r="AY24" s="882"/>
      <c r="AZ24" s="882"/>
      <c r="BA24" s="882"/>
      <c r="BB24" s="882"/>
      <c r="BC24" s="883"/>
      <c r="BD24" s="912">
        <f>'1. Summary 2324'!G49</f>
        <v>2519.7331872719083</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tr">
        <f>C24</f>
        <v>0067</v>
      </c>
      <c r="D27" s="929"/>
      <c r="E27" s="929"/>
      <c r="F27" s="929"/>
      <c r="G27" s="929"/>
      <c r="H27" s="929"/>
      <c r="I27" s="930"/>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2519.7331872719083</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927" t="s">
        <v>838</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927" t="s">
        <v>283</v>
      </c>
      <c r="AT30" s="882"/>
      <c r="AU30" s="882"/>
      <c r="AV30" s="883"/>
      <c r="AW30" s="34"/>
      <c r="AX30" s="881"/>
      <c r="AY30" s="882"/>
      <c r="AZ30" s="882"/>
      <c r="BA30" s="882"/>
      <c r="BB30" s="882"/>
      <c r="BC30" s="883"/>
      <c r="BD30" s="912">
        <f>'1. Summary 2324'!G50</f>
        <v>484.99205118573644</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tr">
        <f>C30</f>
        <v>0317</v>
      </c>
      <c r="D33" s="929"/>
      <c r="E33" s="929"/>
      <c r="F33" s="929"/>
      <c r="G33" s="929"/>
      <c r="H33" s="929"/>
      <c r="I33" s="930"/>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484.99205118573644</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F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F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F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F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F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F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F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F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F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F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F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F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F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F00-00000D000000}">
      <formula1>0</formula1>
      <formula2>7</formula2>
    </dataValidation>
    <dataValidation type="textLength" allowBlank="1" showInputMessage="1" showErrorMessage="1" error="EXCEEDED CHARACTER LIMIT!!!!!!" prompt="DESCRIPTION (25 CHARACTER LIMIT)" sqref="B17 B14 B20 B26 B32 B29 B23 B11 B35" xr:uid="{00000000-0002-0000-0F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4.816406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358</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795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283</v>
      </c>
      <c r="AT9" s="882"/>
      <c r="AU9" s="882"/>
      <c r="AV9" s="883"/>
      <c r="AW9" s="34"/>
      <c r="AX9" s="881"/>
      <c r="AY9" s="882"/>
      <c r="AZ9" s="882"/>
      <c r="BA9" s="882"/>
      <c r="BB9" s="882"/>
      <c r="BC9" s="883"/>
      <c r="BD9" s="912">
        <f>'1. Summary 2324'!G51</f>
        <v>80.941961803765267</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tr">
        <f>C9</f>
        <v>3153</v>
      </c>
      <c r="D12" s="929"/>
      <c r="E12" s="929"/>
      <c r="F12" s="929"/>
      <c r="G12" s="929"/>
      <c r="H12" s="929"/>
      <c r="I12" s="930"/>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80.941961803765267</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927" t="s">
        <v>845</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927" t="s">
        <v>283</v>
      </c>
      <c r="AT15" s="882"/>
      <c r="AU15" s="882"/>
      <c r="AV15" s="883"/>
      <c r="AW15" s="34"/>
      <c r="AX15" s="881"/>
      <c r="AY15" s="882"/>
      <c r="AZ15" s="882"/>
      <c r="BA15" s="882"/>
      <c r="BB15" s="882"/>
      <c r="BC15" s="883"/>
      <c r="BD15" s="912">
        <f>'1. Summary 2324'!G52</f>
        <v>12644.034791857315</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tr">
        <f>C15</f>
        <v>0702</v>
      </c>
      <c r="D18" s="929"/>
      <c r="E18" s="929"/>
      <c r="F18" s="929"/>
      <c r="G18" s="929"/>
      <c r="H18" s="929"/>
      <c r="I18" s="930"/>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102</v>
      </c>
      <c r="AT18" s="882"/>
      <c r="AU18" s="882"/>
      <c r="AV18" s="883"/>
      <c r="AW18" s="34"/>
      <c r="AX18" s="881"/>
      <c r="AY18" s="882"/>
      <c r="AZ18" s="882"/>
      <c r="BA18" s="882"/>
      <c r="BB18" s="882"/>
      <c r="BC18" s="883"/>
      <c r="BD18" s="912">
        <f>BD15</f>
        <v>12644.034791857315</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927" t="s">
        <v>15</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927" t="s">
        <v>283</v>
      </c>
      <c r="AT21" s="882"/>
      <c r="AU21" s="882"/>
      <c r="AV21" s="883"/>
      <c r="AW21" s="34"/>
      <c r="AX21" s="881"/>
      <c r="AY21" s="882"/>
      <c r="AZ21" s="882"/>
      <c r="BA21" s="882"/>
      <c r="BB21" s="882"/>
      <c r="BC21" s="883"/>
      <c r="BD21" s="912">
        <f>'1. Summary 2324'!G53</f>
        <v>4116.8069087140166</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tr">
        <f>C21</f>
        <v>3036</v>
      </c>
      <c r="D24" s="929"/>
      <c r="E24" s="929"/>
      <c r="F24" s="929"/>
      <c r="G24" s="929"/>
      <c r="H24" s="929"/>
      <c r="I24" s="930"/>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4116.8069087140166</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927" t="s">
        <v>26</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'1. Summary 2324'!G54</f>
        <v>5582.6160084362582</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tr">
        <f>C27</f>
        <v>0014</v>
      </c>
      <c r="D30" s="929"/>
      <c r="E30" s="929"/>
      <c r="F30" s="929"/>
      <c r="G30" s="929"/>
      <c r="H30" s="929"/>
      <c r="I30" s="930"/>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5582.6160084362582</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849</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136</v>
      </c>
      <c r="AT33" s="882"/>
      <c r="AU33" s="882"/>
      <c r="AV33" s="883"/>
      <c r="AW33" s="34"/>
      <c r="AX33" s="881"/>
      <c r="AY33" s="882"/>
      <c r="AZ33" s="882"/>
      <c r="BA33" s="882"/>
      <c r="BB33" s="882"/>
      <c r="BC33" s="883"/>
      <c r="BD33" s="912">
        <f>'1. Summary 2324'!G55</f>
        <v>932.81426583572477</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disablePrompts="1" xWindow="405" yWindow="337" count="15">
    <dataValidation type="textLength" allowBlank="1" showInputMessage="1" showErrorMessage="1" error="YOU'VE EXCEEDED CHARACTER LIMIT!!!!!" prompt="FUND NUMBER(7)" sqref="C21 C15 C18 C30 C27 C9 C33 C24 C12" xr:uid="{00000000-0002-0000-10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0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0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0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0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0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0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0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0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0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0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0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0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000-00000D000000}">
      <formula1>0</formula1>
      <formula2>7</formula2>
    </dataValidation>
    <dataValidation type="textLength" allowBlank="1" showInputMessage="1" showErrorMessage="1" error="EXCEEDED CHARACTER LIMIT!!!!!!" prompt="DESCRIPTION (25 CHARACTER LIMIT)" sqref="B11 B32 B14 B17 B26 B23 B35 B29 B20" xr:uid="{00000000-0002-0000-10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4.816406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t="s">
        <v>347</v>
      </c>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351</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849</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(7)'!BD33:BQ33</f>
        <v>932.81426583572477</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292</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136</v>
      </c>
      <c r="AT12" s="882"/>
      <c r="AU12" s="882"/>
      <c r="AV12" s="883"/>
      <c r="AW12" s="34"/>
      <c r="AX12" s="881"/>
      <c r="AY12" s="882"/>
      <c r="AZ12" s="882"/>
      <c r="BA12" s="882"/>
      <c r="BB12" s="882"/>
      <c r="BC12" s="883"/>
      <c r="BD12" s="912">
        <f>'1. Summary 2324'!G56</f>
        <v>111.67591238473359</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0140</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111.67591238473359</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23</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2324'!G57</f>
        <v>25907.33258446473</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tr">
        <f>C18</f>
        <v>0200</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25907.33258446473</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927" t="s">
        <v>847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136</v>
      </c>
      <c r="AT24" s="882"/>
      <c r="AU24" s="882"/>
      <c r="AV24" s="883"/>
      <c r="AW24" s="34"/>
      <c r="AX24" s="881"/>
      <c r="AY24" s="882"/>
      <c r="AZ24" s="882"/>
      <c r="BA24" s="882"/>
      <c r="BB24" s="882"/>
      <c r="BC24" s="883"/>
      <c r="BD24" s="912">
        <f>'1. Summary 2324'!G58</f>
        <v>458.60611743521434</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tr">
        <f>C24</f>
        <v>3211</v>
      </c>
      <c r="D27" s="929"/>
      <c r="E27" s="929"/>
      <c r="F27" s="929"/>
      <c r="G27" s="929"/>
      <c r="H27" s="929"/>
      <c r="I27" s="930"/>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458.60611743521434</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927" t="s">
        <v>24</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927" t="s">
        <v>136</v>
      </c>
      <c r="AT30" s="882"/>
      <c r="AU30" s="882"/>
      <c r="AV30" s="883"/>
      <c r="AW30" s="34"/>
      <c r="AX30" s="881"/>
      <c r="AY30" s="882"/>
      <c r="AZ30" s="882"/>
      <c r="BA30" s="882"/>
      <c r="BB30" s="882"/>
      <c r="BC30" s="883"/>
      <c r="BD30" s="912">
        <f>'1. Summary 2324'!G59</f>
        <v>2869.7035804684019</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tr">
        <f>C30</f>
        <v>0387</v>
      </c>
      <c r="D33" s="929"/>
      <c r="E33" s="929"/>
      <c r="F33" s="929"/>
      <c r="G33" s="929"/>
      <c r="H33" s="929"/>
      <c r="I33" s="930"/>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2869.7035804684019</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18 C24 C33" xr:uid="{00000000-0002-0000-11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1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1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1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1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1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1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1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1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1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1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1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1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100-00000D000000}">
      <formula1>0</formula1>
      <formula2>7</formula2>
    </dataValidation>
    <dataValidation type="textLength" allowBlank="1" showInputMessage="1" showErrorMessage="1" error="EXCEEDED CHARACTER LIMIT!!!!!!" prompt="DESCRIPTION (25 CHARACTER LIMIT)" sqref="B17 B14 B20 B26 B32 B29 B23 B35 B11" xr:uid="{00000000-0002-0000-11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1.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633</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25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136</v>
      </c>
      <c r="AT9" s="882"/>
      <c r="AU9" s="882"/>
      <c r="AV9" s="883"/>
      <c r="AW9" s="34"/>
      <c r="AX9" s="881"/>
      <c r="AY9" s="882"/>
      <c r="AZ9" s="882"/>
      <c r="BA9" s="882"/>
      <c r="BB9" s="882"/>
      <c r="BC9" s="883"/>
      <c r="BD9" s="912">
        <f>'1. Summary 2324'!G60</f>
        <v>4171.534384902031</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tr">
        <f>C9</f>
        <v>0439</v>
      </c>
      <c r="D12" s="929"/>
      <c r="E12" s="929"/>
      <c r="F12" s="929"/>
      <c r="G12" s="929"/>
      <c r="H12" s="929"/>
      <c r="I12" s="930"/>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4171.534384902031</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636</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136</v>
      </c>
      <c r="AT15" s="882"/>
      <c r="AU15" s="882"/>
      <c r="AV15" s="883"/>
      <c r="AW15" s="34"/>
      <c r="AX15" s="881"/>
      <c r="AY15" s="882"/>
      <c r="AZ15" s="882"/>
      <c r="BA15" s="882"/>
      <c r="BB15" s="882"/>
      <c r="BC15" s="883"/>
      <c r="BD15" s="912">
        <f>'1. Summary 2324'!G61</f>
        <v>0</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636</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0</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17</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283</v>
      </c>
      <c r="AT21" s="882"/>
      <c r="AU21" s="882"/>
      <c r="AV21" s="883"/>
      <c r="AW21" s="34"/>
      <c r="AX21" s="881"/>
      <c r="AY21" s="882"/>
      <c r="AZ21" s="882"/>
      <c r="BA21" s="882"/>
      <c r="BB21" s="882"/>
      <c r="BC21" s="883"/>
      <c r="BD21" s="912">
        <f>'1. Summary 2324'!G62</f>
        <v>1295.6219908942335</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1295.6219908942335</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294</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282</v>
      </c>
      <c r="AT27" s="882"/>
      <c r="AU27" s="882"/>
      <c r="AV27" s="883"/>
      <c r="AW27" s="34"/>
      <c r="AX27" s="881"/>
      <c r="AY27" s="882"/>
      <c r="AZ27" s="882"/>
      <c r="BA27" s="882"/>
      <c r="BB27" s="882"/>
      <c r="BC27" s="883"/>
      <c r="BD27" s="912">
        <f>'1. Summary 2324'!G63</f>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294</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0</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27</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927" t="s">
        <v>282</v>
      </c>
      <c r="AT33" s="882"/>
      <c r="AU33" s="882"/>
      <c r="AV33" s="883"/>
      <c r="AW33" s="34"/>
      <c r="AX33" s="881"/>
      <c r="AY33" s="882"/>
      <c r="AZ33" s="882"/>
      <c r="BA33" s="882"/>
      <c r="BB33" s="882"/>
      <c r="BC33" s="883"/>
      <c r="BD33" s="912">
        <f>'1. Summary 2324'!G64</f>
        <v>777.81924485931734</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12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2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2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2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2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2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2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2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2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2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2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2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2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200-00000D000000}">
      <formula1>0</formula1>
      <formula2>7</formula2>
    </dataValidation>
    <dataValidation type="textLength" allowBlank="1" showInputMessage="1" showErrorMessage="1" error="EXCEEDED CHARACTER LIMIT!!!!!!" prompt="DESCRIPTION (25 CHARACTER LIMIT)" sqref="B35 B32 B11 B20 B26 B23 B17 B29 B14" xr:uid="{00000000-0002-0000-12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1371</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(9)'!BD33:BQ33</f>
        <v>777.81924485931734</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843</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927" t="s">
        <v>282</v>
      </c>
      <c r="AT12" s="882"/>
      <c r="AU12" s="882"/>
      <c r="AV12" s="883"/>
      <c r="AW12" s="34"/>
      <c r="AX12" s="881"/>
      <c r="AY12" s="882"/>
      <c r="AZ12" s="882"/>
      <c r="BA12" s="882"/>
      <c r="BB12" s="882"/>
      <c r="BC12" s="883"/>
      <c r="BD12" s="912">
        <f>'1. Summary 2324'!G65</f>
        <v>57756.9425580807</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0223</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57756.9425580807</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182</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136</v>
      </c>
      <c r="AT18" s="882"/>
      <c r="AU18" s="882"/>
      <c r="AV18" s="883"/>
      <c r="AW18" s="34"/>
      <c r="AX18" s="881"/>
      <c r="AY18" s="882"/>
      <c r="AZ18" s="882"/>
      <c r="BA18" s="882"/>
      <c r="BB18" s="882"/>
      <c r="BC18" s="883"/>
      <c r="BD18" s="912">
        <f>'1. Summary 2324'!G66</f>
        <v>25627.446700885874</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c r="CF18" s="585"/>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c r="CF19" s="585"/>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c r="CF20" s="585"/>
    </row>
    <row r="21" spans="2:84" ht="30.75" customHeight="1">
      <c r="C21" s="881" t="str">
        <f>C18</f>
        <v>0318</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25627.446700885874</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c r="CF21" s="585"/>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c r="CF23" s="586"/>
    </row>
    <row r="24" spans="2:84" ht="30.75" customHeight="1">
      <c r="C24" s="927" t="s">
        <v>22</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v>
      </c>
      <c r="AT24" s="882"/>
      <c r="AU24" s="882"/>
      <c r="AV24" s="883"/>
      <c r="AW24" s="34"/>
      <c r="AX24" s="881"/>
      <c r="AY24" s="882"/>
      <c r="AZ24" s="882"/>
      <c r="BA24" s="882"/>
      <c r="BB24" s="882"/>
      <c r="BC24" s="883"/>
      <c r="BD24" s="912">
        <f>'1. Summary 2324'!G42</f>
        <v>157496.76326572202</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c r="CF24" s="586"/>
    </row>
    <row r="25" spans="2:84"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c r="CF25" s="586"/>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c r="CF26" s="586"/>
    </row>
    <row r="27" spans="2:84" ht="30.75" customHeight="1">
      <c r="C27" s="927" t="s">
        <v>22</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157496.76326572202</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18 C24 C33" xr:uid="{00000000-0002-0000-13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3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3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3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3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3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3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3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3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3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3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3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3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300-00000D000000}">
      <formula1>0</formula1>
      <formula2>7</formula2>
    </dataValidation>
    <dataValidation type="textLength" allowBlank="1" showInputMessage="1" showErrorMessage="1" error="EXCEEDED CHARACTER LIMIT!!!!!!" prompt="DESCRIPTION (25 CHARACTER LIMIT)" sqref="B23 B20 B26 B32 B14 B11 B29 B17 B35" xr:uid="{00000000-0002-0000-13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CJ43"/>
  <sheetViews>
    <sheetView zoomScale="70" zoomScaleNormal="70" workbookViewId="0">
      <selection activeCell="BS2" sqref="BS2:CC3"/>
    </sheetView>
  </sheetViews>
  <sheetFormatPr defaultColWidth="2.81640625" defaultRowHeight="15"/>
  <cols>
    <col min="1" max="1" width="1.81640625" style="26" customWidth="1"/>
    <col min="2" max="81" width="2.81640625" style="26"/>
    <col min="82" max="82" width="1.81640625" style="26" customWidth="1"/>
    <col min="83"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316</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489</v>
      </c>
      <c r="AT9" s="882"/>
      <c r="AU9" s="882"/>
      <c r="AV9" s="883"/>
      <c r="AW9" s="34"/>
      <c r="AX9" s="881"/>
      <c r="AY9" s="882"/>
      <c r="AZ9" s="882"/>
      <c r="BA9" s="882"/>
      <c r="BB9" s="882"/>
      <c r="BC9" s="883"/>
      <c r="BD9" s="912">
        <f>'TC 35 (3)'!BD9:BQ9+'TC 35 (3)'!BD15:BQ15+'TC 35 (3)'!BD21:BQ21+'TC 35 (3)'!BD27:BQ27+'TC 35 (3)'!BD33:BQ33+'TC 35 (4)'!BD12:BQ12</f>
        <v>89384.905384301848</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H9" s="545"/>
    </row>
    <row r="10" spans="2:88" ht="9" customHeight="1">
      <c r="B10" s="899"/>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488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row>
    <row r="12" spans="2: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490</v>
      </c>
      <c r="AT12" s="882"/>
      <c r="AU12" s="882"/>
      <c r="AV12" s="883"/>
      <c r="AW12" s="34"/>
      <c r="AX12" s="881"/>
      <c r="AY12" s="882"/>
      <c r="AZ12" s="882"/>
      <c r="BA12" s="882"/>
      <c r="BB12" s="882"/>
      <c r="BC12" s="883"/>
      <c r="BD12" s="912">
        <f>BD9</f>
        <v>89384.905384301848</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488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row>
    <row r="16" spans="2:88" ht="9" customHeight="1">
      <c r="B16" s="899"/>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1"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1"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1" ht="9" customHeight="1">
      <c r="B19" s="899"/>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1"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1"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1" ht="9" customHeight="1">
      <c r="B22" s="899"/>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1"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1" ht="30.75" customHeight="1">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1"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1"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1" ht="30.75" customHeight="1">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2"/>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1"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1"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1"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1"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1"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EXCEEDED CHARACTER LIMIT!!!!!!" prompt="DESCRIPTION (25 CHARACTER LIMIT)" sqref="B32 B17 B11 B23 B35 B26 B20 B29 B14" xr:uid="{00000000-0002-0000-14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1400-000001000000}">
      <formula1>0</formula1>
      <formula2>7</formula2>
    </dataValidation>
    <dataValidation type="textLength" allowBlank="1" showInputMessage="1" showErrorMessage="1" error="EXCEEDED CHARACTER LIMIT!!!!!!" prompt="REVENUE / OBJECT CODE (6)" sqref="AX9:BC9 AX33:BC33 AX12:BC12 AX15:BC15 AX21:BC21 AX24:BC24 AX27:BC27 AX30:BC30 AX18:BC18" xr:uid="{00000000-0002-0000-1400-000002000000}">
      <formula1>0</formula1>
      <formula2>6</formula2>
    </dataValidation>
    <dataValidation type="textLength" allowBlank="1" showInputMessage="1" showErrorMessage="1" error="EXCEEDED CHARACTER LIMIT!!!!!!" prompt="ACCOUNT (4)" sqref="AS9:AV9 AS27:AV27 AS30:AV30 AS21:AV21 AS12:AV12 AS33:AV33 AS24:AV24 AS15:AV15 AS18:AV18" xr:uid="{00000000-0002-0000-14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14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14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14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4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4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14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1400-00000A000000}">
      <formula1>0</formula1>
      <formula2>5</formula2>
    </dataValidation>
    <dataValidation type="textLength" allowBlank="1" showInputMessage="1" showErrorMessage="1" error="YOU'VE EXCEEDED CHARACTER LIMIT!!!!!" prompt="REFERENCE/ITEM(6)" sqref="S9:X9 S27:X27 S30:X30 S33:X33 S12:X12 S15:X15 S21:X21 S24:X24 S18:X18" xr:uid="{00000000-0002-0000-1400-00000B000000}">
      <formula1>0</formula1>
      <formula2>6</formula2>
    </dataValidation>
    <dataValidation type="textLength" allowBlank="1" showInputMessage="1" showErrorMessage="1" error="YOU'VE EXCEEDED CHARACTER LIMIT!!!!!" prompt="FISCAL YEAR (4)" sqref="N9:Q9 N27:Q27 N30:Q30 N33:Q33 N12:Q12 N15:Q15 N21:Q21 N24:Q24 N18:Q18" xr:uid="{00000000-0002-0000-1400-00000C000000}">
      <formula1>0</formula1>
      <formula2>4</formula2>
    </dataValidation>
    <dataValidation type="textLength" allowBlank="1" showInputMessage="1" showErrorMessage="1" error="YOU'VE EXCEEDED CHARACTER LIMIT!!!!!" prompt="AGENCY NUMBER (4)" sqref="J9:M9 J27:M27 J30:M30 J33:M33 J12:M12 J15:M15 J21:M21 J24:M24 J18:M18" xr:uid="{00000000-0002-0000-1400-00000D000000}">
      <formula1>0</formula1>
      <formula2>4</formula2>
    </dataValidation>
    <dataValidation type="textLength" allowBlank="1" showInputMessage="1" showErrorMessage="1" error="YOU'VE EXCEEDED CHARACTER LIMIT!!!!!" prompt="FUND NUMBER(7)" sqref="C21 C15 C12 C30 C27 C9 C33 C24 C18" xr:uid="{00000000-0002-0000-1400-00000E000000}">
      <formula1>0</formula1>
      <formula2>7</formula2>
    </dataValidation>
  </dataValidations>
  <pageMargins left="0.217" right="0.25" top="0.2" bottom="0.3" header="0.5" footer="0.5"/>
  <pageSetup paperSize="5" scale="63" pageOrder="overThenDown"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J43"/>
  <sheetViews>
    <sheetView zoomScale="70" zoomScaleNormal="70" workbookViewId="0">
      <selection activeCell="BS2" sqref="BS2:CC3"/>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8.6328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931"/>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352</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348</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278</v>
      </c>
      <c r="AT9" s="882"/>
      <c r="AU9" s="882"/>
      <c r="AV9" s="883"/>
      <c r="AW9" s="34"/>
      <c r="AX9" s="881"/>
      <c r="AY9" s="882"/>
      <c r="AZ9" s="882"/>
      <c r="BA9" s="882"/>
      <c r="BB9" s="882"/>
      <c r="BC9" s="883"/>
      <c r="BD9" s="912">
        <f>IF('5. Gov Wide Entries Fund 9142'!F6&lt;0,(-1*'5. Gov Wide Entries Fund 9142'!F6),'5. Gov Wide Entries Fund 9142'!F6)</f>
        <v>6293359.8348270003</v>
      </c>
      <c r="BE9" s="913"/>
      <c r="BF9" s="913"/>
      <c r="BG9" s="913"/>
      <c r="BH9" s="913"/>
      <c r="BI9" s="913"/>
      <c r="BJ9" s="913"/>
      <c r="BK9" s="913"/>
      <c r="BL9" s="913"/>
      <c r="BM9" s="913"/>
      <c r="BN9" s="913"/>
      <c r="BO9" s="913"/>
      <c r="BP9" s="913"/>
      <c r="BQ9" s="914"/>
      <c r="BR9" s="559" t="str">
        <f>IF('5. Gov Wide Entries Fund 9142'!F6&lt;0,"C","D")</f>
        <v>C</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361</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348</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6293359.8348270003</v>
      </c>
      <c r="BE12" s="913"/>
      <c r="BF12" s="913"/>
      <c r="BG12" s="913"/>
      <c r="BH12" s="913"/>
      <c r="BI12" s="913"/>
      <c r="BJ12" s="913"/>
      <c r="BK12" s="913"/>
      <c r="BL12" s="913"/>
      <c r="BM12" s="913"/>
      <c r="BN12" s="913"/>
      <c r="BO12" s="913"/>
      <c r="BP12" s="913"/>
      <c r="BQ12" s="914"/>
      <c r="BR12" s="559" t="str">
        <f>IF(BR9="C","D","C")</f>
        <v>D</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361</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348</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279</v>
      </c>
      <c r="AT15" s="882"/>
      <c r="AU15" s="882"/>
      <c r="AV15" s="883"/>
      <c r="AW15" s="34"/>
      <c r="AX15" s="881"/>
      <c r="AY15" s="882"/>
      <c r="AZ15" s="882"/>
      <c r="BA15" s="882"/>
      <c r="BB15" s="882"/>
      <c r="BC15" s="883"/>
      <c r="BD15" s="912">
        <f>IF('5. Gov Wide Entries Fund 9142'!F8&lt;0,(-1*'5. Gov Wide Entries Fund 9142'!F8),'5. Gov Wide Entries Fund 9142'!F8)</f>
        <v>48772846.774827003</v>
      </c>
      <c r="BE15" s="913"/>
      <c r="BF15" s="913"/>
      <c r="BG15" s="913"/>
      <c r="BH15" s="913"/>
      <c r="BI15" s="913"/>
      <c r="BJ15" s="913"/>
      <c r="BK15" s="913"/>
      <c r="BL15" s="913"/>
      <c r="BM15" s="913"/>
      <c r="BN15" s="913"/>
      <c r="BO15" s="913"/>
      <c r="BP15" s="913"/>
      <c r="BQ15" s="914"/>
      <c r="BR15" s="559" t="str">
        <f>IF('5. Gov Wide Entries Fund 9142'!F8&lt;0,"C","D")</f>
        <v>D</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349</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348</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280</v>
      </c>
      <c r="AT18" s="882"/>
      <c r="AU18" s="882"/>
      <c r="AV18" s="883"/>
      <c r="AW18" s="34"/>
      <c r="AX18" s="881"/>
      <c r="AY18" s="882"/>
      <c r="AZ18" s="882"/>
      <c r="BA18" s="882"/>
      <c r="BB18" s="882"/>
      <c r="BC18" s="883"/>
      <c r="BD18" s="912">
        <f>IF('5. Gov Wide Entries Fund 9142'!F9&lt;0,(-1*'5. Gov Wide Entries Fund 9142'!F9),'5. Gov Wide Entries Fund 9142'!F9)</f>
        <v>1283152.6651816873</v>
      </c>
      <c r="BE18" s="913"/>
      <c r="BF18" s="913"/>
      <c r="BG18" s="913"/>
      <c r="BH18" s="913"/>
      <c r="BI18" s="913"/>
      <c r="BJ18" s="913"/>
      <c r="BK18" s="913"/>
      <c r="BL18" s="913"/>
      <c r="BM18" s="913"/>
      <c r="BN18" s="913"/>
      <c r="BO18" s="913"/>
      <c r="BP18" s="913"/>
      <c r="BQ18" s="914"/>
      <c r="BR18" s="559" t="str">
        <f>IF('5. Gov Wide Entries Fund 9142'!F9&lt;0,"C","D")</f>
        <v>C</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350</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348</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281</v>
      </c>
      <c r="AT21" s="882"/>
      <c r="AU21" s="882"/>
      <c r="AV21" s="883"/>
      <c r="AW21" s="34"/>
      <c r="AX21" s="881"/>
      <c r="AY21" s="882"/>
      <c r="AZ21" s="882"/>
      <c r="BA21" s="882"/>
      <c r="BB21" s="882"/>
      <c r="BC21" s="883"/>
      <c r="BD21" s="912">
        <f>IF('5. Gov Wide Entries Fund 9142'!F10&lt;0,(-1*'5. Gov Wide Entries Fund 9142'!F10),'5. Gov Wide Entries Fund 9142'!F10)</f>
        <v>145220.41298642941</v>
      </c>
      <c r="BE21" s="913"/>
      <c r="BF21" s="913"/>
      <c r="BG21" s="913"/>
      <c r="BH21" s="913"/>
      <c r="BI21" s="913"/>
      <c r="BJ21" s="913"/>
      <c r="BK21" s="913"/>
      <c r="BL21" s="913"/>
      <c r="BM21" s="913"/>
      <c r="BN21" s="913"/>
      <c r="BO21" s="913"/>
      <c r="BP21" s="913"/>
      <c r="BQ21" s="914"/>
      <c r="BR21" s="559" t="str">
        <f>IF('5. Gov Wide Entries Fund 9142'!F10&lt;0,"C","D")</f>
        <v>C</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350</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348</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282</v>
      </c>
      <c r="AT24" s="882"/>
      <c r="AU24" s="882"/>
      <c r="AV24" s="883"/>
      <c r="AW24" s="34"/>
      <c r="AX24" s="881"/>
      <c r="AY24" s="882"/>
      <c r="AZ24" s="882"/>
      <c r="BA24" s="882"/>
      <c r="BB24" s="882"/>
      <c r="BC24" s="883"/>
      <c r="BD24" s="912">
        <f>IF('5. Gov Wide Entries Fund 9142'!F11&lt;0,(-1*'5. Gov Wide Entries Fund 9142'!F11),'5. Gov Wide Entries Fund 9142'!F11)</f>
        <v>6459224.6882422753</v>
      </c>
      <c r="BE24" s="913"/>
      <c r="BF24" s="913"/>
      <c r="BG24" s="913"/>
      <c r="BH24" s="913"/>
      <c r="BI24" s="913"/>
      <c r="BJ24" s="913"/>
      <c r="BK24" s="913"/>
      <c r="BL24" s="913"/>
      <c r="BM24" s="913"/>
      <c r="BN24" s="913"/>
      <c r="BO24" s="913"/>
      <c r="BP24" s="913"/>
      <c r="BQ24" s="914"/>
      <c r="BR24" s="559" t="str">
        <f>IF('5. Gov Wide Entries Fund 9142'!F11&lt;0,"C","D")</f>
        <v>C</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350</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348</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IF('5. Gov Wide Entries Fund 9142'!F12&lt;0,(-1*'5. Gov Wide Entries Fund 9142'!F12),'5. Gov Wide Entries Fund 9142'!F12)</f>
        <v>4196217.2323829709</v>
      </c>
      <c r="BE27" s="913"/>
      <c r="BF27" s="913"/>
      <c r="BG27" s="913"/>
      <c r="BH27" s="913"/>
      <c r="BI27" s="913"/>
      <c r="BJ27" s="913"/>
      <c r="BK27" s="913"/>
      <c r="BL27" s="913"/>
      <c r="BM27" s="913"/>
      <c r="BN27" s="913"/>
      <c r="BO27" s="913"/>
      <c r="BP27" s="913"/>
      <c r="BQ27" s="914"/>
      <c r="BR27" s="559" t="str">
        <f>IF('5. Gov Wide Entries Fund 9142'!F12&lt;0,"C","D")</f>
        <v>C</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350</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348</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283</v>
      </c>
      <c r="AT30" s="882"/>
      <c r="AU30" s="882"/>
      <c r="AV30" s="883"/>
      <c r="AW30" s="34"/>
      <c r="AX30" s="881"/>
      <c r="AY30" s="882"/>
      <c r="AZ30" s="882"/>
      <c r="BA30" s="882"/>
      <c r="BB30" s="882"/>
      <c r="BC30" s="883"/>
      <c r="BD30" s="912">
        <f>IF('5. Gov Wide Entries Fund 9142'!F13&lt;0,(-1*'5. Gov Wide Entries Fund 9142'!F13),'5. Gov Wide Entries Fund 9142'!F13)</f>
        <v>173642.46516676762</v>
      </c>
      <c r="BE30" s="913"/>
      <c r="BF30" s="913"/>
      <c r="BG30" s="913"/>
      <c r="BH30" s="913"/>
      <c r="BI30" s="913"/>
      <c r="BJ30" s="913"/>
      <c r="BK30" s="913"/>
      <c r="BL30" s="913"/>
      <c r="BM30" s="913"/>
      <c r="BN30" s="913"/>
      <c r="BO30" s="913"/>
      <c r="BP30" s="913"/>
      <c r="BQ30" s="914"/>
      <c r="BR30" s="559" t="str">
        <f>IF('5. Gov Wide Entries Fund 9142'!F13&lt;0,"C","D")</f>
        <v>C</v>
      </c>
      <c r="BS30" s="33" t="s">
        <v>341</v>
      </c>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t="s">
        <v>350</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4"/>
    </row>
    <row r="33" spans="1:84" ht="30.75" customHeight="1">
      <c r="B33" s="26" t="s">
        <v>342</v>
      </c>
      <c r="C33" s="881" t="s">
        <v>348</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13</v>
      </c>
      <c r="AT33" s="882"/>
      <c r="AU33" s="882"/>
      <c r="AV33" s="883"/>
      <c r="AW33" s="34"/>
      <c r="AX33" s="881"/>
      <c r="AY33" s="882"/>
      <c r="AZ33" s="882"/>
      <c r="BA33" s="882"/>
      <c r="BB33" s="882"/>
      <c r="BC33" s="883"/>
      <c r="BD33" s="912">
        <f>IF('5. Gov Wide Entries Fund 9142'!F14&lt;0,(-1*'5. Gov Wide Entries Fund 9142'!F14),'5. Gov Wide Entries Fund 9142'!F14)</f>
        <v>9907483.8091238327</v>
      </c>
      <c r="BE33" s="913"/>
      <c r="BF33" s="913"/>
      <c r="BG33" s="913"/>
      <c r="BH33" s="913"/>
      <c r="BI33" s="913"/>
      <c r="BJ33" s="913"/>
      <c r="BK33" s="913"/>
      <c r="BL33" s="913"/>
      <c r="BM33" s="913"/>
      <c r="BN33" s="913"/>
      <c r="BO33" s="913"/>
      <c r="BP33" s="913"/>
      <c r="BQ33" s="914"/>
      <c r="BR33" s="559" t="str">
        <f>IF('5. Gov Wide Entries Fund 9142'!F14&lt;0,"C","D")</f>
        <v>C</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350</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s>
  <dataValidations count="15">
    <dataValidation type="textLength" allowBlank="1" showInputMessage="1" showErrorMessage="1" error="EXCEEDED CHARACTER LIMIT!!!!!!" prompt="DESCRIPTION (25 CHARACTER LIMIT)" sqref="B20 B17 B14 B26 B11 B29 B23 B32 B35" xr:uid="{00000000-0002-0000-15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1500-000001000000}">
      <formula1>0</formula1>
      <formula2>7</formula2>
    </dataValidation>
    <dataValidation type="textLength" allowBlank="1" showInputMessage="1" showErrorMessage="1" error="EXCEEDED CHARACTER LIMIT!!!!!!" prompt="REVENUE / OBJECT CODE (6)" sqref="AX9:BC9 AX33:BC33 AX12:BC12 AX15:BC15 AX21:BC21 AX24:BC24 AX27:BC27 AX30:BC30 AX18:BC18" xr:uid="{00000000-0002-0000-1500-000002000000}">
      <formula1>0</formula1>
      <formula2>6</formula2>
    </dataValidation>
    <dataValidation type="textLength" allowBlank="1" showInputMessage="1" showErrorMessage="1" error="EXCEEDED CHARACTER LIMIT!!!!!!" prompt="ACCOUNT (4)" sqref="AS9:AV9 AS27:AV27 AS30:AV30 AS21:AV21 AS12:AV12 AS33:AV33 AS24:AV24 AS15:AV15 AS18:AV18" xr:uid="{00000000-0002-0000-15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15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15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15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5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5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15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1500-00000A000000}">
      <formula1>0</formula1>
      <formula2>5</formula2>
    </dataValidation>
    <dataValidation type="textLength" allowBlank="1" showInputMessage="1" showErrorMessage="1" error="YOU'VE EXCEEDED CHARACTER LIMIT!!!!!" prompt="REFERENCE/ITEM(6)" sqref="S9:X9 S27:X27 S30:X30 S33:X33 S12:X12 S15:X15 S21:X21 S24:X24 S18:X18" xr:uid="{00000000-0002-0000-1500-00000B000000}">
      <formula1>0</formula1>
      <formula2>6</formula2>
    </dataValidation>
    <dataValidation type="textLength" allowBlank="1" showInputMessage="1" showErrorMessage="1" error="YOU'VE EXCEEDED CHARACTER LIMIT!!!!!" prompt="FISCAL YEAR (4)" sqref="N9:Q9 N27:Q27 N30:Q30 N33:Q33 N12:Q12 N15:Q15 N21:Q21 N24:Q24 N18:Q18" xr:uid="{00000000-0002-0000-1500-00000C000000}">
      <formula1>0</formula1>
      <formula2>4</formula2>
    </dataValidation>
    <dataValidation type="textLength" allowBlank="1" showInputMessage="1" showErrorMessage="1" error="YOU'VE EXCEEDED CHARACTER LIMIT!!!!!" prompt="AGENCY NUMBER (4)" sqref="J9:M9 J27:M27 J30:M30 J33:M33 J12:M12 J15:M15 J21:M21 J24:M24 J18:M18" xr:uid="{00000000-0002-0000-1500-00000D000000}">
      <formula1>0</formula1>
      <formula2>4</formula2>
    </dataValidation>
    <dataValidation type="textLength" allowBlank="1" showInputMessage="1" showErrorMessage="1" error="YOU'VE EXCEEDED CHARACTER LIMIT!!!!!" prompt="FUND NUMBER(7)" sqref="C21 C15 C12 C30 C27 C9 C33 C24 C18" xr:uid="{00000000-0002-0000-1500-00000E000000}">
      <formula1>0</formula1>
      <formula2>7</formula2>
    </dataValidation>
  </dataValidations>
  <pageMargins left="0.217" right="0.25" top="0.2" bottom="0.3" header="0.5" footer="0.5"/>
  <pageSetup paperSize="5" scale="64" pageOrder="overThenDown"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8.6328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'9142'!BS2:CC3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931"/>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352</v>
      </c>
      <c r="BG5" s="871"/>
      <c r="BH5" s="27" t="s">
        <v>317</v>
      </c>
      <c r="BI5" s="871" t="s">
        <v>352</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348</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14</v>
      </c>
      <c r="AT9" s="882"/>
      <c r="AU9" s="882"/>
      <c r="AV9" s="883"/>
      <c r="AW9" s="34"/>
      <c r="AX9" s="881"/>
      <c r="AY9" s="882"/>
      <c r="AZ9" s="882"/>
      <c r="BA9" s="882"/>
      <c r="BB9" s="882"/>
      <c r="BC9" s="883"/>
      <c r="BD9" s="912">
        <f>IF('5. Gov Wide Entries Fund 9142'!F15&lt;0,(-1*'5. Gov Wide Entries Fund 9142'!F15),'5. Gov Wide Entries Fund 9142'!F15)</f>
        <v>26607905.501743041</v>
      </c>
      <c r="BE9" s="913"/>
      <c r="BF9" s="913"/>
      <c r="BG9" s="913"/>
      <c r="BH9" s="913"/>
      <c r="BI9" s="913"/>
      <c r="BJ9" s="913"/>
      <c r="BK9" s="913"/>
      <c r="BL9" s="913"/>
      <c r="BM9" s="913"/>
      <c r="BN9" s="913"/>
      <c r="BO9" s="913"/>
      <c r="BP9" s="913"/>
      <c r="BQ9" s="914"/>
      <c r="BR9" s="559" t="str">
        <f>IF('5. Gov Wide Entries Fund 9142'!F15&lt;0,"C","D")</f>
        <v>C</v>
      </c>
      <c r="BS9" s="33" t="s">
        <v>341</v>
      </c>
      <c r="BT9" s="33"/>
      <c r="BU9" s="33"/>
      <c r="BV9" s="33"/>
      <c r="BW9" s="881"/>
      <c r="BX9" s="882"/>
      <c r="BY9" s="882"/>
      <c r="BZ9" s="882"/>
      <c r="CA9" s="882"/>
      <c r="CB9" s="882"/>
      <c r="CC9" s="883"/>
    </row>
    <row r="10" spans="2:88" ht="9" customHeight="1">
      <c r="B10" s="899"/>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350</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F11" s="585"/>
    </row>
    <row r="12" spans="2:88" ht="30.75" customHeight="1">
      <c r="C12" s="881" t="s">
        <v>348</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284</v>
      </c>
      <c r="AT12" s="882"/>
      <c r="AU12" s="882"/>
      <c r="AV12" s="883"/>
      <c r="AW12" s="34"/>
      <c r="AX12" s="881"/>
      <c r="AY12" s="882"/>
      <c r="AZ12" s="882"/>
      <c r="BA12" s="882"/>
      <c r="BB12" s="882"/>
      <c r="BC12" s="883"/>
      <c r="BD12" s="912">
        <f>IF('5. Gov Wide Entries Fund 9142'!F16&lt;0,(-1*'5. Gov Wide Entries Fund 9142'!F16),'5. Gov Wide Entries Fund 9142'!F16)</f>
        <v>0</v>
      </c>
      <c r="BE12" s="913"/>
      <c r="BF12" s="913"/>
      <c r="BG12" s="913"/>
      <c r="BH12" s="913"/>
      <c r="BI12" s="913"/>
      <c r="BJ12" s="913"/>
      <c r="BK12" s="913"/>
      <c r="BL12" s="913"/>
      <c r="BM12" s="913"/>
      <c r="BN12" s="913"/>
      <c r="BO12" s="913"/>
      <c r="BP12" s="913"/>
      <c r="BQ12" s="914"/>
      <c r="BR12" s="559" t="str">
        <f>IF('5. Gov Wide Entries Fund 9142'!F16&lt;0,"C","D")</f>
        <v>D</v>
      </c>
      <c r="BS12" s="33" t="s">
        <v>341</v>
      </c>
      <c r="BT12" s="33"/>
      <c r="BU12" s="33"/>
      <c r="BV12" s="33"/>
      <c r="BW12" s="881"/>
      <c r="BX12" s="882"/>
      <c r="BY12" s="882"/>
      <c r="BZ12" s="882"/>
      <c r="CA12" s="882"/>
      <c r="CB12" s="882"/>
      <c r="CC12" s="883"/>
    </row>
    <row r="13" spans="2:88" ht="9" customHeight="1">
      <c r="B13" s="899"/>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350</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927"/>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559"/>
      <c r="BS15" s="33"/>
      <c r="BT15" s="33"/>
      <c r="BU15" s="33"/>
      <c r="BV15" s="33"/>
      <c r="BW15" s="881"/>
      <c r="BX15" s="882"/>
      <c r="BY15" s="882"/>
      <c r="BZ15" s="882"/>
      <c r="CA15" s="882"/>
      <c r="CB15" s="882"/>
      <c r="CC15" s="883"/>
    </row>
    <row r="16" spans="2:88" ht="9" customHeight="1">
      <c r="B16" s="899"/>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c r="CF20" s="58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c r="CF21" s="584"/>
    </row>
    <row r="22" spans="2:84" ht="9" customHeight="1">
      <c r="B22" s="899"/>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c r="CF23" s="584"/>
    </row>
    <row r="24" spans="2:84" ht="30.75" customHeight="1">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c r="CF24" s="584"/>
    </row>
    <row r="25" spans="2:84"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2"/>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s>
  <dataValidations count="15">
    <dataValidation type="textLength" allowBlank="1" showInputMessage="1" showErrorMessage="1" error="YOU'VE EXCEEDED CHARACTER LIMIT!!!!!" prompt="FUND NUMBER(7)" sqref="C21 C18 C12 C30 C27 C9 C33 C24 C15" xr:uid="{00000000-0002-0000-16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6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6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6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6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6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6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6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6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6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6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6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6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600-00000D000000}">
      <formula1>0</formula1>
      <formula2>7</formula2>
    </dataValidation>
    <dataValidation type="textLength" allowBlank="1" showInputMessage="1" showErrorMessage="1" error="EXCEEDED CHARACTER LIMIT!!!!!!" prompt="DESCRIPTION (25 CHARACTER LIMIT)" sqref="B32 B17 B11 B23 B35 B26 B20 B29 B14" xr:uid="{00000000-0002-0000-16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8A15A"/>
    <pageSetUpPr fitToPage="1"/>
  </sheetPr>
  <dimension ref="A1:W83"/>
  <sheetViews>
    <sheetView topLeftCell="A43" workbookViewId="0">
      <selection activeCell="F83" sqref="F83"/>
    </sheetView>
  </sheetViews>
  <sheetFormatPr defaultRowHeight="15"/>
  <cols>
    <col min="1" max="1" width="22.1796875" style="540" bestFit="1" customWidth="1"/>
    <col min="2" max="2" width="20.453125" customWidth="1"/>
    <col min="3" max="3" width="20" customWidth="1"/>
    <col min="4" max="4" width="9" bestFit="1" customWidth="1"/>
    <col min="5" max="5" width="9.54296875" bestFit="1" customWidth="1"/>
    <col min="6" max="6" width="21" style="540" customWidth="1"/>
    <col min="7" max="7" width="29.54296875" bestFit="1" customWidth="1"/>
    <col min="9" max="9" width="13.54296875" style="540" bestFit="1" customWidth="1"/>
    <col min="10" max="10" width="12.453125" bestFit="1" customWidth="1"/>
  </cols>
  <sheetData>
    <row r="1" spans="1:6" ht="15.6">
      <c r="A1" s="552" t="s">
        <v>1249</v>
      </c>
      <c r="B1" s="558" t="s">
        <v>1250</v>
      </c>
    </row>
    <row r="2" spans="1:6" ht="15.75" customHeight="1">
      <c r="A2" s="552" t="s">
        <v>1251</v>
      </c>
      <c r="B2" s="932" t="s">
        <v>1372</v>
      </c>
      <c r="C2" s="932"/>
      <c r="D2" s="932"/>
      <c r="E2" s="932"/>
      <c r="F2" s="932"/>
    </row>
    <row r="3" spans="1:6">
      <c r="A3" s="553"/>
      <c r="B3" s="932"/>
      <c r="C3" s="932"/>
      <c r="D3" s="932"/>
      <c r="E3" s="932"/>
      <c r="F3" s="932"/>
    </row>
    <row r="4" spans="1:6">
      <c r="A4" s="553"/>
      <c r="B4" s="932"/>
      <c r="C4" s="932"/>
      <c r="D4" s="932"/>
      <c r="E4" s="932"/>
      <c r="F4" s="932"/>
    </row>
    <row r="5" spans="1:6">
      <c r="A5" s="553"/>
      <c r="B5" s="932"/>
      <c r="C5" s="932"/>
      <c r="D5" s="932"/>
      <c r="E5" s="932"/>
      <c r="F5" s="932"/>
    </row>
    <row r="6" spans="1:6">
      <c r="A6" s="553"/>
      <c r="B6" s="932"/>
      <c r="C6" s="932"/>
      <c r="D6" s="932"/>
      <c r="E6" s="932"/>
      <c r="F6" s="932"/>
    </row>
    <row r="7" spans="1:6">
      <c r="A7" s="553"/>
      <c r="B7" s="932"/>
      <c r="C7" s="932"/>
      <c r="D7" s="932"/>
      <c r="E7" s="932"/>
      <c r="F7" s="932"/>
    </row>
    <row r="8" spans="1:6">
      <c r="A8" s="553"/>
      <c r="B8" s="932"/>
      <c r="C8" s="932"/>
      <c r="D8" s="932"/>
      <c r="E8" s="932"/>
      <c r="F8" s="932"/>
    </row>
    <row r="9" spans="1:6">
      <c r="A9" s="553"/>
      <c r="B9" s="932"/>
      <c r="C9" s="932"/>
      <c r="D9" s="932"/>
      <c r="E9" s="932"/>
      <c r="F9" s="932"/>
    </row>
    <row r="10" spans="1:6">
      <c r="A10" s="553"/>
      <c r="B10" s="932"/>
      <c r="C10" s="932"/>
      <c r="D10" s="932"/>
      <c r="E10" s="932"/>
      <c r="F10" s="932"/>
    </row>
    <row r="11" spans="1:6">
      <c r="A11" s="553"/>
      <c r="B11" s="932"/>
      <c r="C11" s="932"/>
      <c r="D11" s="932"/>
      <c r="E11" s="932"/>
      <c r="F11" s="932"/>
    </row>
    <row r="12" spans="1:6">
      <c r="A12" s="553"/>
      <c r="B12" s="932"/>
      <c r="C12" s="932"/>
      <c r="D12" s="932"/>
      <c r="E12" s="932"/>
      <c r="F12" s="932"/>
    </row>
    <row r="13" spans="1:6">
      <c r="A13" s="553"/>
      <c r="B13" s="932"/>
      <c r="C13" s="932"/>
      <c r="D13" s="932"/>
      <c r="E13" s="932"/>
      <c r="F13" s="932"/>
    </row>
    <row r="14" spans="1:6">
      <c r="A14" s="553"/>
      <c r="B14" s="932"/>
      <c r="C14" s="932"/>
      <c r="D14" s="932"/>
      <c r="E14" s="932"/>
      <c r="F14" s="932"/>
    </row>
    <row r="16" spans="1:6" ht="15.6">
      <c r="A16" s="551" t="s">
        <v>207</v>
      </c>
      <c r="F16" s="543"/>
    </row>
    <row r="17" spans="1:7" ht="45">
      <c r="A17" s="546" t="s">
        <v>1242</v>
      </c>
      <c r="B17" s="547" t="s">
        <v>1248</v>
      </c>
      <c r="C17" s="547" t="s">
        <v>1246</v>
      </c>
      <c r="D17" s="547" t="s">
        <v>1247</v>
      </c>
      <c r="E17" s="548" t="s">
        <v>1241</v>
      </c>
      <c r="F17" s="546" t="s">
        <v>1252</v>
      </c>
    </row>
    <row r="18" spans="1:7">
      <c r="A18" s="542">
        <f>'1. Summary 2324'!G21</f>
        <v>122145.43738519636</v>
      </c>
      <c r="B18" s="543">
        <f>A18</f>
        <v>122145.43738519636</v>
      </c>
      <c r="C18" s="541">
        <f t="shared" ref="C18:C24" si="0">ROUND(A18,2)</f>
        <v>122145.44</v>
      </c>
      <c r="D18" s="540">
        <f t="shared" ref="D18:D24" si="1">C18-B18</f>
        <v>2.6148036413360387E-3</v>
      </c>
      <c r="E18" s="540"/>
      <c r="F18" s="540">
        <f>C18+E18</f>
        <v>122145.44</v>
      </c>
    </row>
    <row r="19" spans="1:7">
      <c r="A19" s="542">
        <f>'1. Summary 2324'!G22</f>
        <v>10202.534968383728</v>
      </c>
      <c r="B19" s="543">
        <f t="shared" ref="B19:B25" si="2">A19</f>
        <v>10202.534968383728</v>
      </c>
      <c r="C19" s="541">
        <f t="shared" si="0"/>
        <v>10202.530000000001</v>
      </c>
      <c r="D19" s="540">
        <f t="shared" si="1"/>
        <v>-4.9683837278280407E-3</v>
      </c>
      <c r="E19" s="540"/>
      <c r="F19" s="540">
        <f t="shared" ref="F19:F24" si="3">C19+E19</f>
        <v>10202.530000000001</v>
      </c>
    </row>
    <row r="20" spans="1:7">
      <c r="A20" s="542">
        <f>'1. Summary 2324'!G24</f>
        <v>603157.16070608329</v>
      </c>
      <c r="B20" s="543">
        <f t="shared" si="2"/>
        <v>603157.16070608329</v>
      </c>
      <c r="C20" s="541">
        <f t="shared" si="0"/>
        <v>603157.16</v>
      </c>
      <c r="D20" s="540">
        <f t="shared" si="1"/>
        <v>-7.0608325768262148E-4</v>
      </c>
      <c r="E20" s="540"/>
      <c r="F20" s="540">
        <f t="shared" si="3"/>
        <v>603157.16</v>
      </c>
    </row>
    <row r="21" spans="1:7">
      <c r="A21" s="542">
        <f>'1. Summary 2324'!G26</f>
        <v>465705.81571941049</v>
      </c>
      <c r="B21" s="543">
        <f t="shared" si="2"/>
        <v>465705.81571941049</v>
      </c>
      <c r="C21" s="541">
        <f>ROUND(A21,2)</f>
        <v>465705.82</v>
      </c>
      <c r="D21" s="540">
        <f t="shared" si="1"/>
        <v>4.2805895209312439E-3</v>
      </c>
      <c r="E21" s="540"/>
      <c r="F21" s="540">
        <f t="shared" si="3"/>
        <v>465705.82</v>
      </c>
    </row>
    <row r="22" spans="1:7">
      <c r="A22" s="542">
        <f>'1. Summary 2324'!G27</f>
        <v>1147.1633525840814</v>
      </c>
      <c r="B22" s="543">
        <f t="shared" si="2"/>
        <v>1147.1633525840814</v>
      </c>
      <c r="C22" s="541">
        <f t="shared" si="0"/>
        <v>1147.1600000000001</v>
      </c>
      <c r="D22" s="540">
        <f t="shared" si="1"/>
        <v>-3.3525840813126706E-3</v>
      </c>
      <c r="E22" s="540"/>
      <c r="F22" s="540">
        <f t="shared" si="3"/>
        <v>1147.1600000000001</v>
      </c>
    </row>
    <row r="23" spans="1:7">
      <c r="A23" s="542">
        <f>'1. Summary 2324'!G28</f>
        <v>0</v>
      </c>
      <c r="B23" s="543">
        <f t="shared" si="2"/>
        <v>0</v>
      </c>
      <c r="C23" s="541">
        <f t="shared" si="0"/>
        <v>0</v>
      </c>
      <c r="D23" s="540">
        <f t="shared" si="1"/>
        <v>0</v>
      </c>
      <c r="E23" s="540"/>
      <c r="F23" s="540">
        <f t="shared" si="3"/>
        <v>0</v>
      </c>
    </row>
    <row r="24" spans="1:7">
      <c r="A24" s="542">
        <f>'1. Summary 2324'!G29</f>
        <v>3432683.0640612757</v>
      </c>
      <c r="B24" s="543">
        <f t="shared" si="2"/>
        <v>3432683.0640612757</v>
      </c>
      <c r="C24" s="541">
        <f t="shared" si="0"/>
        <v>3432683.06</v>
      </c>
      <c r="D24" s="540">
        <f t="shared" si="1"/>
        <v>-4.061275627464056E-3</v>
      </c>
      <c r="E24" s="540"/>
      <c r="F24" s="540">
        <f t="shared" si="3"/>
        <v>3432683.06</v>
      </c>
    </row>
    <row r="25" spans="1:7" ht="15.6">
      <c r="A25" s="542">
        <f>'1. Summary 2324'!G30-'1. Summary 2324'!G25-'1. Summary 2324'!G23</f>
        <v>4635041.1761929337</v>
      </c>
      <c r="B25" s="543">
        <f t="shared" si="2"/>
        <v>4635041.1761929337</v>
      </c>
      <c r="C25" s="541">
        <f>SUM(C18:C24)</f>
        <v>4635041.17</v>
      </c>
      <c r="D25" s="540">
        <f>C25-B25</f>
        <v>-6.1929337680339813E-3</v>
      </c>
      <c r="E25" s="540"/>
      <c r="F25" s="540">
        <f>C25+E25</f>
        <v>4635041.17</v>
      </c>
      <c r="G25" s="555" t="s">
        <v>1373</v>
      </c>
    </row>
    <row r="26" spans="1:7">
      <c r="A26" s="540">
        <f>A25-SUM(A18:A24)</f>
        <v>0</v>
      </c>
      <c r="B26" s="540">
        <f>B25-SUM(B18:B24)</f>
        <v>0</v>
      </c>
      <c r="C26" s="540">
        <f>C25-SUM(C18:C24)</f>
        <v>0</v>
      </c>
      <c r="D26" s="540"/>
      <c r="E26" s="540"/>
      <c r="F26" s="540">
        <f>F25-SUM(F18:F24)</f>
        <v>0</v>
      </c>
      <c r="G26" s="545" t="s">
        <v>1374</v>
      </c>
    </row>
    <row r="27" spans="1:7" ht="15.6">
      <c r="A27" s="542">
        <f>'1. Summary 2324'!G23</f>
        <v>0</v>
      </c>
      <c r="B27" s="543">
        <f>A27</f>
        <v>0</v>
      </c>
      <c r="C27" s="541">
        <f>ROUND(A27,2)</f>
        <v>0</v>
      </c>
      <c r="D27" s="540">
        <f>C27-B27</f>
        <v>0</v>
      </c>
      <c r="E27" s="540"/>
      <c r="F27" s="540">
        <f>C27+E27</f>
        <v>0</v>
      </c>
      <c r="G27" s="555" t="s">
        <v>1375</v>
      </c>
    </row>
    <row r="28" spans="1:7" ht="15.6">
      <c r="A28" s="542">
        <f>'1. Summary 2324'!G25</f>
        <v>115957.23310170474</v>
      </c>
      <c r="B28" s="543">
        <f>A28</f>
        <v>115957.23310170474</v>
      </c>
      <c r="C28" s="541">
        <f>ROUND(A28,2)</f>
        <v>115957.23</v>
      </c>
      <c r="D28" s="540">
        <f>C28-B28</f>
        <v>-3.1017047440400347E-3</v>
      </c>
      <c r="E28" s="540"/>
      <c r="F28" s="540">
        <f>C28+E28</f>
        <v>115957.23</v>
      </c>
      <c r="G28" s="555" t="s">
        <v>812</v>
      </c>
    </row>
    <row r="29" spans="1:7" ht="15.6">
      <c r="A29" s="542">
        <f>'1. Summary 2324'!G30</f>
        <v>4750998.4092946388</v>
      </c>
      <c r="B29" s="540">
        <f>B28+B25+B27</f>
        <v>4750998.4092946388</v>
      </c>
      <c r="C29" s="540">
        <f>C28+C25+C27</f>
        <v>4750998.4000000004</v>
      </c>
      <c r="D29" s="540">
        <f>C29-B29</f>
        <v>-9.2946384102106094E-3</v>
      </c>
      <c r="E29" s="540">
        <f>E28+E25+E27</f>
        <v>0</v>
      </c>
      <c r="F29" s="541">
        <f>F28+F25</f>
        <v>4750998.4000000004</v>
      </c>
      <c r="G29" s="555" t="s">
        <v>228</v>
      </c>
    </row>
    <row r="30" spans="1:7" ht="15.6">
      <c r="G30" s="555" t="str">
        <f>IF(F29=ROUND('1. Summary 2324'!G30,2),"Total matches Summary tab","Adj for rounding/Check formulas")</f>
        <v>Adj for rounding/Check formulas</v>
      </c>
    </row>
    <row r="31" spans="1:7" ht="15.6">
      <c r="A31" s="550" t="s">
        <v>1243</v>
      </c>
    </row>
    <row r="32" spans="1:7" ht="45">
      <c r="A32" s="546" t="s">
        <v>1242</v>
      </c>
      <c r="B32" s="547" t="s">
        <v>1248</v>
      </c>
      <c r="C32" s="547" t="s">
        <v>1246</v>
      </c>
      <c r="D32" s="547" t="s">
        <v>1247</v>
      </c>
      <c r="E32" s="548" t="s">
        <v>1241</v>
      </c>
      <c r="F32" s="546" t="s">
        <v>1252</v>
      </c>
    </row>
    <row r="33" spans="1:23">
      <c r="A33" s="549">
        <f>'1. Summary 2324'!G33</f>
        <v>19752.145651776336</v>
      </c>
      <c r="B33" s="543">
        <f>A33</f>
        <v>19752.145651776336</v>
      </c>
      <c r="C33" s="543">
        <f t="shared" ref="C33:C38" si="4">ROUND(A33,2)</f>
        <v>19752.150000000001</v>
      </c>
      <c r="D33" s="543">
        <f t="shared" ref="D33:D68" si="5">C33-B33</f>
        <v>4.3482236651470885E-3</v>
      </c>
      <c r="E33" s="543"/>
      <c r="F33" s="543">
        <f>C33+E33</f>
        <v>19752.150000000001</v>
      </c>
    </row>
    <row r="34" spans="1:23">
      <c r="A34" s="549">
        <f>'1. Summary 2324'!G34</f>
        <v>8535.848652749959</v>
      </c>
      <c r="B34" s="543">
        <f t="shared" ref="B34:B67" si="6">A34</f>
        <v>8535.848652749959</v>
      </c>
      <c r="C34" s="543">
        <f t="shared" si="4"/>
        <v>8535.85</v>
      </c>
      <c r="D34" s="543">
        <f t="shared" si="5"/>
        <v>1.3472500413627131E-3</v>
      </c>
      <c r="E34" s="543"/>
      <c r="F34" s="543">
        <f t="shared" ref="F34:F67" si="7">C34+E34</f>
        <v>8535.85</v>
      </c>
    </row>
    <row r="35" spans="1:23">
      <c r="A35" s="549">
        <f>'1. Summary 2324'!G35</f>
        <v>55405.760020458154</v>
      </c>
      <c r="B35" s="543">
        <f t="shared" si="6"/>
        <v>55405.760020458154</v>
      </c>
      <c r="C35" s="543">
        <f t="shared" si="4"/>
        <v>55405.760000000002</v>
      </c>
      <c r="D35" s="543">
        <f t="shared" si="5"/>
        <v>-2.0458151993807405E-5</v>
      </c>
      <c r="E35" s="543"/>
      <c r="F35" s="543">
        <f t="shared" si="7"/>
        <v>55405.760000000002</v>
      </c>
    </row>
    <row r="36" spans="1:23">
      <c r="A36" s="549">
        <f>'1. Summary 2324'!G36</f>
        <v>4930.8711238315746</v>
      </c>
      <c r="B36" s="543">
        <f t="shared" si="6"/>
        <v>4930.8711238315746</v>
      </c>
      <c r="C36" s="543">
        <f t="shared" si="4"/>
        <v>4930.87</v>
      </c>
      <c r="D36" s="543">
        <f t="shared" si="5"/>
        <v>-1.1238315746595617E-3</v>
      </c>
      <c r="E36" s="543"/>
      <c r="F36" s="543">
        <f t="shared" si="7"/>
        <v>4930.87</v>
      </c>
      <c r="H36" s="541"/>
    </row>
    <row r="37" spans="1:23">
      <c r="A37" s="549">
        <f>'1. Summary 2324'!G37</f>
        <v>116.51071522527282</v>
      </c>
      <c r="B37" s="543">
        <f t="shared" si="6"/>
        <v>116.51071522527282</v>
      </c>
      <c r="C37" s="543">
        <f t="shared" si="4"/>
        <v>116.51</v>
      </c>
      <c r="D37" s="543">
        <f t="shared" si="5"/>
        <v>-7.152252728133135E-4</v>
      </c>
      <c r="E37" s="543"/>
      <c r="F37" s="543">
        <f t="shared" si="7"/>
        <v>116.51</v>
      </c>
    </row>
    <row r="38" spans="1:23">
      <c r="A38" s="549">
        <f>'1. Summary 2324'!G38</f>
        <v>643.76922026055308</v>
      </c>
      <c r="B38" s="543">
        <f t="shared" si="6"/>
        <v>643.76922026055308</v>
      </c>
      <c r="C38" s="543">
        <f t="shared" si="4"/>
        <v>643.77</v>
      </c>
      <c r="D38" s="543">
        <f t="shared" si="5"/>
        <v>7.7973944689802011E-4</v>
      </c>
      <c r="E38" s="543"/>
      <c r="F38" s="543">
        <f t="shared" si="7"/>
        <v>643.77</v>
      </c>
    </row>
    <row r="39" spans="1:23" ht="15.6">
      <c r="A39" s="549">
        <f>SUM(A33:A38)</f>
        <v>89384.905384301848</v>
      </c>
      <c r="B39" s="543">
        <f t="shared" si="6"/>
        <v>89384.905384301848</v>
      </c>
      <c r="C39" s="543">
        <f>SUM(C33:C38)</f>
        <v>89384.91</v>
      </c>
      <c r="D39" s="543">
        <f t="shared" si="5"/>
        <v>4.6156981552485377E-3</v>
      </c>
      <c r="E39" s="543">
        <f>SUM(E33:E38)</f>
        <v>0</v>
      </c>
      <c r="F39" s="543">
        <f>SUM(F33:F38)</f>
        <v>89384.91</v>
      </c>
      <c r="G39" s="555" t="s">
        <v>1244</v>
      </c>
      <c r="J39" s="540"/>
    </row>
    <row r="40" spans="1:23" ht="15.6">
      <c r="A40" s="542">
        <f>'1. Summary 2324'!G39</f>
        <v>5156.6493257411885</v>
      </c>
      <c r="B40" s="540">
        <f t="shared" si="6"/>
        <v>5156.6493257411885</v>
      </c>
      <c r="C40" s="540">
        <f t="shared" ref="C40:C67" si="8">ROUND(A40,2)</f>
        <v>5156.6499999999996</v>
      </c>
      <c r="D40" s="540">
        <f t="shared" si="5"/>
        <v>6.7425881115923403E-4</v>
      </c>
      <c r="E40" s="540"/>
      <c r="F40" s="540">
        <f t="shared" si="7"/>
        <v>5156.6499999999996</v>
      </c>
      <c r="G40" s="555" t="str">
        <f>IF(F39=ROUND(SUM('1. Summary 2324'!G33:G38),2),"Total matches Summary tab","Adj for rounding/Check formulas")</f>
        <v>Total matches Summary tab</v>
      </c>
      <c r="J40" s="540"/>
      <c r="K40" s="591"/>
      <c r="L40" s="591"/>
      <c r="M40" s="591"/>
      <c r="N40" s="591"/>
      <c r="O40" s="591"/>
      <c r="P40" s="591"/>
      <c r="Q40" s="591"/>
      <c r="R40" s="591"/>
      <c r="S40" s="591"/>
      <c r="T40" s="591"/>
      <c r="U40" s="591"/>
      <c r="V40" s="591"/>
      <c r="W40" s="591"/>
    </row>
    <row r="41" spans="1:23" ht="15.6">
      <c r="A41" s="542">
        <f>'1. Summary 2324'!G40</f>
        <v>324916.75852061913</v>
      </c>
      <c r="B41" s="540">
        <f t="shared" si="6"/>
        <v>324916.75852061913</v>
      </c>
      <c r="C41" s="540">
        <f t="shared" si="8"/>
        <v>324916.76</v>
      </c>
      <c r="D41" s="540">
        <f t="shared" si="5"/>
        <v>1.4793808804824948E-3</v>
      </c>
      <c r="E41" s="540"/>
      <c r="F41" s="540">
        <f t="shared" si="7"/>
        <v>324916.76</v>
      </c>
      <c r="G41" s="555" t="str">
        <f>IF(F39=ROUND('TC 35 0890 Entry'!BD9:BD9,2),"Total matches 0890 TC 35 Input","Adj for rounding/Check formulas")</f>
        <v>Total matches 0890 TC 35 Input</v>
      </c>
      <c r="J41" s="544"/>
    </row>
    <row r="42" spans="1:23">
      <c r="A42" s="542">
        <f>'1. Summary 2324'!G41</f>
        <v>795989.62084128673</v>
      </c>
      <c r="B42" s="540">
        <f t="shared" si="6"/>
        <v>795989.62084128673</v>
      </c>
      <c r="C42" s="540">
        <f t="shared" si="8"/>
        <v>795989.62</v>
      </c>
      <c r="D42" s="540">
        <f t="shared" si="5"/>
        <v>-8.4128673188388348E-4</v>
      </c>
      <c r="E42" s="540"/>
      <c r="F42" s="540">
        <f t="shared" si="7"/>
        <v>795989.62</v>
      </c>
    </row>
    <row r="43" spans="1:23">
      <c r="A43" s="542">
        <f>'1. Summary 2324'!G42</f>
        <v>157496.76326572202</v>
      </c>
      <c r="B43" s="540">
        <f t="shared" si="6"/>
        <v>157496.76326572202</v>
      </c>
      <c r="C43" s="540">
        <f t="shared" si="8"/>
        <v>157496.76</v>
      </c>
      <c r="D43" s="540">
        <f t="shared" si="5"/>
        <v>-3.2657220144756138E-3</v>
      </c>
      <c r="E43" s="540"/>
      <c r="F43" s="540">
        <f t="shared" si="7"/>
        <v>157496.76</v>
      </c>
    </row>
    <row r="44" spans="1:23">
      <c r="A44" s="542">
        <f>'1. Summary 2324'!G43</f>
        <v>10445.354736205682</v>
      </c>
      <c r="B44" s="540">
        <f t="shared" si="6"/>
        <v>10445.354736205682</v>
      </c>
      <c r="C44" s="540">
        <f t="shared" si="8"/>
        <v>10445.35</v>
      </c>
      <c r="D44" s="540">
        <f t="shared" si="5"/>
        <v>-4.7362056811834918E-3</v>
      </c>
      <c r="E44" s="540"/>
      <c r="F44" s="540">
        <f t="shared" si="7"/>
        <v>10445.35</v>
      </c>
    </row>
    <row r="45" spans="1:23">
      <c r="A45" s="542">
        <f>'1. Summary 2324'!G44</f>
        <v>10723.65839887417</v>
      </c>
      <c r="B45" s="540">
        <f t="shared" si="6"/>
        <v>10723.65839887417</v>
      </c>
      <c r="C45" s="540">
        <f t="shared" si="8"/>
        <v>10723.66</v>
      </c>
      <c r="D45" s="540">
        <f t="shared" si="5"/>
        <v>1.6011258303478826E-3</v>
      </c>
      <c r="E45" s="540"/>
      <c r="F45" s="540">
        <f t="shared" si="7"/>
        <v>10723.66</v>
      </c>
    </row>
    <row r="46" spans="1:23">
      <c r="A46" s="542">
        <f>'1. Summary 2324'!G45</f>
        <v>0</v>
      </c>
      <c r="B46" s="540">
        <f t="shared" si="6"/>
        <v>0</v>
      </c>
      <c r="C46" s="540">
        <f t="shared" si="8"/>
        <v>0</v>
      </c>
      <c r="D46" s="540">
        <f t="shared" si="5"/>
        <v>0</v>
      </c>
      <c r="E46" s="540"/>
      <c r="F46" s="540">
        <f t="shared" si="7"/>
        <v>0</v>
      </c>
    </row>
    <row r="47" spans="1:23">
      <c r="A47" s="542">
        <f>'1. Summary 2324'!G46</f>
        <v>2503.8383845648627</v>
      </c>
      <c r="B47" s="540">
        <f t="shared" si="6"/>
        <v>2503.8383845648627</v>
      </c>
      <c r="C47" s="540">
        <f t="shared" si="8"/>
        <v>2503.84</v>
      </c>
      <c r="D47" s="540">
        <f t="shared" si="5"/>
        <v>1.6154351374098042E-3</v>
      </c>
      <c r="E47" s="540"/>
      <c r="F47" s="543">
        <f t="shared" si="7"/>
        <v>2503.84</v>
      </c>
    </row>
    <row r="48" spans="1:23">
      <c r="A48" s="542">
        <f>'1. Summary 2324'!G47</f>
        <v>0</v>
      </c>
      <c r="B48" s="540">
        <f t="shared" si="6"/>
        <v>0</v>
      </c>
      <c r="C48" s="540">
        <f t="shared" si="8"/>
        <v>0</v>
      </c>
      <c r="D48" s="540">
        <f t="shared" si="5"/>
        <v>0</v>
      </c>
      <c r="E48" s="540"/>
      <c r="F48" s="540">
        <f t="shared" si="7"/>
        <v>0</v>
      </c>
    </row>
    <row r="49" spans="1:6">
      <c r="A49" s="542">
        <f>'1. Summary 2324'!G48</f>
        <v>405.25442556684573</v>
      </c>
      <c r="B49" s="540">
        <f t="shared" si="6"/>
        <v>405.25442556684573</v>
      </c>
      <c r="C49" s="540">
        <f t="shared" si="8"/>
        <v>405.25</v>
      </c>
      <c r="D49" s="540">
        <f t="shared" si="5"/>
        <v>-4.4255668457253705E-3</v>
      </c>
      <c r="E49" s="540"/>
      <c r="F49" s="543">
        <f t="shared" si="7"/>
        <v>405.25</v>
      </c>
    </row>
    <row r="50" spans="1:6">
      <c r="A50" s="542">
        <f>'1. Summary 2324'!G49</f>
        <v>2519.7331872719083</v>
      </c>
      <c r="B50" s="540">
        <f t="shared" si="6"/>
        <v>2519.7331872719083</v>
      </c>
      <c r="C50" s="540">
        <f t="shared" si="8"/>
        <v>2519.73</v>
      </c>
      <c r="D50" s="540">
        <f t="shared" si="5"/>
        <v>-3.1872719082457479E-3</v>
      </c>
      <c r="E50" s="540"/>
      <c r="F50" s="543">
        <f t="shared" si="7"/>
        <v>2519.73</v>
      </c>
    </row>
    <row r="51" spans="1:6">
      <c r="A51" s="542">
        <f>'1. Summary 2324'!G50</f>
        <v>484.99205118573644</v>
      </c>
      <c r="B51" s="540">
        <f t="shared" si="6"/>
        <v>484.99205118573644</v>
      </c>
      <c r="C51" s="540">
        <f t="shared" si="8"/>
        <v>484.99</v>
      </c>
      <c r="D51" s="540">
        <f t="shared" si="5"/>
        <v>-2.0511857364340358E-3</v>
      </c>
      <c r="E51" s="540"/>
      <c r="F51" s="543">
        <f t="shared" si="7"/>
        <v>484.99</v>
      </c>
    </row>
    <row r="52" spans="1:6">
      <c r="A52" s="542">
        <f>'1. Summary 2324'!G51</f>
        <v>80.941961803765267</v>
      </c>
      <c r="B52" s="540">
        <f t="shared" si="6"/>
        <v>80.941961803765267</v>
      </c>
      <c r="C52" s="540">
        <f t="shared" si="8"/>
        <v>80.94</v>
      </c>
      <c r="D52" s="540">
        <f t="shared" si="5"/>
        <v>-1.96180376526911E-3</v>
      </c>
      <c r="E52" s="540"/>
      <c r="F52" s="543">
        <f t="shared" si="7"/>
        <v>80.94</v>
      </c>
    </row>
    <row r="53" spans="1:6">
      <c r="A53" s="542">
        <f>'1. Summary 2324'!G52</f>
        <v>12644.034791857315</v>
      </c>
      <c r="B53" s="540">
        <f t="shared" si="6"/>
        <v>12644.034791857315</v>
      </c>
      <c r="C53" s="540">
        <f t="shared" si="8"/>
        <v>12644.03</v>
      </c>
      <c r="D53" s="540">
        <f t="shared" si="5"/>
        <v>-4.7918573145580012E-3</v>
      </c>
      <c r="E53" s="540"/>
      <c r="F53" s="543">
        <f t="shared" si="7"/>
        <v>12644.03</v>
      </c>
    </row>
    <row r="54" spans="1:6">
      <c r="A54" s="542">
        <f>'1. Summary 2324'!G53</f>
        <v>4116.8069087140166</v>
      </c>
      <c r="B54" s="540">
        <f t="shared" si="6"/>
        <v>4116.8069087140166</v>
      </c>
      <c r="C54" s="540">
        <f t="shared" si="8"/>
        <v>4116.8100000000004</v>
      </c>
      <c r="D54" s="540">
        <f t="shared" si="5"/>
        <v>3.0912859838281292E-3</v>
      </c>
      <c r="E54" s="540"/>
      <c r="F54" s="543">
        <f t="shared" si="7"/>
        <v>4116.8100000000004</v>
      </c>
    </row>
    <row r="55" spans="1:6">
      <c r="A55" s="542">
        <f>'1. Summary 2324'!G54</f>
        <v>5582.6160084362582</v>
      </c>
      <c r="B55" s="540">
        <f t="shared" si="6"/>
        <v>5582.6160084362582</v>
      </c>
      <c r="C55" s="540">
        <f t="shared" si="8"/>
        <v>5582.62</v>
      </c>
      <c r="D55" s="540">
        <f t="shared" si="5"/>
        <v>3.9915637416925165E-3</v>
      </c>
      <c r="E55" s="540"/>
      <c r="F55" s="543">
        <f t="shared" si="7"/>
        <v>5582.62</v>
      </c>
    </row>
    <row r="56" spans="1:6">
      <c r="A56" s="542">
        <f>'1. Summary 2324'!G55</f>
        <v>932.81426583572477</v>
      </c>
      <c r="B56" s="540">
        <f t="shared" si="6"/>
        <v>932.81426583572477</v>
      </c>
      <c r="C56" s="540">
        <f t="shared" si="8"/>
        <v>932.81</v>
      </c>
      <c r="D56" s="540">
        <f t="shared" si="5"/>
        <v>-4.265835724822864E-3</v>
      </c>
      <c r="E56" s="540"/>
      <c r="F56" s="543">
        <f t="shared" si="7"/>
        <v>932.81</v>
      </c>
    </row>
    <row r="57" spans="1:6">
      <c r="A57" s="542">
        <f>'1. Summary 2324'!G56</f>
        <v>111.67591238473359</v>
      </c>
      <c r="B57" s="540">
        <f t="shared" si="6"/>
        <v>111.67591238473359</v>
      </c>
      <c r="C57" s="540">
        <f t="shared" si="8"/>
        <v>111.68</v>
      </c>
      <c r="D57" s="540">
        <f t="shared" si="5"/>
        <v>4.0876152664139909E-3</v>
      </c>
      <c r="E57" s="540"/>
      <c r="F57" s="543">
        <f t="shared" si="7"/>
        <v>111.68</v>
      </c>
    </row>
    <row r="58" spans="1:6">
      <c r="A58" s="542">
        <f>'1. Summary 2324'!G57</f>
        <v>25907.33258446473</v>
      </c>
      <c r="B58" s="540">
        <f t="shared" si="6"/>
        <v>25907.33258446473</v>
      </c>
      <c r="C58" s="540">
        <f t="shared" si="8"/>
        <v>25907.33</v>
      </c>
      <c r="D58" s="540">
        <f t="shared" si="5"/>
        <v>-2.5844647279882338E-3</v>
      </c>
      <c r="E58" s="540"/>
      <c r="F58" s="543">
        <f t="shared" si="7"/>
        <v>25907.33</v>
      </c>
    </row>
    <row r="59" spans="1:6">
      <c r="A59" s="542">
        <f>'1. Summary 2324'!G58</f>
        <v>458.60611743521434</v>
      </c>
      <c r="B59" s="540">
        <f t="shared" si="6"/>
        <v>458.60611743521434</v>
      </c>
      <c r="C59" s="540">
        <f t="shared" si="8"/>
        <v>458.61</v>
      </c>
      <c r="D59" s="540">
        <f t="shared" si="5"/>
        <v>3.8825647856697287E-3</v>
      </c>
      <c r="E59" s="540"/>
      <c r="F59" s="543">
        <f t="shared" si="7"/>
        <v>458.61</v>
      </c>
    </row>
    <row r="60" spans="1:6">
      <c r="A60" s="542">
        <f>'1. Summary 2324'!G59</f>
        <v>2869.7035804684019</v>
      </c>
      <c r="B60" s="540">
        <f t="shared" si="6"/>
        <v>2869.7035804684019</v>
      </c>
      <c r="C60" s="540">
        <f t="shared" si="8"/>
        <v>2869.7</v>
      </c>
      <c r="D60" s="540">
        <f t="shared" si="5"/>
        <v>-3.5804684021059074E-3</v>
      </c>
      <c r="E60" s="540"/>
      <c r="F60" s="543">
        <f t="shared" si="7"/>
        <v>2869.7</v>
      </c>
    </row>
    <row r="61" spans="1:6">
      <c r="A61" s="542">
        <f>'1. Summary 2324'!G60</f>
        <v>4171.534384902031</v>
      </c>
      <c r="B61" s="540">
        <f t="shared" si="6"/>
        <v>4171.534384902031</v>
      </c>
      <c r="C61" s="540">
        <f t="shared" si="8"/>
        <v>4171.53</v>
      </c>
      <c r="D61" s="540">
        <f t="shared" si="5"/>
        <v>-4.3849020312336506E-3</v>
      </c>
      <c r="E61" s="540"/>
      <c r="F61" s="543">
        <f t="shared" si="7"/>
        <v>4171.53</v>
      </c>
    </row>
    <row r="62" spans="1:6">
      <c r="A62" s="542">
        <f>'1. Summary 2324'!G61</f>
        <v>0</v>
      </c>
      <c r="B62" s="540">
        <f t="shared" si="6"/>
        <v>0</v>
      </c>
      <c r="C62" s="540">
        <f t="shared" si="8"/>
        <v>0</v>
      </c>
      <c r="D62" s="540">
        <f t="shared" si="5"/>
        <v>0</v>
      </c>
      <c r="E62" s="540"/>
      <c r="F62" s="543">
        <f t="shared" si="7"/>
        <v>0</v>
      </c>
    </row>
    <row r="63" spans="1:6">
      <c r="A63" s="542">
        <f>'1. Summary 2324'!G62</f>
        <v>1295.6219908942335</v>
      </c>
      <c r="B63" s="540">
        <f t="shared" si="6"/>
        <v>1295.6219908942335</v>
      </c>
      <c r="C63" s="540">
        <f t="shared" si="8"/>
        <v>1295.6199999999999</v>
      </c>
      <c r="D63" s="540">
        <f t="shared" si="5"/>
        <v>-1.9908942335860047E-3</v>
      </c>
      <c r="E63" s="540"/>
      <c r="F63" s="543">
        <f t="shared" si="7"/>
        <v>1295.6199999999999</v>
      </c>
    </row>
    <row r="64" spans="1:6">
      <c r="A64" s="542">
        <f>'1. Summary 2324'!G63</f>
        <v>0</v>
      </c>
      <c r="B64" s="540">
        <f t="shared" si="6"/>
        <v>0</v>
      </c>
      <c r="C64" s="540">
        <f t="shared" si="8"/>
        <v>0</v>
      </c>
      <c r="D64" s="540">
        <f t="shared" si="5"/>
        <v>0</v>
      </c>
      <c r="E64" s="540"/>
      <c r="F64" s="543">
        <f t="shared" si="7"/>
        <v>0</v>
      </c>
    </row>
    <row r="65" spans="1:7">
      <c r="A65" s="542">
        <f>'1. Summary 2324'!G64</f>
        <v>777.81924485931734</v>
      </c>
      <c r="B65" s="540">
        <f t="shared" si="6"/>
        <v>777.81924485931734</v>
      </c>
      <c r="C65" s="540">
        <f t="shared" si="8"/>
        <v>777.82</v>
      </c>
      <c r="D65" s="540">
        <f t="shared" si="5"/>
        <v>7.551406827133178E-4</v>
      </c>
      <c r="E65" s="540"/>
      <c r="F65" s="543">
        <f t="shared" si="7"/>
        <v>777.82</v>
      </c>
    </row>
    <row r="66" spans="1:7">
      <c r="A66" s="542">
        <f>'1. Summary 2324'!G65</f>
        <v>57756.9425580807</v>
      </c>
      <c r="B66" s="540">
        <f t="shared" si="6"/>
        <v>57756.9425580807</v>
      </c>
      <c r="C66" s="540">
        <f t="shared" si="8"/>
        <v>57756.94</v>
      </c>
      <c r="D66" s="540">
        <f t="shared" si="5"/>
        <v>-2.5580806977814063E-3</v>
      </c>
      <c r="E66" s="540"/>
      <c r="F66" s="543">
        <f t="shared" si="7"/>
        <v>57756.94</v>
      </c>
    </row>
    <row r="67" spans="1:7">
      <c r="A67" s="542">
        <f>'1. Summary 2324'!G66</f>
        <v>25627.446700885874</v>
      </c>
      <c r="B67" s="540">
        <f t="shared" si="6"/>
        <v>25627.446700885874</v>
      </c>
      <c r="C67" s="540">
        <f t="shared" si="8"/>
        <v>25627.45</v>
      </c>
      <c r="D67" s="540">
        <f t="shared" si="5"/>
        <v>3.2991141270031221E-3</v>
      </c>
      <c r="E67" s="540"/>
      <c r="F67" s="543">
        <f t="shared" si="7"/>
        <v>25627.45</v>
      </c>
    </row>
    <row r="68" spans="1:7" ht="15.6">
      <c r="A68" s="542">
        <f>'1. Summary 2324'!G67</f>
        <v>1542361.4255323624</v>
      </c>
      <c r="B68" s="540">
        <f>SUM(B40:B67)+B39</f>
        <v>1542361.4255323627</v>
      </c>
      <c r="C68" s="540">
        <f>SUM(C40:C67)+C39</f>
        <v>1542361.4100000004</v>
      </c>
      <c r="D68" s="540">
        <f t="shared" si="5"/>
        <v>-1.5532362274825573E-2</v>
      </c>
      <c r="E68" s="540">
        <f>SUM(E40:E67)+E39</f>
        <v>0</v>
      </c>
      <c r="F68" s="540">
        <f>SUM(F40:F67)+F39</f>
        <v>1542361.4100000004</v>
      </c>
      <c r="G68" s="555" t="s">
        <v>1245</v>
      </c>
    </row>
    <row r="69" spans="1:7" ht="15.6">
      <c r="G69" s="555" t="str">
        <f>IF(F68=ROUND('1. Summary 2324'!G67,2),"Total matches Summary tab","Adj for rounding/Check formulas")</f>
        <v>Adj for rounding/Check formulas</v>
      </c>
    </row>
    <row r="70" spans="1:7" ht="15.6">
      <c r="A70" s="550" t="s">
        <v>1253</v>
      </c>
    </row>
    <row r="71" spans="1:7" ht="45">
      <c r="A71" s="546" t="s">
        <v>1254</v>
      </c>
      <c r="B71" s="547" t="s">
        <v>1248</v>
      </c>
      <c r="C71" s="547" t="s">
        <v>1246</v>
      </c>
      <c r="D71" s="547" t="s">
        <v>1247</v>
      </c>
      <c r="E71" s="548" t="s">
        <v>1241</v>
      </c>
      <c r="F71" s="546" t="s">
        <v>1252</v>
      </c>
    </row>
    <row r="72" spans="1:7" ht="15.6">
      <c r="A72" s="542">
        <f>'5. Gov Wide Entries Fund 9142'!F6</f>
        <v>-6293359.8348270003</v>
      </c>
      <c r="B72" s="544">
        <f>A72</f>
        <v>-6293359.8348270003</v>
      </c>
      <c r="C72" s="540">
        <f>ROUND(A72,2)</f>
        <v>-6293359.8300000001</v>
      </c>
      <c r="D72" s="540">
        <f>C72-B72</f>
        <v>4.8270002007484436E-3</v>
      </c>
      <c r="E72" s="543"/>
      <c r="F72" s="543">
        <f>C72</f>
        <v>-6293359.8300000001</v>
      </c>
      <c r="G72" s="555" t="s">
        <v>1376</v>
      </c>
    </row>
    <row r="73" spans="1:7" ht="15.6">
      <c r="A73" s="542">
        <f>'5. Gov Wide Entries Fund 9142'!F7</f>
        <v>6293359.8348270003</v>
      </c>
      <c r="B73" s="544">
        <f>A73</f>
        <v>6293359.8348270003</v>
      </c>
      <c r="C73" s="540">
        <f t="shared" ref="C73:C82" si="9">ROUND(A73,2)</f>
        <v>6293359.8300000001</v>
      </c>
      <c r="D73" s="540">
        <f t="shared" ref="D73:D83" si="10">C73-B73</f>
        <v>-4.8270002007484436E-3</v>
      </c>
      <c r="E73" s="543"/>
      <c r="F73" s="543">
        <f t="shared" ref="F73:F81" si="11">C73</f>
        <v>6293359.8300000001</v>
      </c>
      <c r="G73" s="555" t="str">
        <f>IF(F73=F68+F29,"Other Liabilities matches Reclass","Adj for rounding/Check formulas")</f>
        <v>Adj for rounding/Check formulas</v>
      </c>
    </row>
    <row r="74" spans="1:7">
      <c r="A74" s="542">
        <f>'5. Gov Wide Entries Fund 9142'!F8</f>
        <v>48772846.774827003</v>
      </c>
      <c r="B74" s="544">
        <f>A74</f>
        <v>48772846.774827003</v>
      </c>
      <c r="C74" s="540">
        <f t="shared" si="9"/>
        <v>48772846.770000003</v>
      </c>
      <c r="D74" s="540">
        <f t="shared" si="10"/>
        <v>-4.8270002007484436E-3</v>
      </c>
      <c r="E74" s="543"/>
      <c r="F74" s="543">
        <f t="shared" si="11"/>
        <v>48772846.770000003</v>
      </c>
    </row>
    <row r="75" spans="1:7">
      <c r="A75" s="542">
        <f>'5. Gov Wide Entries Fund 9142'!F9</f>
        <v>-1283152.6651816873</v>
      </c>
      <c r="B75" s="544">
        <f>A75</f>
        <v>-1283152.6651816873</v>
      </c>
      <c r="C75" s="540">
        <f t="shared" si="9"/>
        <v>-1283152.67</v>
      </c>
      <c r="D75" s="540">
        <f t="shared" si="10"/>
        <v>-4.8183125909417868E-3</v>
      </c>
      <c r="E75" s="543"/>
      <c r="F75" s="543">
        <f t="shared" si="11"/>
        <v>-1283152.67</v>
      </c>
    </row>
    <row r="76" spans="1:7">
      <c r="A76" s="542">
        <f>'5. Gov Wide Entries Fund 9142'!F10</f>
        <v>-145220.41298642941</v>
      </c>
      <c r="B76" s="544">
        <f>A76</f>
        <v>-145220.41298642941</v>
      </c>
      <c r="C76" s="540">
        <f t="shared" si="9"/>
        <v>-145220.41</v>
      </c>
      <c r="D76" s="540">
        <f t="shared" si="10"/>
        <v>2.9864294047001749E-3</v>
      </c>
      <c r="E76" s="543"/>
      <c r="F76" s="543">
        <f t="shared" si="11"/>
        <v>-145220.41</v>
      </c>
    </row>
    <row r="77" spans="1:7">
      <c r="A77" s="542">
        <f>'5. Gov Wide Entries Fund 9142'!F11</f>
        <v>-6459224.6882422753</v>
      </c>
      <c r="B77" s="544">
        <f t="shared" ref="B77:B82" si="12">A77</f>
        <v>-6459224.6882422753</v>
      </c>
      <c r="C77" s="540">
        <f>ROUND(A77,2)</f>
        <v>-6459224.6900000004</v>
      </c>
      <c r="D77" s="540">
        <f t="shared" si="10"/>
        <v>-1.7577251419425011E-3</v>
      </c>
      <c r="E77" s="543"/>
      <c r="F77" s="543">
        <f>C77</f>
        <v>-6459224.6900000004</v>
      </c>
    </row>
    <row r="78" spans="1:7">
      <c r="A78" s="542">
        <f>'5. Gov Wide Entries Fund 9142'!F12</f>
        <v>-4196217.2323829709</v>
      </c>
      <c r="B78" s="544">
        <f t="shared" si="12"/>
        <v>-4196217.2323829709</v>
      </c>
      <c r="C78" s="540">
        <f t="shared" si="9"/>
        <v>-4196217.2300000004</v>
      </c>
      <c r="D78" s="540">
        <f t="shared" si="10"/>
        <v>2.3829704150557518E-3</v>
      </c>
      <c r="E78" s="543"/>
      <c r="F78" s="543">
        <f t="shared" si="11"/>
        <v>-4196217.2300000004</v>
      </c>
    </row>
    <row r="79" spans="1:7">
      <c r="A79" s="542">
        <f>'5. Gov Wide Entries Fund 9142'!F13</f>
        <v>-173642.46516676762</v>
      </c>
      <c r="B79" s="544">
        <f t="shared" si="12"/>
        <v>-173642.46516676762</v>
      </c>
      <c r="C79" s="540">
        <f t="shared" si="9"/>
        <v>-173642.47</v>
      </c>
      <c r="D79" s="540">
        <f t="shared" si="10"/>
        <v>-4.8332323785871267E-3</v>
      </c>
      <c r="E79" s="543"/>
      <c r="F79" s="543">
        <f t="shared" si="11"/>
        <v>-173642.47</v>
      </c>
    </row>
    <row r="80" spans="1:7">
      <c r="A80" s="542">
        <f>'5. Gov Wide Entries Fund 9142'!F14</f>
        <v>-9907483.8091238327</v>
      </c>
      <c r="B80" s="544">
        <f t="shared" si="12"/>
        <v>-9907483.8091238327</v>
      </c>
      <c r="C80" s="540">
        <f t="shared" si="9"/>
        <v>-9907483.8100000005</v>
      </c>
      <c r="D80" s="540">
        <f t="shared" si="10"/>
        <v>-8.7616778910160065E-4</v>
      </c>
      <c r="E80" s="543"/>
      <c r="F80" s="543">
        <f t="shared" si="11"/>
        <v>-9907483.8100000005</v>
      </c>
    </row>
    <row r="81" spans="1:7">
      <c r="A81" s="542">
        <f>'5. Gov Wide Entries Fund 9142'!F15</f>
        <v>-26607905.501743041</v>
      </c>
      <c r="B81" s="544">
        <f t="shared" si="12"/>
        <v>-26607905.501743041</v>
      </c>
      <c r="C81" s="540">
        <f t="shared" si="9"/>
        <v>-26607905.5</v>
      </c>
      <c r="D81" s="540">
        <f t="shared" si="10"/>
        <v>1.7430409789085388E-3</v>
      </c>
      <c r="E81" s="543"/>
      <c r="F81" s="543">
        <f t="shared" si="11"/>
        <v>-26607905.5</v>
      </c>
    </row>
    <row r="82" spans="1:7" ht="15.6">
      <c r="A82" s="542">
        <f>'5. Gov Wide Entries Fund 9142'!F16</f>
        <v>0</v>
      </c>
      <c r="B82" s="544">
        <f t="shared" si="12"/>
        <v>0</v>
      </c>
      <c r="C82" s="540">
        <f t="shared" si="9"/>
        <v>0</v>
      </c>
      <c r="D82" s="540">
        <f t="shared" si="10"/>
        <v>0</v>
      </c>
      <c r="E82" s="543">
        <v>0.01</v>
      </c>
      <c r="F82" s="543">
        <f>C82+E82</f>
        <v>0.01</v>
      </c>
      <c r="G82" s="555" t="s">
        <v>1255</v>
      </c>
    </row>
    <row r="83" spans="1:7">
      <c r="A83" s="540">
        <f>SUM(A72:A82)</f>
        <v>-3.7252902984619141E-9</v>
      </c>
      <c r="B83" s="540">
        <f>A83</f>
        <v>-3.7252902984619141E-9</v>
      </c>
      <c r="C83" s="540">
        <f>SUM(C72:C82)</f>
        <v>-9.9999904632568359E-3</v>
      </c>
      <c r="D83" s="540">
        <f t="shared" si="10"/>
        <v>-9.9999867379665375E-3</v>
      </c>
      <c r="E83" s="540">
        <f>SUM(E72:E82)</f>
        <v>0.01</v>
      </c>
      <c r="F83" s="540">
        <f>SUM(F72:F82)</f>
        <v>9.5367431642706668E-9</v>
      </c>
      <c r="G83" s="545" t="s">
        <v>1374</v>
      </c>
    </row>
  </sheetData>
  <mergeCells count="1">
    <mergeCell ref="B2:F14"/>
  </mergeCells>
  <conditionalFormatting sqref="A26:F26">
    <cfRule type="cellIs" dxfId="4" priority="14" operator="notEqual">
      <formula>0</formula>
    </cfRule>
  </conditionalFormatting>
  <conditionalFormatting sqref="G30">
    <cfRule type="cellIs" dxfId="3" priority="6" operator="equal">
      <formula>"Adj for rounding/Check formulas"</formula>
    </cfRule>
  </conditionalFormatting>
  <conditionalFormatting sqref="G40:G41">
    <cfRule type="cellIs" dxfId="2" priority="3" operator="equal">
      <formula>"Adj for rounding/Check formulas"</formula>
    </cfRule>
  </conditionalFormatting>
  <conditionalFormatting sqref="G69">
    <cfRule type="cellIs" dxfId="1" priority="4" operator="equal">
      <formula>"Adj for rounding/Check formulas"</formula>
    </cfRule>
  </conditionalFormatting>
  <conditionalFormatting sqref="G73">
    <cfRule type="cellIs" dxfId="0" priority="1" operator="equal">
      <formula>"Adj for rounding/Check formulas"</formula>
    </cfRule>
  </conditionalFormatting>
  <pageMargins left="0.7" right="0.7" top="0.75" bottom="0.75" header="0.3" footer="0.3"/>
  <pageSetup scale="4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57BC9C-37F1-4E7D-AF8B-D15AE10E99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25</vt:i4>
      </vt:variant>
    </vt:vector>
  </HeadingPairs>
  <TitlesOfParts>
    <vt:vector size="49" baseType="lpstr">
      <vt:lpstr>1. Summary 2324</vt:lpstr>
      <vt:lpstr>2. K0215-June 30, 2024</vt:lpstr>
      <vt:lpstr>3. K0215-REFERENCE</vt:lpstr>
      <vt:lpstr>4. Non Current Liab</vt:lpstr>
      <vt:lpstr>5. Gov Wide Entries Fund 9142</vt:lpstr>
      <vt:lpstr>6. CSU Breakdown</vt:lpstr>
      <vt:lpstr>7. Recon</vt:lpstr>
      <vt:lpstr>8. K0717_2024_Jun </vt:lpstr>
      <vt:lpstr>9. Proprietary Funds</vt:lpstr>
      <vt:lpstr>TC 35</vt:lpstr>
      <vt:lpstr>TC 35 (1)</vt:lpstr>
      <vt:lpstr>TC 35 (2)</vt:lpstr>
      <vt:lpstr>TC 35 (3)</vt:lpstr>
      <vt:lpstr>TC 35 (4)</vt:lpstr>
      <vt:lpstr>TC 35 (5)</vt:lpstr>
      <vt:lpstr>TC 35 (6)</vt:lpstr>
      <vt:lpstr>TC 35 (7)</vt:lpstr>
      <vt:lpstr>TC 35 (8)</vt:lpstr>
      <vt:lpstr>TC 35 (9)</vt:lpstr>
      <vt:lpstr>TC 35 (10)</vt:lpstr>
      <vt:lpstr>TC 35 0890 Entry</vt:lpstr>
      <vt:lpstr>9142</vt:lpstr>
      <vt:lpstr>9142 (2)</vt:lpstr>
      <vt:lpstr>Check for Rounding</vt:lpstr>
      <vt:lpstr>'1. Summary 2324'!Print_Area</vt:lpstr>
      <vt:lpstr>'2. K0215-June 30, 2024'!Print_Area</vt:lpstr>
      <vt:lpstr>'3. K0215-REFERENCE'!Print_Area</vt:lpstr>
      <vt:lpstr>'4. Non Current Liab'!Print_Area</vt:lpstr>
      <vt:lpstr>'5. Gov Wide Entries Fund 9142'!Print_Area</vt:lpstr>
      <vt:lpstr>'7. Recon'!Print_Area</vt:lpstr>
      <vt:lpstr>'9142'!Print_Area</vt:lpstr>
      <vt:lpstr>'9142 (2)'!Print_Area</vt:lpstr>
      <vt:lpstr>'TC 35'!Print_Area</vt:lpstr>
      <vt:lpstr>'TC 35 (10)'!Print_Area</vt:lpstr>
      <vt:lpstr>'TC 35 (3)'!Print_Area</vt:lpstr>
      <vt:lpstr>'TC 35 (4)'!Print_Area</vt:lpstr>
      <vt:lpstr>'TC 35 (5)'!Print_Area</vt:lpstr>
      <vt:lpstr>'TC 35 (6)'!Print_Area</vt:lpstr>
      <vt:lpstr>'TC 35 (7)'!Print_Area</vt:lpstr>
      <vt:lpstr>'TC 35 (8)'!Print_Area</vt:lpstr>
      <vt:lpstr>'TC 35 (9)'!Print_Area</vt:lpstr>
      <vt:lpstr>'2. K0215-June 30, 2024'!Print_Titles</vt:lpstr>
      <vt:lpstr>'3. K0215-REFERENCE'!Print_Titles</vt:lpstr>
      <vt:lpstr>'4. Non Current Liab'!Table26</vt:lpstr>
      <vt:lpstr>'5. Gov Wide Entries Fund 9142'!Table26</vt:lpstr>
      <vt:lpstr>Table26</vt:lpstr>
      <vt:lpstr>'4. Non Current Liab'!WC_LiabilityAllocation</vt:lpstr>
      <vt:lpstr>'5. Gov Wide Entries Fund 9142'!WC_LiabilityAllocation</vt:lpstr>
      <vt:lpstr>WC_LiabilityAllocation</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ADavis</dc:creator>
  <cp:lastModifiedBy>Christian Bennett</cp:lastModifiedBy>
  <cp:lastPrinted>2024-09-03T23:22:35Z</cp:lastPrinted>
  <dcterms:created xsi:type="dcterms:W3CDTF">2005-08-24T18:51:54Z</dcterms:created>
  <dcterms:modified xsi:type="dcterms:W3CDTF">2025-04-14T15:52:37Z</dcterms:modified>
</cp:coreProperties>
</file>