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8955 DEPT OF VETERANS AFFAIRS\"/>
    </mc:Choice>
  </mc:AlternateContent>
  <xr:revisionPtr revIDLastSave="0" documentId="8_{96B3385D-056D-4690-9259-8310419B38FF}" xr6:coauthVersionLast="47" xr6:coauthVersionMax="47" xr10:uidLastSave="{00000000-0000-0000-0000-000000000000}"/>
  <bookViews>
    <workbookView xWindow="-120" yWindow="-120" windowWidth="20730" windowHeight="11160" tabRatio="921" firstSheet="7" activeTab="10" xr2:uid="{00000000-000D-0000-FFFF-FFFF00000000}"/>
  </bookViews>
  <sheets>
    <sheet name="Drop Down Menus" sheetId="1" state="hidden" r:id="rId1"/>
    <sheet name="qryIndex02a" sheetId="11" state="hidden" r:id="rId2"/>
    <sheet name="LS-Version Changes" sheetId="13" state="hidden" r:id="rId3"/>
    <sheet name="LS-Fund #### Journal Entries" sheetId="2" state="hidden" r:id="rId4"/>
    <sheet name="LS-Department Note Disclosure" sheetId="3" state="hidden" r:id="rId5"/>
    <sheet name="LS-Lease Liabilities" sheetId="4" state="hidden" r:id="rId6"/>
    <sheet name="LS-Check Figures  " sheetId="7" state="hidden" r:id="rId7"/>
    <sheet name="LR-Version Changes" sheetId="15" r:id="rId8"/>
    <sheet name="LR-Fund 0001 Journal Entries" sheetId="5" r:id="rId9"/>
    <sheet name="LR-Department Note Disclosure" sheetId="6" r:id="rId10"/>
    <sheet name="LR-Check Figures" sheetId="12"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0001 Journal Entries'!$A$1:$R$70</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5" l="1"/>
  <c r="B63" i="2"/>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J19" i="2"/>
  <c r="K25" i="2"/>
  <c r="K24" i="2"/>
  <c r="K17" i="5"/>
  <c r="K69" i="5" s="1"/>
  <c r="J14" i="5"/>
  <c r="S18" i="8"/>
  <c r="S24" i="8"/>
  <c r="S18" i="2"/>
  <c r="K23" i="8"/>
  <c r="K22" i="8"/>
  <c r="K21" i="8"/>
  <c r="J17" i="8"/>
  <c r="S21" i="8"/>
  <c r="S17" i="8"/>
  <c r="S16" i="8"/>
  <c r="S15" i="8"/>
  <c r="S23" i="8"/>
  <c r="K67" i="5" l="1"/>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<sst xmlns="http://schemas.openxmlformats.org/spreadsheetml/2006/main" count="8073" uniqueCount="1807">
  <si>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</si>
  <si>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</si>
  <si>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</si>
  <si>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</si>
  <si>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</si>
  <si>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</si>
  <si>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</si>
  <si>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</si>
  <si>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</si>
  <si>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</si>
  <si>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</si>
  <si>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</si>
  <si>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</si>
  <si>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</si>
  <si>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</si>
  <si>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</si>
  <si>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</si>
  <si>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</si>
  <si>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</si>
  <si>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</si>
  <si>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</si>
  <si>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</si>
  <si>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</si>
  <si>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</si>
  <si>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</si>
  <si>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</si>
  <si>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</si>
  <si>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</si>
  <si>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</si>
  <si>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</si>
  <si>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</si>
  <si>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</si>
  <si>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</si>
  <si>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</si>
  <si>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</si>
  <si>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</si>
  <si>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</si>
  <si>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</si>
  <si>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</si>
  <si>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</si>
  <si>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</si>
  <si>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</si>
  <si>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</si>
  <si>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</si>
  <si>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</si>
  <si>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</si>
  <si>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</si>
  <si>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</si>
  <si>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</si>
  <si>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</si>
  <si>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</si>
  <si>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</si>
  <si>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</si>
  <si>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</si>
  <si>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</si>
  <si>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</si>
  <si>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</si>
  <si>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</si>
  <si>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</si>
  <si>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</si>
  <si>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</si>
  <si>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</si>
  <si>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</si>
  <si>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</si>
  <si>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</si>
  <si>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</si>
  <si>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</si>
  <si>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</si>
  <si>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</si>
  <si>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</si>
  <si>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</si>
  <si>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</si>
  <si>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</si>
  <si>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</si>
  <si>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</si>
  <si>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</si>
  <si>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</si>
  <si>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</si>
  <si>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</si>
  <si>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</si>
  <si>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</si>
  <si>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</si>
  <si>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</si>
  <si>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</si>
  <si>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</si>
  <si>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</si>
  <si>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</si>
  <si>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</si>
  <si>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</si>
  <si>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</si>
  <si>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</si>
  <si>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</si>
  <si>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</si>
  <si>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</si>
  <si>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</si>
  <si>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</si>
  <si>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</si>
  <si>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</si>
  <si>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</si>
  <si>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</si>
  <si>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</si>
  <si>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</si>
  <si>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</si>
  <si>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</si>
  <si>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</si>
  <si>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</si>
  <si>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</si>
  <si>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</si>
  <si>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</si>
  <si>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</si>
  <si>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</si>
  <si>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</si>
  <si>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</si>
  <si>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</si>
  <si>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</si>
  <si>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</si>
  <si>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</si>
  <si>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</si>
  <si>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</si>
  <si>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</si>
  <si>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</si>
  <si>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</si>
  <si>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</si>
  <si>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</si>
  <si>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</si>
  <si>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</si>
  <si>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</si>
  <si>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</si>
  <si>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</si>
  <si>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</si>
  <si>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</si>
  <si>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</si>
  <si>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</si>
  <si>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</si>
  <si>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</si>
  <si>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</si>
  <si>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</si>
  <si>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</si>
  <si>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</si>
  <si>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</si>
  <si>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</si>
  <si>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</si>
  <si>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</si>
  <si>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</si>
  <si>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</si>
  <si>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</si>
  <si>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</si>
  <si>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</si>
  <si>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</si>
  <si>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</si>
  <si>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</si>
  <si>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</si>
  <si>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</si>
  <si>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</si>
  <si>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</si>
  <si>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</si>
  <si>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</si>
  <si>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</si>
  <si>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</si>
  <si>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</si>
  <si>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</si>
  <si>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</si>
  <si>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</si>
  <si>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</si>
  <si>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</si>
  <si>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</si>
  <si>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</si>
  <si>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</si>
  <si>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</si>
  <si>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</si>
  <si>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</si>
  <si>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</si>
  <si>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</si>
  <si>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</si>
  <si>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</si>
  <si>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</si>
  <si>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</si>
  <si>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</si>
  <si>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</si>
  <si>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</si>
  <si>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</si>
  <si>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</si>
  <si>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</si>
  <si>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</si>
  <si>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</si>
  <si>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</si>
  <si>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</si>
  <si>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</si>
  <si>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</si>
  <si>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</si>
  <si>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</si>
  <si>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</si>
  <si>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</si>
  <si>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</si>
  <si>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</si>
  <si>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</si>
  <si>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</si>
  <si>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</si>
  <si>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</si>
  <si>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</si>
  <si>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</si>
  <si>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</si>
  <si>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</si>
  <si>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</si>
  <si>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</si>
  <si>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</si>
  <si>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</si>
  <si>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</si>
  <si>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</si>
  <si>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</si>
  <si>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</si>
  <si>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</si>
  <si>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</si>
  <si>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</si>
  <si>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</si>
  <si>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</si>
  <si>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</si>
  <si>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</si>
  <si>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</si>
  <si>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</si>
  <si>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</si>
  <si>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</si>
  <si>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</si>
  <si>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</si>
  <si>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</si>
  <si>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</si>
  <si>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</si>
  <si>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</si>
  <si>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</si>
  <si>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</si>
  <si>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</si>
  <si>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</si>
  <si>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</si>
  <si>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</si>
  <si>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</si>
  <si>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</si>
  <si>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</si>
  <si>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</si>
  <si>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</si>
  <si>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</si>
  <si>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</si>
  <si>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</si>
  <si>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</si>
  <si>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</si>
  <si>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</si>
  <si>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</si>
  <si>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</si>
  <si>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</si>
  <si>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</si>
  <si>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</si>
  <si>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</si>
  <si>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</si>
  <si>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</si>
  <si>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</si>
  <si>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</si>
  <si>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</si>
  <si>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</si>
  <si>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</si>
  <si>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</si>
  <si>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</si>
  <si>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</si>
  <si>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</si>
  <si>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</si>
  <si>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</si>
  <si>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</si>
  <si>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</si>
  <si>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</si>
  <si>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</si>
  <si>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</si>
  <si>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</si>
  <si>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</si>
  <si>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</si>
  <si>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</si>
  <si>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</si>
  <si>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</si>
  <si>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</si>
  <si>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</si>
  <si>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</si>
  <si>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</si>
  <si>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</si>
  <si>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</si>
  <si>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</si>
  <si>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</si>
  <si>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</si>
  <si>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</si>
  <si>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</si>
  <si>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</si>
  <si>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</si>
  <si>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</si>
  <si>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</si>
  <si>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</si>
  <si>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</si>
  <si>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</si>
  <si>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</si>
  <si>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</si>
  <si>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</si>
  <si>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</si>
  <si>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</si>
  <si>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</si>
  <si>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</si>
  <si>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</si>
  <si>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</si>
  <si>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</si>
  <si>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</si>
  <si>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</si>
  <si>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</si>
  <si>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</si>
  <si>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</si>
  <si>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</si>
  <si>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</si>
  <si>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</si>
  <si>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</si>
  <si>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</si>
  <si>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</si>
  <si>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</si>
  <si>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</si>
  <si>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</si>
  <si>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</si>
  <si>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</si>
  <si>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</si>
  <si>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</si>
  <si>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</si>
  <si>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</si>
  <si>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</si>
  <si>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</si>
  <si>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</si>
  <si>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</si>
  <si>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</si>
  <si>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</si>
  <si>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</si>
  <si>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</si>
  <si>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</si>
  <si>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</si>
  <si>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</si>
  <si>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</si>
  <si>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</si>
  <si>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</si>
  <si>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</si>
  <si>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</si>
  <si>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</si>
  <si>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</si>
  <si>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</si>
  <si>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</si>
  <si>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</si>
  <si>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</si>
  <si>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</si>
  <si>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</si>
  <si>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</si>
  <si>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</si>
  <si>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</si>
  <si>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</si>
  <si>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</si>
  <si>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</si>
  <si>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</si>
  <si>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</si>
  <si>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</si>
  <si>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</si>
  <si>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</si>
  <si>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</si>
  <si>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</si>
  <si>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</si>
  <si>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</si>
  <si>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</si>
  <si>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</si>
  <si>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</si>
  <si>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</si>
  <si>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</si>
  <si>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</si>
  <si>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</si>
  <si>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</si>
  <si>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</si>
  <si>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</si>
  <si>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</si>
  <si>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</si>
  <si>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</si>
  <si>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</si>
  <si>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</si>
  <si>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</si>
  <si>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</si>
  <si>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</si>
  <si>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</si>
  <si>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</si>
  <si>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</si>
  <si>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</si>
  <si>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</si>
  <si>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</si>
  <si>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</si>
  <si>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</si>
  <si>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</si>
  <si>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</si>
  <si>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</si>
  <si>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</si>
  <si>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</si>
  <si>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</si>
  <si>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</si>
  <si>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</si>
  <si>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</si>
  <si>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</si>
  <si>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</si>
  <si>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</si>
  <si>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</si>
  <si>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</si>
  <si>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</si>
  <si>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</si>
  <si>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</si>
  <si>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</si>
  <si>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</si>
  <si>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</si>
  <si>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</si>
  <si>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</si>
  <si>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</si>
  <si>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</si>
  <si>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</si>
  <si>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</si>
  <si>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</si>
  <si>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</si>
  <si>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</si>
  <si>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</si>
  <si>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</si>
  <si>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</si>
  <si>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</si>
  <si>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</si>
  <si>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</si>
  <si>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</si>
  <si>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</si>
  <si>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</si>
  <si>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</si>
  <si>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</si>
  <si>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</si>
  <si>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</si>
  <si>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</si>
  <si>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</si>
  <si>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</si>
  <si>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</si>
  <si>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</si>
  <si>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</si>
  <si>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</si>
  <si>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</si>
  <si>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</si>
  <si>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</si>
  <si>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</si>
  <si>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</si>
  <si>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</si>
  <si>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</si>
  <si>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</si>
  <si>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</si>
  <si>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</si>
  <si>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</si>
  <si>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</si>
  <si>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</si>
  <si>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</si>
  <si>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</si>
  <si>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</si>
  <si>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</si>
  <si>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</si>
  <si>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</si>
  <si>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</si>
  <si>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</si>
  <si>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</si>
  <si>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</si>
  <si>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</si>
  <si>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</si>
  <si>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</si>
  <si>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</si>
  <si>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</si>
  <si>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</si>
  <si>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</si>
  <si>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</si>
  <si>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</si>
  <si>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</si>
  <si>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</si>
  <si>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</si>
  <si>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</si>
  <si>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</si>
  <si>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</si>
  <si>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</si>
  <si>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</si>
  <si>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</si>
  <si>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</si>
  <si>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</si>
  <si>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</si>
  <si>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</si>
  <si>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</si>
  <si>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</si>
  <si>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</si>
  <si>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</si>
  <si>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</si>
  <si>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</si>
  <si>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</si>
  <si>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</si>
  <si>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</si>
  <si>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</si>
  <si>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</si>
  <si>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</si>
  <si>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</si>
  <si>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</si>
  <si>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</si>
  <si>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</si>
  <si>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</si>
  <si>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</si>
  <si>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</si>
  <si>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</si>
  <si>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</si>
  <si>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</si>
  <si>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</si>
  <si>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</si>
  <si>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</si>
  <si>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</si>
  <si>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</si>
  <si>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</si>
  <si>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</si>
  <si>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</si>
  <si>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</si>
  <si>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</si>
  <si>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</si>
  <si>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</si>
  <si>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</si>
  <si>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</si>
  <si>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</si>
  <si>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</si>
  <si>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</si>
  <si>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</si>
  <si>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</si>
  <si>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</si>
  <si>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</si>
  <si>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</si>
  <si>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</si>
  <si>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</si>
  <si>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</si>
  <si>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</si>
  <si>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</si>
  <si>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</si>
  <si>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</si>
  <si>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</si>
  <si>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</si>
  <si>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</si>
  <si>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</si>
  <si>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</si>
  <si>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</si>
  <si>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</si>
  <si>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</si>
  <si>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</si>
  <si>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</si>
  <si>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</si>
  <si>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</si>
  <si>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</si>
  <si>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</si>
  <si>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</si>
  <si>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</si>
  <si>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</si>
  <si>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</si>
  <si>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</si>
  <si>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</si>
  <si>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</si>
  <si>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</si>
  <si>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</si>
  <si>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</si>
  <si>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</si>
  <si>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</si>
  <si>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</si>
  <si>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</si>
  <si>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</si>
  <si>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</si>
  <si>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</si>
  <si>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</si>
  <si>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</si>
  <si>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</si>
  <si>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</si>
  <si>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</si>
  <si>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</si>
  <si>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</si>
  <si>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</si>
  <si>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</si>
  <si>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</si>
  <si>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</si>
  <si>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</si>
  <si>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</si>
  <si>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</si>
  <si>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</si>
  <si>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</si>
  <si>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</si>
  <si>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</si>
  <si>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</si>
  <si>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</si>
  <si>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</si>
  <si>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</si>
  <si>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</si>
  <si>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</si>
  <si>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</si>
  <si>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</si>
  <si>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</si>
  <si>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</si>
  <si>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</si>
  <si>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</si>
  <si>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</si>
  <si>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</si>
  <si>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</si>
  <si>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</si>
  <si>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</si>
  <si>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</si>
  <si>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</si>
  <si>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</si>
  <si>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</si>
  <si>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</si>
  <si>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</si>
  <si>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</si>
  <si>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</si>
  <si>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</si>
  <si>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</si>
  <si>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</si>
  <si>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</si>
  <si>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</si>
  <si>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</si>
  <si>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</si>
  <si>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</si>
  <si>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</si>
  <si>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</si>
  <si>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</si>
  <si>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</si>
  <si>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</si>
  <si>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</si>
  <si>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</si>
  <si>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</si>
  <si>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</si>
  <si>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</si>
  <si>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</si>
  <si>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</si>
  <si>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</si>
  <si>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</si>
  <si>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</si>
  <si>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</si>
  <si>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</si>
  <si>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</si>
  <si>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</si>
  <si>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</si>
  <si>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</si>
  <si>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</si>
  <si>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</si>
  <si>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</si>
  <si>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</si>
  <si>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</si>
  <si>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</si>
  <si>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</si>
  <si>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</si>
  <si>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</si>
  <si>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</si>
  <si>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</si>
  <si>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</si>
  <si>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</si>
  <si>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</si>
  <si>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</si>
  <si>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</si>
  <si>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</si>
  <si>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</si>
  <si>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</si>
  <si>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</si>
  <si>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</si>
  <si>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</si>
  <si>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</si>
  <si>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</si>
  <si>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</si>
  <si>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</si>
  <si>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</si>
  <si>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</si>
  <si>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</si>
  <si>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</si>
  <si>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</si>
  <si>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</si>
  <si>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</si>
  <si>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</si>
  <si>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</si>
  <si>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</si>
  <si>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</si>
  <si>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</si>
  <si>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</si>
  <si>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</si>
  <si>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</si>
  <si>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</si>
  <si>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</si>
  <si>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</si>
  <si>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</si>
  <si>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</si>
  <si>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</si>
  <si>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</si>
  <si>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</si>
  <si>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</si>
  <si>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</si>
  <si>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</si>
  <si>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</si>
  <si>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</si>
  <si>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</si>
  <si>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</si>
  <si>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</si>
  <si>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</si>
  <si>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</si>
  <si>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</si>
  <si>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</si>
  <si>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</si>
  <si>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</si>
  <si>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</si>
  <si>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</si>
  <si>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</si>
  <si>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</si>
  <si>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</si>
  <si>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</si>
  <si>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</si>
  <si>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</si>
  <si>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</si>
  <si>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</si>
  <si>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</si>
  <si>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</si>
  <si>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</si>
  <si>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</si>
  <si>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</si>
  <si>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</si>
  <si>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</si>
  <si>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</si>
  <si>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</si>
  <si>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</si>
  <si>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</si>
  <si>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</si>
  <si>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</si>
  <si>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</si>
  <si>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</si>
  <si>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</si>
  <si>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</si>
  <si>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</si>
  <si>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</si>
  <si>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</si>
  <si>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</si>
  <si>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</si>
  <si>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</si>
  <si>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</si>
  <si>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</si>
  <si>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</si>
  <si>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</si>
  <si>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</si>
  <si>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</si>
  <si>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</si>
  <si>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</si>
  <si>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</si>
  <si>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</si>
  <si>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</si>
  <si>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</si>
  <si>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</si>
  <si>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</si>
  <si>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</si>
  <si>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</si>
  <si>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</si>
  <si>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</si>
  <si>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</si>
  <si>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</si>
  <si>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</si>
  <si>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</si>
  <si>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</si>
  <si>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</si>
  <si>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</si>
  <si>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</si>
  <si>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</si>
  <si>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</si>
  <si>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</si>
  <si>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</si>
  <si>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</si>
  <si>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</si>
  <si>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</si>
  <si>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</si>
  <si>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</si>
  <si>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</si>
  <si>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</si>
  <si>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</si>
  <si>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</si>
  <si>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</si>
  <si>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</si>
  <si>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</si>
  <si>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</si>
  <si>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</si>
  <si>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</si>
  <si>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</si>
  <si>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</si>
  <si>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</si>
  <si>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</si>
  <si>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</si>
  <si>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</si>
  <si>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</si>
  <si>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</si>
  <si>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</si>
  <si>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</si>
  <si>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</si>
  <si>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</si>
  <si>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</si>
  <si>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</si>
  <si>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</si>
  <si>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</si>
  <si>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</si>
  <si>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</si>
  <si>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</si>
  <si>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</si>
  <si>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</si>
  <si>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</si>
  <si>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</si>
  <si>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</si>
  <si>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</si>
  <si>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</si>
  <si>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</si>
  <si>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</si>
  <si>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</si>
  <si>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</si>
  <si>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</si>
  <si>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</si>
  <si>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</si>
  <si>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</si>
  <si>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</si>
  <si>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</si>
  <si>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</si>
  <si>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</si>
  <si>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</si>
  <si>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</si>
  <si>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</si>
  <si>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</si>
  <si>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</si>
  <si>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</si>
  <si>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</si>
  <si>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</si>
  <si>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</si>
  <si>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</si>
  <si>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</si>
  <si>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</si>
  <si>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</si>
  <si>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</si>
  <si>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</si>
  <si>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</si>
  <si>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</si>
  <si>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</si>
  <si>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</si>
  <si>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</si>
  <si>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</si>
  <si>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</si>
  <si>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</si>
  <si>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</si>
  <si>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</si>
  <si>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</si>
  <si>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</si>
  <si>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</si>
  <si>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</si>
  <si>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</si>
  <si>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</si>
  <si>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</si>
  <si>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</si>
  <si>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</si>
  <si>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</si>
  <si>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</si>
  <si>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</si>
  <si>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</si>
  <si>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</si>
  <si>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</si>
  <si>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</si>
  <si>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</si>
  <si>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</si>
  <si>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</si>
  <si>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</si>
  <si>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</si>
  <si>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</si>
  <si>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</si>
  <si>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</si>
  <si>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</si>
  <si>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</si>
  <si>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</si>
  <si>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</si>
  <si>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</si>
  <si>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</si>
  <si>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</si>
  <si>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</si>
  <si>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</si>
  <si>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</si>
  <si>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</si>
  <si>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</si>
  <si>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</si>
  <si>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</si>
  <si>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</si>
  <si>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</si>
  <si>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</si>
  <si>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</si>
  <si>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</si>
  <si>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</si>
  <si>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</si>
  <si>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</si>
  <si>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</si>
  <si>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</si>
  <si>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</si>
  <si>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</si>
  <si>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</si>
  <si>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</si>
  <si>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</si>
  <si>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</si>
  <si>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</si>
  <si>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</si>
  <si>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</si>
  <si>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</si>
  <si>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</si>
  <si>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</si>
  <si>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</si>
  <si>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</si>
  <si>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</si>
  <si>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</si>
  <si>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</si>
  <si>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</si>
  <si>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</si>
  <si>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</si>
  <si>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</si>
  <si>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</si>
  <si>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</si>
  <si>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</si>
  <si>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</si>
  <si>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</si>
  <si>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</si>
  <si>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</si>
  <si>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</si>
  <si>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</si>
  <si>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</si>
  <si>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</si>
  <si>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</si>
  <si>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</si>
  <si>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</si>
  <si>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</si>
  <si>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</si>
  <si>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</si>
  <si>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</si>
  <si>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</si>
  <si>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</si>
  <si>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</si>
  <si>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</si>
  <si>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</si>
  <si>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</si>
  <si>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</si>
  <si>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</si>
  <si>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</si>
  <si>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</si>
  <si>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</si>
  <si>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</si>
  <si>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</si>
  <si>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</si>
  <si>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</si>
  <si>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</si>
  <si>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</si>
  <si>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</si>
  <si>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</si>
  <si>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</si>
  <si>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</si>
  <si>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</si>
  <si>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</si>
  <si>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</si>
  <si>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</si>
  <si>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</si>
  <si>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</si>
  <si>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</si>
  <si>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</si>
  <si>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</si>
  <si>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</si>
  <si>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</si>
  <si>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</si>
  <si>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</si>
  <si>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</si>
  <si>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</si>
  <si>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</si>
  <si>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</si>
  <si>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</si>
  <si>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</si>
  <si>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</si>
  <si>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</si>
  <si>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</si>
  <si>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</si>
  <si>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</si>
  <si>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</si>
  <si>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</si>
  <si>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</si>
  <si>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</si>
  <si>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</si>
  <si>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</si>
  <si>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</si>
  <si>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</si>
  <si>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</si>
  <si>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</si>
  <si>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</si>
  <si>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</si>
  <si>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</si>
  <si>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</si>
  <si>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</si>
  <si>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</si>
  <si>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</si>
  <si>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</si>
  <si>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</si>
  <si>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</si>
  <si>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</si>
  <si>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</si>
  <si>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</si>
  <si>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</si>
  <si>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</si>
  <si>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</si>
  <si>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</si>
  <si>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</si>
  <si>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</si>
  <si>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</si>
  <si>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</si>
  <si>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</si>
  <si>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</si>
  <si>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</si>
  <si>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</si>
  <si>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</si>
  <si>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</si>
  <si>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</si>
  <si>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</si>
  <si>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</si>
  <si>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</si>
  <si>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</si>
  <si>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</si>
  <si>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</si>
  <si>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</si>
  <si>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</si>
  <si>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</si>
  <si>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</si>
  <si>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</si>
  <si>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</si>
  <si>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</si>
  <si>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</si>
  <si>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</si>
  <si>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</si>
  <si>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</si>
  <si>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</si>
  <si>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</si>
  <si>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</si>
  <si>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</si>
  <si>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</si>
  <si>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</si>
  <si>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</si>
  <si>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</si>
  <si>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</si>
  <si>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</si>
  <si>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</si>
  <si>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</si>
  <si>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</si>
  <si>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</si>
  <si>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</si>
  <si>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</si>
  <si>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</si>
  <si>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</si>
  <si>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</si>
  <si>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</si>
  <si>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</si>
  <si>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</si>
  <si>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</si>
  <si>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</si>
  <si>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</si>
  <si>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</si>
  <si>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</si>
  <si>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</si>
  <si>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</si>
  <si>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</si>
  <si>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</si>
  <si>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</si>
  <si>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</si>
  <si>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</si>
  <si>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</si>
  <si>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</si>
  <si>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</si>
  <si>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</si>
  <si>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</si>
  <si>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</si>
  <si>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</si>
  <si>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</si>
  <si>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</si>
  <si>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</si>
  <si>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</si>
  <si>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</si>
  <si>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</si>
  <si>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</si>
  <si>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</si>
  <si>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</si>
  <si>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</si>
  <si>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</si>
  <si>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</si>
  <si>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</si>
  <si>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</si>
  <si>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</si>
  <si>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</si>
  <si>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</si>
  <si>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</si>
  <si>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</si>
  <si>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</si>
  <si>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</si>
  <si>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</si>
  <si>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</si>
  <si>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</si>
  <si>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</si>
  <si>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</si>
  <si>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</si>
  <si>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</si>
  <si>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</si>
  <si>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</si>
  <si>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</si>
  <si>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</si>
  <si>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</si>
  <si>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</si>
  <si>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</si>
  <si>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</si>
  <si>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</si>
  <si>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</si>
  <si>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</si>
  <si>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</si>
  <si>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</si>
  <si>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</si>
  <si>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</si>
  <si>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</si>
  <si>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</si>
  <si>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</si>
  <si>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</si>
  <si>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</si>
  <si>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</si>
  <si>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</si>
  <si>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</si>
  <si>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</si>
  <si>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</si>
  <si>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</si>
  <si>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</si>
  <si>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</si>
  <si>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</si>
  <si>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</si>
  <si>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</si>
  <si>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</si>
  <si>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</si>
  <si>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</si>
  <si>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</si>
  <si>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</si>
  <si>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</si>
  <si>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</si>
  <si>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</si>
  <si>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</si>
  <si>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</si>
  <si>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</si>
  <si>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</si>
  <si>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</si>
  <si>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</si>
  <si>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</si>
  <si>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</si>
  <si>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</si>
  <si>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</si>
  <si>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</si>
  <si>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</si>
  <si>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</si>
  <si>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</si>
  <si>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</si>
  <si>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</si>
  <si>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</si>
  <si>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</si>
  <si>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</si>
  <si>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</si>
  <si>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</si>
  <si>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</si>
  <si>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</si>
  <si>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</si>
  <si>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</si>
  <si>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</si>
  <si>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</si>
  <si>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</si>
  <si>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</si>
  <si>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</si>
  <si>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</si>
  <si>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</si>
  <si>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</si>
  <si>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</si>
  <si>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</si>
  <si>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</si>
  <si>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</si>
  <si>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</si>
  <si>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</si>
  <si>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</si>
  <si>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</si>
  <si>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</si>
  <si>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</si>
  <si>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</si>
  <si>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</si>
  <si>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</si>
  <si>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</si>
  <si>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</si>
  <si>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</si>
  <si>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</si>
  <si>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</si>
  <si>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</si>
  <si>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</si>
  <si>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</si>
  <si>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</si>
  <si>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</si>
  <si>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</si>
  <si>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</si>
  <si>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</si>
  <si>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</si>
  <si>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</si>
  <si>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</si>
  <si>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</si>
  <si>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</si>
  <si>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</si>
  <si>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</si>
  <si>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</si>
  <si>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</si>
  <si>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</si>
  <si>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</si>
  <si>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</si>
  <si>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</si>
  <si>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</si>
  <si>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</si>
  <si>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</si>
  <si>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</si>
  <si>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</si>
  <si>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</si>
  <si>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</si>
  <si>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</si>
  <si>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</si>
  <si>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</si>
  <si>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</si>
  <si>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</si>
  <si>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</si>
  <si>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</si>
  <si>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</si>
  <si>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</si>
  <si>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</si>
  <si>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</si>
  <si>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</si>
  <si>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</si>
  <si>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</si>
  <si>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</si>
  <si>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</si>
  <si>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</si>
  <si>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</si>
  <si>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</si>
  <si>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</si>
  <si>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</si>
  <si>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</si>
  <si>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</si>
  <si>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</si>
  <si>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</si>
  <si>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</si>
  <si>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</si>
  <si>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</si>
  <si>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</si>
  <si>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</si>
  <si>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</si>
  <si>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</si>
  <si>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</si>
  <si>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</si>
  <si>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</si>
  <si>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</si>
  <si>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</si>
  <si>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</si>
  <si>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</si>
  <si>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</si>
  <si>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</si>
  <si>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</si>
  <si>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</si>
  <si>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</si>
  <si>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</si>
  <si>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</si>
  <si>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</si>
  <si>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</si>
  <si>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</si>
  <si>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</si>
  <si>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</si>
  <si>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</si>
  <si>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</si>
  <si>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</si>
  <si>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</si>
  <si>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</si>
  <si>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</si>
  <si>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</si>
  <si>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</si>
  <si>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</si>
  <si>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</si>
  <si>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</si>
  <si>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</si>
  <si>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</si>
  <si>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</si>
  <si>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</si>
  <si>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</si>
  <si>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</si>
  <si>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</si>
  <si>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</si>
  <si>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</si>
  <si>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</si>
  <si>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</si>
  <si>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</si>
  <si>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</si>
  <si>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</si>
  <si>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</si>
  <si>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</si>
  <si>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</si>
  <si>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</si>
  <si>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</si>
  <si>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</si>
  <si>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</si>
  <si>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</si>
  <si>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</si>
  <si>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</si>
  <si>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</si>
  <si>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</si>
  <si>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</si>
  <si>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</si>
  <si>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</si>
  <si>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</si>
  <si>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</si>
  <si>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</si>
  <si>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</si>
  <si>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</si>
  <si>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</si>
  <si>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</si>
  <si>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</si>
  <si>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</si>
  <si>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</si>
  <si>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</si>
  <si>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</si>
  <si>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</si>
  <si>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</si>
  <si>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</si>
  <si>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</si>
  <si>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</si>
  <si>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</si>
  <si>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</si>
  <si>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</si>
  <si>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</si>
  <si>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</si>
  <si>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</si>
  <si>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</si>
  <si>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</si>
  <si>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</si>
  <si>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</si>
  <si>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</si>
  <si>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</si>
  <si>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</si>
  <si>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</si>
  <si>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</si>
  <si>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</si>
  <si>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</si>
  <si>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</si>
  <si>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</si>
  <si>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</si>
  <si>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</si>
  <si>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</si>
  <si>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</si>
  <si>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</si>
  <si>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</si>
  <si>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</si>
  <si>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</si>
  <si>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</si>
  <si>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</si>
  <si>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</si>
  <si>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</si>
  <si>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</si>
  <si>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</si>
  <si>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</si>
  <si>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</si>
  <si>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</si>
  <si>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</si>
  <si>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</si>
  <si>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</si>
  <si>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</si>
  <si>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</si>
  <si>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</si>
  <si>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</si>
  <si>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</si>
  <si>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</si>
  <si>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</si>
  <si>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</si>
  <si>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</si>
  <si>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</si>
  <si>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</si>
  <si>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</si>
  <si>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</si>
  <si>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</si>
  <si>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</si>
  <si>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</si>
  <si>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</si>
  <si>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</si>
  <si>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</si>
  <si>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</si>
  <si>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</si>
  <si>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</si>
  <si>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</si>
  <si>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</si>
  <si>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</si>
  <si>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</si>
  <si>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</si>
  <si>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</si>
  <si>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</si>
  <si>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</si>
  <si>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</si>
  <si>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</si>
  <si>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</si>
  <si>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</si>
  <si>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</si>
  <si>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</si>
  <si>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</si>
  <si>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</si>
  <si>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</si>
  <si>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</si>
  <si>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</si>
  <si>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</si>
  <si>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</si>
  <si>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</si>
  <si>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</si>
  <si>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</si>
  <si>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</si>
  <si>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</si>
  <si>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</si>
  <si>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</si>
  <si>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</si>
  <si>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</si>
  <si>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</si>
  <si>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</si>
  <si>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</si>
  <si>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</si>
  <si>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</si>
  <si>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</si>
  <si>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</si>
  <si>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</si>
  <si>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</si>
  <si>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</si>
  <si>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</si>
  <si>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</si>
  <si>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</si>
  <si>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</si>
  <si>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</si>
  <si>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</si>
  <si>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</si>
  <si>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</si>
  <si>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</si>
  <si>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</si>
  <si>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</si>
  <si>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</si>
  <si>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</si>
  <si>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</si>
  <si>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</si>
  <si>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</si>
  <si>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</si>
  <si>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</si>
  <si>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</si>
  <si>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</si>
  <si>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</si>
  <si>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</si>
  <si>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</si>
  <si>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</si>
  <si>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</si>
  <si>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</si>
  <si>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</si>
  <si>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</si>
  <si>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</si>
  <si>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</si>
  <si>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</si>
  <si>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</si>
  <si>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</si>
  <si>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</si>
  <si>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</si>
  <si>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</si>
  <si>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</si>
  <si>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</si>
  <si>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</si>
  <si>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</si>
  <si>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</si>
  <si>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</si>
  <si>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</si>
  <si>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</si>
  <si>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</si>
  <si>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</si>
  <si>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</si>
  <si>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</si>
  <si>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</si>
  <si>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</si>
  <si>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</si>
  <si>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</si>
  <si>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</si>
  <si>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</si>
  <si>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</si>
  <si>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</si>
  <si>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</si>
  <si>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</si>
  <si>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</si>
  <si>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</si>
  <si>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</si>
  <si>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</si>
  <si>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</si>
  <si>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</si>
  <si>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</si>
  <si>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</si>
  <si>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</si>
  <si>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</si>
  <si>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</si>
  <si>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</si>
  <si>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</si>
  <si>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</si>
  <si>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</si>
  <si>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</si>
  <si>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</si>
  <si>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</si>
  <si>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</si>
  <si>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</si>
  <si>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</si>
  <si>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</si>
  <si>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</si>
  <si>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</si>
  <si>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</si>
  <si>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</si>
  <si>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</si>
  <si>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</si>
  <si>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</si>
  <si>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</si>
  <si>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</si>
  <si>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</si>
  <si>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</si>
  <si>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</si>
  <si>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</si>
  <si>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</si>
  <si>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</si>
  <si>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</si>
  <si>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</si>
  <si>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</si>
  <si>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</si>
  <si>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</si>
  <si>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</si>
  <si>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</si>
  <si>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</si>
  <si>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</si>
  <si>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</si>
  <si>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</si>
  <si>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</si>
  <si>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</si>
  <si>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</si>
  <si>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</si>
  <si>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</si>
  <si>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</si>
  <si>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</si>
  <si>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</si>
  <si>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</si>
  <si>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</si>
  <si>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</si>
  <si>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</si>
  <si>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</si>
  <si>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</si>
  <si>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</si>
  <si>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</si>
  <si>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</si>
  <si>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</si>
  <si>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</si>
  <si>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</si>
  <si>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</si>
  <si>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</si>
  <si>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</si>
  <si>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</si>
  <si>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</si>
  <si>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</si>
  <si>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</si>
  <si>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</si>
  <si>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</si>
  <si>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</si>
  <si>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</si>
  <si>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</si>
  <si>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</si>
  <si>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</si>
  <si>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</si>
  <si>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</si>
  <si>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</si>
  <si>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</si>
  <si>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</si>
  <si>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</si>
  <si>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</si>
  <si>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</si>
  <si>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</si>
  <si>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</si>
  <si>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</si>
  <si>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</si>
  <si>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</si>
  <si>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</si>
  <si>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</si>
  <si>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</si>
  <si>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</si>
  <si>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</si>
  <si>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</si>
  <si>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</si>
  <si>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</si>
  <si>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</si>
  <si>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</si>
  <si>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</si>
  <si>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</si>
  <si>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</si>
  <si>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</si>
  <si>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</si>
  <si>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</si>
  <si>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</si>
  <si>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</si>
  <si>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</si>
  <si>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</si>
  <si>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</si>
  <si>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</si>
  <si>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</si>
  <si>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</si>
  <si>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</si>
  <si>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</si>
  <si>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</si>
  <si>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</si>
  <si>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</si>
  <si>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</si>
  <si>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</si>
  <si>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</si>
  <si>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</si>
  <si>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</si>
  <si>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</si>
  <si>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</si>
  <si>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</si>
  <si>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</si>
  <si>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</si>
  <si>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</si>
  <si>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</si>
  <si>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</si>
  <si>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</si>
  <si>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</si>
  <si>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</si>
  <si>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</si>
  <si>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</si>
  <si>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</si>
  <si>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</si>
  <si>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</si>
  <si>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</si>
  <si>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</si>
  <si>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</si>
  <si>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</si>
  <si>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</si>
  <si>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</si>
  <si>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</si>
  <si>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</si>
  <si>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</si>
  <si>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</si>
  <si>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</si>
  <si>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</si>
  <si>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</si>
  <si>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</si>
  <si>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</si>
  <si>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</si>
  <si>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</si>
  <si>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</si>
  <si>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</si>
  <si>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</si>
  <si>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</si>
  <si>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</si>
  <si>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</si>
  <si>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</si>
  <si>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</si>
  <si>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</si>
  <si>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</si>
  <si>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</si>
  <si>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</si>
  <si>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</si>
  <si>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</si>
  <si>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</si>
  <si>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</si>
  <si>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</si>
  <si>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</si>
  <si>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</si>
  <si>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</si>
  <si>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</si>
  <si>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</si>
  <si>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</si>
  <si>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</si>
  <si>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</si>
  <si>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</si>
  <si>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</si>
  <si>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</si>
  <si>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</si>
  <si>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</si>
  <si>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</si>
  <si>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</si>
  <si>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</si>
  <si>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</si>
  <si>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</si>
  <si>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</si>
  <si>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</si>
  <si>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</si>
  <si>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</si>
  <si>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</si>
  <si>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</si>
  <si>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</si>
  <si>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</si>
  <si>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</si>
  <si>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</si>
  <si>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</si>
  <si>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</si>
  <si>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</si>
  <si>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</si>
  <si>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</si>
  <si>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</si>
  <si>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</si>
  <si>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</si>
  <si>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</si>
  <si>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</si>
  <si>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</si>
  <si>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</si>
  <si>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</si>
  <si>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</si>
  <si>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</si>
  <si>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</si>
  <si>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</si>
  <si>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</si>
  <si>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</si>
  <si>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</si>
  <si>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</si>
  <si>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</si>
  <si>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</si>
  <si>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</si>
  <si>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</si>
  <si>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</si>
  <si>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</si>
  <si>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</si>
  <si>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</si>
  <si>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</si>
  <si>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</si>
  <si>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</si>
  <si>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</si>
  <si>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</si>
  <si>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</si>
  <si>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</si>
  <si>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</si>
  <si>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</si>
  <si>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</si>
  <si>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</si>
  <si>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</si>
  <si>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</si>
  <si>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</si>
  <si>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</si>
  <si>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</si>
  <si>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</si>
  <si>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</si>
  <si>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</si>
  <si>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</si>
  <si>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</si>
  <si>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</si>
  <si>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</si>
  <si>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</si>
  <si>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</si>
  <si>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</si>
  <si>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</si>
  <si>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</si>
  <si>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</si>
  <si>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</si>
  <si>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</si>
  <si>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</si>
  <si>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</si>
  <si>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</si>
  <si>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</si>
  <si>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</si>
  <si>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</si>
  <si>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</si>
  <si>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</si>
  <si>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</si>
  <si>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</si>
  <si>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</si>
  <si>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</si>
  <si>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</si>
  <si>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</si>
  <si>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</si>
  <si>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</si>
  <si>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</si>
  <si>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</si>
  <si>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</si>
  <si>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</si>
  <si>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</si>
  <si>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</si>
  <si>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</si>
  <si>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</si>
  <si>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</si>
  <si>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</si>
  <si>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</si>
  <si>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</si>
  <si>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</si>
  <si>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</si>
  <si>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</si>
  <si>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</si>
  <si>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</si>
  <si>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</si>
  <si>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</si>
  <si>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</si>
  <si>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</si>
  <si>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</si>
  <si>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</si>
  <si>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</si>
  <si>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</si>
  <si>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</si>
  <si>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</si>
  <si>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</si>
  <si>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</si>
  <si>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</si>
  <si>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</si>
  <si>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</si>
  <si>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</si>
  <si>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</si>
  <si>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</si>
  <si>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</si>
  <si>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</si>
  <si>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</si>
  <si>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</si>
  <si>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Account Number</t>
  </si>
  <si>
    <t>C32</t>
  </si>
  <si>
    <t>Changed account 0765-Investment and interest to account 0777-Investment and interest income.</t>
  </si>
  <si>
    <t>Veterans Affairs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</si>
</sst>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sqref="A1:F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c r="G4" s="263"/>
      <c r="H4" s="263"/>
      <c r="I4" s="263"/>
    </row>
    <row r="5" spans="1:20" ht="16.5" customHeight="1" x14ac:dyDescent="0.2">
      <c r="A5" s="261" t="s">
        <v>1639</v>
      </c>
      <c r="B5" s="261"/>
      <c r="C5" s="261"/>
      <c r="D5" s="261"/>
      <c r="E5" s="261"/>
      <c r="F5" s="263"/>
      <c r="G5" s="263"/>
      <c r="H5" s="263"/>
      <c r="I5" s="263"/>
      <c r="L5" s="39"/>
      <c r="M5" s="39"/>
      <c r="N5" s="39"/>
      <c r="O5" s="39"/>
      <c r="P5" s="39"/>
      <c r="Q5" s="39"/>
    </row>
    <row r="6" spans="1:20" ht="16.5" customHeight="1" x14ac:dyDescent="0.25">
      <c r="A6" s="261" t="s">
        <v>1682</v>
      </c>
      <c r="B6" s="261"/>
      <c r="C6" s="261"/>
      <c r="D6" s="261"/>
      <c r="E6" s="261"/>
      <c r="F6" s="264"/>
      <c r="G6" s="264"/>
      <c r="H6" s="264"/>
      <c r="I6" s="264"/>
      <c r="L6" s="40"/>
      <c r="M6" s="40"/>
      <c r="N6" s="40"/>
      <c r="O6" s="40"/>
      <c r="P6" s="39"/>
      <c r="Q6" s="39"/>
    </row>
    <row r="7" spans="1:20" ht="16.5" customHeight="1" x14ac:dyDescent="0.25">
      <c r="A7" s="261" t="s">
        <v>3</v>
      </c>
      <c r="B7" s="261"/>
      <c r="C7" s="261"/>
      <c r="D7" s="261"/>
      <c r="E7" s="261"/>
      <c r="F7" s="264"/>
      <c r="G7" s="264"/>
      <c r="H7" s="264"/>
      <c r="I7" s="264"/>
      <c r="K7" s="96"/>
      <c r="L7" s="40"/>
      <c r="M7" s="40"/>
      <c r="N7" s="40"/>
      <c r="O7" s="40"/>
      <c r="P7" s="39"/>
      <c r="Q7" s="39"/>
    </row>
    <row r="8" spans="1:20" ht="16.5" customHeight="1" x14ac:dyDescent="0.25">
      <c r="A8" s="261" t="s">
        <v>1640</v>
      </c>
      <c r="B8" s="261"/>
      <c r="C8" s="261"/>
      <c r="D8" s="261"/>
      <c r="E8" s="261"/>
      <c r="F8" s="264"/>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Unidentified</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0</v>
      </c>
      <c r="M17" s="196"/>
      <c r="P17" s="196"/>
      <c r="Q17" s="224"/>
      <c r="S17" s="223">
        <f t="shared" si="0"/>
        <v>0</v>
      </c>
      <c r="T17" s="251" t="s">
        <v>1760</v>
      </c>
    </row>
    <row r="18" spans="1:20" ht="16.5" customHeight="1" x14ac:dyDescent="0.25">
      <c r="A18" s="99"/>
      <c r="B18" s="26" t="s">
        <v>178</v>
      </c>
      <c r="C18" s="26"/>
      <c r="D18" s="26"/>
      <c r="E18" s="193"/>
      <c r="F18" s="194"/>
      <c r="G18" s="194"/>
      <c r="H18" s="195"/>
      <c r="I18" s="195"/>
      <c r="J18" s="248">
        <f>P18</f>
        <v>0</v>
      </c>
      <c r="M18" s="196"/>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0</v>
      </c>
      <c r="N22" s="196"/>
      <c r="P22" s="224"/>
      <c r="Q22" s="196"/>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0</v>
      </c>
      <c r="N23" s="196"/>
      <c r="P23" s="224"/>
      <c r="Q23" s="196"/>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0XXX - FUNCTIONAL EXPENSE</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0XXX - FUNCTIONAL EXPENSE</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8" t="s">
        <v>1737</v>
      </c>
      <c r="C77" s="268"/>
      <c r="D77" s="268"/>
      <c r="E77" s="268"/>
      <c r="F77" s="268"/>
      <c r="G77" s="268"/>
      <c r="H77" s="268"/>
      <c r="I77" s="268"/>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0XXX - FUNCTIONAL EXPENSE</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0XXX - FUNCTIONAL EXPENSE</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2"/>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c r="C9" s="281"/>
      <c r="D9" s="5"/>
      <c r="E9" s="5"/>
      <c r="F9" s="5"/>
    </row>
    <row r="10" spans="1:13" ht="15.75" x14ac:dyDescent="0.25">
      <c r="A10" s="12" t="s">
        <v>208</v>
      </c>
      <c r="B10" s="282"/>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c r="C13" s="100"/>
      <c r="D13" s="274" t="s">
        <v>6</v>
      </c>
      <c r="E13" s="275"/>
      <c r="F13" s="275"/>
      <c r="G13" s="57"/>
      <c r="H13" s="57"/>
      <c r="I13" s="57"/>
      <c r="J13" s="57"/>
      <c r="K13" s="57"/>
      <c r="L13" s="57"/>
      <c r="M13" s="57"/>
    </row>
    <row r="14" spans="1:13" x14ac:dyDescent="0.2">
      <c r="A14" s="84" t="str">
        <f>LEFT(A13,4)+1&amp;"–"&amp;RIGHT(A13,4)+1</f>
        <v>2025–2026</v>
      </c>
      <c r="B14" s="100"/>
      <c r="C14" s="100"/>
      <c r="D14" s="274"/>
      <c r="E14" s="275"/>
      <c r="F14" s="275"/>
    </row>
    <row r="15" spans="1:13" ht="15.75" x14ac:dyDescent="0.2">
      <c r="A15" s="84" t="str">
        <f>LEFT(A14,4)+1&amp;"–"&amp;RIGHT(A14,4)+1</f>
        <v>2026–2027</v>
      </c>
      <c r="B15" s="100"/>
      <c r="C15" s="100"/>
      <c r="D15" s="270"/>
      <c r="E15" s="270"/>
      <c r="F15" s="270"/>
      <c r="G15" s="58"/>
      <c r="H15" s="58"/>
      <c r="I15" s="58"/>
      <c r="J15" s="58"/>
      <c r="K15" s="58"/>
      <c r="L15" s="58"/>
      <c r="M15" s="58"/>
    </row>
    <row r="16" spans="1:13" x14ac:dyDescent="0.2">
      <c r="A16" s="84" t="str">
        <f>LEFT(A15,4)+1&amp;"–"&amp;RIGHT(A15,4)+1</f>
        <v>2027–2028</v>
      </c>
      <c r="B16" s="100"/>
      <c r="C16" s="100"/>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c r="C17" s="100"/>
      <c r="D17" s="270"/>
      <c r="E17" s="270"/>
      <c r="F17" s="270"/>
      <c r="G17" s="59"/>
      <c r="H17" s="59"/>
      <c r="I17" s="59"/>
      <c r="J17" s="59"/>
      <c r="K17" s="59"/>
    </row>
    <row r="18" spans="1:13" ht="15" customHeight="1" x14ac:dyDescent="0.25">
      <c r="A18" s="84" t="str">
        <f>LEFT(A17,4)+1&amp;"–"&amp;RIGHT(A17,4)+5</f>
        <v>2029–2034</v>
      </c>
      <c r="B18" s="100"/>
      <c r="C18" s="100"/>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0</v>
      </c>
      <c r="C40" s="285"/>
      <c r="E40" s="60"/>
    </row>
    <row r="41" spans="1:13" ht="15.75" x14ac:dyDescent="0.25">
      <c r="A41" s="12" t="s">
        <v>208</v>
      </c>
      <c r="B41" s="269">
        <f>B10</f>
        <v>0</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0</v>
      </c>
      <c r="C71" s="285"/>
    </row>
    <row r="72" spans="1:13" ht="15.75" x14ac:dyDescent="0.25">
      <c r="A72" s="12" t="s">
        <v>208</v>
      </c>
      <c r="B72" s="269">
        <f>B10</f>
        <v>0</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 Journal Entries'!$F$8="Governmental Fund",'LS-Fund #### Journal Entries'!$K$23,0)</f>
        <v>0</v>
      </c>
      <c r="G10" s="103"/>
      <c r="H10" s="107">
        <f>IF('LS-Fund #### Journal Entries'!$F$8="Governmental Fund",SUM('LS-Fund #### Journal Entries'!$K$48,'LS-Fund #### Journal Entries'!K113),0)</f>
        <v>0</v>
      </c>
      <c r="I10" s="103"/>
      <c r="J10" s="107">
        <f>IF('LS-Fund #### Journal Entries'!$F$8="Governmental Fund",SUM('LS-Fund #### Journal Entries'!$J$68,'LS-Fund #### Journal Entries'!J96),0)</f>
        <v>0</v>
      </c>
      <c r="K10" s="103"/>
      <c r="L10" s="109">
        <f>SUM(F10+H10-J10)</f>
        <v>0</v>
      </c>
      <c r="M10" s="103"/>
      <c r="N10" s="107">
        <f>IF('LS-Fund #### Journal Entries'!$F$8="Governmental Fund",'LS-Fund #### Journal Entries'!$K$76,0)</f>
        <v>0</v>
      </c>
      <c r="O10" s="103"/>
      <c r="P10" s="109">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 Journal Entries'!$F$8="Proprietary - Internal Service Fund",'LS-Fund #### Journal Entries'!$K$23,0)</f>
        <v>0</v>
      </c>
      <c r="G14" s="103"/>
      <c r="H14" s="107">
        <f>IF('LS-Fund #### Journal Entries'!$F$8="Proprietary - Internal Service Fund",SUM('LS-Fund #### Journal Entries'!$K$48,'LS-Fund #### Journal Entries'!K113),0)</f>
        <v>0</v>
      </c>
      <c r="I14" s="103"/>
      <c r="J14" s="107">
        <f>IF('LS-Fund #### Journal Entries'!$F$8="Proprietary - Internal Service Fund",SUM('LS-Fund #### Journal Entries'!$J$68,'LS-Fund #### Journal Entries'!J96),0)</f>
        <v>0</v>
      </c>
      <c r="K14" s="103"/>
      <c r="L14" s="109">
        <f>SUM(F14+H14-J14)</f>
        <v>0</v>
      </c>
      <c r="M14" s="103"/>
      <c r="N14" s="107">
        <f>IF('LS-Fund #### Journal Entries'!$F$8="Proprietary - Internal Service Fund",'LS-Fund ####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 Journal Entries'!$F$8="Proprietary - Enterprise Fund",'LS-Fund #### Journal Entries'!$K$23,0)</f>
        <v>0</v>
      </c>
      <c r="G18" s="103"/>
      <c r="H18" s="107">
        <f>IF('LS-Fund #### Journal Entries'!$F$8="Proprietary - Enterprise Fund",SUM('LS-Fund #### Journal Entries'!$K$48,'LS-Fund #### Journal Entries'!K113),0)</f>
        <v>0</v>
      </c>
      <c r="I18" s="103"/>
      <c r="J18" s="107">
        <f>IF('LS-Fund #### Journal Entries'!$F$8="Proprietary - Enterprise Fund",SUM('LS-Fund #### Journal Entries'!$J$68,'LS-Fund #### Journal Entries'!J96),0)</f>
        <v>0</v>
      </c>
      <c r="K18" s="103"/>
      <c r="L18" s="109">
        <f>SUM(F18+H18-J18)</f>
        <v>0</v>
      </c>
      <c r="M18" s="103"/>
      <c r="N18" s="107">
        <f>IF('LS-Fund #### Journal Entries'!$F$8="Proprietary - Enterprise Fund",'LS-Fund ####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 Journal Entries'!$F$8="Governmental Fund",'LS-Fund #### Journal Entries'!$K$23,0)</f>
        <v>0</v>
      </c>
      <c r="C16" s="168" t="s">
        <v>155</v>
      </c>
      <c r="D16" s="130">
        <f>IF('LS-Fund #### Journal Entries'!$F$8="Governmental Fund",'LS-Fund #### Journal Entries'!$K$48,0)</f>
        <v>0</v>
      </c>
      <c r="E16" s="170" t="s">
        <v>156</v>
      </c>
      <c r="F16" s="130">
        <f>IF('LS-Fund #### Journal Entries'!$F$8="Governmental Fund",'LS-Fund #### Journal Entries'!$J$68,0)</f>
        <v>0</v>
      </c>
      <c r="G16" s="169" t="s">
        <v>156</v>
      </c>
      <c r="H16" s="130">
        <f>IF('LS-Fund #### Journal Entries'!$F$8="Governmental Fund",'LS-Fund #### Journal Entries'!$J$96,0)</f>
        <v>0</v>
      </c>
      <c r="I16" s="169" t="s">
        <v>155</v>
      </c>
      <c r="J16" s="130">
        <f>IF('LS-Fund #### Journal Entries'!$F$8="Governmental Fund",'LS-Fund ####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 Journal Entries'!$F$8="Proprietary - Internal Service Fund",'LS-Fund #### Journal Entries'!$K$23,0)</f>
        <v>0</v>
      </c>
      <c r="C24" s="168" t="s">
        <v>155</v>
      </c>
      <c r="D24" s="130">
        <f>IF('LS-Fund #### Journal Entries'!$F$8="Proprietary - Internal Service Fund",'LS-Fund #### Journal Entries'!$K$48,0)</f>
        <v>0</v>
      </c>
      <c r="E24" s="170" t="s">
        <v>156</v>
      </c>
      <c r="F24" s="130">
        <f>IF('LS-Fund #### Journal Entries'!$F$8="Proprietary - Internal Service Fund",'LS-Fund #### Journal Entries'!$J$68,0)</f>
        <v>0</v>
      </c>
      <c r="G24" s="169" t="s">
        <v>156</v>
      </c>
      <c r="H24" s="130">
        <f>IF('LS-Fund #### Journal Entries'!$F$8="Proprietary - Internal Service Fund",'LS-Fund #### Journal Entries'!$J$96,0)</f>
        <v>0</v>
      </c>
      <c r="I24" s="169" t="s">
        <v>155</v>
      </c>
      <c r="J24" s="130">
        <f>IF('LS-Fund #### Journal Entries'!$F$8="Proprietary - Internal Service Fund",'LS-Fund ####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 Journal Entries'!$F$8="Proprietary - Enterprise Fund",'LS-Fund #### Journal Entries'!$K$23,0)</f>
        <v>0</v>
      </c>
      <c r="C33" s="168" t="s">
        <v>155</v>
      </c>
      <c r="D33" s="130">
        <f>IF('LS-Fund #### Journal Entries'!$F$8="Proprietary - Enterprise Fund",'LS-Fund #### Journal Entries'!$K$48,0)</f>
        <v>0</v>
      </c>
      <c r="E33" s="170" t="s">
        <v>156</v>
      </c>
      <c r="F33" s="130">
        <f>IF('LS-Fund #### Journal Entries'!$F$8="Proprietary - Enterprise Fund",'LS-Fund #### Journal Entries'!$J$68,0)</f>
        <v>0</v>
      </c>
      <c r="G33" s="169" t="s">
        <v>156</v>
      </c>
      <c r="H33" s="130">
        <f>IF('LS-Fund #### Journal Entries'!$F$8="Proprietary - Enterprise Fund",'LS-Fund #### Journal Entries'!$J$96,0)</f>
        <v>0</v>
      </c>
      <c r="I33" s="169" t="s">
        <v>155</v>
      </c>
      <c r="J33" s="130">
        <f>IF('LS-Fund #### Journal Entries'!$F$8="Proprietary - Enterprise Fund",'LS-Fund ####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0</v>
      </c>
      <c r="J66" s="143">
        <f>SUM(D66)</f>
        <v>0</v>
      </c>
      <c r="L66" s="144" t="str">
        <f>CONCATENATE("Balance July 1, ",LEFT('LS-Department Note Disclosure'!$B$8,4))</f>
        <v>Balance July 1, 2023</v>
      </c>
      <c r="N66" s="143">
        <f>'LS-Lease Liabilities'!F10</f>
        <v>0</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0</v>
      </c>
      <c r="E68" s="171" t="s">
        <v>155</v>
      </c>
      <c r="F68" s="125" t="s">
        <v>1750</v>
      </c>
      <c r="H68" s="143">
        <f>$H$16</f>
        <v>0</v>
      </c>
      <c r="J68" s="143">
        <f>SUM(D68,H68)</f>
        <v>0</v>
      </c>
      <c r="L68" s="144" t="s">
        <v>15</v>
      </c>
      <c r="N68" s="143">
        <f>'LS-Lease Liabilities'!J10</f>
        <v>0</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1736</v>
      </c>
      <c r="B14" s="240" t="s">
        <v>1803</v>
      </c>
      <c r="C14" s="240" t="s">
        <v>1804</v>
      </c>
      <c r="D14" s="240" t="s">
        <v>1804</v>
      </c>
      <c r="E14" s="240" t="s">
        <v>1805</v>
      </c>
      <c r="F14" s="240" t="s">
        <v>1791</v>
      </c>
    </row>
    <row r="15" spans="1:6" ht="28.5" x14ac:dyDescent="0.25">
      <c r="A15" s="240" t="s">
        <v>1770</v>
      </c>
      <c r="B15" s="240" t="s">
        <v>1774</v>
      </c>
      <c r="C15" s="240" t="s">
        <v>1788</v>
      </c>
      <c r="D15" s="240" t="s">
        <v>1788</v>
      </c>
      <c r="E15" s="240" t="s">
        <v>1772</v>
      </c>
      <c r="F15" s="240" t="s">
        <v>1773</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H7" sqref="H7"/>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t="s">
        <v>1806</v>
      </c>
      <c r="H4" s="7"/>
      <c r="I4" s="7"/>
      <c r="J4" s="7"/>
      <c r="K4" s="7"/>
      <c r="L4" s="7"/>
      <c r="M4" s="7"/>
      <c r="N4" s="7"/>
      <c r="O4" s="7"/>
      <c r="P4" s="7"/>
      <c r="Q4" s="7"/>
      <c r="R4" s="7"/>
    </row>
    <row r="5" spans="1:20" ht="17.45" customHeight="1" x14ac:dyDescent="0.25">
      <c r="A5" s="290" t="s">
        <v>1683</v>
      </c>
      <c r="B5" s="290"/>
      <c r="C5" s="290"/>
      <c r="D5" s="290"/>
      <c r="E5" s="161" t="s">
        <v>1386</v>
      </c>
      <c r="H5" s="7"/>
      <c r="I5" s="7"/>
      <c r="J5" s="8"/>
      <c r="K5" s="8"/>
      <c r="L5" s="8"/>
      <c r="M5" s="8"/>
      <c r="N5" s="8"/>
      <c r="O5" s="8"/>
      <c r="P5" s="8"/>
      <c r="Q5" s="7"/>
      <c r="R5" s="7"/>
    </row>
    <row r="6" spans="1:20" ht="17.45" customHeight="1" x14ac:dyDescent="0.25">
      <c r="A6" s="290" t="s">
        <v>1684</v>
      </c>
      <c r="B6" s="290"/>
      <c r="C6" s="290"/>
      <c r="D6" s="290"/>
      <c r="E6" s="97">
        <v>1</v>
      </c>
      <c r="G6" s="8"/>
      <c r="H6" s="8"/>
      <c r="I6" s="8"/>
      <c r="J6" s="8"/>
      <c r="K6" s="8"/>
      <c r="L6" s="8"/>
      <c r="M6" s="8"/>
      <c r="N6" s="8"/>
      <c r="O6" s="8"/>
      <c r="P6" s="8"/>
      <c r="Q6" s="7"/>
      <c r="R6" s="7"/>
    </row>
    <row r="7" spans="1:20" ht="17.45" customHeight="1" x14ac:dyDescent="0.25">
      <c r="A7" s="290" t="s">
        <v>3</v>
      </c>
      <c r="B7" s="290"/>
      <c r="C7" s="290"/>
      <c r="D7" s="290"/>
      <c r="E7" s="35" t="s">
        <v>123</v>
      </c>
      <c r="G7" s="8"/>
      <c r="H7" s="8"/>
      <c r="I7" s="8"/>
      <c r="J7" s="8"/>
      <c r="K7" s="8"/>
      <c r="L7" s="8"/>
      <c r="M7" s="8"/>
      <c r="N7" s="8"/>
      <c r="O7" s="8"/>
      <c r="P7" s="8"/>
      <c r="Q7" s="7"/>
      <c r="R7" s="7"/>
    </row>
    <row r="8" spans="1:20" ht="17.45" customHeight="1" x14ac:dyDescent="0.25">
      <c r="A8" s="290" t="s">
        <v>1640</v>
      </c>
      <c r="B8" s="290"/>
      <c r="C8" s="290"/>
      <c r="D8" s="290"/>
      <c r="E8" s="35" t="s">
        <v>164</v>
      </c>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45" customHeight="1" x14ac:dyDescent="0.2">
      <c r="B14" s="20" t="s">
        <v>212</v>
      </c>
      <c r="C14" s="151"/>
      <c r="D14" s="151"/>
      <c r="E14" s="151"/>
      <c r="F14" s="151"/>
      <c r="G14" s="151"/>
      <c r="H14" s="151"/>
      <c r="I14" s="151"/>
      <c r="J14" s="248">
        <f>M14</f>
        <v>1325339</v>
      </c>
      <c r="K14" s="37"/>
      <c r="L14" s="37"/>
      <c r="M14" s="196">
        <v>1325339</v>
      </c>
      <c r="N14" s="37"/>
      <c r="O14" s="37"/>
      <c r="P14" s="196">
        <v>1325339</v>
      </c>
      <c r="Q14" s="224"/>
      <c r="R14" s="37"/>
      <c r="S14" s="223">
        <f>P14-M14</f>
        <v>0</v>
      </c>
      <c r="T14" s="250" t="s">
        <v>1730</v>
      </c>
    </row>
    <row r="15" spans="1:20" ht="17.45" customHeight="1" x14ac:dyDescent="0.2">
      <c r="A15" s="15"/>
      <c r="B15" s="20" t="s">
        <v>178</v>
      </c>
      <c r="C15" s="151"/>
      <c r="D15" s="151"/>
      <c r="E15" s="151"/>
      <c r="F15" s="151"/>
      <c r="G15" s="151"/>
      <c r="H15" s="151"/>
      <c r="I15" s="151"/>
      <c r="J15" s="248">
        <f>P15</f>
        <v>27140</v>
      </c>
      <c r="K15" s="37"/>
      <c r="L15" s="37"/>
      <c r="M15" s="196">
        <v>27140</v>
      </c>
      <c r="N15" s="37"/>
      <c r="O15" s="37"/>
      <c r="P15" s="221">
        <f>IF(SUM($Q$17)&gt;SUM($P$14),SUM($Q$17)-SUM($P$14),0)</f>
        <v>27140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1352479</v>
      </c>
      <c r="L17" s="37"/>
      <c r="M17" s="37"/>
      <c r="N17" s="196">
        <v>1352479</v>
      </c>
      <c r="O17" s="37"/>
      <c r="P17" s="224"/>
      <c r="Q17" s="196">
        <v>1352479</v>
      </c>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1352479</v>
      </c>
      <c r="K20" s="155">
        <f>SUM(K14:K19)</f>
        <v>1352479</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0775 - OTHER INCOME</v>
      </c>
      <c r="C30" s="293"/>
      <c r="D30" s="293"/>
      <c r="E30" s="293"/>
      <c r="F30" s="293"/>
      <c r="G30" s="293"/>
      <c r="H30" s="293"/>
      <c r="I30" s="293"/>
      <c r="J30" s="196">
        <v>153747</v>
      </c>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v>137710</v>
      </c>
      <c r="M31" s="19"/>
      <c r="N31" s="22"/>
      <c r="O31" s="9"/>
      <c r="P31" s="14"/>
      <c r="Q31" s="9"/>
      <c r="R31" s="9"/>
      <c r="S31" s="9"/>
      <c r="T31" s="9"/>
      <c r="U31" s="9"/>
      <c r="V31" s="9"/>
    </row>
    <row r="32" spans="1:22" ht="17.45" customHeight="1" x14ac:dyDescent="0.2">
      <c r="B32" s="20"/>
      <c r="C32" s="20" t="str">
        <f>IF($E$7="Governmental","Cr: Acct 0740 - INTEREST INCOME","Cr: Acct 0777 - INVESTMENT AND INTEREST INCOME")</f>
        <v>Cr: Acct 0740 - INTEREST INCOME</v>
      </c>
      <c r="D32" s="20"/>
      <c r="E32" s="20"/>
      <c r="F32" s="20"/>
      <c r="G32" s="20"/>
      <c r="H32" s="20"/>
      <c r="I32" s="20"/>
      <c r="J32" s="32"/>
      <c r="K32" s="196">
        <v>16037</v>
      </c>
      <c r="N32" s="22"/>
      <c r="O32" s="23"/>
    </row>
    <row r="33" spans="1:22" ht="17.45" customHeight="1" x14ac:dyDescent="0.3">
      <c r="A33" s="15"/>
      <c r="C33" s="183"/>
      <c r="D33" s="183"/>
      <c r="E33" s="183"/>
      <c r="F33" s="183"/>
      <c r="G33" s="183"/>
      <c r="H33" s="183"/>
      <c r="I33" s="183"/>
      <c r="J33" s="156">
        <f>J30</f>
        <v>153747</v>
      </c>
      <c r="K33" s="253">
        <f>SUM(K31:K32)</f>
        <v>153747</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v>153747</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153747</v>
      </c>
      <c r="R37" s="9"/>
      <c r="S37" s="9"/>
      <c r="T37" s="9"/>
      <c r="U37" s="9"/>
      <c r="V37" s="9"/>
    </row>
    <row r="38" spans="1:22" ht="17.45" customHeight="1" x14ac:dyDescent="0.2">
      <c r="A38" s="15"/>
      <c r="C38" s="14"/>
      <c r="D38" s="9"/>
      <c r="E38" s="9"/>
      <c r="F38" s="9"/>
      <c r="G38" s="9"/>
      <c r="H38" s="9"/>
      <c r="I38" s="1"/>
      <c r="J38" s="253">
        <f>J36</f>
        <v>153747</v>
      </c>
      <c r="K38" s="156">
        <f>K37</f>
        <v>153747</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v>143062</v>
      </c>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v>143062</v>
      </c>
      <c r="O42" s="9"/>
      <c r="P42" s="9"/>
      <c r="Q42" s="9"/>
      <c r="R42" s="9"/>
      <c r="S42" s="9"/>
      <c r="T42" s="9"/>
      <c r="U42" s="9"/>
      <c r="V42" s="9"/>
    </row>
    <row r="43" spans="1:22" ht="17.45" customHeight="1" x14ac:dyDescent="0.2">
      <c r="A43" s="15"/>
      <c r="B43" s="294" t="s">
        <v>1738</v>
      </c>
      <c r="C43" s="294"/>
      <c r="D43" s="294"/>
      <c r="E43" s="294"/>
      <c r="F43" s="294"/>
      <c r="G43" s="294"/>
      <c r="H43" s="294"/>
      <c r="I43" s="294"/>
      <c r="J43" s="253">
        <f>J41</f>
        <v>143062</v>
      </c>
      <c r="K43" s="156">
        <f>K42</f>
        <v>143062</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1044567</v>
      </c>
    </row>
    <row r="68" spans="2:11" ht="17.45" customHeight="1" x14ac:dyDescent="0.25">
      <c r="D68" s="193" t="s">
        <v>1714</v>
      </c>
      <c r="E68" s="37"/>
      <c r="F68" s="37"/>
      <c r="G68" s="37"/>
      <c r="H68" s="37"/>
      <c r="I68" s="37"/>
      <c r="J68" s="37"/>
      <c r="K68" s="238">
        <f>J41</f>
        <v>143062</v>
      </c>
    </row>
    <row r="69" spans="2:11" ht="17.45" customHeight="1" x14ac:dyDescent="0.25">
      <c r="D69" s="193" t="s">
        <v>1715</v>
      </c>
      <c r="E69" s="37"/>
      <c r="F69" s="37"/>
      <c r="G69" s="37"/>
      <c r="H69" s="37"/>
      <c r="I69" s="37"/>
      <c r="J69" s="37"/>
      <c r="K69" s="238">
        <f>-K17-K25+J36+J49-K59</f>
        <v>-1198732</v>
      </c>
    </row>
    <row r="70" spans="2:11" ht="17.45" customHeight="1" x14ac:dyDescent="0.2">
      <c r="I70" s="24"/>
    </row>
    <row r="71" spans="2:11" ht="17.45" customHeight="1" x14ac:dyDescent="0.2">
      <c r="I71" s="24"/>
    </row>
    <row r="72" spans="2:11" ht="17.45" customHeight="1" x14ac:dyDescent="0.2">
      <c r="I72" s="24"/>
    </row>
  </sheetData>
  <sheetProtection algorithmName="SHA-512" hashValue="LES/lSrze3oyHWDOgjYjvHEUMs8SWM8uio46YO0clwaxzO0UJ0noRa/kx4vBCrlFcnmA3BB6jiE1c9NA+3pR4A==" saltValue="kmuOodMFc1BX7XEvYoalX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topLeftCell="A8" zoomScale="70" zoomScaleNormal="70" workbookViewId="0">
      <selection activeCell="B14" sqref="B14"/>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t="s">
        <v>1386</v>
      </c>
      <c r="C10" s="296"/>
      <c r="D10" s="82"/>
      <c r="F10" s="38"/>
      <c r="G10" s="38"/>
      <c r="H10" s="38"/>
      <c r="I10" s="38"/>
      <c r="J10" s="38"/>
      <c r="K10" s="38"/>
      <c r="L10" s="38"/>
      <c r="M10" s="38"/>
      <c r="N10" s="38"/>
      <c r="O10" s="38"/>
      <c r="P10" s="6"/>
      <c r="Q10" s="6"/>
      <c r="R10" s="6"/>
      <c r="S10" s="6"/>
    </row>
    <row r="11" spans="1:19" ht="15.75" x14ac:dyDescent="0.25">
      <c r="A11" s="12" t="s">
        <v>208</v>
      </c>
      <c r="B11" s="295" t="s">
        <v>1806</v>
      </c>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v>143061.58447090519</v>
      </c>
      <c r="C14" s="2">
        <v>14371.265529094801</v>
      </c>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v>148678.35017727263</v>
      </c>
      <c r="C15" s="2">
        <v>12626.879822727386</v>
      </c>
      <c r="D15" s="62"/>
      <c r="E15" s="273"/>
      <c r="F15" s="5"/>
      <c r="G15" s="5"/>
      <c r="H15" s="5"/>
      <c r="I15" s="5"/>
      <c r="J15" s="5"/>
      <c r="K15" s="5"/>
      <c r="L15" s="5"/>
      <c r="M15" s="5"/>
      <c r="N15" s="5"/>
      <c r="O15" s="5"/>
      <c r="P15" s="5"/>
      <c r="Q15" s="5"/>
      <c r="R15" s="5"/>
      <c r="S15" s="5"/>
    </row>
    <row r="16" spans="1:19" ht="15.75" x14ac:dyDescent="0.25">
      <c r="A16" s="84" t="str">
        <f>LEFT(A15,4)+1&amp;"–"&amp;RIGHT(A15,4)+1</f>
        <v>2026–2027</v>
      </c>
      <c r="B16" s="2">
        <v>154571.1421155057</v>
      </c>
      <c r="C16" s="2">
        <v>10799.347884494313</v>
      </c>
      <c r="D16" s="62"/>
      <c r="E16" s="273"/>
      <c r="F16" s="5"/>
      <c r="G16" s="5"/>
      <c r="H16" s="5"/>
      <c r="I16" s="5"/>
      <c r="J16" s="5"/>
      <c r="K16" s="5"/>
      <c r="L16" s="5"/>
      <c r="M16" s="5"/>
      <c r="N16" s="5"/>
      <c r="O16" s="5"/>
      <c r="P16" s="5"/>
      <c r="Q16" s="5"/>
      <c r="R16" s="5"/>
      <c r="S16" s="5"/>
    </row>
    <row r="17" spans="1:19" ht="15.75" x14ac:dyDescent="0.25">
      <c r="A17" s="84" t="str">
        <f>LEFT(A16,4)+1&amp;"–"&amp;RIGHT(A16,4)+1</f>
        <v>2027–2028</v>
      </c>
      <c r="B17" s="2">
        <v>160754.62</v>
      </c>
      <c r="C17" s="2">
        <v>8884.4</v>
      </c>
      <c r="D17" s="62"/>
      <c r="E17" s="273"/>
      <c r="F17" s="5"/>
      <c r="G17" s="5"/>
      <c r="H17" s="5"/>
      <c r="I17" s="5"/>
      <c r="J17" s="5"/>
      <c r="K17" s="5"/>
      <c r="L17" s="5"/>
      <c r="M17" s="5"/>
      <c r="N17" s="5"/>
      <c r="O17" s="5"/>
      <c r="P17" s="5"/>
      <c r="Q17" s="5"/>
      <c r="R17" s="5"/>
      <c r="S17" s="5"/>
    </row>
    <row r="18" spans="1:19" ht="15.75" x14ac:dyDescent="0.25">
      <c r="A18" s="84" t="str">
        <f>LEFT(A17,4)+1&amp;"–"&amp;RIGHT(A17,4)+1</f>
        <v>2028–2029</v>
      </c>
      <c r="B18" s="2">
        <v>140546.76</v>
      </c>
      <c r="C18" s="2">
        <v>6907.57</v>
      </c>
      <c r="D18" s="62"/>
      <c r="E18" s="98" t="s">
        <v>130</v>
      </c>
      <c r="F18" s="5"/>
      <c r="G18" s="88"/>
      <c r="H18" s="88"/>
      <c r="I18" s="5"/>
      <c r="J18" s="88"/>
      <c r="K18" s="88"/>
      <c r="L18" s="5"/>
      <c r="M18" s="5"/>
      <c r="N18" s="5"/>
      <c r="O18" s="5"/>
      <c r="P18" s="5"/>
      <c r="Q18" s="5"/>
      <c r="R18" s="5"/>
      <c r="S18" s="5"/>
    </row>
    <row r="19" spans="1:19" ht="15.75" x14ac:dyDescent="0.25">
      <c r="A19" s="84" t="str">
        <f>LEFT(A18,4)+1&amp;"–"&amp;RIGHT(A18,4)+5</f>
        <v>2029–2034</v>
      </c>
      <c r="B19" s="2">
        <v>328787.92</v>
      </c>
      <c r="C19" s="2">
        <v>15217.060000000001</v>
      </c>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v>89522.44</v>
      </c>
      <c r="C20" s="2">
        <v>5044.88</v>
      </c>
      <c r="D20" s="62"/>
      <c r="E20" s="98"/>
      <c r="F20" s="5"/>
      <c r="G20" s="88"/>
      <c r="H20" s="88"/>
      <c r="I20" s="5"/>
      <c r="J20" s="5"/>
      <c r="K20" s="5"/>
      <c r="L20" s="5"/>
      <c r="M20" s="5"/>
      <c r="N20" s="5"/>
      <c r="O20" s="5"/>
      <c r="P20" s="5"/>
      <c r="Q20" s="5"/>
      <c r="R20" s="5"/>
      <c r="S20" s="5"/>
    </row>
    <row r="21" spans="1:19" x14ac:dyDescent="0.2">
      <c r="A21" s="84" t="str">
        <f t="shared" si="0"/>
        <v>2039–2044</v>
      </c>
      <c r="B21" s="2">
        <v>21706.66</v>
      </c>
      <c r="C21" s="2">
        <v>136.01</v>
      </c>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t="s">
        <v>130</v>
      </c>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t="str">
        <f>B10</f>
        <v>8955</v>
      </c>
      <c r="C41" s="285"/>
      <c r="D41" s="91"/>
    </row>
    <row r="42" spans="1:19" ht="15.75" x14ac:dyDescent="0.25">
      <c r="A42" s="12" t="s">
        <v>208</v>
      </c>
      <c r="B42" s="269" t="str">
        <f>B11</f>
        <v>Veterans Affairs</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t="str">
        <f>B41</f>
        <v>8955</v>
      </c>
      <c r="C72" s="285"/>
      <c r="D72" s="91"/>
    </row>
    <row r="73" spans="1:19" ht="15.75" x14ac:dyDescent="0.25">
      <c r="A73" s="12" t="s">
        <v>208</v>
      </c>
      <c r="B73" s="269" t="str">
        <f>B42</f>
        <v>Veterans Affairs</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tabSelected="1" zoomScaleNormal="100" workbookViewId="0">
      <selection activeCell="L18" sqref="L18"/>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0001 Journal Entries'!$E$8="Governmental Fund",'LR-Fund 0001 Journal Entries'!$J$14,0)</f>
        <v>1325339</v>
      </c>
      <c r="C16" s="168" t="s">
        <v>155</v>
      </c>
      <c r="D16" s="130">
        <f>IF('LR-Fund 0001 Journal Entries'!$E$8="Governmental Fund",'LR-Fund 0001 Journal Entries'!$J$24,0)</f>
        <v>0</v>
      </c>
      <c r="E16" s="170" t="s">
        <v>156</v>
      </c>
      <c r="F16" s="130">
        <f>IF('LR-Fund 0001 Journal Entries'!$E$8="Governmental Fund",'LR-Fund 0001 Journal Entries'!$K$31,0)</f>
        <v>137710</v>
      </c>
      <c r="G16" s="169" t="s">
        <v>156</v>
      </c>
      <c r="H16" s="130">
        <f>IF('LR-Fund 0001 Journal Entries'!$E$8="Governmental Fund",'LR-Fund 0001 Journal Entries'!$K$52,0)</f>
        <v>0</v>
      </c>
      <c r="I16" s="169" t="s">
        <v>155</v>
      </c>
      <c r="J16" s="130">
        <f>IF('LR-Fund 0001 Journal Entries'!$E$8="Governmental Fund",'LR-Fund 0001 Journal Entries'!$J$58,0)</f>
        <v>0</v>
      </c>
      <c r="K16" s="170" t="s">
        <v>159</v>
      </c>
      <c r="L16" s="133">
        <f>+B16+D16-F16-H16+J16</f>
        <v>1187629</v>
      </c>
      <c r="M16" s="132"/>
      <c r="N16" s="134">
        <f>SUM('LR-Department Note Disclosure'!B14:B37)</f>
        <v>1187629.4767636834</v>
      </c>
      <c r="O16" s="131"/>
      <c r="P16" s="135">
        <f>L16-N16</f>
        <v>-0.47676368337124586</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0001 Journal Entries'!$E$8="Proprietary - Internal Service Fund",'LR-Fund 0001 Journal Entries'!$J$14,0)</f>
        <v>0</v>
      </c>
      <c r="C24" s="168" t="s">
        <v>155</v>
      </c>
      <c r="D24" s="130">
        <f>IF('LR-Fund 0001 Journal Entries'!$E$8="Proprietary - Internal Service Fund",'LR-Fund 0001 Journal Entries'!$J$24,0)</f>
        <v>0</v>
      </c>
      <c r="E24" s="170" t="s">
        <v>156</v>
      </c>
      <c r="F24" s="130">
        <f>IF('LR-Fund 0001 Journal Entries'!$E$8="Proprietary - Internal Service Fund",'LR-Fund 0001 Journal Entries'!$K$31,0)</f>
        <v>0</v>
      </c>
      <c r="G24" s="169" t="s">
        <v>156</v>
      </c>
      <c r="H24" s="130">
        <f>IF('LR-Fund 0001 Journal Entries'!$E$8="Proprietary - Internal Service Fund",'LR-Fund 0001 Journal Entries'!$K$52,0)</f>
        <v>0</v>
      </c>
      <c r="I24" s="169" t="s">
        <v>155</v>
      </c>
      <c r="J24" s="130">
        <f>IF('LR-Fund 0001 Journal Entries'!$E$8="Proprietary - Internal Service Fund",'LR-Fund 0001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0001 Journal Entries'!$E$8="Proprietary - Enterprise Fund",'LR-Fund 0001 Journal Entries'!$J$14,0)</f>
        <v>0</v>
      </c>
      <c r="C33" s="168" t="s">
        <v>155</v>
      </c>
      <c r="D33" s="130">
        <f>IF('LR-Fund 0001 Journal Entries'!$E$8="Proprietary - Enterprise Fund",'LR-Fund 0001 Journal Entries'!$J$24,0)</f>
        <v>0</v>
      </c>
      <c r="E33" s="170" t="s">
        <v>156</v>
      </c>
      <c r="F33" s="130">
        <f>IF('LR-Fund 0001 Journal Entries'!$E$8="Proprietary - Enterprise Fund",'LR-Fund 0001 Journal Entries'!$K$31,0)</f>
        <v>0</v>
      </c>
      <c r="G33" s="169" t="s">
        <v>156</v>
      </c>
      <c r="H33" s="130">
        <f>IF('LR-Fund 0001 Journal Entries'!$E$8="Proprietary - Enterprise Fund",'LR-Fund 0001 Journal Entries'!$K$52,0)</f>
        <v>0</v>
      </c>
      <c r="I33" s="169" t="s">
        <v>155</v>
      </c>
      <c r="J33" s="130">
        <f>IF('LR-Fund 0001 Journal Entries'!$E$8="Proprietary - Enterprise Fund",'LR-Fund 0001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0001 Journal Entries'!$E$8="Governmental Fund",'LR-Fund 0001 Journal Entries'!$J$41,0)</f>
        <v>143062</v>
      </c>
      <c r="C42" s="138"/>
      <c r="E42" s="138"/>
      <c r="G42" s="167"/>
      <c r="H42" s="167"/>
      <c r="I42" s="167"/>
      <c r="J42" s="167"/>
      <c r="K42" s="138"/>
      <c r="L42" s="138"/>
      <c r="M42" s="139"/>
      <c r="N42" s="134">
        <f>'LR-Department Note Disclosure'!B14</f>
        <v>143061.58447090519</v>
      </c>
      <c r="O42" s="140"/>
      <c r="P42" s="135">
        <f>B42-N42</f>
        <v>0.41552909481106326</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0001 Journal Entries'!$E$8="Proprietary - Internal Service Fund",'LR-Fund 0001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0001 Journal Entries'!$E$8="Proprietary - Enterprise Fund",'LR-Fund 0001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sqref="A1:K2"/>
      <selection pane="bottomLeft" sqref="A1:K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sqref="A1:K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0" t="s">
        <v>1665</v>
      </c>
      <c r="B1" s="260"/>
      <c r="C1" s="260"/>
      <c r="D1" s="260"/>
      <c r="E1" s="260"/>
      <c r="F1" s="260"/>
      <c r="G1" s="260"/>
      <c r="H1" s="260"/>
      <c r="I1" s="260"/>
      <c r="J1" s="260"/>
      <c r="K1" s="260"/>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3"/>
      <c r="G4" s="263"/>
      <c r="H4" s="263"/>
      <c r="I4" s="263"/>
      <c r="L4" s="39"/>
      <c r="M4" s="39"/>
      <c r="N4" s="39"/>
      <c r="O4" s="39"/>
      <c r="P4" s="39"/>
      <c r="Q4" s="39"/>
    </row>
    <row r="5" spans="1:20" ht="15.75" x14ac:dyDescent="0.2">
      <c r="A5" s="261" t="s">
        <v>1639</v>
      </c>
      <c r="B5" s="261"/>
      <c r="C5" s="261"/>
      <c r="D5" s="261"/>
      <c r="E5" s="261"/>
      <c r="F5" s="263"/>
      <c r="G5" s="263"/>
      <c r="H5" s="263"/>
      <c r="I5" s="263"/>
      <c r="L5" s="40"/>
      <c r="M5" s="40"/>
      <c r="N5" s="40"/>
      <c r="O5" s="40"/>
      <c r="P5" s="39"/>
      <c r="Q5" s="39"/>
    </row>
    <row r="6" spans="1:20" ht="18" x14ac:dyDescent="0.25">
      <c r="A6" s="261" t="s">
        <v>2</v>
      </c>
      <c r="B6" s="261"/>
      <c r="C6" s="261"/>
      <c r="D6" s="261"/>
      <c r="E6" s="261"/>
      <c r="F6" s="264"/>
      <c r="G6" s="264"/>
      <c r="H6" s="264"/>
      <c r="I6" s="264"/>
      <c r="K6" s="96"/>
      <c r="L6" s="40"/>
      <c r="M6" s="40"/>
      <c r="N6" s="40"/>
      <c r="O6" s="40"/>
      <c r="P6" s="39"/>
      <c r="Q6" s="39"/>
    </row>
    <row r="7" spans="1:20" ht="18" x14ac:dyDescent="0.25">
      <c r="A7" s="261" t="s">
        <v>3</v>
      </c>
      <c r="B7" s="261"/>
      <c r="C7" s="261"/>
      <c r="D7" s="261"/>
      <c r="E7" s="261"/>
      <c r="F7" s="264"/>
      <c r="G7" s="264"/>
      <c r="H7" s="264"/>
      <c r="I7" s="264"/>
      <c r="K7" s="96"/>
      <c r="L7" s="40"/>
      <c r="M7" s="40"/>
      <c r="N7" s="40"/>
      <c r="O7" s="40"/>
      <c r="P7" s="39"/>
      <c r="Q7" s="39"/>
    </row>
    <row r="8" spans="1:20" ht="18" x14ac:dyDescent="0.25">
      <c r="A8" s="261" t="s">
        <v>1640</v>
      </c>
      <c r="B8" s="261"/>
      <c r="C8" s="261"/>
      <c r="D8" s="261"/>
      <c r="E8" s="261"/>
      <c r="F8" s="264"/>
      <c r="G8" s="264"/>
      <c r="H8" s="264"/>
      <c r="I8" s="264"/>
      <c r="K8" s="96"/>
      <c r="L8" s="40"/>
      <c r="M8" s="40"/>
      <c r="N8" s="40"/>
      <c r="O8" s="40"/>
      <c r="P8" s="39"/>
      <c r="Q8" s="39"/>
    </row>
    <row r="9" spans="1:20" ht="15.75" x14ac:dyDescent="0.25">
      <c r="A9" s="261" t="s">
        <v>1638</v>
      </c>
      <c r="B9" s="261"/>
      <c r="C9" s="261"/>
      <c r="D9" s="261"/>
      <c r="E9" s="261"/>
      <c r="F9" s="265" t="str">
        <f>IFERROR(IF(F7="Proprietary","Proprietary Fund",VLOOKUP(F5,qryIndex02a!$A$2:$K$654,4,FALSE)),"Unidentified")</f>
        <v>Unidentified</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sqref="A1:K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0001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0001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2025-01-29T00:11:37Z</dcterms:modified>
</cp:coreProperties>
</file>