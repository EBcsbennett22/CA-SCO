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updateLinks="always"/>
  <mc:AlternateContent xmlns:mc="http://schemas.openxmlformats.org/markup-compatibility/2006">
    <mc:Choice Requires="x15">
      <x15ac:absPath xmlns:x15ac="http://schemas.microsoft.com/office/spreadsheetml/2010/11/ac" url="https://californiascience-my.sharepoint.com/personal/kopendo_californiasciencecenter_ca_gov/Documents/GASB 87/FY 2023-24/"/>
    </mc:Choice>
  </mc:AlternateContent>
  <xr:revisionPtr revIDLastSave="0" documentId="8_{1B8D7F95-5489-427E-8521-52F2024B1AD7}" xr6:coauthVersionLast="47" xr6:coauthVersionMax="47" xr10:uidLastSave="{00000000-0000-0000-0000-000000000000}"/>
  <bookViews>
    <workbookView xWindow="27015" yWindow="7515" windowWidth="21960" windowHeight="18930" tabRatio="921" firstSheet="7" activeTab="8"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5" l="1"/>
  <c r="J36" i="5"/>
  <c r="M14" i="5"/>
  <c r="K31" i="5" l="1"/>
  <c r="K32" i="5" l="1"/>
  <c r="B42" i="12"/>
  <c r="F16" i="12"/>
  <c r="B16" i="12"/>
  <c r="C14" i="6"/>
  <c r="B14" i="6"/>
  <c r="C24" i="6"/>
  <c r="B24" i="6"/>
  <c r="C23" i="6"/>
  <c r="B23" i="6"/>
  <c r="C22" i="6"/>
  <c r="B22" i="6"/>
  <c r="C21" i="6"/>
  <c r="B21" i="6"/>
  <c r="C20" i="6"/>
  <c r="B20" i="6"/>
  <c r="C19" i="6"/>
  <c r="B19" i="6"/>
  <c r="C18" i="6"/>
  <c r="B18" i="6"/>
  <c r="C17" i="6"/>
  <c r="B17" i="6"/>
  <c r="C16" i="6"/>
  <c r="B16" i="6"/>
  <c r="C15" i="6"/>
  <c r="B15" i="6"/>
  <c r="K42" i="5"/>
  <c r="J41" i="5"/>
  <c r="J30" i="5"/>
  <c r="N18" i="5"/>
  <c r="N17" i="5"/>
  <c r="B63" i="2"/>
  <c r="B57" i="8"/>
  <c r="L56" i="8"/>
  <c r="L63" i="8"/>
  <c r="K83" i="8"/>
  <c r="K80" i="8"/>
  <c r="K79" i="8"/>
  <c r="K77" i="8"/>
  <c r="J18" i="4"/>
  <c r="J14" i="4"/>
  <c r="J10" i="4"/>
  <c r="H18" i="4"/>
  <c r="H14" i="4"/>
  <c r="H10" i="4"/>
  <c r="N18" i="4"/>
  <c r="N14" i="4"/>
  <c r="N10" i="4"/>
  <c r="F18" i="4"/>
  <c r="F14" i="4"/>
  <c r="L69" i="2"/>
  <c r="L62" i="2"/>
  <c r="S20" i="2"/>
  <c r="Q24" i="2"/>
  <c r="P18" i="2"/>
  <c r="H16" i="12"/>
  <c r="B57" i="12"/>
  <c r="B49" i="12"/>
  <c r="J33" i="12"/>
  <c r="H33" i="12"/>
  <c r="F33" i="12"/>
  <c r="D33" i="12"/>
  <c r="J24" i="12"/>
  <c r="H24" i="12"/>
  <c r="F24" i="12"/>
  <c r="D24" i="12"/>
  <c r="B24" i="12"/>
  <c r="J16" i="12"/>
  <c r="D16" i="12"/>
  <c r="J15" i="8" l="1"/>
  <c r="J16" i="8"/>
  <c r="K78" i="8" s="1"/>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J19" i="2"/>
  <c r="K25" i="2"/>
  <c r="K24" i="2"/>
  <c r="K17" i="5"/>
  <c r="K69" i="5" s="1"/>
  <c r="J14" i="5"/>
  <c r="S18" i="8"/>
  <c r="S24" i="8"/>
  <c r="S18" i="2"/>
  <c r="K23" i="8"/>
  <c r="K82" i="8" s="1"/>
  <c r="K22" i="8"/>
  <c r="K81" i="8" s="1"/>
  <c r="K21" i="8"/>
  <c r="J17" i="8"/>
  <c r="S21" i="8"/>
  <c r="S17" i="8"/>
  <c r="S16" i="8"/>
  <c r="S15" i="8"/>
  <c r="S23" i="8"/>
  <c r="K67" i="5" l="1"/>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J11" i="10"/>
  <c r="H11" i="10"/>
  <c r="F11" i="10"/>
  <c r="L10" i="10"/>
  <c r="P10" i="10" s="1"/>
  <c r="P11" i="10" s="1"/>
  <c r="J4" i="10"/>
  <c r="F7" i="10" s="1"/>
  <c r="K26" i="8"/>
  <c r="J26" i="8"/>
  <c r="K26" i="2"/>
  <c r="J26" i="2"/>
  <c r="L11" i="10" l="1"/>
  <c r="L15" i="10"/>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<sst xmlns="http://schemas.openxmlformats.org/spreadsheetml/2006/main" count="8066" uniqueCount="1804">
  <si>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</si>
  <si>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</si>
  <si>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</si>
  <si>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</si>
  <si>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</si>
  <si>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</si>
  <si>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</si>
  <si>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</si>
  <si>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</si>
  <si>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</si>
  <si>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</si>
  <si>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</si>
  <si>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</si>
  <si>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</si>
  <si>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</si>
  <si>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</si>
  <si>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</si>
  <si>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</si>
  <si>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</si>
  <si>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</si>
  <si>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</si>
  <si>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</si>
  <si>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</si>
  <si>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</si>
  <si>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</si>
  <si>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</si>
  <si>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</si>
  <si>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</si>
  <si>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</si>
  <si>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</si>
  <si>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</si>
  <si>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</si>
  <si>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</si>
  <si>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</si>
  <si>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</si>
  <si>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</si>
  <si>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</si>
  <si>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</si>
  <si>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</si>
  <si>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</si>
  <si>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</si>
  <si>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</si>
  <si>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</si>
  <si>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</si>
  <si>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</si>
  <si>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</si>
  <si>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</si>
  <si>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</si>
  <si>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</si>
  <si>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</si>
  <si>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</si>
  <si>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</si>
  <si>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</si>
  <si>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</si>
  <si>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</si>
  <si>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</si>
  <si>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</si>
  <si>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</si>
  <si>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</si>
  <si>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</si>
  <si>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</si>
  <si>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</si>
  <si>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</si>
  <si>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</si>
  <si>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</si>
  <si>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</si>
  <si>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</si>
  <si>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</si>
  <si>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</si>
  <si>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</si>
  <si>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</si>
  <si>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</si>
  <si>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</si>
  <si>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</si>
  <si>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</si>
  <si>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</si>
  <si>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</si>
  <si>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</si>
  <si>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</si>
  <si>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</si>
  <si>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</si>
  <si>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</si>
  <si>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</si>
  <si>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</si>
  <si>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</si>
  <si>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</si>
  <si>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</si>
  <si>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</si>
  <si>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</si>
  <si>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</si>
  <si>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</si>
  <si>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</si>
  <si>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</si>
  <si>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</si>
  <si>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</si>
  <si>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</si>
  <si>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</si>
  <si>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</si>
  <si>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</si>
  <si>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</si>
  <si>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</si>
  <si>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</si>
  <si>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</si>
  <si>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</si>
  <si>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</si>
  <si>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</si>
  <si>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</si>
  <si>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</si>
  <si>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</si>
  <si>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</si>
  <si>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</si>
  <si>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</si>
  <si>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</si>
  <si>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</si>
  <si>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</si>
  <si>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</si>
  <si>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</si>
  <si>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</si>
  <si>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</si>
  <si>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</si>
  <si>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</si>
  <si>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</si>
  <si>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</si>
  <si>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</si>
  <si>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</si>
  <si>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</si>
  <si>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</si>
  <si>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</si>
  <si>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</si>
  <si>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</si>
  <si>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</si>
  <si>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</si>
  <si>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</si>
  <si>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</si>
  <si>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</si>
  <si>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</si>
  <si>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</si>
  <si>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</si>
  <si>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</si>
  <si>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</si>
  <si>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</si>
  <si>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</si>
  <si>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</si>
  <si>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</si>
  <si>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</si>
  <si>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</si>
  <si>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</si>
  <si>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</si>
  <si>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</si>
  <si>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</si>
  <si>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</si>
  <si>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</si>
  <si>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</si>
  <si>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</si>
  <si>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</si>
  <si>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</si>
  <si>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</si>
  <si>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</si>
  <si>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</si>
  <si>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</si>
  <si>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</si>
  <si>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</si>
  <si>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</si>
  <si>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</si>
  <si>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</si>
  <si>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</si>
  <si>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</si>
  <si>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</si>
  <si>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</si>
  <si>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</si>
  <si>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</si>
  <si>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</si>
  <si>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</si>
  <si>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</si>
  <si>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</si>
  <si>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</si>
  <si>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</si>
  <si>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</si>
  <si>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</si>
  <si>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</si>
  <si>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</si>
  <si>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</si>
  <si>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</si>
  <si>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</si>
  <si>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</si>
  <si>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</si>
  <si>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</si>
  <si>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</si>
  <si>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</si>
  <si>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</si>
  <si>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</si>
  <si>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</si>
  <si>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</si>
  <si>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</si>
  <si>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</si>
  <si>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</si>
  <si>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</si>
  <si>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</si>
  <si>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</si>
  <si>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</si>
  <si>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</si>
  <si>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</si>
  <si>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</si>
  <si>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</si>
  <si>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</si>
  <si>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</si>
  <si>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</si>
  <si>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</si>
  <si>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</si>
  <si>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</si>
  <si>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</si>
  <si>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</si>
  <si>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</si>
  <si>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</si>
  <si>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</si>
  <si>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</si>
  <si>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</si>
  <si>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</si>
  <si>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</si>
  <si>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</si>
  <si>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</si>
  <si>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</si>
  <si>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</si>
  <si>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</si>
  <si>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</si>
  <si>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</si>
  <si>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</si>
  <si>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</si>
  <si>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</si>
  <si>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</si>
  <si>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</si>
  <si>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</si>
  <si>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</si>
  <si>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</si>
  <si>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</si>
  <si>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</si>
  <si>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</si>
  <si>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</si>
  <si>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</si>
  <si>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</si>
  <si>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</si>
  <si>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</si>
  <si>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</si>
  <si>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</si>
  <si>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</si>
  <si>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</si>
  <si>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</si>
  <si>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</si>
  <si>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</si>
  <si>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</si>
  <si>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</si>
  <si>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</si>
  <si>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</si>
  <si>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</si>
  <si>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</si>
  <si>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</si>
  <si>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</si>
  <si>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</si>
  <si>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</si>
  <si>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</si>
  <si>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</si>
  <si>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</si>
  <si>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</si>
  <si>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</si>
  <si>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</si>
  <si>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</si>
  <si>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</si>
  <si>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</si>
  <si>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</si>
  <si>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</si>
  <si>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</si>
  <si>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</si>
  <si>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</si>
  <si>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</si>
  <si>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</si>
  <si>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</si>
  <si>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</si>
  <si>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</si>
  <si>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</si>
  <si>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</si>
  <si>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</si>
  <si>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</si>
  <si>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</si>
  <si>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</si>
  <si>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</si>
  <si>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</si>
  <si>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</si>
  <si>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</si>
  <si>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</si>
  <si>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</si>
  <si>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</si>
  <si>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</si>
  <si>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</si>
  <si>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</si>
  <si>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</si>
  <si>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</si>
  <si>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</si>
  <si>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</si>
  <si>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</si>
  <si>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</si>
  <si>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</si>
  <si>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</si>
  <si>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</si>
  <si>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</si>
  <si>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</si>
  <si>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</si>
  <si>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</si>
  <si>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</si>
  <si>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</si>
  <si>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</si>
  <si>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</si>
  <si>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</si>
  <si>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</si>
  <si>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</si>
  <si>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</si>
  <si>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</si>
  <si>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</si>
  <si>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</si>
  <si>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</si>
  <si>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</si>
  <si>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</si>
  <si>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</si>
  <si>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</si>
  <si>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</si>
  <si>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</si>
  <si>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</si>
  <si>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</si>
  <si>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</si>
  <si>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</si>
  <si>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</si>
  <si>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</si>
  <si>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</si>
  <si>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</si>
  <si>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</si>
  <si>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</si>
  <si>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</si>
  <si>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</si>
  <si>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</si>
  <si>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</si>
  <si>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</si>
  <si>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</si>
  <si>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</si>
  <si>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</si>
  <si>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</si>
  <si>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</si>
  <si>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</si>
  <si>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</si>
  <si>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</si>
  <si>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</si>
  <si>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</si>
  <si>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</si>
  <si>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</si>
  <si>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</si>
  <si>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</si>
  <si>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</si>
  <si>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</si>
  <si>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</si>
  <si>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</si>
  <si>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</si>
  <si>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</si>
  <si>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</si>
  <si>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</si>
  <si>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</si>
  <si>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</si>
  <si>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</si>
  <si>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</si>
  <si>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</si>
  <si>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</si>
  <si>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</si>
  <si>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</si>
  <si>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</si>
  <si>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</si>
  <si>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</si>
  <si>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</si>
  <si>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</si>
  <si>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</si>
  <si>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</si>
  <si>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</si>
  <si>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</si>
  <si>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</si>
  <si>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</si>
  <si>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</si>
  <si>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</si>
  <si>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</si>
  <si>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</si>
  <si>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</si>
  <si>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</si>
  <si>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</si>
  <si>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</si>
  <si>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</si>
  <si>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</si>
  <si>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</si>
  <si>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</si>
  <si>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</si>
  <si>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</si>
  <si>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</si>
  <si>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</si>
  <si>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</si>
  <si>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</si>
  <si>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</si>
  <si>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</si>
  <si>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</si>
  <si>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</si>
  <si>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</si>
  <si>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</si>
  <si>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</si>
  <si>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</si>
  <si>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</si>
  <si>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</si>
  <si>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</si>
  <si>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</si>
  <si>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</si>
  <si>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</si>
  <si>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</si>
  <si>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</si>
  <si>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</si>
  <si>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</si>
  <si>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</si>
  <si>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</si>
  <si>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</si>
  <si>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</si>
  <si>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</si>
  <si>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</si>
  <si>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</si>
  <si>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</si>
  <si>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</si>
  <si>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</si>
  <si>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</si>
  <si>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</si>
  <si>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</si>
  <si>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</si>
  <si>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</si>
  <si>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</si>
  <si>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</si>
  <si>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</si>
  <si>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</si>
  <si>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</si>
  <si>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</si>
  <si>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</si>
  <si>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</si>
  <si>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</si>
  <si>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</si>
  <si>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</si>
  <si>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</si>
  <si>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</si>
  <si>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</si>
  <si>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</si>
  <si>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</si>
  <si>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</si>
  <si>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</si>
  <si>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</si>
  <si>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</si>
  <si>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</si>
  <si>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</si>
  <si>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</si>
  <si>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</si>
  <si>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</si>
  <si>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</si>
  <si>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</si>
  <si>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</si>
  <si>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</si>
  <si>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</si>
  <si>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</si>
  <si>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</si>
  <si>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</si>
  <si>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</si>
  <si>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</si>
  <si>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</si>
  <si>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</si>
  <si>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</si>
  <si>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</si>
  <si>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</si>
  <si>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</si>
  <si>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</si>
  <si>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</si>
  <si>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</si>
  <si>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</si>
  <si>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</si>
  <si>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</si>
  <si>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</si>
  <si>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</si>
  <si>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</si>
  <si>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</si>
  <si>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</si>
  <si>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</si>
  <si>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</si>
  <si>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</si>
  <si>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</si>
  <si>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</si>
  <si>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</si>
  <si>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</si>
  <si>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</si>
  <si>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</si>
  <si>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</si>
  <si>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</si>
  <si>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</si>
  <si>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</si>
  <si>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</si>
  <si>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</si>
  <si>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</si>
  <si>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</si>
  <si>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</si>
  <si>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</si>
  <si>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</si>
  <si>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</si>
  <si>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</si>
  <si>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</si>
  <si>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</si>
  <si>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</si>
  <si>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</si>
  <si>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</si>
  <si>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</si>
  <si>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</si>
  <si>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</si>
  <si>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</si>
  <si>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</si>
  <si>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</si>
  <si>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</si>
  <si>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</si>
  <si>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</si>
  <si>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</si>
  <si>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</si>
  <si>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</si>
  <si>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</si>
  <si>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</si>
  <si>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</si>
  <si>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</si>
  <si>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</si>
  <si>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</si>
  <si>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</si>
  <si>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</si>
  <si>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</si>
  <si>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</si>
  <si>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</si>
  <si>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</si>
  <si>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</si>
  <si>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</si>
  <si>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</si>
  <si>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</si>
  <si>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</si>
  <si>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</si>
  <si>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</si>
  <si>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</si>
  <si>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</si>
  <si>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</si>
  <si>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</si>
  <si>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</si>
  <si>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</si>
  <si>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</si>
  <si>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</si>
  <si>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</si>
  <si>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</si>
  <si>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</si>
  <si>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</si>
  <si>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</si>
  <si>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</si>
  <si>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</si>
  <si>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</si>
  <si>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</si>
  <si>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</si>
  <si>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</si>
  <si>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</si>
  <si>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</si>
  <si>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</si>
  <si>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</si>
  <si>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</si>
  <si>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</si>
  <si>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</si>
  <si>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</si>
  <si>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</si>
  <si>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</si>
  <si>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</si>
  <si>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</si>
  <si>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</si>
  <si>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</si>
  <si>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</si>
  <si>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</si>
  <si>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</si>
  <si>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</si>
  <si>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</si>
  <si>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</si>
  <si>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</si>
  <si>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</si>
  <si>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</si>
  <si>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</si>
  <si>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</si>
  <si>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</si>
  <si>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</si>
  <si>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</si>
  <si>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</si>
  <si>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</si>
  <si>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</si>
  <si>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</si>
  <si>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</si>
  <si>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</si>
  <si>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</si>
  <si>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</si>
  <si>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</si>
  <si>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</si>
  <si>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</si>
  <si>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</si>
  <si>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</si>
  <si>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</si>
  <si>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</si>
  <si>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</si>
  <si>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</si>
  <si>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</si>
  <si>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</si>
  <si>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</si>
  <si>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</si>
  <si>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</si>
  <si>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</si>
  <si>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</si>
  <si>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</si>
  <si>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</si>
  <si>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</si>
  <si>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</si>
  <si>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</si>
  <si>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</si>
  <si>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</si>
  <si>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</si>
  <si>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</si>
  <si>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</si>
  <si>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</si>
  <si>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</si>
  <si>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</si>
  <si>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</si>
  <si>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</si>
  <si>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</si>
  <si>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</si>
  <si>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</si>
  <si>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</si>
  <si>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</si>
  <si>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</si>
  <si>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</si>
  <si>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</si>
  <si>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</si>
  <si>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</si>
  <si>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</si>
  <si>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</si>
  <si>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</si>
  <si>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</si>
  <si>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</si>
  <si>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</si>
  <si>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</si>
  <si>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</si>
  <si>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</si>
  <si>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</si>
  <si>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</si>
  <si>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</si>
  <si>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</si>
  <si>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</si>
  <si>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</si>
  <si>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</si>
  <si>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</si>
  <si>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</si>
  <si>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</si>
  <si>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</si>
  <si>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</si>
  <si>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</si>
  <si>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</si>
  <si>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</si>
  <si>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</si>
  <si>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</si>
  <si>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</si>
  <si>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</si>
  <si>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</si>
  <si>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</si>
  <si>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</si>
  <si>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</si>
  <si>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</si>
  <si>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</si>
  <si>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</si>
  <si>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</si>
  <si>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</si>
  <si>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</si>
  <si>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</si>
  <si>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</si>
  <si>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</si>
  <si>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</si>
  <si>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</si>
  <si>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</si>
  <si>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</si>
  <si>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</si>
  <si>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</si>
  <si>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</si>
  <si>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</si>
  <si>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</si>
  <si>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</si>
  <si>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</si>
  <si>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</si>
  <si>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</si>
  <si>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</si>
  <si>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</si>
  <si>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</si>
  <si>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</si>
  <si>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</si>
  <si>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</si>
  <si>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</si>
  <si>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</si>
  <si>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</si>
  <si>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</si>
  <si>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</si>
  <si>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</si>
  <si>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</si>
  <si>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</si>
  <si>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</si>
  <si>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</si>
  <si>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</si>
  <si>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</si>
  <si>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</si>
  <si>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</si>
  <si>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</si>
  <si>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</si>
  <si>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</si>
  <si>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</si>
  <si>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</si>
  <si>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</si>
  <si>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</si>
  <si>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</si>
  <si>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</si>
  <si>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</si>
  <si>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</si>
  <si>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</si>
  <si>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</si>
  <si>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</si>
  <si>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</si>
  <si>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</si>
  <si>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</si>
  <si>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</si>
  <si>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</si>
  <si>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</si>
  <si>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</si>
  <si>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</si>
  <si>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</si>
  <si>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</si>
  <si>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</si>
  <si>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</si>
  <si>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</si>
  <si>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</si>
  <si>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</si>
  <si>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</si>
  <si>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</si>
  <si>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</si>
  <si>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</si>
  <si>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</si>
  <si>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</si>
  <si>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</si>
  <si>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</si>
  <si>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</si>
  <si>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</si>
  <si>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</si>
  <si>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</si>
  <si>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</si>
  <si>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</si>
  <si>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</si>
  <si>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</si>
  <si>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</si>
  <si>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</si>
  <si>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</si>
  <si>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</si>
  <si>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</si>
  <si>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</si>
  <si>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</si>
  <si>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</si>
  <si>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</si>
  <si>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</si>
  <si>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</si>
  <si>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</si>
  <si>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</si>
  <si>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</si>
  <si>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</si>
  <si>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</si>
  <si>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</si>
  <si>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</si>
  <si>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</si>
  <si>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</si>
  <si>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</si>
  <si>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</si>
  <si>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</si>
  <si>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</si>
  <si>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</si>
  <si>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</si>
  <si>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</si>
  <si>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</si>
  <si>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</si>
  <si>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</si>
  <si>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</si>
  <si>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</si>
  <si>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</si>
  <si>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</si>
  <si>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</si>
  <si>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</si>
  <si>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</si>
  <si>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</si>
  <si>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</si>
  <si>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</si>
  <si>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</si>
  <si>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</si>
  <si>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</si>
  <si>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</si>
  <si>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</si>
  <si>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</si>
  <si>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</si>
  <si>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</si>
  <si>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</si>
  <si>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</si>
  <si>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</si>
  <si>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</si>
  <si>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</si>
  <si>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</si>
  <si>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</si>
  <si>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</si>
  <si>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</si>
  <si>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</si>
  <si>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</si>
  <si>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</si>
  <si>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</si>
  <si>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</si>
  <si>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</si>
  <si>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</si>
  <si>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</si>
  <si>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</si>
  <si>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</si>
  <si>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</si>
  <si>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</si>
  <si>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</si>
  <si>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</si>
  <si>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</si>
  <si>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</si>
  <si>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</si>
  <si>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</si>
  <si>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</si>
  <si>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</si>
  <si>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</si>
  <si>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</si>
  <si>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</si>
  <si>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</si>
  <si>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</si>
  <si>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</si>
  <si>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</si>
  <si>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</si>
  <si>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</si>
  <si>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</si>
  <si>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</si>
  <si>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</si>
  <si>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</si>
  <si>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</si>
  <si>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</si>
  <si>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</si>
  <si>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</si>
  <si>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</si>
  <si>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</si>
  <si>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</si>
  <si>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</si>
  <si>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</si>
  <si>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</si>
  <si>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</si>
  <si>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</si>
  <si>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</si>
  <si>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</si>
  <si>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</si>
  <si>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</si>
  <si>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</si>
  <si>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</si>
  <si>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</si>
  <si>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</si>
  <si>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</si>
  <si>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</si>
  <si>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</si>
  <si>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</si>
  <si>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</si>
  <si>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</si>
  <si>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</si>
  <si>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</si>
  <si>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</si>
  <si>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</si>
  <si>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</si>
  <si>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</si>
  <si>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</si>
  <si>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</si>
  <si>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</si>
  <si>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</si>
  <si>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</si>
  <si>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</si>
  <si>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</si>
  <si>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</si>
  <si>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</si>
  <si>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</si>
  <si>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</si>
  <si>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</si>
  <si>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</si>
  <si>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</si>
  <si>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</si>
  <si>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</si>
  <si>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</si>
  <si>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</si>
  <si>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</si>
  <si>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</si>
  <si>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</si>
  <si>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</si>
  <si>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</si>
  <si>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</si>
  <si>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</si>
  <si>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</si>
  <si>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</si>
  <si>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</si>
  <si>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</si>
  <si>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</si>
  <si>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</si>
  <si>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</si>
  <si>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</si>
  <si>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</si>
  <si>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</si>
  <si>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</si>
  <si>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</si>
  <si>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</si>
  <si>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</si>
  <si>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</si>
  <si>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</si>
  <si>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</si>
  <si>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</si>
  <si>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</si>
  <si>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</si>
  <si>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</si>
  <si>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</si>
  <si>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</si>
  <si>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</si>
  <si>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</si>
  <si>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</si>
  <si>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</si>
  <si>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</si>
  <si>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</si>
  <si>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</si>
  <si>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</si>
  <si>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</si>
  <si>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</si>
  <si>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</si>
  <si>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</si>
  <si>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</si>
  <si>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</si>
  <si>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</si>
  <si>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</si>
  <si>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</si>
  <si>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</si>
  <si>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</si>
  <si>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</si>
  <si>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</si>
  <si>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</si>
  <si>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</si>
  <si>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</si>
  <si>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</si>
  <si>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</si>
  <si>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</si>
  <si>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</si>
  <si>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</si>
  <si>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</si>
  <si>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</si>
  <si>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</si>
  <si>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</si>
  <si>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</si>
  <si>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</si>
  <si>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</si>
  <si>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</si>
  <si>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</si>
  <si>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</si>
  <si>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</si>
  <si>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</si>
  <si>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</si>
  <si>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</si>
  <si>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</si>
  <si>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</si>
  <si>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</si>
  <si>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</si>
  <si>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</si>
  <si>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</si>
  <si>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</si>
  <si>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</si>
  <si>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</si>
  <si>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</si>
  <si>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</si>
  <si>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</si>
  <si>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</si>
  <si>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</si>
  <si>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</si>
  <si>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</si>
  <si>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</si>
  <si>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</si>
  <si>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</si>
  <si>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</si>
  <si>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</si>
  <si>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</si>
  <si>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</si>
  <si>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</si>
  <si>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</si>
  <si>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</si>
  <si>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</si>
  <si>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</si>
  <si>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</si>
  <si>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</si>
  <si>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</si>
  <si>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</si>
  <si>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</si>
  <si>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</si>
  <si>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</si>
  <si>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</si>
  <si>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</si>
  <si>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</si>
  <si>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</si>
  <si>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</si>
  <si>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</si>
  <si>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</si>
  <si>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</si>
  <si>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</si>
  <si>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</si>
  <si>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</si>
  <si>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</si>
  <si>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</si>
  <si>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</si>
  <si>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</si>
  <si>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</si>
  <si>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</si>
  <si>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</si>
  <si>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</si>
  <si>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</si>
  <si>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</si>
  <si>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</si>
  <si>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</si>
  <si>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</si>
  <si>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</si>
  <si>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</si>
  <si>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</si>
  <si>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</si>
  <si>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</si>
  <si>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</si>
  <si>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</si>
  <si>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</si>
  <si>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</si>
  <si>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</si>
  <si>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</si>
  <si>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</si>
  <si>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</si>
  <si>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</si>
  <si>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</si>
  <si>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</si>
  <si>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</si>
  <si>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</si>
  <si>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</si>
  <si>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</si>
  <si>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</si>
  <si>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</si>
  <si>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</si>
  <si>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</si>
  <si>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</si>
  <si>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</si>
  <si>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</si>
  <si>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</si>
  <si>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</si>
  <si>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</si>
  <si>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</si>
  <si>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</si>
  <si>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</si>
  <si>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</si>
  <si>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</si>
  <si>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</si>
  <si>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</si>
  <si>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</si>
  <si>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</si>
  <si>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</si>
  <si>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</si>
  <si>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</si>
  <si>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</si>
  <si>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</si>
  <si>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</si>
  <si>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</si>
  <si>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</si>
  <si>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</si>
  <si>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</si>
  <si>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</si>
  <si>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</si>
  <si>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</si>
  <si>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</si>
  <si>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</si>
  <si>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</si>
  <si>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</si>
  <si>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</si>
  <si>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</si>
  <si>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</si>
  <si>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</si>
  <si>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</si>
  <si>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</si>
  <si>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</si>
  <si>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</si>
  <si>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</si>
  <si>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</si>
  <si>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</si>
  <si>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</si>
  <si>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</si>
  <si>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</si>
  <si>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</si>
  <si>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</si>
  <si>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</si>
  <si>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</si>
  <si>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</si>
  <si>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</si>
  <si>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</si>
  <si>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</si>
  <si>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</si>
  <si>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</si>
  <si>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</si>
  <si>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</si>
  <si>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</si>
  <si>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</si>
  <si>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</si>
  <si>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</si>
  <si>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</si>
  <si>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</si>
  <si>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</si>
  <si>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</si>
  <si>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</si>
  <si>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</si>
  <si>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</si>
  <si>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</si>
  <si>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</si>
  <si>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</si>
  <si>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</si>
  <si>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</si>
  <si>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</si>
  <si>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</si>
  <si>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</si>
  <si>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</si>
  <si>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</si>
  <si>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</si>
  <si>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</si>
  <si>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</si>
  <si>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</si>
  <si>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</si>
  <si>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</si>
  <si>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</si>
  <si>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</si>
  <si>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</si>
  <si>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</si>
  <si>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</si>
  <si>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</si>
  <si>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</si>
  <si>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</si>
  <si>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</si>
  <si>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</si>
  <si>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</si>
  <si>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</si>
  <si>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</si>
  <si>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</si>
  <si>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</si>
  <si>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</si>
  <si>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</si>
  <si>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</si>
  <si>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</si>
  <si>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</si>
  <si>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</si>
  <si>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</si>
  <si>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</si>
  <si>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</si>
  <si>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</si>
  <si>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</si>
  <si>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</si>
  <si>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</si>
  <si>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</si>
  <si>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</si>
  <si>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</si>
  <si>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</si>
  <si>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</si>
  <si>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</si>
  <si>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</si>
  <si>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</si>
  <si>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</si>
  <si>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</si>
  <si>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</si>
  <si>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</si>
  <si>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</si>
  <si>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</si>
  <si>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</si>
  <si>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</si>
  <si>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</si>
  <si>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</si>
  <si>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</si>
  <si>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</si>
  <si>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</si>
  <si>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</si>
  <si>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</si>
  <si>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</si>
  <si>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</si>
  <si>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</si>
  <si>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</si>
  <si>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</si>
  <si>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</si>
  <si>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</si>
  <si>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</si>
  <si>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</si>
  <si>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</si>
  <si>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</si>
  <si>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</si>
  <si>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</si>
  <si>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</si>
  <si>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</si>
  <si>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</si>
  <si>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</si>
  <si>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</si>
  <si>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</si>
  <si>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</si>
  <si>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</si>
  <si>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</si>
  <si>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</si>
  <si>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</si>
  <si>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</si>
  <si>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</si>
  <si>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</si>
  <si>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</si>
  <si>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</si>
  <si>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</si>
  <si>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</si>
  <si>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</si>
  <si>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</si>
  <si>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</si>
  <si>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</si>
  <si>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</si>
  <si>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</si>
  <si>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</si>
  <si>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</si>
  <si>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</si>
  <si>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</si>
  <si>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</si>
  <si>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</si>
  <si>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</si>
  <si>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</si>
  <si>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</si>
  <si>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</si>
  <si>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</si>
  <si>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</si>
  <si>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</si>
  <si>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</si>
  <si>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</si>
  <si>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</si>
  <si>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</si>
  <si>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</si>
  <si>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</si>
  <si>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</si>
  <si>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</si>
  <si>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</si>
  <si>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</si>
  <si>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</si>
  <si>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</si>
  <si>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</si>
  <si>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</si>
  <si>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</si>
  <si>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</si>
  <si>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</si>
  <si>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</si>
  <si>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</si>
  <si>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</si>
  <si>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</si>
  <si>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</si>
  <si>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</si>
  <si>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</si>
  <si>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</si>
  <si>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</si>
  <si>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</si>
  <si>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</si>
  <si>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</si>
  <si>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</si>
  <si>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</si>
  <si>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</si>
  <si>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</si>
  <si>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</si>
  <si>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</si>
  <si>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</si>
  <si>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</si>
  <si>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</si>
  <si>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</si>
  <si>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</si>
  <si>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</si>
  <si>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</si>
  <si>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</si>
  <si>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</si>
  <si>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</si>
  <si>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</si>
  <si>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</si>
  <si>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</si>
  <si>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</si>
  <si>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</si>
  <si>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</si>
  <si>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</si>
  <si>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</si>
  <si>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</si>
  <si>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</si>
  <si>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</si>
  <si>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</si>
  <si>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</si>
  <si>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</si>
  <si>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</si>
  <si>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</si>
  <si>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</si>
  <si>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</si>
  <si>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</si>
  <si>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</si>
  <si>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</si>
  <si>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</si>
  <si>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</si>
  <si>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</si>
  <si>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</si>
  <si>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</si>
  <si>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</si>
  <si>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</si>
  <si>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</si>
  <si>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</si>
  <si>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</si>
  <si>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</si>
  <si>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</si>
  <si>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</si>
  <si>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</si>
  <si>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</si>
  <si>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</si>
  <si>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</si>
  <si>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</si>
  <si>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</si>
  <si>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</si>
  <si>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</si>
  <si>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</si>
  <si>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</si>
  <si>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</si>
  <si>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</si>
  <si>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</si>
  <si>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</si>
  <si>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</si>
  <si>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</si>
  <si>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</si>
  <si>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</si>
  <si>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</si>
  <si>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</si>
  <si>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</si>
  <si>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</si>
  <si>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</si>
  <si>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</si>
  <si>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</si>
  <si>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</si>
  <si>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</si>
  <si>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</si>
  <si>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</si>
  <si>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</si>
  <si>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</si>
  <si>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</si>
  <si>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</si>
  <si>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</si>
  <si>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</si>
  <si>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</si>
  <si>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</si>
  <si>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</si>
  <si>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</si>
  <si>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</si>
  <si>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</si>
  <si>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</si>
  <si>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</si>
  <si>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</si>
  <si>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</si>
  <si>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</si>
  <si>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</si>
  <si>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</si>
  <si>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</si>
  <si>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</si>
  <si>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</si>
  <si>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</si>
  <si>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</si>
  <si>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</si>
  <si>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</si>
  <si>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</si>
  <si>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</si>
  <si>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</si>
  <si>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</si>
  <si>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</si>
  <si>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</si>
  <si>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</si>
  <si>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</si>
  <si>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</si>
  <si>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</si>
  <si>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</si>
  <si>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</si>
  <si>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</si>
  <si>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</si>
  <si>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</si>
  <si>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</si>
  <si>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</si>
  <si>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</si>
  <si>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</si>
  <si>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</si>
  <si>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</si>
  <si>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</si>
  <si>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</si>
  <si>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</si>
  <si>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</si>
  <si>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</si>
  <si>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</si>
  <si>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</si>
  <si>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</si>
  <si>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</si>
  <si>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</si>
  <si>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</si>
  <si>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</si>
  <si>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</si>
  <si>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</si>
  <si>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</si>
  <si>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</si>
  <si>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</si>
  <si>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</si>
  <si>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</si>
  <si>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</si>
  <si>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</si>
  <si>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</si>
  <si>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</si>
  <si>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</si>
  <si>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</si>
  <si>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</si>
  <si>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</si>
  <si>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</si>
  <si>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</si>
  <si>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</si>
  <si>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</si>
  <si>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</si>
  <si>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</si>
  <si>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</si>
  <si>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</si>
  <si>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</si>
  <si>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</si>
  <si>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</si>
  <si>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</si>
  <si>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</si>
  <si>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</si>
  <si>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</si>
  <si>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</si>
  <si>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</si>
  <si>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</si>
  <si>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</si>
  <si>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</si>
  <si>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</si>
  <si>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</si>
  <si>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</si>
  <si>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</si>
  <si>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</si>
  <si>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</si>
  <si>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</si>
  <si>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</si>
  <si>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</si>
  <si>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</si>
  <si>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</si>
  <si>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</si>
  <si>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</si>
  <si>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</si>
  <si>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</si>
  <si>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</si>
  <si>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</si>
  <si>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</si>
  <si>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</si>
  <si>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</si>
  <si>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</si>
  <si>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</si>
  <si>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</si>
  <si>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</si>
  <si>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</si>
  <si>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</si>
  <si>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</si>
  <si>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</si>
  <si>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</si>
  <si>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</si>
  <si>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</si>
  <si>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</si>
  <si>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</si>
  <si>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</si>
  <si>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</si>
  <si>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</si>
  <si>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</si>
  <si>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</si>
  <si>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</si>
  <si>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</si>
  <si>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</si>
  <si>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</si>
  <si>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</si>
  <si>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</si>
  <si>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</si>
  <si>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</si>
  <si>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</si>
  <si>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</si>
  <si>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</si>
  <si>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</si>
  <si>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</si>
  <si>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</si>
  <si>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</si>
  <si>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</si>
  <si>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</si>
  <si>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</si>
  <si>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</si>
  <si>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</si>
  <si>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</si>
  <si>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</si>
  <si>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</si>
  <si>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</si>
  <si>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</si>
  <si>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</si>
  <si>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</si>
  <si>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</si>
  <si>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</si>
  <si>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</si>
  <si>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</si>
  <si>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</si>
  <si>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</si>
  <si>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</si>
  <si>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</si>
  <si>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</si>
  <si>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</si>
  <si>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</si>
  <si>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</si>
  <si>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</si>
  <si>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</si>
  <si>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</si>
  <si>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</si>
  <si>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</si>
  <si>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</si>
  <si>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</si>
  <si>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</si>
  <si>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</si>
  <si>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</si>
  <si>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</si>
  <si>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</si>
  <si>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</si>
  <si>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</si>
  <si>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</si>
  <si>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</si>
  <si>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</si>
  <si>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</si>
  <si>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</si>
  <si>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</si>
  <si>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</si>
  <si>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</si>
  <si>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</si>
  <si>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</si>
  <si>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</si>
  <si>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</si>
  <si>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</si>
  <si>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</si>
  <si>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</si>
  <si>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</si>
  <si>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</si>
  <si>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</si>
  <si>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</si>
  <si>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</si>
  <si>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</si>
  <si>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</si>
  <si>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</si>
  <si>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</si>
  <si>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</si>
  <si>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</si>
  <si>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</si>
  <si>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</si>
  <si>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</si>
  <si>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</si>
  <si>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</si>
  <si>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</si>
  <si>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</si>
  <si>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</si>
  <si>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</si>
  <si>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</si>
  <si>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</si>
  <si>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</si>
  <si>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</si>
  <si>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</si>
  <si>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</si>
  <si>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</si>
  <si>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</si>
  <si>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</si>
  <si>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</si>
  <si>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</si>
  <si>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</si>
  <si>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</si>
  <si>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</si>
  <si>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</si>
  <si>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</si>
  <si>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</si>
  <si>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</si>
  <si>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</si>
  <si>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</si>
  <si>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</si>
  <si>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</si>
  <si>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</si>
  <si>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</si>
  <si>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</si>
  <si>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</si>
  <si>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</si>
  <si>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</si>
  <si>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</si>
  <si>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</si>
  <si>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</si>
  <si>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</si>
  <si>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</si>
  <si>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</si>
  <si>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</si>
  <si>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</si>
  <si>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</si>
  <si>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</si>
  <si>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</si>
  <si>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</si>
  <si>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</si>
  <si>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</si>
  <si>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</si>
  <si>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</si>
  <si>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</si>
  <si>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</si>
  <si>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</si>
  <si>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</si>
  <si>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</si>
  <si>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</si>
  <si>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</si>
  <si>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</si>
  <si>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</si>
  <si>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</si>
  <si>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</si>
  <si>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</si>
  <si>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</si>
  <si>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</si>
  <si>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</si>
  <si>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</si>
  <si>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</si>
  <si>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</si>
  <si>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</si>
  <si>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</si>
  <si>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</si>
  <si>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</si>
  <si>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</si>
  <si>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</si>
  <si>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</si>
  <si>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</si>
  <si>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</si>
  <si>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</si>
  <si>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</si>
  <si>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</si>
  <si>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</si>
  <si>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</si>
  <si>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</si>
  <si>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</si>
  <si>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</si>
  <si>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</si>
  <si>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</si>
  <si>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</si>
  <si>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</si>
  <si>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</si>
  <si>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</si>
  <si>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</si>
  <si>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</si>
  <si>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</si>
  <si>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</si>
  <si>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</si>
  <si>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</si>
  <si>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</si>
  <si>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</si>
  <si>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</si>
  <si>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</si>
  <si>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</si>
  <si>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</si>
  <si>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</si>
  <si>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</si>
  <si>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</si>
  <si>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</si>
  <si>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</si>
  <si>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</si>
  <si>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</si>
  <si>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</si>
  <si>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</si>
  <si>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</si>
  <si>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</si>
  <si>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</si>
  <si>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</si>
  <si>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</si>
  <si>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</si>
  <si>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</si>
  <si>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</si>
  <si>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</si>
  <si>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</si>
  <si>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</si>
  <si>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</si>
  <si>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</si>
  <si>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</si>
  <si>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</si>
  <si>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</si>
  <si>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</si>
  <si>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</si>
  <si>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</si>
  <si>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</si>
  <si>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</si>
  <si>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</si>
  <si>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</si>
  <si>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</si>
  <si>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</si>
  <si>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</si>
  <si>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</si>
  <si>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</si>
  <si>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</si>
  <si>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</si>
  <si>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</si>
  <si>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</si>
  <si>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</si>
  <si>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</si>
  <si>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</si>
  <si>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</si>
  <si>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</si>
  <si>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</si>
  <si>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</si>
  <si>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</si>
  <si>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</si>
  <si>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</si>
  <si>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</si>
  <si>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</si>
  <si>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</si>
  <si>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</si>
  <si>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</si>
  <si>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</si>
  <si>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</si>
  <si>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</si>
  <si>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</si>
  <si>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</si>
  <si>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</si>
  <si>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</si>
  <si>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</si>
  <si>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</si>
  <si>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</si>
  <si>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</si>
  <si>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</si>
  <si>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</si>
  <si>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</si>
  <si>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</si>
  <si>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</si>
  <si>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</si>
  <si>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</si>
  <si>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</si>
  <si>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</si>
  <si>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</si>
  <si>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</si>
  <si>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</si>
  <si>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</si>
  <si>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</si>
  <si>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</si>
  <si>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</si>
  <si>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</si>
  <si>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</si>
  <si>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</si>
  <si>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</si>
  <si>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</si>
  <si>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</si>
  <si>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</si>
  <si>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</si>
  <si>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</si>
  <si>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</si>
  <si>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</si>
  <si>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</si>
  <si>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</si>
  <si>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</si>
  <si>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</si>
  <si>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</si>
  <si>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</si>
  <si>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</si>
  <si>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</si>
  <si>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</si>
  <si>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</si>
  <si>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</si>
  <si>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</si>
  <si>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</si>
  <si>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</si>
  <si>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</si>
  <si>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</si>
  <si>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</si>
  <si>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</si>
  <si>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</si>
  <si>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</si>
  <si>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</si>
  <si>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</si>
  <si>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</si>
  <si>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</si>
  <si>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</si>
  <si>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</si>
  <si>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</si>
  <si>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</si>
  <si>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</si>
  <si>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</si>
  <si>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</si>
  <si>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</si>
  <si>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</si>
  <si>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</si>
  <si>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</si>
  <si>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</si>
  <si>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</si>
  <si>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</si>
  <si>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</si>
  <si>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</si>
  <si>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</si>
  <si>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</si>
  <si>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</si>
  <si>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</si>
  <si>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</si>
  <si>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Exposition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</si>
</sst>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55" zoomScaleNormal="55" workbookViewId="0">
      <selection activeCell="L7" sqref="L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c r="G4" s="266"/>
      <c r="H4" s="266"/>
      <c r="I4" s="266"/>
    </row>
    <row r="5" spans="1:20" ht="16.5" customHeight="1" x14ac:dyDescent="0.2">
      <c r="A5" s="260" t="s">
        <v>1639</v>
      </c>
      <c r="B5" s="260"/>
      <c r="C5" s="260"/>
      <c r="D5" s="260"/>
      <c r="E5" s="260"/>
      <c r="F5" s="266"/>
      <c r="G5" s="266"/>
      <c r="H5" s="266"/>
      <c r="I5" s="266"/>
      <c r="L5" s="39"/>
      <c r="M5" s="39"/>
      <c r="N5" s="39"/>
      <c r="O5" s="39"/>
      <c r="P5" s="39"/>
      <c r="Q5" s="39"/>
    </row>
    <row r="6" spans="1:20" ht="16.5" customHeight="1" x14ac:dyDescent="0.25">
      <c r="A6" s="260" t="s">
        <v>1682</v>
      </c>
      <c r="B6" s="260"/>
      <c r="C6" s="260"/>
      <c r="D6" s="260"/>
      <c r="E6" s="260"/>
      <c r="F6" s="267"/>
      <c r="G6" s="267"/>
      <c r="H6" s="267"/>
      <c r="I6" s="267"/>
      <c r="L6" s="40"/>
      <c r="M6" s="40"/>
      <c r="N6" s="40"/>
      <c r="O6" s="40"/>
      <c r="P6" s="39"/>
      <c r="Q6" s="39"/>
    </row>
    <row r="7" spans="1:20" ht="16.5" customHeight="1" x14ac:dyDescent="0.25">
      <c r="A7" s="260" t="s">
        <v>3</v>
      </c>
      <c r="B7" s="260"/>
      <c r="C7" s="260"/>
      <c r="D7" s="260"/>
      <c r="E7" s="260"/>
      <c r="F7" s="267"/>
      <c r="G7" s="267"/>
      <c r="H7" s="267"/>
      <c r="I7" s="267"/>
      <c r="K7" s="96"/>
      <c r="L7" s="40"/>
      <c r="M7" s="40"/>
      <c r="N7" s="40"/>
      <c r="O7" s="40"/>
      <c r="P7" s="39"/>
      <c r="Q7" s="39"/>
    </row>
    <row r="8" spans="1:20" ht="16.5" customHeight="1" x14ac:dyDescent="0.25">
      <c r="A8" s="260" t="s">
        <v>1640</v>
      </c>
      <c r="B8" s="260"/>
      <c r="C8" s="260"/>
      <c r="D8" s="260"/>
      <c r="E8" s="260"/>
      <c r="F8" s="267"/>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Unidentified</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c r="P17" s="196"/>
      <c r="Q17" s="224"/>
      <c r="S17" s="223">
        <f t="shared" si="0"/>
        <v>0</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c r="P22" s="224"/>
      <c r="Q22" s="196"/>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0</v>
      </c>
      <c r="N23" s="196"/>
      <c r="P23" s="224"/>
      <c r="Q23" s="196"/>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3" t="s">
        <v>1737</v>
      </c>
      <c r="C77" s="263"/>
      <c r="D77" s="263"/>
      <c r="E77" s="263"/>
      <c r="F77" s="263"/>
      <c r="G77" s="263"/>
      <c r="H77" s="263"/>
      <c r="I77" s="263"/>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29" sqref="D29:F2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c r="C9" s="282"/>
      <c r="D9" s="5"/>
      <c r="E9" s="5"/>
      <c r="F9" s="5"/>
    </row>
    <row r="10" spans="1:13" ht="15.75" x14ac:dyDescent="0.25">
      <c r="A10" s="12" t="s">
        <v>208</v>
      </c>
      <c r="B10" s="283"/>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c r="C13" s="100"/>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0</v>
      </c>
      <c r="C40" s="278"/>
      <c r="E40" s="60"/>
    </row>
    <row r="41" spans="1:13" ht="15.75" x14ac:dyDescent="0.25">
      <c r="A41" s="12" t="s">
        <v>208</v>
      </c>
      <c r="B41" s="276">
        <f>B10</f>
        <v>0</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0</v>
      </c>
      <c r="C71" s="278"/>
    </row>
    <row r="72" spans="1:13" ht="15.75" x14ac:dyDescent="0.25">
      <c r="A72" s="12" t="s">
        <v>208</v>
      </c>
      <c r="B72" s="276">
        <f>B10</f>
        <v>0</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0</v>
      </c>
      <c r="G10" s="103"/>
      <c r="H10" s="107">
        <f>IF('LS-Fund #### Journal Entries'!$F$8="Governmental Fund",SUM('LS-Fund #### Journal Entries'!$K$48,'LS-Fund #### Journal Entries'!K113),0)</f>
        <v>0</v>
      </c>
      <c r="I10" s="103"/>
      <c r="J10" s="107">
        <f>IF('LS-Fund #### Journal Entries'!$F$8="Governmental Fund",SUM('LS-Fund #### Journal Entries'!$J$68,'LS-Fund #### Journal Entries'!J96),0)</f>
        <v>0</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0</v>
      </c>
      <c r="C16" s="168" t="s">
        <v>155</v>
      </c>
      <c r="D16" s="130">
        <f>IF('LS-Fund #### Journal Entries'!$F$8="Governmental Fund",'LS-Fund #### Journal Entries'!$K$48,0)</f>
        <v>0</v>
      </c>
      <c r="E16" s="170" t="s">
        <v>156</v>
      </c>
      <c r="F16" s="130">
        <f>IF('LS-Fund #### Journal Entries'!$F$8="Governmental Fund",'LS-Fund #### Journal Entries'!$J$68,0)</f>
        <v>0</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0</v>
      </c>
      <c r="J66" s="143">
        <f>SUM(D66)</f>
        <v>0</v>
      </c>
      <c r="L66" s="144" t="str">
        <f>CONCATENATE("Balance July 1, ",LEFT('LS-Department Note Disclosure'!$B$8,4))</f>
        <v>Balance July 1, 2023</v>
      </c>
      <c r="N66" s="143">
        <f>'LS-Lease Liabilities'!F10</f>
        <v>0</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0</v>
      </c>
      <c r="J68" s="143">
        <f>SUM(D68,H68)</f>
        <v>0</v>
      </c>
      <c r="L68" s="144" t="s">
        <v>15</v>
      </c>
      <c r="N68" s="143">
        <f>'LS-Lease Liabilities'!J10</f>
        <v>0</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55" zoomScaleNormal="55" zoomScaleSheetLayoutView="80" workbookViewId="0">
      <selection activeCell="I7" sqref="I7"/>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t="s">
        <v>1803</v>
      </c>
      <c r="H4" s="7"/>
      <c r="I4" s="7"/>
      <c r="J4" s="7"/>
      <c r="K4" s="7"/>
      <c r="L4" s="7"/>
      <c r="M4" s="7"/>
      <c r="N4" s="7"/>
      <c r="O4" s="7"/>
      <c r="P4" s="7"/>
      <c r="Q4" s="7"/>
      <c r="R4" s="7"/>
    </row>
    <row r="5" spans="1:20" ht="17.45" customHeight="1" x14ac:dyDescent="0.25">
      <c r="A5" s="293" t="s">
        <v>1683</v>
      </c>
      <c r="B5" s="293"/>
      <c r="C5" s="293"/>
      <c r="D5" s="293"/>
      <c r="E5" s="161" t="s">
        <v>723</v>
      </c>
      <c r="H5" s="7"/>
      <c r="I5" s="7"/>
      <c r="J5" s="8"/>
      <c r="K5" s="8"/>
      <c r="L5" s="8"/>
      <c r="M5" s="8"/>
      <c r="N5" s="8"/>
      <c r="O5" s="8"/>
      <c r="P5" s="8"/>
      <c r="Q5" s="7"/>
      <c r="R5" s="7"/>
    </row>
    <row r="6" spans="1:20" ht="17.45" customHeight="1" x14ac:dyDescent="0.25">
      <c r="A6" s="293" t="s">
        <v>1684</v>
      </c>
      <c r="B6" s="293"/>
      <c r="C6" s="293"/>
      <c r="D6" s="293"/>
      <c r="E6" s="97">
        <v>267</v>
      </c>
      <c r="G6" s="8"/>
      <c r="H6" s="8"/>
      <c r="I6" s="8"/>
      <c r="J6" s="8"/>
      <c r="K6" s="8"/>
      <c r="L6" s="8"/>
      <c r="M6" s="8"/>
      <c r="N6" s="8"/>
      <c r="O6" s="8"/>
      <c r="P6" s="8"/>
      <c r="Q6" s="7"/>
      <c r="R6" s="7"/>
    </row>
    <row r="7" spans="1:20" ht="17.45" customHeight="1" x14ac:dyDescent="0.25">
      <c r="A7" s="293" t="s">
        <v>3</v>
      </c>
      <c r="B7" s="293"/>
      <c r="C7" s="293"/>
      <c r="D7" s="293"/>
      <c r="E7" s="35" t="s">
        <v>123</v>
      </c>
      <c r="G7" s="8"/>
      <c r="H7" s="8"/>
      <c r="I7" s="8"/>
      <c r="J7" s="8"/>
      <c r="K7" s="8"/>
      <c r="L7" s="8"/>
      <c r="M7" s="8"/>
      <c r="N7" s="8"/>
      <c r="O7" s="8"/>
      <c r="P7" s="8"/>
      <c r="Q7" s="7"/>
      <c r="R7" s="7"/>
    </row>
    <row r="8" spans="1:20" ht="17.45" customHeight="1" x14ac:dyDescent="0.25">
      <c r="A8" s="293" t="s">
        <v>1640</v>
      </c>
      <c r="B8" s="293"/>
      <c r="C8" s="293"/>
      <c r="D8" s="293"/>
      <c r="E8" s="35" t="s">
        <v>164</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32743594</v>
      </c>
      <c r="K14" s="37"/>
      <c r="L14" s="37"/>
      <c r="M14" s="196">
        <f>20323325+12193995+226274</f>
        <v>32743594</v>
      </c>
      <c r="N14" s="37"/>
      <c r="O14" s="37"/>
      <c r="P14" s="196">
        <v>32743594</v>
      </c>
      <c r="Q14" s="224"/>
      <c r="R14" s="37"/>
      <c r="S14" s="223">
        <f>P14-M14</f>
        <v>0</v>
      </c>
      <c r="T14" s="250" t="s">
        <v>1730</v>
      </c>
    </row>
    <row r="15" spans="1:20" ht="17.45" customHeight="1" x14ac:dyDescent="0.2">
      <c r="A15" s="15"/>
      <c r="B15" s="20" t="s">
        <v>178</v>
      </c>
      <c r="C15" s="151"/>
      <c r="D15" s="151"/>
      <c r="E15" s="151"/>
      <c r="F15" s="151"/>
      <c r="G15" s="151"/>
      <c r="H15" s="151"/>
      <c r="I15" s="151"/>
      <c r="J15" s="248">
        <f>P15</f>
        <v>492883</v>
      </c>
      <c r="K15" s="37"/>
      <c r="L15" s="37"/>
      <c r="M15" s="196">
        <v>0</v>
      </c>
      <c r="N15" s="37"/>
      <c r="O15" s="37"/>
      <c r="P15" s="221">
        <f>IF(SUM($Q$17)&gt;SUM($P$14),SUM($Q$17)-SUM($P$14),0)</f>
        <v>492883</v>
      </c>
      <c r="Q15" s="224"/>
      <c r="R15" s="37"/>
      <c r="S15" s="223">
        <f>P15-M15</f>
        <v>492883</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v>0</v>
      </c>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32288800</v>
      </c>
      <c r="L17" s="37"/>
      <c r="M17" s="37"/>
      <c r="N17" s="196">
        <f>20045226+12027136+216438</f>
        <v>32288800</v>
      </c>
      <c r="O17" s="37"/>
      <c r="P17" s="224"/>
      <c r="Q17" s="196">
        <v>33236477</v>
      </c>
      <c r="R17" s="37"/>
      <c r="S17" s="223">
        <f t="shared" ref="S17:S19" si="0">Q17-N17</f>
        <v>947677</v>
      </c>
      <c r="T17" s="250" t="s">
        <v>1730</v>
      </c>
    </row>
    <row r="18" spans="1:22" ht="17.45" customHeight="1" x14ac:dyDescent="0.2">
      <c r="A18" s="15"/>
      <c r="B18" s="151"/>
      <c r="C18" s="20" t="s">
        <v>185</v>
      </c>
      <c r="D18" s="151"/>
      <c r="E18" s="151"/>
      <c r="F18" s="151"/>
      <c r="G18" s="151"/>
      <c r="H18" s="151"/>
      <c r="I18" s="151"/>
      <c r="J18" s="20"/>
      <c r="K18" s="248">
        <f>Q18</f>
        <v>0</v>
      </c>
      <c r="L18" s="37"/>
      <c r="M18" s="37"/>
      <c r="N18" s="196">
        <f>278099+166859+9836</f>
        <v>454794</v>
      </c>
      <c r="O18" s="37"/>
      <c r="P18" s="224"/>
      <c r="Q18" s="221">
        <f>IF(SUM($Q$17)&lt;SUM($P$14),-SUM($Q$17)+SUM($P$14),0)</f>
        <v>0</v>
      </c>
      <c r="R18" s="37"/>
      <c r="S18" s="223">
        <f t="shared" si="0"/>
        <v>-454794</v>
      </c>
      <c r="T18" s="250" t="s">
        <v>1730</v>
      </c>
    </row>
    <row r="19" spans="1:22" ht="17.45" customHeight="1" x14ac:dyDescent="0.2">
      <c r="A19" s="15"/>
      <c r="B19" s="151"/>
      <c r="C19" s="20" t="s">
        <v>186</v>
      </c>
      <c r="D19" s="151"/>
      <c r="E19" s="151"/>
      <c r="F19" s="151"/>
      <c r="G19" s="151"/>
      <c r="H19" s="151"/>
      <c r="I19" s="151"/>
      <c r="J19" s="20"/>
      <c r="K19" s="248">
        <f>IF(SUM($K$17:$K$18)&lt;SUM($J$14:$J$15),-SUM($K$17:$K$18)+SUM($J$14:$J$15),0)</f>
        <v>947677</v>
      </c>
      <c r="L19" s="37"/>
      <c r="M19" s="37"/>
      <c r="N19" s="196">
        <v>0</v>
      </c>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33236477</v>
      </c>
      <c r="K20" s="155">
        <f>SUM(K14:K19)</f>
        <v>33236477</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v>0</v>
      </c>
      <c r="K24" s="213"/>
      <c r="L24" s="9"/>
      <c r="N24" s="18"/>
      <c r="O24" s="14"/>
      <c r="P24" s="9"/>
      <c r="Q24" s="9"/>
      <c r="R24" s="10"/>
      <c r="S24" s="10"/>
    </row>
    <row r="25" spans="1:22" ht="17.45" customHeight="1" x14ac:dyDescent="0.2">
      <c r="B25" s="20"/>
      <c r="C25" s="20" t="s">
        <v>213</v>
      </c>
      <c r="D25" s="20"/>
      <c r="E25" s="20"/>
      <c r="F25" s="213"/>
      <c r="G25" s="213"/>
      <c r="H25" s="214"/>
      <c r="I25" s="202"/>
      <c r="J25" s="213"/>
      <c r="K25" s="196">
        <v>0</v>
      </c>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0775 - OTHER INCOME</v>
      </c>
      <c r="C30" s="291"/>
      <c r="D30" s="291"/>
      <c r="E30" s="291"/>
      <c r="F30" s="291"/>
      <c r="G30" s="291"/>
      <c r="H30" s="291"/>
      <c r="I30" s="291"/>
      <c r="J30" s="196">
        <f>812500+487500+114009</f>
        <v>1414009</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f>508602+305161+110591</f>
        <v>924354</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f>303898+182339+3418</f>
        <v>489655</v>
      </c>
      <c r="N32" s="22"/>
      <c r="O32" s="23"/>
    </row>
    <row r="33" spans="1:22" ht="17.45" customHeight="1" x14ac:dyDescent="0.3">
      <c r="A33" s="15"/>
      <c r="C33" s="183"/>
      <c r="D33" s="183"/>
      <c r="E33" s="183"/>
      <c r="F33" s="183"/>
      <c r="G33" s="183"/>
      <c r="H33" s="183"/>
      <c r="I33" s="183"/>
      <c r="J33" s="156">
        <f>J30</f>
        <v>1414009</v>
      </c>
      <c r="K33" s="253">
        <f>SUM(K31:K32)</f>
        <v>1414009</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f>636356+381814+108219</f>
        <v>1126389</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f>636356+381814+108219</f>
        <v>1126389</v>
      </c>
      <c r="R37" s="9"/>
      <c r="S37" s="9"/>
      <c r="T37" s="9"/>
      <c r="U37" s="9"/>
      <c r="V37" s="9"/>
    </row>
    <row r="38" spans="1:22" ht="17.45" customHeight="1" x14ac:dyDescent="0.2">
      <c r="A38" s="15"/>
      <c r="C38" s="14"/>
      <c r="D38" s="9"/>
      <c r="E38" s="9"/>
      <c r="F38" s="9"/>
      <c r="G38" s="9"/>
      <c r="H38" s="9"/>
      <c r="I38" s="1"/>
      <c r="J38" s="253">
        <f>J36</f>
        <v>1126389</v>
      </c>
      <c r="K38" s="156">
        <f>K37</f>
        <v>1126389</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f>516284+309770+115682</f>
        <v>941736</v>
      </c>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f>516284+309770+115682</f>
        <v>941736</v>
      </c>
      <c r="O42" s="9"/>
      <c r="P42" s="9"/>
      <c r="Q42" s="9"/>
      <c r="R42" s="9"/>
      <c r="S42" s="9"/>
      <c r="T42" s="9"/>
      <c r="U42" s="9"/>
      <c r="V42" s="9"/>
    </row>
    <row r="43" spans="1:22" ht="17.45" customHeight="1" x14ac:dyDescent="0.2">
      <c r="A43" s="15"/>
      <c r="B43" s="292" t="s">
        <v>1738</v>
      </c>
      <c r="C43" s="292"/>
      <c r="D43" s="292"/>
      <c r="E43" s="292"/>
      <c r="F43" s="292"/>
      <c r="G43" s="292"/>
      <c r="H43" s="292"/>
      <c r="I43" s="292"/>
      <c r="J43" s="253">
        <f>J41</f>
        <v>941736</v>
      </c>
      <c r="K43" s="156">
        <f>K42</f>
        <v>941736</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30877504</v>
      </c>
    </row>
    <row r="68" spans="2:11" ht="17.45" customHeight="1" x14ac:dyDescent="0.25">
      <c r="D68" s="193" t="s">
        <v>1714</v>
      </c>
      <c r="E68" s="37"/>
      <c r="F68" s="37"/>
      <c r="G68" s="37"/>
      <c r="H68" s="37"/>
      <c r="I68" s="37"/>
      <c r="J68" s="37"/>
      <c r="K68" s="238">
        <f>J41</f>
        <v>941736</v>
      </c>
    </row>
    <row r="69" spans="2:11" ht="17.45" customHeight="1" x14ac:dyDescent="0.25">
      <c r="D69" s="193" t="s">
        <v>1715</v>
      </c>
      <c r="E69" s="37"/>
      <c r="F69" s="37"/>
      <c r="G69" s="37"/>
      <c r="H69" s="37"/>
      <c r="I69" s="37"/>
      <c r="J69" s="37"/>
      <c r="K69" s="238">
        <f>-K17-K25+J36+J49-K59</f>
        <v>-31162411</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A8" zoomScale="70" zoomScaleNormal="70" workbookViewId="0">
      <selection activeCell="B14" sqref="B14"/>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v>3100</v>
      </c>
      <c r="C10" s="298"/>
      <c r="D10" s="82"/>
      <c r="F10" s="38"/>
      <c r="G10" s="38"/>
      <c r="H10" s="38"/>
      <c r="I10" s="38"/>
      <c r="J10" s="38"/>
      <c r="K10" s="38"/>
      <c r="L10" s="38"/>
      <c r="M10" s="38"/>
      <c r="N10" s="38"/>
      <c r="O10" s="38"/>
      <c r="P10" s="6"/>
      <c r="Q10" s="6"/>
      <c r="R10" s="6"/>
      <c r="S10" s="6"/>
    </row>
    <row r="11" spans="1:19" ht="15.75" x14ac:dyDescent="0.25">
      <c r="A11" s="12" t="s">
        <v>208</v>
      </c>
      <c r="B11" s="297" t="s">
        <v>1803</v>
      </c>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f>516284+309770+115682</f>
        <v>941736</v>
      </c>
      <c r="C14" s="2">
        <f>296216+177730+1747</f>
        <v>475693</v>
      </c>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f>524081+314449</f>
        <v>838530</v>
      </c>
      <c r="C15" s="2">
        <f>288419+173051</f>
        <v>461470</v>
      </c>
      <c r="D15" s="62"/>
      <c r="E15" s="271"/>
      <c r="F15" s="5"/>
      <c r="G15" s="5"/>
      <c r="H15" s="5"/>
      <c r="I15" s="5"/>
      <c r="J15" s="5"/>
      <c r="K15" s="5"/>
      <c r="L15" s="5"/>
      <c r="M15" s="5"/>
      <c r="N15" s="5"/>
      <c r="O15" s="5"/>
      <c r="P15" s="5"/>
      <c r="Q15" s="5"/>
      <c r="R15" s="5"/>
      <c r="S15" s="5"/>
    </row>
    <row r="16" spans="1:19" ht="15.75" x14ac:dyDescent="0.25">
      <c r="A16" s="84" t="str">
        <f>LEFT(A15,4)+1&amp;"–"&amp;RIGHT(A15,4)+1</f>
        <v>2026–2027</v>
      </c>
      <c r="B16" s="2">
        <f>531997+319198</f>
        <v>851195</v>
      </c>
      <c r="C16" s="2">
        <f>280503+168302</f>
        <v>448805</v>
      </c>
      <c r="D16" s="62"/>
      <c r="E16" s="271"/>
      <c r="F16" s="5"/>
      <c r="G16" s="5"/>
      <c r="H16" s="5"/>
      <c r="I16" s="5"/>
      <c r="J16" s="5"/>
      <c r="K16" s="5"/>
      <c r="L16" s="5"/>
      <c r="M16" s="5"/>
      <c r="N16" s="5"/>
      <c r="O16" s="5"/>
      <c r="P16" s="5"/>
      <c r="Q16" s="5"/>
      <c r="R16" s="5"/>
      <c r="S16" s="5"/>
    </row>
    <row r="17" spans="1:19" ht="15.75" x14ac:dyDescent="0.25">
      <c r="A17" s="84" t="str">
        <f>LEFT(A16,4)+1&amp;"–"&amp;RIGHT(A16,4)+1</f>
        <v>2027–2028</v>
      </c>
      <c r="B17" s="2">
        <f>540032+324019</f>
        <v>864051</v>
      </c>
      <c r="C17" s="2">
        <f>272468+163481</f>
        <v>435949</v>
      </c>
      <c r="D17" s="62"/>
      <c r="E17" s="271"/>
      <c r="F17" s="5"/>
      <c r="G17" s="5"/>
      <c r="H17" s="5"/>
      <c r="I17" s="5"/>
      <c r="J17" s="5"/>
      <c r="K17" s="5"/>
      <c r="L17" s="5"/>
      <c r="M17" s="5"/>
      <c r="N17" s="5"/>
      <c r="O17" s="5"/>
      <c r="P17" s="5"/>
      <c r="Q17" s="5"/>
      <c r="R17" s="5"/>
      <c r="S17" s="5"/>
    </row>
    <row r="18" spans="1:19" ht="15.75" x14ac:dyDescent="0.25">
      <c r="A18" s="84" t="str">
        <f>LEFT(A17,4)+1&amp;"–"&amp;RIGHT(A17,4)+1</f>
        <v>2028–2029</v>
      </c>
      <c r="B18" s="2">
        <f>548188+328913</f>
        <v>877101</v>
      </c>
      <c r="C18" s="2">
        <f>264312+158587</f>
        <v>422899</v>
      </c>
      <c r="D18" s="62"/>
      <c r="E18" s="98" t="s">
        <v>130</v>
      </c>
      <c r="F18" s="5"/>
      <c r="G18" s="88"/>
      <c r="H18" s="88"/>
      <c r="I18" s="5"/>
      <c r="J18" s="88"/>
      <c r="K18" s="88"/>
      <c r="L18" s="5"/>
      <c r="M18" s="5"/>
      <c r="N18" s="5"/>
      <c r="O18" s="5"/>
      <c r="P18" s="5"/>
      <c r="Q18" s="5"/>
      <c r="R18" s="5"/>
      <c r="S18" s="5"/>
    </row>
    <row r="19" spans="1:19" ht="15.75" x14ac:dyDescent="0.25">
      <c r="A19" s="84" t="str">
        <f>LEFT(A18,4)+1&amp;"–"&amp;RIGHT(A18,4)+5</f>
        <v>2029–2034</v>
      </c>
      <c r="B19" s="2">
        <f>2867665+1720599</f>
        <v>4588264</v>
      </c>
      <c r="C19" s="2">
        <f>1194835+716901</f>
        <v>1911736</v>
      </c>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f>3090866+1854519</f>
        <v>4945385</v>
      </c>
      <c r="C20" s="2">
        <f>971634+582981</f>
        <v>1554615</v>
      </c>
      <c r="D20" s="62"/>
      <c r="E20" s="98"/>
      <c r="F20" s="5"/>
      <c r="G20" s="88"/>
      <c r="H20" s="88"/>
      <c r="I20" s="5"/>
      <c r="J20" s="5"/>
      <c r="K20" s="5"/>
      <c r="L20" s="5"/>
      <c r="M20" s="5"/>
      <c r="N20" s="5"/>
      <c r="O20" s="5"/>
      <c r="P20" s="5"/>
      <c r="Q20" s="5"/>
      <c r="R20" s="5"/>
      <c r="S20" s="5"/>
    </row>
    <row r="21" spans="1:19" x14ac:dyDescent="0.2">
      <c r="A21" s="84" t="str">
        <f t="shared" si="0"/>
        <v>2039–2044</v>
      </c>
      <c r="B21" s="2">
        <f>3331439+1998864</f>
        <v>5330303</v>
      </c>
      <c r="C21" s="2">
        <f>731061+438636</f>
        <v>1169697</v>
      </c>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f>3590737+2154442</f>
        <v>5745179</v>
      </c>
      <c r="C22" s="2">
        <f>471763+283058</f>
        <v>754821</v>
      </c>
      <c r="D22" s="62"/>
      <c r="E22" s="271"/>
      <c r="G22" s="22"/>
      <c r="H22" s="22"/>
    </row>
    <row r="23" spans="1:19" x14ac:dyDescent="0.2">
      <c r="A23" s="84" t="str">
        <f t="shared" si="0"/>
        <v>2049–2054</v>
      </c>
      <c r="B23" s="2">
        <f>3870218+2322131</f>
        <v>6192349</v>
      </c>
      <c r="C23" s="2">
        <f>192282+115369</f>
        <v>307651</v>
      </c>
      <c r="D23" s="62"/>
      <c r="E23" s="98" t="s">
        <v>130</v>
      </c>
      <c r="G23" s="22"/>
      <c r="H23" s="22"/>
    </row>
    <row r="24" spans="1:19" x14ac:dyDescent="0.2">
      <c r="A24" s="84" t="str">
        <f t="shared" si="0"/>
        <v>2054–2059</v>
      </c>
      <c r="B24" s="2">
        <f>403216+241930</f>
        <v>645146</v>
      </c>
      <c r="C24" s="2">
        <f>3034+1820</f>
        <v>4854</v>
      </c>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3100</v>
      </c>
      <c r="C41" s="278"/>
      <c r="D41" s="91"/>
    </row>
    <row r="42" spans="1:19" ht="15.75" x14ac:dyDescent="0.25">
      <c r="A42" s="12" t="s">
        <v>208</v>
      </c>
      <c r="B42" s="276" t="str">
        <f>B11</f>
        <v>Exposition Park</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3100</v>
      </c>
      <c r="C72" s="278"/>
      <c r="D72" s="91"/>
    </row>
    <row r="73" spans="1:19" ht="15.75" x14ac:dyDescent="0.25">
      <c r="A73" s="12" t="s">
        <v>208</v>
      </c>
      <c r="B73" s="276" t="str">
        <f>B42</f>
        <v>Exposition Park</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topLeftCell="B20" zoomScaleNormal="100" workbookViewId="0">
      <selection activeCell="F42" sqref="F4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20323325+12193995+226274</f>
        <v>32743594</v>
      </c>
      <c r="C16" s="168" t="s">
        <v>155</v>
      </c>
      <c r="D16" s="130">
        <f>IF('LR-Fund #### Journal Entries'!$E$8="Governmental Fund",'LR-Fund #### Journal Entries'!$J$24,0)</f>
        <v>0</v>
      </c>
      <c r="E16" s="170" t="s">
        <v>156</v>
      </c>
      <c r="F16" s="130">
        <f>508602+305161+110592</f>
        <v>924355</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31819239</v>
      </c>
      <c r="M16" s="132"/>
      <c r="N16" s="134">
        <f>SUM('LR-Department Note Disclosure'!B14:B37)</f>
        <v>31819239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516284+309770+115682</f>
        <v>941736</v>
      </c>
      <c r="C42" s="138"/>
      <c r="E42" s="138"/>
      <c r="G42" s="167"/>
      <c r="H42" s="167"/>
      <c r="I42" s="167"/>
      <c r="J42" s="167"/>
      <c r="K42" s="138"/>
      <c r="L42" s="138"/>
      <c r="M42" s="139"/>
      <c r="N42" s="134">
        <f>'LR-Department Note Disclosure'!B14</f>
        <v>941736</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topLeftCell="F1" zoomScale="55" zoomScaleNormal="70" zoomScaleSheetLayoutView="55" workbookViewId="0">
      <selection activeCell="F4" sqref="F4:I8"/>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70" zoomScaleNormal="70" workbookViewId="0">
      <selection activeCell="N10" sqref="N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Katrina Opendo</cp:lastModifiedBy>
  <cp:lastPrinted>2024-09-14T00:58:00Z</cp:lastPrinted>
  <dcterms:created xsi:type="dcterms:W3CDTF">2023-03-08T17:19:33Z</dcterms:created>
  <dcterms:modified xsi:type="dcterms:W3CDTF">2025-01-28T22:43:15Z</dcterms:modified>
</cp:coreProperties>
</file>