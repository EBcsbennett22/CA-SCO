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fileSharing readOnlyRecommended="1"/>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or\"/>
    </mc:Choice>
  </mc:AlternateContent>
  <xr:revisionPtr revIDLastSave="0" documentId="8_{D7CB70EB-7447-4FED-B878-41DAB2CB66E1}" xr6:coauthVersionLast="47" xr6:coauthVersionMax="47" xr10:uidLastSave="{00000000-0000-0000-0000-000000000000}"/>
  <bookViews>
    <workbookView xWindow="20370" yWindow="-120" windowWidth="29040" windowHeight="15840" tabRatio="921" firstSheet="7" activeTab="8" xr2:uid="{00000000-000D-0000-FFFF-FFFF00000000}"/>
  </bookViews>
  <sheets>
    <sheet name="Drop Down Menus" sheetId="1" state="hidden" r:id="rId1"/>
    <sheet name="qryIndex02a" sheetId="11" state="hidden" r:id="rId2"/>
    <sheet name="LS-Version Changes" sheetId="13" state="hidden" r:id="rId3"/>
    <sheet name="LS-Fund ####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9331 Journal Entries" sheetId="5" r:id="rId9"/>
    <sheet name="LR-Department Note Disclosure" sheetId="6" r:id="rId10"/>
    <sheet name="LR-Check Figures" sheetId="12"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9331 Journal Entries'!$A$1:$R$70</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J15" i="8" l="1"/>
  <c r="J16" i="8"/>
  <c r="Q18" i="5"/>
  <c r="K53" i="8" l="1"/>
  <c r="J53" i="8"/>
  <c r="K68" i="5" l="1"/>
  <c r="K129"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J19" i="2"/>
  <c r="K25" i="2"/>
  <c r="K24" i="2"/>
  <c r="K17" i="5"/>
  <c r="K69" i="5" s="1"/>
  <c r="J14" i="5"/>
  <c r="B16" i="12" s="1"/>
  <c r="L16" i="12" s="1"/>
  <c r="P16" i="12" s="1"/>
  <c r="D18" i="12" s="1"/>
  <c r="S18" i="8"/>
  <c r="S24" i="8"/>
  <c r="S18" i="2"/>
  <c r="K23" i="8"/>
  <c r="K22" i="8"/>
  <c r="K21" i="8"/>
  <c r="J17" i="8"/>
  <c r="S21" i="8"/>
  <c r="S17" i="8"/>
  <c r="S16" i="8"/>
  <c r="S15" i="8"/>
  <c r="S23" i="8"/>
  <c r="K67" i="5" l="1"/>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<sst xmlns="http://schemas.openxmlformats.org/spreadsheetml/2006/main" count="8066" uniqueCount="1805">
  <si>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</si>
  <si>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</si>
  <si>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</si>
  <si>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</si>
  <si>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</si>
  <si>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</si>
  <si>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</si>
  <si>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</si>
  <si>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</si>
  <si>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</si>
  <si>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</si>
  <si>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</si>
  <si>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</si>
  <si>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</si>
  <si>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</si>
  <si>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</si>
  <si>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</si>
  <si>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</si>
  <si>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</si>
  <si>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</si>
  <si>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</si>
  <si>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</si>
  <si>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</si>
  <si>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</si>
  <si>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</si>
  <si>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</si>
  <si>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</si>
  <si>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</si>
  <si>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</si>
  <si>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</si>
  <si>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</si>
  <si>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</si>
  <si>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</si>
  <si>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</si>
  <si>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</si>
  <si>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</si>
  <si>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</si>
  <si>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</si>
  <si>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</si>
  <si>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</si>
  <si>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</si>
  <si>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</si>
  <si>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</si>
  <si>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</si>
  <si>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</si>
  <si>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</si>
  <si>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</si>
  <si>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</si>
  <si>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</si>
  <si>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</si>
  <si>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</si>
  <si>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</si>
  <si>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</si>
  <si>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</si>
  <si>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</si>
  <si>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</si>
  <si>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</si>
  <si>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</si>
  <si>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</si>
  <si>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</si>
  <si>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</si>
  <si>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</si>
  <si>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</si>
  <si>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</si>
  <si>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</si>
  <si>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</si>
  <si>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</si>
  <si>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</si>
  <si>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</si>
  <si>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</si>
  <si>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</si>
  <si>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</si>
  <si>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</si>
  <si>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</si>
  <si>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</si>
  <si>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</si>
  <si>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</si>
  <si>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</si>
  <si>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</si>
  <si>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</si>
  <si>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</si>
  <si>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</si>
  <si>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</si>
  <si>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</si>
  <si>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</si>
  <si>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</si>
  <si>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</si>
  <si>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</si>
  <si>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</si>
  <si>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</si>
  <si>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</si>
  <si>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</si>
  <si>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</si>
  <si>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</si>
  <si>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</si>
  <si>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</si>
  <si>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</si>
  <si>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</si>
  <si>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</si>
  <si>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</si>
  <si>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</si>
  <si>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</si>
  <si>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</si>
  <si>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</si>
  <si>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</si>
  <si>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</si>
  <si>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</si>
  <si>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</si>
  <si>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</si>
  <si>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</si>
  <si>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</si>
  <si>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</si>
  <si>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</si>
  <si>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</si>
  <si>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</si>
  <si>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</si>
  <si>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</si>
  <si>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</si>
  <si>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</si>
  <si>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</si>
  <si>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</si>
  <si>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</si>
  <si>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</si>
  <si>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</si>
  <si>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</si>
  <si>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</si>
  <si>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</si>
  <si>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</si>
  <si>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</si>
  <si>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</si>
  <si>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</si>
  <si>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</si>
  <si>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</si>
  <si>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</si>
  <si>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</si>
  <si>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</si>
  <si>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</si>
  <si>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</si>
  <si>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</si>
  <si>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</si>
  <si>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</si>
  <si>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</si>
  <si>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</si>
  <si>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</si>
  <si>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</si>
  <si>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</si>
  <si>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</si>
  <si>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</si>
  <si>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</si>
  <si>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</si>
  <si>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</si>
  <si>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</si>
  <si>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</si>
  <si>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</si>
  <si>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</si>
  <si>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</si>
  <si>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</si>
  <si>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</si>
  <si>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</si>
  <si>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</si>
  <si>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</si>
  <si>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</si>
  <si>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</si>
  <si>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</si>
  <si>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</si>
  <si>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</si>
  <si>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</si>
  <si>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</si>
  <si>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</si>
  <si>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</si>
  <si>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</si>
  <si>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</si>
  <si>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</si>
  <si>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</si>
  <si>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</si>
  <si>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</si>
  <si>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</si>
  <si>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</si>
  <si>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</si>
  <si>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</si>
  <si>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</si>
  <si>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</si>
  <si>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</si>
  <si>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</si>
  <si>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</si>
  <si>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</si>
  <si>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</si>
  <si>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</si>
  <si>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</si>
  <si>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</si>
  <si>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</si>
  <si>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</si>
  <si>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</si>
  <si>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</si>
  <si>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</si>
  <si>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</si>
  <si>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</si>
  <si>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</si>
  <si>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</si>
  <si>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</si>
  <si>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</si>
  <si>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</si>
  <si>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</si>
  <si>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</si>
  <si>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</si>
  <si>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</si>
  <si>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</si>
  <si>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</si>
  <si>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</si>
  <si>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</si>
  <si>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</si>
  <si>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</si>
  <si>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</si>
  <si>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</si>
  <si>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</si>
  <si>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</si>
  <si>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</si>
  <si>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</si>
  <si>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</si>
  <si>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</si>
  <si>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</si>
  <si>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</si>
  <si>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</si>
  <si>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</si>
  <si>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</si>
  <si>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</si>
  <si>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</si>
  <si>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</si>
  <si>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</si>
  <si>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</si>
  <si>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</si>
  <si>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</si>
  <si>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</si>
  <si>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</si>
  <si>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</si>
  <si>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</si>
  <si>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</si>
  <si>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</si>
  <si>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</si>
  <si>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</si>
  <si>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</si>
  <si>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</si>
  <si>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</si>
  <si>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</si>
  <si>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</si>
  <si>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</si>
  <si>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</si>
  <si>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</si>
  <si>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</si>
  <si>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</si>
  <si>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</si>
  <si>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</si>
  <si>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</si>
  <si>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</si>
  <si>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</si>
  <si>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</si>
  <si>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</si>
  <si>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</si>
  <si>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</si>
  <si>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</si>
  <si>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</si>
  <si>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</si>
  <si>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</si>
  <si>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</si>
  <si>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</si>
  <si>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</si>
  <si>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</si>
  <si>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</si>
  <si>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</si>
  <si>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</si>
  <si>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</si>
  <si>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</si>
  <si>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</si>
  <si>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</si>
  <si>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</si>
  <si>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</si>
  <si>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</si>
  <si>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</si>
  <si>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</si>
  <si>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</si>
  <si>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</si>
  <si>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</si>
  <si>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</si>
  <si>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</si>
  <si>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</si>
  <si>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</si>
  <si>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</si>
  <si>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</si>
  <si>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</si>
  <si>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</si>
  <si>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</si>
  <si>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</si>
  <si>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</si>
  <si>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</si>
  <si>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</si>
  <si>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</si>
  <si>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</si>
  <si>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</si>
  <si>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</si>
  <si>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</si>
  <si>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</si>
  <si>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</si>
  <si>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</si>
  <si>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</si>
  <si>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</si>
  <si>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</si>
  <si>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</si>
  <si>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</si>
  <si>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</si>
  <si>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</si>
  <si>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</si>
  <si>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</si>
  <si>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</si>
  <si>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</si>
  <si>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</si>
  <si>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</si>
  <si>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</si>
  <si>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</si>
  <si>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</si>
  <si>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</si>
  <si>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</si>
  <si>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</si>
  <si>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</si>
  <si>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</si>
  <si>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</si>
  <si>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</si>
  <si>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</si>
  <si>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</si>
  <si>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</si>
  <si>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</si>
  <si>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</si>
  <si>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</si>
  <si>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</si>
  <si>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</si>
  <si>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</si>
  <si>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</si>
  <si>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</si>
  <si>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</si>
  <si>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</si>
  <si>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</si>
  <si>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</si>
  <si>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</si>
  <si>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</si>
  <si>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</si>
  <si>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</si>
  <si>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</si>
  <si>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</si>
  <si>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</si>
  <si>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</si>
  <si>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</si>
  <si>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</si>
  <si>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</si>
  <si>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</si>
  <si>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</si>
  <si>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</si>
  <si>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</si>
  <si>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</si>
  <si>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</si>
  <si>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</si>
  <si>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</si>
  <si>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</si>
  <si>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</si>
  <si>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</si>
  <si>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</si>
  <si>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</si>
  <si>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</si>
  <si>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</si>
  <si>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</si>
  <si>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</si>
  <si>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</si>
  <si>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</si>
  <si>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</si>
  <si>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</si>
  <si>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</si>
  <si>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</si>
  <si>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</si>
  <si>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</si>
  <si>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</si>
  <si>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</si>
  <si>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</si>
  <si>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</si>
  <si>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</si>
  <si>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</si>
  <si>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</si>
  <si>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</si>
  <si>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</si>
  <si>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</si>
  <si>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</si>
  <si>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</si>
  <si>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</si>
  <si>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</si>
  <si>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</si>
  <si>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</si>
  <si>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</si>
  <si>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</si>
  <si>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</si>
  <si>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</si>
  <si>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</si>
  <si>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</si>
  <si>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</si>
  <si>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</si>
  <si>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</si>
  <si>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</si>
  <si>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</si>
  <si>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</si>
  <si>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</si>
  <si>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</si>
  <si>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</si>
  <si>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</si>
  <si>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</si>
  <si>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</si>
  <si>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</si>
  <si>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</si>
  <si>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</si>
  <si>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</si>
  <si>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</si>
  <si>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</si>
  <si>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</si>
  <si>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</si>
  <si>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</si>
  <si>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</si>
  <si>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</si>
  <si>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</si>
  <si>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</si>
  <si>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</si>
  <si>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</si>
  <si>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</si>
  <si>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</si>
  <si>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</si>
  <si>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</si>
  <si>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</si>
  <si>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</si>
  <si>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</si>
  <si>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</si>
  <si>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</si>
  <si>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</si>
  <si>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</si>
  <si>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</si>
  <si>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</si>
  <si>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</si>
  <si>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</si>
  <si>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</si>
  <si>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</si>
  <si>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</si>
  <si>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</si>
  <si>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</si>
  <si>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</si>
  <si>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</si>
  <si>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</si>
  <si>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</si>
  <si>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</si>
  <si>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</si>
  <si>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</si>
  <si>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</si>
  <si>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</si>
  <si>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</si>
  <si>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</si>
  <si>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</si>
  <si>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</si>
  <si>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</si>
  <si>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</si>
  <si>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</si>
  <si>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</si>
  <si>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</si>
  <si>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</si>
  <si>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</si>
  <si>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</si>
  <si>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</si>
  <si>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</si>
  <si>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</si>
  <si>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</si>
  <si>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</si>
  <si>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</si>
  <si>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</si>
  <si>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</si>
  <si>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</si>
  <si>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</si>
  <si>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</si>
  <si>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</si>
  <si>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</si>
  <si>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</si>
  <si>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</si>
  <si>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</si>
  <si>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</si>
  <si>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</si>
  <si>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</si>
  <si>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</si>
  <si>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</si>
  <si>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</si>
  <si>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</si>
  <si>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</si>
  <si>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</si>
  <si>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</si>
  <si>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</si>
  <si>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</si>
  <si>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</si>
  <si>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</si>
  <si>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</si>
  <si>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</si>
  <si>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</si>
  <si>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</si>
  <si>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</si>
  <si>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</si>
  <si>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</si>
  <si>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</si>
  <si>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</si>
  <si>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</si>
  <si>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</si>
  <si>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</si>
  <si>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</si>
  <si>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</si>
  <si>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</si>
  <si>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</si>
  <si>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</si>
  <si>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</si>
  <si>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</si>
  <si>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</si>
  <si>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</si>
  <si>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</si>
  <si>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</si>
  <si>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</si>
  <si>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</si>
  <si>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</si>
  <si>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</si>
  <si>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</si>
  <si>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</si>
  <si>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</si>
  <si>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</si>
  <si>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</si>
  <si>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</si>
  <si>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</si>
  <si>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</si>
  <si>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</si>
  <si>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</si>
  <si>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</si>
  <si>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</si>
  <si>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</si>
  <si>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</si>
  <si>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</si>
  <si>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</si>
  <si>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</si>
  <si>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</si>
  <si>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</si>
  <si>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</si>
  <si>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</si>
  <si>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</si>
  <si>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</si>
  <si>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</si>
  <si>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</si>
  <si>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</si>
  <si>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</si>
  <si>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</si>
  <si>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</si>
  <si>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</si>
  <si>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</si>
  <si>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</si>
  <si>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</si>
  <si>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</si>
  <si>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</si>
  <si>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</si>
  <si>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</si>
  <si>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</si>
  <si>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</si>
  <si>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</si>
  <si>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</si>
  <si>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</si>
  <si>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</si>
  <si>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</si>
  <si>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</si>
  <si>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</si>
  <si>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</si>
  <si>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</si>
  <si>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</si>
  <si>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</si>
  <si>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</si>
  <si>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</si>
  <si>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</si>
  <si>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</si>
  <si>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</si>
  <si>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</si>
  <si>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</si>
  <si>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</si>
  <si>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</si>
  <si>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</si>
  <si>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</si>
  <si>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</si>
  <si>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</si>
  <si>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</si>
  <si>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</si>
  <si>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</si>
  <si>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</si>
  <si>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</si>
  <si>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</si>
  <si>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</si>
  <si>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</si>
  <si>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</si>
  <si>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</si>
  <si>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</si>
  <si>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</si>
  <si>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</si>
  <si>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</si>
  <si>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</si>
  <si>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</si>
  <si>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</si>
  <si>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</si>
  <si>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</si>
  <si>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</si>
  <si>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</si>
  <si>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</si>
  <si>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</si>
  <si>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</si>
  <si>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</si>
  <si>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</si>
  <si>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</si>
  <si>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</si>
  <si>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</si>
  <si>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</si>
  <si>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</si>
  <si>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</si>
  <si>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</si>
  <si>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</si>
  <si>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</si>
  <si>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</si>
  <si>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</si>
  <si>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</si>
  <si>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</si>
  <si>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</si>
  <si>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</si>
  <si>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</si>
  <si>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</si>
  <si>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</si>
  <si>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</si>
  <si>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</si>
  <si>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</si>
  <si>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</si>
  <si>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</si>
  <si>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</si>
  <si>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</si>
  <si>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</si>
  <si>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</si>
  <si>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</si>
  <si>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</si>
  <si>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</si>
  <si>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</si>
  <si>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</si>
  <si>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</si>
  <si>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</si>
  <si>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</si>
  <si>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</si>
  <si>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</si>
  <si>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</si>
  <si>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</si>
  <si>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</si>
  <si>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</si>
  <si>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</si>
  <si>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</si>
  <si>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</si>
  <si>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</si>
  <si>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</si>
  <si>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</si>
  <si>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</si>
  <si>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</si>
  <si>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</si>
  <si>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</si>
  <si>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</si>
  <si>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</si>
  <si>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</si>
  <si>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</si>
  <si>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</si>
  <si>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</si>
  <si>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</si>
  <si>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</si>
  <si>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</si>
  <si>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</si>
  <si>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</si>
  <si>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</si>
  <si>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</si>
  <si>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</si>
  <si>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</si>
  <si>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</si>
  <si>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</si>
  <si>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</si>
  <si>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</si>
  <si>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</si>
  <si>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</si>
  <si>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</si>
  <si>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</si>
  <si>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</si>
  <si>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</si>
  <si>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</si>
  <si>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</si>
  <si>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</si>
  <si>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</si>
  <si>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</si>
  <si>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</si>
  <si>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</si>
  <si>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</si>
  <si>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</si>
  <si>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</si>
  <si>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</si>
  <si>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</si>
  <si>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</si>
  <si>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</si>
  <si>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</si>
  <si>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</si>
  <si>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</si>
  <si>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</si>
  <si>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</si>
  <si>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</si>
  <si>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</si>
  <si>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</si>
  <si>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</si>
  <si>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</si>
  <si>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</si>
  <si>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</si>
  <si>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</si>
  <si>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</si>
  <si>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</si>
  <si>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</si>
  <si>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</si>
  <si>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</si>
  <si>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</si>
  <si>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</si>
  <si>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</si>
  <si>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</si>
  <si>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</si>
  <si>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</si>
  <si>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</si>
  <si>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</si>
  <si>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</si>
  <si>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</si>
  <si>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</si>
  <si>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</si>
  <si>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</si>
  <si>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</si>
  <si>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</si>
  <si>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</si>
  <si>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</si>
  <si>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</si>
  <si>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</si>
  <si>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</si>
  <si>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</si>
  <si>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</si>
  <si>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</si>
  <si>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</si>
  <si>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</si>
  <si>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</si>
  <si>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</si>
  <si>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</si>
  <si>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</si>
  <si>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</si>
  <si>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</si>
  <si>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</si>
  <si>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</si>
  <si>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</si>
  <si>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</si>
  <si>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</si>
  <si>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</si>
  <si>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</si>
  <si>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</si>
  <si>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</si>
  <si>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</si>
  <si>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</si>
  <si>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</si>
  <si>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</si>
  <si>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</si>
  <si>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</si>
  <si>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</si>
  <si>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</si>
  <si>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</si>
  <si>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</si>
  <si>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</si>
  <si>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</si>
  <si>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</si>
  <si>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</si>
  <si>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</si>
  <si>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</si>
  <si>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</si>
  <si>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</si>
  <si>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</si>
  <si>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</si>
  <si>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</si>
  <si>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</si>
  <si>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</si>
  <si>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</si>
  <si>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</si>
  <si>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</si>
  <si>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</si>
  <si>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</si>
  <si>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</si>
  <si>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</si>
  <si>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</si>
  <si>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</si>
  <si>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</si>
  <si>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</si>
  <si>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</si>
  <si>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</si>
  <si>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</si>
  <si>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</si>
  <si>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</si>
  <si>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</si>
  <si>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</si>
  <si>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</si>
  <si>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</si>
  <si>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</si>
  <si>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</si>
  <si>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</si>
  <si>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</si>
  <si>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</si>
  <si>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</si>
  <si>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</si>
  <si>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</si>
  <si>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</si>
  <si>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</si>
  <si>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</si>
  <si>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</si>
  <si>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</si>
  <si>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</si>
  <si>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</si>
  <si>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</si>
  <si>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</si>
  <si>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</si>
  <si>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</si>
  <si>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</si>
  <si>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</si>
  <si>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</si>
  <si>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</si>
  <si>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</si>
  <si>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</si>
  <si>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</si>
  <si>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</si>
  <si>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</si>
  <si>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</si>
  <si>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</si>
  <si>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</si>
  <si>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</si>
  <si>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</si>
  <si>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</si>
  <si>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</si>
  <si>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</si>
  <si>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</si>
  <si>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</si>
  <si>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</si>
  <si>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</si>
  <si>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</si>
  <si>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</si>
  <si>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</si>
  <si>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</si>
  <si>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</si>
  <si>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</si>
  <si>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</si>
  <si>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</si>
  <si>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</si>
  <si>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</si>
  <si>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</si>
  <si>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</si>
  <si>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</si>
  <si>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</si>
  <si>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</si>
  <si>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</si>
  <si>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</si>
  <si>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</si>
  <si>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</si>
  <si>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</si>
  <si>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</si>
  <si>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</si>
  <si>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</si>
  <si>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</si>
  <si>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</si>
  <si>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</si>
  <si>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</si>
  <si>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</si>
  <si>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</si>
  <si>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</si>
  <si>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</si>
  <si>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</si>
  <si>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</si>
  <si>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</si>
  <si>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</si>
  <si>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</si>
  <si>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</si>
  <si>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</si>
  <si>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</si>
  <si>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</si>
  <si>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</si>
  <si>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</si>
  <si>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</si>
  <si>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</si>
  <si>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</si>
  <si>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</si>
  <si>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</si>
  <si>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</si>
  <si>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</si>
  <si>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</si>
  <si>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</si>
  <si>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</si>
  <si>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</si>
  <si>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</si>
  <si>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</si>
  <si>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</si>
  <si>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</si>
  <si>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</si>
  <si>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</si>
  <si>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</si>
  <si>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</si>
  <si>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</si>
  <si>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</si>
  <si>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</si>
  <si>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</si>
  <si>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</si>
  <si>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</si>
  <si>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</si>
  <si>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</si>
  <si>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</si>
  <si>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</si>
  <si>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</si>
  <si>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</si>
  <si>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</si>
  <si>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</si>
  <si>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</si>
  <si>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</si>
  <si>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</si>
  <si>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</si>
  <si>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</si>
  <si>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</si>
  <si>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</si>
  <si>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</si>
  <si>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</si>
  <si>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</si>
  <si>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</si>
  <si>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</si>
  <si>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</si>
  <si>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</si>
  <si>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</si>
  <si>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</si>
  <si>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</si>
  <si>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</si>
  <si>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</si>
  <si>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</si>
  <si>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</si>
  <si>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</si>
  <si>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</si>
  <si>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</si>
  <si>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</si>
  <si>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</si>
  <si>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</si>
  <si>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</si>
  <si>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</si>
  <si>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</si>
  <si>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</si>
  <si>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</si>
  <si>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</si>
  <si>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</si>
  <si>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</si>
  <si>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</si>
  <si>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</si>
  <si>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</si>
  <si>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</si>
  <si>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</si>
  <si>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</si>
  <si>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</si>
  <si>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</si>
  <si>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</si>
  <si>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</si>
  <si>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</si>
  <si>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</si>
  <si>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</si>
  <si>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</si>
  <si>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</si>
  <si>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</si>
  <si>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</si>
  <si>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</si>
  <si>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</si>
  <si>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</si>
  <si>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</si>
  <si>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</si>
  <si>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</si>
  <si>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</si>
  <si>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</si>
  <si>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</si>
  <si>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</si>
  <si>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</si>
  <si>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</si>
  <si>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</si>
  <si>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</si>
  <si>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</si>
  <si>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</si>
  <si>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</si>
  <si>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</si>
  <si>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</si>
  <si>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</si>
  <si>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</si>
  <si>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</si>
  <si>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</si>
  <si>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</si>
  <si>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</si>
  <si>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</si>
  <si>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</si>
  <si>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</si>
  <si>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</si>
  <si>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</si>
  <si>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</si>
  <si>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</si>
  <si>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</si>
  <si>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</si>
  <si>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</si>
  <si>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</si>
  <si>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</si>
  <si>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</si>
  <si>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</si>
  <si>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</si>
  <si>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</si>
  <si>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</si>
  <si>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</si>
  <si>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</si>
  <si>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</si>
  <si>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</si>
  <si>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</si>
  <si>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</si>
  <si>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</si>
  <si>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</si>
  <si>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</si>
  <si>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</si>
  <si>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</si>
  <si>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</si>
  <si>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</si>
  <si>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</si>
  <si>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</si>
  <si>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</si>
  <si>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</si>
  <si>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</si>
  <si>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</si>
  <si>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</si>
  <si>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</si>
  <si>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</si>
  <si>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</si>
  <si>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</si>
  <si>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</si>
  <si>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</si>
  <si>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</si>
  <si>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</si>
  <si>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</si>
  <si>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</si>
  <si>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</si>
  <si>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</si>
  <si>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</si>
  <si>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</si>
  <si>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</si>
  <si>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</si>
  <si>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</si>
  <si>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</si>
  <si>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</si>
  <si>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</si>
  <si>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</si>
  <si>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</si>
  <si>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</si>
  <si>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</si>
  <si>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</si>
  <si>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</si>
  <si>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</si>
  <si>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</si>
  <si>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</si>
  <si>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</si>
  <si>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</si>
  <si>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</si>
  <si>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</si>
  <si>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</si>
  <si>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</si>
  <si>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</si>
  <si>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</si>
  <si>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</si>
  <si>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</si>
  <si>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</si>
  <si>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</si>
  <si>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</si>
  <si>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</si>
  <si>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</si>
  <si>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</si>
  <si>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</si>
  <si>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</si>
  <si>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</si>
  <si>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</si>
  <si>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</si>
  <si>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</si>
  <si>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</si>
  <si>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</si>
  <si>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</si>
  <si>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</si>
  <si>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</si>
  <si>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</si>
  <si>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</si>
  <si>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</si>
  <si>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</si>
  <si>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</si>
  <si>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</si>
  <si>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</si>
  <si>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</si>
  <si>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</si>
  <si>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</si>
  <si>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</si>
  <si>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</si>
  <si>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</si>
  <si>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</si>
  <si>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</si>
  <si>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</si>
  <si>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</si>
  <si>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</si>
  <si>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</si>
  <si>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</si>
  <si>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</si>
  <si>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</si>
  <si>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</si>
  <si>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</si>
  <si>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</si>
  <si>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</si>
  <si>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</si>
  <si>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</si>
  <si>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</si>
  <si>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</si>
  <si>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</si>
  <si>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</si>
  <si>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</si>
  <si>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</si>
  <si>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</si>
  <si>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</si>
  <si>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</si>
  <si>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</si>
  <si>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</si>
  <si>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</si>
  <si>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</si>
  <si>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</si>
  <si>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</si>
  <si>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</si>
  <si>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</si>
  <si>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</si>
  <si>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</si>
  <si>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</si>
  <si>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</si>
  <si>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</si>
  <si>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</si>
  <si>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</si>
  <si>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</si>
  <si>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</si>
  <si>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</si>
  <si>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</si>
  <si>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</si>
  <si>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</si>
  <si>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</si>
  <si>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</si>
  <si>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</si>
  <si>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</si>
  <si>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</si>
  <si>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</si>
  <si>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</si>
  <si>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</si>
  <si>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</si>
  <si>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</si>
  <si>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</si>
  <si>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</si>
  <si>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</si>
  <si>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</si>
  <si>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</si>
  <si>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</si>
  <si>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</si>
  <si>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</si>
  <si>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</si>
  <si>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</si>
  <si>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</si>
  <si>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</si>
  <si>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</si>
  <si>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</si>
  <si>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</si>
  <si>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</si>
  <si>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</si>
  <si>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</si>
  <si>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</si>
  <si>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</si>
  <si>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</si>
  <si>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</si>
  <si>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</si>
  <si>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</si>
  <si>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</si>
  <si>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</si>
  <si>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</si>
  <si>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</si>
  <si>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</si>
  <si>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</si>
  <si>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</si>
  <si>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</si>
  <si>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</si>
  <si>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</si>
  <si>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</si>
  <si>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</si>
  <si>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</si>
  <si>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</si>
  <si>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</si>
  <si>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</si>
  <si>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</si>
  <si>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</si>
  <si>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</si>
  <si>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</si>
  <si>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</si>
  <si>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</si>
  <si>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</si>
  <si>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</si>
  <si>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</si>
  <si>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</si>
  <si>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</si>
  <si>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</si>
  <si>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</si>
  <si>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</si>
  <si>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</si>
  <si>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</si>
  <si>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</si>
  <si>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</si>
  <si>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</si>
  <si>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</si>
  <si>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</si>
  <si>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</si>
  <si>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</si>
  <si>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</si>
  <si>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</si>
  <si>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</si>
  <si>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</si>
  <si>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</si>
  <si>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</si>
  <si>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</si>
  <si>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</si>
  <si>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</si>
  <si>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</si>
  <si>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</si>
  <si>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</si>
  <si>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</si>
  <si>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</si>
  <si>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</si>
  <si>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</si>
  <si>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</si>
  <si>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</si>
  <si>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</si>
  <si>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</si>
  <si>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</si>
  <si>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</si>
  <si>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</si>
  <si>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</si>
  <si>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</si>
  <si>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</si>
  <si>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</si>
  <si>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</si>
  <si>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</si>
  <si>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</si>
  <si>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</si>
  <si>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</si>
  <si>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</si>
  <si>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</si>
  <si>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</si>
  <si>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</si>
  <si>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</si>
  <si>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</si>
  <si>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</si>
  <si>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</si>
  <si>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</si>
  <si>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</si>
  <si>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</si>
  <si>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</si>
  <si>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</si>
  <si>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</si>
  <si>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</si>
  <si>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</si>
  <si>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</si>
  <si>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</si>
  <si>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</si>
  <si>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</si>
  <si>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</si>
  <si>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</si>
  <si>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</si>
  <si>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</si>
  <si>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</si>
  <si>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</si>
  <si>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</si>
  <si>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</si>
  <si>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</si>
  <si>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</si>
  <si>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</si>
  <si>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</si>
  <si>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</si>
  <si>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</si>
  <si>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</si>
  <si>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</si>
  <si>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</si>
  <si>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</si>
  <si>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</si>
  <si>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</si>
  <si>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</si>
  <si>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</si>
  <si>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</si>
  <si>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</si>
  <si>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</si>
  <si>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</si>
  <si>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</si>
  <si>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</si>
  <si>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</si>
  <si>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</si>
  <si>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</si>
  <si>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</si>
  <si>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</si>
  <si>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</si>
  <si>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</si>
  <si>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</si>
  <si>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</si>
  <si>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</si>
  <si>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</si>
  <si>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</si>
  <si>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</si>
  <si>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</si>
  <si>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</si>
  <si>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</si>
  <si>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</si>
  <si>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</si>
  <si>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</si>
  <si>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</si>
  <si>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</si>
  <si>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</si>
  <si>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</si>
  <si>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</si>
  <si>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</si>
  <si>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</si>
  <si>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</si>
  <si>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</si>
  <si>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</si>
  <si>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</si>
  <si>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</si>
  <si>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</si>
  <si>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</si>
  <si>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</si>
  <si>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</si>
  <si>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</si>
  <si>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</si>
  <si>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</si>
  <si>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</si>
  <si>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</si>
  <si>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</si>
  <si>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</si>
  <si>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</si>
  <si>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</si>
  <si>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</si>
  <si>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</si>
  <si>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</si>
  <si>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</si>
  <si>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</si>
  <si>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</si>
  <si>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</si>
  <si>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</si>
  <si>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</si>
  <si>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</si>
  <si>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</si>
  <si>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</si>
  <si>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</si>
  <si>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</si>
  <si>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</si>
  <si>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</si>
  <si>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</si>
  <si>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</si>
  <si>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</si>
  <si>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</si>
  <si>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</si>
  <si>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</si>
  <si>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</si>
  <si>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</si>
  <si>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</si>
  <si>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</si>
  <si>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</si>
  <si>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</si>
  <si>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</si>
  <si>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</si>
  <si>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</si>
  <si>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</si>
  <si>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</si>
  <si>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</si>
  <si>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</si>
  <si>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</si>
  <si>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</si>
  <si>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</si>
  <si>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</si>
  <si>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</si>
  <si>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</si>
  <si>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</si>
  <si>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</si>
  <si>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</si>
  <si>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</si>
  <si>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</si>
  <si>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</si>
  <si>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</si>
  <si>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</si>
  <si>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</si>
  <si>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</si>
  <si>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</si>
  <si>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</si>
  <si>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</si>
  <si>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</si>
  <si>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</si>
  <si>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</si>
  <si>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</si>
  <si>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</si>
  <si>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</si>
  <si>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</si>
  <si>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</si>
  <si>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</si>
  <si>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</si>
  <si>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</si>
  <si>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</si>
  <si>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</si>
  <si>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</si>
  <si>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</si>
  <si>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</si>
  <si>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</si>
  <si>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</si>
  <si>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</si>
  <si>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</si>
  <si>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</si>
  <si>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</si>
  <si>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</si>
  <si>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</si>
  <si>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</si>
  <si>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</si>
  <si>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</si>
  <si>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</si>
  <si>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</si>
  <si>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</si>
  <si>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</si>
  <si>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</si>
  <si>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</si>
  <si>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</si>
  <si>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</si>
  <si>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</si>
  <si>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</si>
  <si>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</si>
  <si>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</si>
  <si>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</si>
  <si>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</si>
  <si>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</si>
  <si>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</si>
  <si>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</si>
  <si>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</si>
  <si>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</si>
  <si>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</si>
  <si>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</si>
  <si>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</si>
  <si>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</si>
  <si>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</si>
  <si>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</si>
  <si>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</si>
  <si>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</si>
  <si>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</si>
  <si>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</si>
  <si>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</si>
  <si>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</si>
  <si>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</si>
  <si>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</si>
  <si>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</si>
  <si>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</si>
  <si>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</si>
  <si>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</si>
  <si>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</si>
  <si>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</si>
  <si>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</si>
  <si>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</si>
  <si>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</si>
  <si>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</si>
  <si>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</si>
  <si>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</si>
  <si>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</si>
  <si>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</si>
  <si>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</si>
  <si>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</si>
  <si>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</si>
  <si>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</si>
  <si>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</si>
  <si>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</si>
  <si>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</si>
  <si>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</si>
  <si>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</si>
  <si>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</si>
  <si>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</si>
  <si>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</si>
  <si>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</si>
  <si>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</si>
  <si>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</si>
  <si>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</si>
  <si>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</si>
  <si>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</si>
  <si>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</si>
  <si>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</si>
  <si>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</si>
  <si>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</si>
  <si>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</si>
  <si>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</si>
  <si>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</si>
  <si>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</si>
  <si>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</si>
  <si>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</si>
  <si>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</si>
  <si>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</si>
  <si>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</si>
  <si>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</si>
  <si>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</si>
  <si>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</si>
  <si>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</si>
  <si>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</si>
  <si>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</si>
  <si>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</si>
  <si>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</si>
  <si>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</si>
  <si>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</si>
  <si>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</si>
  <si>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</si>
  <si>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</si>
  <si>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</si>
  <si>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</si>
  <si>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</si>
  <si>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</si>
  <si>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</si>
  <si>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</si>
  <si>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</si>
  <si>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</si>
  <si>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</si>
  <si>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</si>
  <si>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</si>
  <si>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</si>
  <si>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</si>
  <si>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</si>
  <si>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</si>
  <si>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</si>
  <si>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</si>
  <si>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</si>
  <si>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</si>
  <si>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</si>
  <si>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</si>
  <si>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</si>
  <si>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</si>
  <si>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</si>
  <si>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</si>
  <si>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</si>
  <si>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</si>
  <si>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</si>
  <si>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</si>
  <si>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</si>
  <si>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</si>
  <si>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</si>
  <si>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</si>
  <si>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</si>
  <si>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</si>
  <si>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</si>
  <si>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</si>
  <si>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</si>
  <si>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</si>
  <si>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</si>
  <si>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</si>
  <si>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</si>
  <si>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</si>
  <si>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</si>
  <si>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</si>
  <si>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</si>
  <si>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</si>
  <si>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</si>
  <si>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</si>
  <si>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</si>
  <si>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</si>
  <si>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</si>
  <si>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</si>
  <si>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</si>
  <si>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</si>
  <si>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</si>
  <si>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</si>
  <si>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</si>
  <si>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</si>
  <si>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</si>
  <si>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</si>
  <si>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</si>
  <si>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</si>
  <si>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</si>
  <si>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</si>
  <si>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</si>
  <si>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</si>
  <si>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</si>
  <si>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</si>
  <si>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</si>
  <si>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</si>
  <si>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</si>
  <si>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</si>
  <si>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</si>
  <si>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</si>
  <si>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</si>
  <si>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</si>
  <si>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</si>
  <si>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</si>
  <si>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</si>
  <si>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</si>
  <si>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</si>
  <si>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</si>
  <si>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</si>
  <si>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</si>
  <si>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</si>
  <si>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</si>
  <si>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</si>
  <si>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</si>
  <si>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</si>
  <si>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</si>
  <si>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</si>
  <si>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</si>
  <si>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</si>
  <si>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</si>
  <si>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</si>
  <si>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</si>
  <si>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</si>
  <si>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</si>
  <si>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</si>
  <si>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</si>
  <si>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</si>
  <si>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</si>
  <si>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</si>
  <si>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</si>
  <si>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</si>
  <si>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</si>
  <si>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</si>
  <si>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</si>
  <si>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</si>
  <si>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</si>
  <si>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</si>
  <si>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</si>
  <si>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</si>
  <si>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</si>
  <si>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</si>
  <si>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</si>
  <si>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</si>
  <si>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</si>
  <si>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</si>
  <si>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</si>
  <si>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</si>
  <si>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</si>
  <si>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</si>
  <si>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</si>
  <si>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</si>
  <si>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</si>
  <si>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</si>
  <si>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</si>
  <si>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</si>
  <si>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</si>
  <si>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</si>
  <si>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</si>
  <si>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</si>
  <si>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</si>
  <si>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</si>
  <si>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</si>
  <si>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</si>
  <si>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</si>
  <si>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</si>
  <si>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</si>
  <si>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</si>
  <si>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</si>
  <si>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</si>
  <si>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</si>
  <si>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</si>
  <si>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</si>
  <si>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</si>
  <si>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</si>
  <si>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</si>
  <si>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</si>
  <si>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</si>
  <si>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</si>
  <si>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</si>
  <si>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</si>
  <si>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</si>
  <si>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</si>
  <si>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</si>
  <si>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</si>
  <si>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</si>
  <si>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</si>
  <si>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</si>
  <si>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</si>
  <si>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</si>
  <si>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</si>
  <si>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</si>
  <si>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</si>
  <si>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</si>
  <si>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</si>
  <si>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</si>
  <si>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</si>
  <si>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</si>
  <si>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</si>
  <si>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</si>
  <si>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</si>
  <si>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</si>
  <si>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</si>
  <si>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</si>
  <si>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</si>
  <si>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</si>
  <si>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</si>
  <si>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</si>
  <si>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</si>
  <si>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</si>
  <si>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</si>
  <si>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</si>
  <si>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</si>
  <si>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</si>
  <si>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</si>
  <si>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</si>
  <si>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</si>
  <si>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</si>
  <si>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</si>
  <si>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</si>
  <si>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</si>
  <si>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</si>
  <si>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</si>
  <si>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</si>
  <si>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</si>
  <si>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</si>
  <si>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</si>
  <si>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</si>
  <si>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</si>
  <si>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</si>
  <si>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</si>
  <si>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</si>
  <si>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</si>
  <si>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</si>
  <si>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</si>
  <si>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</si>
  <si>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</si>
  <si>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</si>
  <si>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</si>
  <si>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</si>
  <si>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</si>
  <si>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</si>
  <si>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</si>
  <si>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</si>
  <si>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</si>
  <si>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</si>
  <si>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</si>
  <si>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</si>
  <si>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</si>
  <si>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</si>
  <si>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</si>
  <si>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</si>
  <si>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</si>
  <si>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</si>
  <si>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</si>
  <si>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</si>
  <si>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</si>
  <si>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</si>
  <si>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</si>
  <si>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</si>
  <si>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</si>
  <si>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</si>
  <si>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</si>
  <si>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</si>
  <si>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</si>
  <si>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</si>
  <si>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</si>
  <si>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</si>
  <si>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</si>
  <si>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</si>
  <si>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</si>
  <si>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</si>
  <si>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</si>
  <si>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</si>
  <si>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</si>
  <si>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</si>
  <si>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</si>
  <si>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</si>
  <si>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</si>
  <si>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</si>
  <si>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</si>
  <si>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</si>
  <si>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</si>
  <si>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</si>
  <si>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</si>
  <si>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</si>
  <si>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</si>
  <si>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</si>
  <si>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</si>
  <si>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</si>
  <si>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</si>
  <si>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</si>
  <si>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</si>
  <si>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</si>
  <si>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</si>
  <si>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</si>
  <si>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</si>
  <si>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</si>
  <si>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</si>
  <si>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</si>
  <si>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</si>
  <si>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</si>
  <si>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</si>
  <si>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</si>
  <si>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</si>
  <si>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</si>
  <si>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</si>
  <si>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</si>
  <si>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</si>
  <si>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</si>
  <si>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</si>
  <si>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</si>
  <si>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</si>
  <si>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High-Speed Rail Authority</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</si>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</sst>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5">
    <cellStyle name="Comma" xfId="1" builtinId="3"/>
    <cellStyle name="Comma 2" xfId="4" xr:uid="{252FEE6F-1614-4230-864B-B937D1E11AC1}"/>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I14" sqref="I14"/>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43" zoomScale="70" zoomScaleNormal="70" workbookViewId="0">
      <selection activeCell="I14" sqref="I14"/>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c r="G4" s="266"/>
      <c r="H4" s="266"/>
      <c r="I4" s="266"/>
    </row>
    <row r="5" spans="1:20" ht="16.5" customHeight="1" x14ac:dyDescent="0.2">
      <c r="A5" s="264" t="s">
        <v>1639</v>
      </c>
      <c r="B5" s="264"/>
      <c r="C5" s="264"/>
      <c r="D5" s="264"/>
      <c r="E5" s="264"/>
      <c r="F5" s="266"/>
      <c r="G5" s="266"/>
      <c r="H5" s="266"/>
      <c r="I5" s="266"/>
      <c r="L5" s="39"/>
      <c r="M5" s="39"/>
      <c r="N5" s="39"/>
      <c r="O5" s="39"/>
      <c r="P5" s="39"/>
      <c r="Q5" s="39"/>
    </row>
    <row r="6" spans="1:20" ht="16.5" customHeight="1" x14ac:dyDescent="0.25">
      <c r="A6" s="264" t="s">
        <v>1682</v>
      </c>
      <c r="B6" s="264"/>
      <c r="C6" s="264"/>
      <c r="D6" s="264"/>
      <c r="E6" s="264"/>
      <c r="F6" s="267"/>
      <c r="G6" s="267"/>
      <c r="H6" s="267"/>
      <c r="I6" s="267"/>
      <c r="L6" s="40"/>
      <c r="M6" s="40"/>
      <c r="N6" s="40"/>
      <c r="O6" s="40"/>
      <c r="P6" s="39"/>
      <c r="Q6" s="39"/>
    </row>
    <row r="7" spans="1:20" ht="16.5" customHeight="1" x14ac:dyDescent="0.25">
      <c r="A7" s="264" t="s">
        <v>3</v>
      </c>
      <c r="B7" s="264"/>
      <c r="C7" s="264"/>
      <c r="D7" s="264"/>
      <c r="E7" s="264"/>
      <c r="F7" s="267"/>
      <c r="G7" s="267"/>
      <c r="H7" s="267"/>
      <c r="I7" s="267"/>
      <c r="K7" s="96"/>
      <c r="L7" s="40"/>
      <c r="M7" s="40"/>
      <c r="N7" s="40"/>
      <c r="O7" s="40"/>
      <c r="P7" s="39"/>
      <c r="Q7" s="39"/>
    </row>
    <row r="8" spans="1:20" ht="16.5" customHeight="1" x14ac:dyDescent="0.25">
      <c r="A8" s="264" t="s">
        <v>1640</v>
      </c>
      <c r="B8" s="264"/>
      <c r="C8" s="264"/>
      <c r="D8" s="264"/>
      <c r="E8" s="264"/>
      <c r="F8" s="267"/>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Unidentified</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c r="P17" s="196"/>
      <c r="Q17" s="224"/>
      <c r="S17" s="223">
        <f t="shared" si="0"/>
        <v>0</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0</v>
      </c>
      <c r="N22" s="196"/>
      <c r="P22" s="224"/>
      <c r="Q22" s="196"/>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0</v>
      </c>
      <c r="N23" s="196"/>
      <c r="P23" s="224"/>
      <c r="Q23" s="196"/>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2" t="s">
        <v>1737</v>
      </c>
      <c r="C77" s="262"/>
      <c r="D77" s="262"/>
      <c r="E77" s="262"/>
      <c r="F77" s="262"/>
      <c r="G77" s="262"/>
      <c r="H77" s="262"/>
      <c r="I77" s="262"/>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I14" sqref="I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c r="C9" s="282"/>
      <c r="D9" s="5"/>
      <c r="E9" s="5"/>
      <c r="F9" s="5"/>
    </row>
    <row r="10" spans="1:13" ht="15.75" x14ac:dyDescent="0.25">
      <c r="A10" s="12" t="s">
        <v>208</v>
      </c>
      <c r="B10" s="283"/>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c r="C13" s="100"/>
      <c r="D13" s="272" t="s">
        <v>6</v>
      </c>
      <c r="E13" s="273"/>
      <c r="F13" s="273"/>
      <c r="G13" s="57"/>
      <c r="H13" s="57"/>
      <c r="I13" s="57"/>
      <c r="J13" s="57"/>
      <c r="K13" s="57"/>
      <c r="L13" s="57"/>
      <c r="M13" s="57"/>
    </row>
    <row r="14" spans="1:13" x14ac:dyDescent="0.2">
      <c r="A14" s="84" t="str">
        <f>LEFT(A13,4)+1&amp;"–"&amp;RIGHT(A13,4)+1</f>
        <v>2025–2026</v>
      </c>
      <c r="B14" s="100"/>
      <c r="C14" s="100"/>
      <c r="D14" s="272"/>
      <c r="E14" s="273"/>
      <c r="F14" s="273"/>
    </row>
    <row r="15" spans="1:13" ht="15.75" x14ac:dyDescent="0.2">
      <c r="A15" s="84" t="str">
        <f>LEFT(A14,4)+1&amp;"–"&amp;RIGHT(A14,4)+1</f>
        <v>2026–2027</v>
      </c>
      <c r="B15" s="100"/>
      <c r="C15" s="100"/>
      <c r="D15" s="269"/>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0</v>
      </c>
      <c r="C40" s="278"/>
      <c r="E40" s="60"/>
    </row>
    <row r="41" spans="1:13" ht="15.75" x14ac:dyDescent="0.25">
      <c r="A41" s="12" t="s">
        <v>208</v>
      </c>
      <c r="B41" s="276">
        <f>B10</f>
        <v>0</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0</v>
      </c>
      <c r="C71" s="278"/>
    </row>
    <row r="72" spans="1:13" ht="15.75" x14ac:dyDescent="0.25">
      <c r="A72" s="12" t="s">
        <v>208</v>
      </c>
      <c r="B72" s="276">
        <f>B10</f>
        <v>0</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I14" sqref="I14"/>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0</v>
      </c>
      <c r="G10" s="103"/>
      <c r="H10" s="107">
        <f>IF('LS-Fund #### Journal Entries'!$F$8="Governmental Fund",SUM('LS-Fund #### Journal Entries'!$K$48,'LS-Fund #### Journal Entries'!K113),0)</f>
        <v>0</v>
      </c>
      <c r="I10" s="103"/>
      <c r="J10" s="107">
        <f>IF('LS-Fund #### Journal Entries'!$F$8="Governmental Fund",SUM('LS-Fund #### Journal Entries'!$J$68,'LS-Fund #### Journal Entries'!J96),0)</f>
        <v>0</v>
      </c>
      <c r="K10" s="103"/>
      <c r="L10" s="109">
        <f>SUM(F10+H10-J10)</f>
        <v>0</v>
      </c>
      <c r="M10" s="103"/>
      <c r="N10" s="107">
        <f>IF('LS-Fund #### Journal Entries'!$F$8="Governmental Fund",'LS-Fund #### Journal Entries'!$K$76,0)</f>
        <v>0</v>
      </c>
      <c r="O10" s="103"/>
      <c r="P10" s="109">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I14" sqref="I14"/>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0</v>
      </c>
      <c r="C16" s="168" t="s">
        <v>155</v>
      </c>
      <c r="D16" s="130">
        <f>IF('LS-Fund #### Journal Entries'!$F$8="Governmental Fund",'LS-Fund #### Journal Entries'!$K$48,0)</f>
        <v>0</v>
      </c>
      <c r="E16" s="170" t="s">
        <v>156</v>
      </c>
      <c r="F16" s="130">
        <f>IF('LS-Fund #### Journal Entries'!$F$8="Governmental Fund",'LS-Fund #### Journal Entries'!$J$68,0)</f>
        <v>0</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0</v>
      </c>
      <c r="J66" s="143">
        <f>SUM(D66)</f>
        <v>0</v>
      </c>
      <c r="L66" s="144" t="str">
        <f>CONCATENATE("Balance July 1, ",LEFT('LS-Department Note Disclosure'!$B$8,4))</f>
        <v>Balance July 1, 2023</v>
      </c>
      <c r="N66" s="143">
        <f>'LS-Lease Liabilities'!F10</f>
        <v>0</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0</v>
      </c>
      <c r="E68" s="171" t="s">
        <v>155</v>
      </c>
      <c r="F68" s="125" t="s">
        <v>1750</v>
      </c>
      <c r="H68" s="143">
        <f>$H$16</f>
        <v>0</v>
      </c>
      <c r="J68" s="143">
        <f>SUM(D68,H68)</f>
        <v>0</v>
      </c>
      <c r="L68" s="144" t="s">
        <v>15</v>
      </c>
      <c r="N68" s="143">
        <f>'LS-Lease Liabilities'!J10</f>
        <v>0</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C21" sqref="C21"/>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80" zoomScaleNormal="80" zoomScaleSheetLayoutView="8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t="s">
        <v>1803</v>
      </c>
      <c r="H4" s="7"/>
      <c r="I4" s="7"/>
      <c r="J4" s="7"/>
      <c r="K4" s="7"/>
      <c r="L4" s="7"/>
      <c r="M4" s="7"/>
      <c r="N4" s="7"/>
      <c r="O4" s="7"/>
      <c r="P4" s="7"/>
      <c r="Q4" s="7"/>
      <c r="R4" s="7"/>
    </row>
    <row r="5" spans="1:20" ht="17.45" customHeight="1" x14ac:dyDescent="0.25">
      <c r="A5" s="293" t="s">
        <v>1683</v>
      </c>
      <c r="B5" s="293"/>
      <c r="C5" s="293"/>
      <c r="D5" s="293"/>
      <c r="E5" s="161" t="s">
        <v>702</v>
      </c>
      <c r="H5" s="7"/>
      <c r="I5" s="7"/>
      <c r="J5" s="8"/>
      <c r="K5" s="8"/>
      <c r="L5" s="8"/>
      <c r="M5" s="8"/>
      <c r="N5" s="8"/>
      <c r="O5" s="8"/>
      <c r="P5" s="8"/>
      <c r="Q5" s="7"/>
      <c r="R5" s="7"/>
    </row>
    <row r="6" spans="1:20" ht="17.45" customHeight="1" x14ac:dyDescent="0.25">
      <c r="A6" s="293" t="s">
        <v>1684</v>
      </c>
      <c r="B6" s="293"/>
      <c r="C6" s="293"/>
      <c r="D6" s="293"/>
      <c r="E6" s="97">
        <v>9331</v>
      </c>
      <c r="G6" s="8"/>
      <c r="H6" s="8"/>
      <c r="I6" s="8"/>
      <c r="J6" s="8"/>
      <c r="K6" s="8"/>
      <c r="L6" s="8"/>
      <c r="M6" s="8"/>
      <c r="N6" s="8"/>
      <c r="O6" s="8"/>
      <c r="P6" s="8"/>
      <c r="Q6" s="7"/>
      <c r="R6" s="7"/>
    </row>
    <row r="7" spans="1:20" ht="17.45" customHeight="1" x14ac:dyDescent="0.25">
      <c r="A7" s="293" t="s">
        <v>3</v>
      </c>
      <c r="B7" s="293"/>
      <c r="C7" s="293"/>
      <c r="D7" s="293"/>
      <c r="E7" s="35" t="s">
        <v>123</v>
      </c>
      <c r="G7" s="8"/>
      <c r="H7" s="8"/>
      <c r="I7" s="8"/>
      <c r="J7" s="8"/>
      <c r="K7" s="8"/>
      <c r="L7" s="8"/>
      <c r="M7" s="8"/>
      <c r="N7" s="8"/>
      <c r="O7" s="8"/>
      <c r="P7" s="8"/>
      <c r="Q7" s="7"/>
      <c r="R7" s="7"/>
    </row>
    <row r="8" spans="1:20" ht="17.45" customHeight="1" x14ac:dyDescent="0.25">
      <c r="A8" s="293" t="s">
        <v>1640</v>
      </c>
      <c r="B8" s="293"/>
      <c r="C8" s="293"/>
      <c r="D8" s="293"/>
      <c r="E8" s="35" t="s">
        <v>164</v>
      </c>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10180967</v>
      </c>
      <c r="K14" s="37"/>
      <c r="L14" s="37"/>
      <c r="M14" s="196">
        <v>10180967</v>
      </c>
      <c r="N14" s="37"/>
      <c r="O14" s="37"/>
      <c r="P14" s="196">
        <v>7116061</v>
      </c>
      <c r="Q14" s="224"/>
      <c r="R14" s="37"/>
      <c r="S14" s="223">
        <f>P14-M14</f>
        <v>-3064906</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9862319</v>
      </c>
      <c r="L17" s="37"/>
      <c r="M17" s="37"/>
      <c r="N17" s="196">
        <v>9862319</v>
      </c>
      <c r="O17" s="37"/>
      <c r="P17" s="224"/>
      <c r="Q17" s="196">
        <v>6892869</v>
      </c>
      <c r="R17" s="37"/>
      <c r="S17" s="223">
        <f t="shared" ref="S17:S19" si="0">Q17-N17</f>
        <v>-2969450</v>
      </c>
      <c r="T17" s="250" t="s">
        <v>1730</v>
      </c>
    </row>
    <row r="18" spans="1:22" ht="17.45" customHeight="1" x14ac:dyDescent="0.2">
      <c r="A18" s="15"/>
      <c r="B18" s="151"/>
      <c r="C18" s="20" t="s">
        <v>185</v>
      </c>
      <c r="D18" s="151"/>
      <c r="E18" s="151"/>
      <c r="F18" s="151"/>
      <c r="G18" s="151"/>
      <c r="H18" s="151"/>
      <c r="I18" s="151"/>
      <c r="J18" s="20"/>
      <c r="K18" s="248">
        <f>Q18</f>
        <v>223192</v>
      </c>
      <c r="L18" s="37"/>
      <c r="M18" s="37"/>
      <c r="N18" s="196">
        <v>199699</v>
      </c>
      <c r="O18" s="37"/>
      <c r="P18" s="224"/>
      <c r="Q18" s="221">
        <f>IF(SUM($Q$17)&lt;SUM($P$14),-SUM($Q$17)+SUM($P$14),0)</f>
        <v>223192</v>
      </c>
      <c r="R18" s="37"/>
      <c r="S18" s="223">
        <f t="shared" si="0"/>
        <v>23493</v>
      </c>
      <c r="T18" s="250" t="s">
        <v>1730</v>
      </c>
    </row>
    <row r="19" spans="1:22" ht="17.45" customHeight="1" x14ac:dyDescent="0.2">
      <c r="A19" s="15"/>
      <c r="B19" s="151"/>
      <c r="C19" s="20" t="s">
        <v>186</v>
      </c>
      <c r="D19" s="151"/>
      <c r="E19" s="151"/>
      <c r="F19" s="151"/>
      <c r="G19" s="151"/>
      <c r="H19" s="151"/>
      <c r="I19" s="151"/>
      <c r="J19" s="20"/>
      <c r="K19" s="248">
        <f>IF(SUM($K$17:$K$18)&lt;SUM($J$14:$J$15),-SUM($K$17:$K$18)+SUM($J$14:$J$15),0)</f>
        <v>95456</v>
      </c>
      <c r="L19" s="37"/>
      <c r="M19" s="37"/>
      <c r="N19" s="196">
        <v>118949</v>
      </c>
      <c r="O19" s="37"/>
      <c r="P19" s="224"/>
      <c r="Q19" s="224"/>
      <c r="R19" s="37"/>
      <c r="S19" s="223">
        <f t="shared" si="0"/>
        <v>-118949</v>
      </c>
      <c r="T19" s="250" t="s">
        <v>1730</v>
      </c>
    </row>
    <row r="20" spans="1:22" ht="17.45" customHeight="1" x14ac:dyDescent="0.2">
      <c r="A20" s="15"/>
      <c r="C20" s="14"/>
      <c r="D20" s="153"/>
      <c r="E20" s="153"/>
      <c r="F20" s="153"/>
      <c r="G20" s="153"/>
      <c r="H20" s="153"/>
      <c r="I20" s="153"/>
      <c r="J20" s="155">
        <f>SUM(J14:J19)</f>
        <v>10180967</v>
      </c>
      <c r="K20" s="155">
        <f>SUM(K14:K19)</f>
        <v>10180967</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v>1413531</v>
      </c>
      <c r="K24" s="213"/>
      <c r="L24" s="9"/>
      <c r="N24" s="18"/>
      <c r="O24" s="14"/>
      <c r="P24" s="9"/>
      <c r="Q24" s="9"/>
      <c r="R24" s="10"/>
      <c r="S24" s="10"/>
    </row>
    <row r="25" spans="1:22" ht="17.45" customHeight="1" x14ac:dyDescent="0.2">
      <c r="B25" s="20"/>
      <c r="C25" s="20" t="s">
        <v>213</v>
      </c>
      <c r="D25" s="20"/>
      <c r="E25" s="20"/>
      <c r="F25" s="213"/>
      <c r="G25" s="213"/>
      <c r="H25" s="214"/>
      <c r="I25" s="202"/>
      <c r="J25" s="213"/>
      <c r="K25" s="196">
        <v>1413531</v>
      </c>
      <c r="M25" s="19"/>
      <c r="N25" s="4"/>
      <c r="O25" s="9"/>
      <c r="P25" s="9"/>
      <c r="Q25" s="9"/>
      <c r="R25" s="10"/>
      <c r="S25" s="10"/>
    </row>
    <row r="26" spans="1:22" ht="17.45" customHeight="1" x14ac:dyDescent="0.2">
      <c r="A26" s="15"/>
      <c r="C26" s="20"/>
      <c r="D26" s="9"/>
      <c r="E26" s="9"/>
      <c r="F26" s="10"/>
      <c r="G26" s="10"/>
      <c r="H26" s="16"/>
      <c r="J26" s="155">
        <f>J24</f>
        <v>1413531</v>
      </c>
      <c r="K26" s="156">
        <f>K25</f>
        <v>1413531</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0775 - OTHER INCOME</v>
      </c>
      <c r="C30" s="291"/>
      <c r="D30" s="291"/>
      <c r="E30" s="291"/>
      <c r="F30" s="291"/>
      <c r="G30" s="291"/>
      <c r="H30" s="291"/>
      <c r="I30" s="291"/>
      <c r="J30" s="196">
        <v>1810843</v>
      </c>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v>1615527</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195316</v>
      </c>
      <c r="N32" s="22"/>
      <c r="O32" s="23"/>
    </row>
    <row r="33" spans="1:22" ht="17.45" customHeight="1" x14ac:dyDescent="0.3">
      <c r="A33" s="15"/>
      <c r="C33" s="183"/>
      <c r="D33" s="183"/>
      <c r="E33" s="183"/>
      <c r="F33" s="183"/>
      <c r="G33" s="183"/>
      <c r="H33" s="183"/>
      <c r="I33" s="183"/>
      <c r="J33" s="156">
        <f>J30</f>
        <v>1810843</v>
      </c>
      <c r="K33" s="253">
        <f>SUM(K31:K32)</f>
        <v>1810843</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v>1861007</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1861007</v>
      </c>
      <c r="R37" s="9"/>
      <c r="S37" s="9"/>
      <c r="T37" s="9"/>
      <c r="U37" s="9"/>
      <c r="V37" s="9"/>
    </row>
    <row r="38" spans="1:22" ht="17.45" customHeight="1" x14ac:dyDescent="0.2">
      <c r="A38" s="15"/>
      <c r="C38" s="14"/>
      <c r="D38" s="9"/>
      <c r="E38" s="9"/>
      <c r="F38" s="9"/>
      <c r="G38" s="9"/>
      <c r="H38" s="9"/>
      <c r="I38" s="1"/>
      <c r="J38" s="253">
        <f>J36</f>
        <v>1861007</v>
      </c>
      <c r="K38" s="156">
        <f>K37</f>
        <v>1861007</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v>1492826</v>
      </c>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v>1492826</v>
      </c>
      <c r="O42" s="9"/>
      <c r="P42" s="9"/>
      <c r="Q42" s="9"/>
      <c r="R42" s="9"/>
      <c r="S42" s="9"/>
      <c r="T42" s="9"/>
      <c r="U42" s="9"/>
      <c r="V42" s="9"/>
    </row>
    <row r="43" spans="1:22" ht="17.45" customHeight="1" x14ac:dyDescent="0.2">
      <c r="A43" s="15"/>
      <c r="B43" s="292" t="s">
        <v>1738</v>
      </c>
      <c r="C43" s="292"/>
      <c r="D43" s="292"/>
      <c r="E43" s="292"/>
      <c r="F43" s="292"/>
      <c r="G43" s="292"/>
      <c r="H43" s="292"/>
      <c r="I43" s="292"/>
      <c r="J43" s="253">
        <f>J41</f>
        <v>1492826</v>
      </c>
      <c r="K43" s="156">
        <f>K42</f>
        <v>1492826</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v>397607</v>
      </c>
      <c r="K49" s="6"/>
    </row>
    <row r="50" spans="1:15" ht="17.45" customHeight="1" x14ac:dyDescent="0.2">
      <c r="A50" s="15"/>
      <c r="B50" s="20" t="s">
        <v>1656</v>
      </c>
      <c r="C50" s="20"/>
      <c r="D50" s="20"/>
      <c r="E50" s="20"/>
      <c r="F50" s="20"/>
      <c r="G50" s="20"/>
      <c r="H50" s="20"/>
      <c r="I50" s="202"/>
      <c r="J50" s="196">
        <v>13120</v>
      </c>
      <c r="K50" s="20"/>
      <c r="O50" s="28"/>
    </row>
    <row r="51" spans="1:15" ht="17.45" customHeight="1" x14ac:dyDescent="0.2">
      <c r="A51" s="15"/>
      <c r="B51" s="276" t="s">
        <v>1655</v>
      </c>
      <c r="C51" s="276" t="s">
        <v>1654</v>
      </c>
      <c r="D51" s="276" t="s">
        <v>1654</v>
      </c>
      <c r="E51" s="20"/>
      <c r="F51" s="20"/>
      <c r="G51" s="20"/>
      <c r="H51" s="20"/>
      <c r="I51" s="202"/>
      <c r="J51" s="196">
        <v>0</v>
      </c>
      <c r="K51" s="20"/>
      <c r="O51" s="28"/>
    </row>
    <row r="52" spans="1:15" ht="17.45" customHeight="1" x14ac:dyDescent="0.2">
      <c r="A52" s="15"/>
      <c r="B52" s="55"/>
      <c r="C52" s="55" t="s">
        <v>214</v>
      </c>
      <c r="D52" s="55"/>
      <c r="E52" s="20"/>
      <c r="F52" s="20"/>
      <c r="G52" s="20"/>
      <c r="H52" s="20"/>
      <c r="I52" s="202"/>
      <c r="J52" s="20"/>
      <c r="K52" s="196">
        <v>410727</v>
      </c>
      <c r="O52" s="28"/>
    </row>
    <row r="53" spans="1:15" ht="17.45" customHeight="1" x14ac:dyDescent="0.2">
      <c r="A53" s="15"/>
      <c r="B53" s="55"/>
      <c r="C53" s="55" t="s">
        <v>1657</v>
      </c>
      <c r="D53" s="55"/>
      <c r="E53" s="20"/>
      <c r="F53" s="20"/>
      <c r="G53" s="20"/>
      <c r="H53" s="20"/>
      <c r="I53" s="202"/>
      <c r="J53" s="20"/>
      <c r="K53" s="196">
        <v>0</v>
      </c>
      <c r="O53" s="28"/>
    </row>
    <row r="54" spans="1:15" ht="17.45" customHeight="1" x14ac:dyDescent="0.25">
      <c r="A54" s="15"/>
      <c r="B54" s="193"/>
      <c r="C54" s="55" t="s">
        <v>1653</v>
      </c>
      <c r="D54" s="55"/>
      <c r="E54" s="55"/>
      <c r="F54" s="20"/>
      <c r="G54" s="20"/>
      <c r="H54" s="20"/>
      <c r="I54" s="26"/>
      <c r="J54" s="32"/>
      <c r="K54" s="196">
        <v>0</v>
      </c>
    </row>
    <row r="55" spans="1:15" ht="17.45" customHeight="1" x14ac:dyDescent="0.3">
      <c r="A55" s="15"/>
      <c r="B55" s="183"/>
      <c r="C55" s="166"/>
      <c r="D55" s="166"/>
      <c r="E55" s="166"/>
      <c r="F55" s="20"/>
      <c r="G55" s="20"/>
      <c r="H55" s="20"/>
      <c r="I55" s="26"/>
      <c r="J55" s="155">
        <f>SUM(J49:J54)</f>
        <v>410727</v>
      </c>
      <c r="K55" s="155">
        <f>SUM(K49:K54)</f>
        <v>410727</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v>0</v>
      </c>
      <c r="K58" s="32"/>
    </row>
    <row r="59" spans="1:15" ht="17.45" customHeight="1" x14ac:dyDescent="0.25">
      <c r="A59" s="15"/>
      <c r="B59" s="193"/>
      <c r="C59" s="20" t="s">
        <v>213</v>
      </c>
      <c r="D59" s="20"/>
      <c r="E59" s="20"/>
      <c r="F59" s="20"/>
      <c r="G59" s="20"/>
      <c r="H59" s="20"/>
      <c r="I59" s="26"/>
      <c r="J59" s="32"/>
      <c r="K59" s="196">
        <v>0</v>
      </c>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8075418</v>
      </c>
    </row>
    <row r="68" spans="2:11" ht="17.45" customHeight="1" x14ac:dyDescent="0.25">
      <c r="D68" s="193" t="s">
        <v>1714</v>
      </c>
      <c r="E68" s="37"/>
      <c r="F68" s="37"/>
      <c r="G68" s="37"/>
      <c r="H68" s="37"/>
      <c r="I68" s="37"/>
      <c r="J68" s="37"/>
      <c r="K68" s="238">
        <f>J41</f>
        <v>1492826</v>
      </c>
    </row>
    <row r="69" spans="2:11" ht="17.45" customHeight="1" x14ac:dyDescent="0.25">
      <c r="D69" s="193" t="s">
        <v>1715</v>
      </c>
      <c r="E69" s="37"/>
      <c r="F69" s="37"/>
      <c r="G69" s="37"/>
      <c r="H69" s="37"/>
      <c r="I69" s="37"/>
      <c r="J69" s="37"/>
      <c r="K69" s="238">
        <f>-K17-K25+J36+J49-K59</f>
        <v>-9017236</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30" sqref="E3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v>2665</v>
      </c>
      <c r="C10" s="298"/>
      <c r="D10" s="82"/>
      <c r="F10" s="38"/>
      <c r="G10" s="38"/>
      <c r="H10" s="38"/>
      <c r="I10" s="38"/>
      <c r="J10" s="38"/>
      <c r="K10" s="38"/>
      <c r="L10" s="38"/>
      <c r="M10" s="38"/>
      <c r="N10" s="38"/>
      <c r="O10" s="38"/>
      <c r="P10" s="6"/>
      <c r="Q10" s="6"/>
      <c r="R10" s="6"/>
      <c r="S10" s="6"/>
    </row>
    <row r="11" spans="1:19" ht="15.75" x14ac:dyDescent="0.25">
      <c r="A11" s="12" t="s">
        <v>208</v>
      </c>
      <c r="B11" s="297" t="s">
        <v>1803</v>
      </c>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v>1492825.5501527032</v>
      </c>
      <c r="C14" s="2">
        <v>199671.89967820153</v>
      </c>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v>1246953.1895484095</v>
      </c>
      <c r="C15" s="2">
        <v>174269.37930200098</v>
      </c>
      <c r="D15" s="62"/>
      <c r="E15" s="271"/>
      <c r="F15" s="5"/>
      <c r="G15" s="5"/>
      <c r="H15" s="5"/>
      <c r="I15" s="5"/>
      <c r="J15" s="5"/>
      <c r="K15" s="5"/>
      <c r="L15" s="5"/>
      <c r="M15" s="5"/>
      <c r="N15" s="5"/>
      <c r="O15" s="5"/>
      <c r="P15" s="5"/>
      <c r="Q15" s="5"/>
      <c r="R15" s="5"/>
      <c r="S15" s="5"/>
    </row>
    <row r="16" spans="1:19" ht="15.75" x14ac:dyDescent="0.25">
      <c r="A16" s="84" t="str">
        <f>LEFT(A15,4)+1&amp;"–"&amp;RIGHT(A15,4)+1</f>
        <v>2026–2027</v>
      </c>
      <c r="B16" s="2">
        <v>1047457.5158635289</v>
      </c>
      <c r="C16" s="2">
        <v>151131.48413647106</v>
      </c>
      <c r="D16" s="62"/>
      <c r="E16" s="271"/>
      <c r="F16" s="5"/>
      <c r="G16" s="5"/>
      <c r="H16" s="5"/>
      <c r="I16" s="5"/>
      <c r="J16" s="5"/>
      <c r="K16" s="5"/>
      <c r="L16" s="5"/>
      <c r="M16" s="5"/>
      <c r="N16" s="5"/>
      <c r="O16" s="5"/>
      <c r="P16" s="5"/>
      <c r="Q16" s="5"/>
      <c r="R16" s="5"/>
      <c r="S16" s="5"/>
    </row>
    <row r="17" spans="1:19" ht="15.75" x14ac:dyDescent="0.25">
      <c r="A17" s="84" t="str">
        <f>LEFT(A16,4)+1&amp;"–"&amp;RIGHT(A16,4)+1</f>
        <v>2027–2028</v>
      </c>
      <c r="B17" s="2">
        <v>497607.32320772152</v>
      </c>
      <c r="C17" s="2">
        <v>133158.67679227848</v>
      </c>
      <c r="D17" s="62"/>
      <c r="E17" s="271"/>
      <c r="F17" s="5"/>
      <c r="G17" s="5"/>
      <c r="H17" s="5"/>
      <c r="I17" s="5"/>
      <c r="J17" s="5"/>
      <c r="K17" s="5"/>
      <c r="L17" s="5"/>
      <c r="M17" s="5"/>
      <c r="N17" s="5"/>
      <c r="O17" s="5"/>
      <c r="P17" s="5"/>
      <c r="Q17" s="5"/>
      <c r="R17" s="5"/>
      <c r="S17" s="5"/>
    </row>
    <row r="18" spans="1:19" ht="15.75" x14ac:dyDescent="0.25">
      <c r="A18" s="84" t="str">
        <f>LEFT(A17,4)+1&amp;"–"&amp;RIGHT(A17,4)+1</f>
        <v>2028–2029</v>
      </c>
      <c r="B18" s="2">
        <v>236547</v>
      </c>
      <c r="C18" s="2">
        <v>123975</v>
      </c>
      <c r="D18" s="62"/>
      <c r="E18" s="98" t="s">
        <v>130</v>
      </c>
      <c r="F18" s="5"/>
      <c r="G18" s="88"/>
      <c r="H18" s="88"/>
      <c r="I18" s="5"/>
      <c r="J18" s="88"/>
      <c r="K18" s="88"/>
      <c r="L18" s="5"/>
      <c r="M18" s="5"/>
      <c r="N18" s="5"/>
      <c r="O18" s="5"/>
      <c r="P18" s="5"/>
      <c r="Q18" s="5"/>
      <c r="R18" s="5"/>
      <c r="S18" s="5"/>
    </row>
    <row r="19" spans="1:19" ht="15.75" x14ac:dyDescent="0.25">
      <c r="A19" s="84" t="str">
        <f>LEFT(A18,4)+1&amp;"–"&amp;RIGHT(A18,4)+5</f>
        <v>2029–2034</v>
      </c>
      <c r="B19" s="2">
        <v>267631</v>
      </c>
      <c r="C19" s="2">
        <v>597951</v>
      </c>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v>534588</v>
      </c>
      <c r="C20" s="2">
        <v>563534</v>
      </c>
      <c r="D20" s="62"/>
      <c r="E20" s="98">
        <v>0</v>
      </c>
      <c r="F20" s="5"/>
      <c r="G20" s="88"/>
      <c r="H20" s="88"/>
      <c r="I20" s="5"/>
      <c r="J20" s="5"/>
      <c r="K20" s="5"/>
      <c r="L20" s="5"/>
      <c r="M20" s="5"/>
      <c r="N20" s="5"/>
      <c r="O20" s="5"/>
      <c r="P20" s="5"/>
      <c r="Q20" s="5"/>
      <c r="R20" s="5"/>
      <c r="S20" s="5"/>
    </row>
    <row r="21" spans="1:19" x14ac:dyDescent="0.2">
      <c r="A21" s="84" t="str">
        <f t="shared" si="0"/>
        <v>2039–2044</v>
      </c>
      <c r="B21" s="2">
        <v>1369155</v>
      </c>
      <c r="C21" s="2">
        <v>449141</v>
      </c>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v>1765226</v>
      </c>
      <c r="C22" s="2">
        <v>180286</v>
      </c>
      <c r="D22" s="62"/>
      <c r="E22" s="271"/>
      <c r="G22" s="22"/>
      <c r="H22" s="22"/>
    </row>
    <row r="23" spans="1:19" x14ac:dyDescent="0.2">
      <c r="A23" s="84" t="str">
        <f t="shared" si="0"/>
        <v>2049–2054</v>
      </c>
      <c r="B23" s="2">
        <v>256335</v>
      </c>
      <c r="C23" s="2">
        <v>73643</v>
      </c>
      <c r="D23" s="62"/>
      <c r="E23" s="98" t="s">
        <v>1804</v>
      </c>
      <c r="G23" s="22"/>
      <c r="H23" s="22"/>
    </row>
    <row r="24" spans="1:19" x14ac:dyDescent="0.2">
      <c r="A24" s="84" t="str">
        <f t="shared" si="0"/>
        <v>2054–2059</v>
      </c>
      <c r="B24" s="2">
        <v>291077</v>
      </c>
      <c r="C24" s="2">
        <v>53802</v>
      </c>
      <c r="D24" s="62"/>
      <c r="E24" s="59"/>
      <c r="G24" s="22"/>
    </row>
    <row r="25" spans="1:19" x14ac:dyDescent="0.2">
      <c r="A25" s="84" t="str">
        <f t="shared" si="0"/>
        <v>2059–2064</v>
      </c>
      <c r="B25" s="2">
        <v>380839</v>
      </c>
      <c r="C25" s="2">
        <v>28770</v>
      </c>
      <c r="D25" s="62"/>
      <c r="E25" s="59"/>
    </row>
    <row r="26" spans="1:19" ht="15.75" x14ac:dyDescent="0.25">
      <c r="A26" s="84" t="str">
        <f t="shared" si="0"/>
        <v>2064–2069</v>
      </c>
      <c r="B26" s="2">
        <v>182002</v>
      </c>
      <c r="C26" s="2">
        <v>2885</v>
      </c>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2665</v>
      </c>
      <c r="C41" s="278"/>
      <c r="D41" s="91"/>
    </row>
    <row r="42" spans="1:19" ht="15.75" x14ac:dyDescent="0.25">
      <c r="A42" s="12" t="s">
        <v>208</v>
      </c>
      <c r="B42" s="276" t="str">
        <f>B11</f>
        <v>High-Speed Rail Authority</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2665</v>
      </c>
      <c r="C72" s="278"/>
      <c r="D72" s="91"/>
    </row>
    <row r="73" spans="1:19" ht="15.75" x14ac:dyDescent="0.25">
      <c r="A73" s="12" t="s">
        <v>208</v>
      </c>
      <c r="B73" s="276" t="str">
        <f>B42</f>
        <v>High-Speed Rail Authority</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9331 Journal Entries'!$E$8="Governmental Fund",'LR-Fund 9331 Journal Entries'!$J$14,0)</f>
        <v>10180967</v>
      </c>
      <c r="C16" s="168" t="s">
        <v>155</v>
      </c>
      <c r="D16" s="130">
        <f>IF('LR-Fund 9331 Journal Entries'!$E$8="Governmental Fund",'LR-Fund 9331 Journal Entries'!$J$24,0)</f>
        <v>1413531</v>
      </c>
      <c r="E16" s="170" t="s">
        <v>156</v>
      </c>
      <c r="F16" s="130">
        <f>IF('LR-Fund 9331 Journal Entries'!$E$8="Governmental Fund",'LR-Fund 9331 Journal Entries'!$K$31,0)</f>
        <v>1615527</v>
      </c>
      <c r="G16" s="169" t="s">
        <v>156</v>
      </c>
      <c r="H16" s="130">
        <f>IF('LR-Fund 9331 Journal Entries'!$E$8="Governmental Fund",'LR-Fund 9331 Journal Entries'!$K$52,0)</f>
        <v>410727</v>
      </c>
      <c r="I16" s="169" t="s">
        <v>155</v>
      </c>
      <c r="J16" s="130">
        <f>IF('LR-Fund 9331 Journal Entries'!$E$8="Governmental Fund",'LR-Fund 9331 Journal Entries'!$J$58,0)</f>
        <v>0</v>
      </c>
      <c r="K16" s="170" t="s">
        <v>159</v>
      </c>
      <c r="L16" s="133">
        <f>+B16+D16-F16-H16+J16</f>
        <v>9568244</v>
      </c>
      <c r="M16" s="132"/>
      <c r="N16" s="134">
        <f>SUM('LR-Department Note Disclosure'!B14:B37)</f>
        <v>9568243.5787723623</v>
      </c>
      <c r="O16" s="131"/>
      <c r="P16" s="135">
        <f>L16-N16</f>
        <v>0.42122763767838478</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9331 Journal Entries'!$E$8="Proprietary - Internal Service Fund",'LR-Fund 9331 Journal Entries'!$J$14,0)</f>
        <v>0</v>
      </c>
      <c r="C24" s="168" t="s">
        <v>155</v>
      </c>
      <c r="D24" s="130">
        <f>IF('LR-Fund 9331 Journal Entries'!$E$8="Proprietary - Internal Service Fund",'LR-Fund 9331 Journal Entries'!$J$24,0)</f>
        <v>0</v>
      </c>
      <c r="E24" s="170" t="s">
        <v>156</v>
      </c>
      <c r="F24" s="130">
        <f>IF('LR-Fund 9331 Journal Entries'!$E$8="Proprietary - Internal Service Fund",'LR-Fund 9331 Journal Entries'!$K$31,0)</f>
        <v>0</v>
      </c>
      <c r="G24" s="169" t="s">
        <v>156</v>
      </c>
      <c r="H24" s="130">
        <f>IF('LR-Fund 9331 Journal Entries'!$E$8="Proprietary - Internal Service Fund",'LR-Fund 9331 Journal Entries'!$K$52,0)</f>
        <v>0</v>
      </c>
      <c r="I24" s="169" t="s">
        <v>155</v>
      </c>
      <c r="J24" s="130">
        <f>IF('LR-Fund 9331 Journal Entries'!$E$8="Proprietary - Internal Service Fund",'LR-Fund 9331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9331 Journal Entries'!$E$8="Proprietary - Enterprise Fund",'LR-Fund 9331 Journal Entries'!$J$14,0)</f>
        <v>0</v>
      </c>
      <c r="C33" s="168" t="s">
        <v>155</v>
      </c>
      <c r="D33" s="130">
        <f>IF('LR-Fund 9331 Journal Entries'!$E$8="Proprietary - Enterprise Fund",'LR-Fund 9331 Journal Entries'!$J$24,0)</f>
        <v>0</v>
      </c>
      <c r="E33" s="170" t="s">
        <v>156</v>
      </c>
      <c r="F33" s="130">
        <f>IF('LR-Fund 9331 Journal Entries'!$E$8="Proprietary - Enterprise Fund",'LR-Fund 9331 Journal Entries'!$K$31,0)</f>
        <v>0</v>
      </c>
      <c r="G33" s="169" t="s">
        <v>156</v>
      </c>
      <c r="H33" s="130">
        <f>IF('LR-Fund 9331 Journal Entries'!$E$8="Proprietary - Enterprise Fund",'LR-Fund 9331 Journal Entries'!$K$52,0)</f>
        <v>0</v>
      </c>
      <c r="I33" s="169" t="s">
        <v>155</v>
      </c>
      <c r="J33" s="130">
        <f>IF('LR-Fund 9331 Journal Entries'!$E$8="Proprietary - Enterprise Fund",'LR-Fund 9331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9331 Journal Entries'!$E$8="Governmental Fund",'LR-Fund 9331 Journal Entries'!$J$41,0)</f>
        <v>1492826</v>
      </c>
      <c r="C42" s="138"/>
      <c r="E42" s="138"/>
      <c r="G42" s="167"/>
      <c r="H42" s="167"/>
      <c r="I42" s="167"/>
      <c r="J42" s="167"/>
      <c r="K42" s="138"/>
      <c r="L42" s="138"/>
      <c r="M42" s="139"/>
      <c r="N42" s="134">
        <f>'LR-Department Note Disclosure'!B14</f>
        <v>1492825.5501527032</v>
      </c>
      <c r="O42" s="140"/>
      <c r="P42" s="135">
        <f>B42-N42</f>
        <v>0.44984729681164026</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9331 Journal Entries'!$E$8="Proprietary - Internal Service Fund",'LR-Fund 9331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9331 Journal Entries'!$E$8="Proprietary - Enterprise Fund",'LR-Fund 9331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A5" sqref="A5:Q7"/>
      <selection pane="bottomLeft" activeCell="A5" sqref="A5:Q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A5" sqref="A5:Q7"/>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A5" sqref="A5:Q7"/>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9331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9331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2025-01-16T22:30:36Z</dcterms:modified>
</cp:coreProperties>
</file>