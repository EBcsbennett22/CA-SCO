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or\"/>
    </mc:Choice>
  </mc:AlternateContent>
  <xr:revisionPtr revIDLastSave="0" documentId="13_ncr:1_{4A5A5A1C-C9AE-44E0-9D45-962F6DF0A058}" xr6:coauthVersionLast="47" xr6:coauthVersionMax="47" xr10:uidLastSave="{00000000-0000-0000-0000-000000000000}"/>
  <bookViews>
    <workbookView xWindow="20370" yWindow="-120" windowWidth="29040" windowHeight="15840" tabRatio="921" firstSheet="11" activeTab="11" xr2:uid="{00000000-000D-0000-FFFF-FFFF00000000}"/>
  </bookViews>
  <sheets>
    <sheet name="Drop Down Menus" sheetId="1" state="hidden" r:id="rId1"/>
    <sheet name="qryIndex02a" sheetId="11" state="hidden" r:id="rId2"/>
    <sheet name="LS-Version Changes" sheetId="13" state="hidden" r:id="rId3"/>
    <sheet name="LS-Fund 0042 Journal Entries" sheetId="2" state="hidden" r:id="rId4"/>
    <sheet name="LS-Fund 0046 Journal Entrie " sheetId="16" state="hidden" r:id="rId5"/>
    <sheet name="LS-Fund 3290 Journal Entrie " sheetId="17" state="hidden" r:id="rId6"/>
    <sheet name="LS-Fund 3291 Journal Entrie" sheetId="18" state="hidden" r:id="rId7"/>
    <sheet name="LS-Department Note Disclosure" sheetId="3" state="hidden" r:id="rId8"/>
    <sheet name="LS-Lease Liabilities" sheetId="4" state="hidden" r:id="rId9"/>
    <sheet name="LS-Check Figures  " sheetId="7" state="hidden" r:id="rId10"/>
    <sheet name="LR-Version Changes" sheetId="15" state="hidden" r:id="rId11"/>
    <sheet name="LR-Fund 0042 Journal Entries" sheetId="5" r:id="rId12"/>
    <sheet name="LR-Department Note Disclosure" sheetId="6" r:id="rId13"/>
    <sheet name="LR-Check Figures" sheetId="12" r:id="rId14"/>
    <sheet name="FP-Version Changes" sheetId="14" state="hidden" r:id="rId15"/>
    <sheet name="FP-Fund 0046 Journal Entries" sheetId="8" state="hidden" r:id="rId16"/>
    <sheet name="FP-Lease Liabilities" sheetId="10" state="hidden" r:id="rId17"/>
  </sheets>
  <externalReferences>
    <externalReference r:id="rId1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4">#REF!</definedName>
    <definedName name="AgencyCode" localSheetId="13">#REF!</definedName>
    <definedName name="AgencyCode" localSheetId="10">#REF!</definedName>
    <definedName name="AgencyCode">#REF!</definedName>
    <definedName name="AgencyCode1" localSheetId="14">#REF!</definedName>
    <definedName name="AgencyCode1" localSheetId="13">#REF!</definedName>
    <definedName name="AgencyCode1" localSheetId="10">#REF!</definedName>
    <definedName name="AgencyCode1">#REF!</definedName>
    <definedName name="AnalystGASB">[1]DeveloperInfo!$D$20</definedName>
    <definedName name="Annuity" localSheetId="14">#REF!</definedName>
    <definedName name="Annuity" localSheetId="13">#REF!</definedName>
    <definedName name="Annuity" localSheetId="10">#REF!</definedName>
    <definedName name="Annuity">#REF!</definedName>
    <definedName name="Annuity1" localSheetId="14">#REF!</definedName>
    <definedName name="Annuity1" localSheetId="13">#REF!</definedName>
    <definedName name="Annuity1" localSheetId="10">#REF!</definedName>
    <definedName name="Annuity1">#REF!</definedName>
    <definedName name="AnnuityLY" localSheetId="14">#REF!</definedName>
    <definedName name="AnnuityLY" localSheetId="13">#REF!</definedName>
    <definedName name="AnnuityLY" localSheetId="10">#REF!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4">#REF!</definedName>
    <definedName name="EmployerRates" localSheetId="13">#REF!</definedName>
    <definedName name="EmployerRates" localSheetId="10">#REF!</definedName>
    <definedName name="EmployerRates">#REF!</definedName>
    <definedName name="EmployerRates1" localSheetId="14">#REF!</definedName>
    <definedName name="EmployerRates1" localSheetId="13">#REF!</definedName>
    <definedName name="EmployerRates1" localSheetId="10">#REF!</definedName>
    <definedName name="EmployerRates1">#REF!</definedName>
    <definedName name="EmployerRatesLEO" localSheetId="14">#REF!</definedName>
    <definedName name="EmployerRatesLEO" localSheetId="13">#REF!</definedName>
    <definedName name="EmployerRatesLEO" localSheetId="10">#REF!</definedName>
    <definedName name="EmployerRatesLEO">#REF!</definedName>
    <definedName name="EmployerRatesLEO1" localSheetId="14">#REF!</definedName>
    <definedName name="EmployerRatesLEO1" localSheetId="13">#REF!</definedName>
    <definedName name="EmployerRatesLEO1" localSheetId="10">#REF!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4">#REF!</definedName>
    <definedName name="Pension" localSheetId="13">#REF!</definedName>
    <definedName name="Pension" localSheetId="10">#REF!</definedName>
    <definedName name="Pension">#REF!</definedName>
    <definedName name="Pension1" localSheetId="14">#REF!</definedName>
    <definedName name="Pension1" localSheetId="13">#REF!</definedName>
    <definedName name="Pension1" localSheetId="10">#REF!</definedName>
    <definedName name="Pension1">#REF!</definedName>
    <definedName name="PensionLY" localSheetId="14">#REF!</definedName>
    <definedName name="PensionLY" localSheetId="13">#REF!</definedName>
    <definedName name="PensionLY" localSheetId="10">#REF!</definedName>
    <definedName name="PensionLY">#REF!</definedName>
    <definedName name="PlanNameLongGASB">[1]DeveloperInfo!$D$7</definedName>
    <definedName name="PlanNameShortGASB">[1]DeveloperInfo!$D$8</definedName>
    <definedName name="_xlnm.Print_Area" localSheetId="15">'FP-Fund 0046 Journal Entries'!$A$1:$R$84</definedName>
    <definedName name="_xlnm.Print_Area" localSheetId="16">'FP-Lease Liabilities'!$A$1:$S$23</definedName>
    <definedName name="_xlnm.Print_Area" localSheetId="13">'LR-Check Figures'!$A$1:$Q$59</definedName>
    <definedName name="_xlnm.Print_Area" localSheetId="12">'LR-Department Note Disclosure'!$A$1:$E$99</definedName>
    <definedName name="_xlnm.Print_Area" localSheetId="11">'LR-Fund 0042 Journal Entries'!$A$1:$R$70</definedName>
    <definedName name="_xlnm.Print_Area" localSheetId="7">'LS-Department Note Disclosure'!$A$1:$F$96</definedName>
    <definedName name="_xlnm.Print_Area" localSheetId="3">'LS-Fund 0042 Journal Entries'!$A$1:$R$130</definedName>
    <definedName name="_xlnm.Print_Area" localSheetId="4">'LS-Fund 0046 Journal Entrie '!$A$1:$R$130</definedName>
    <definedName name="_xlnm.Print_Area" localSheetId="5">'LS-Fund 3290 Journal Entrie '!$A$1:$R$130</definedName>
    <definedName name="_xlnm.Print_Area" localSheetId="6">'LS-Fund 3291 Journal Entrie'!$A$1:$R$130</definedName>
    <definedName name="_xlnm.Print_Area" localSheetId="8">'LS-Lease Liabilities'!$A$1:$U$24</definedName>
    <definedName name="ProjDisc?">[1]DeveloperInfo!$D$65</definedName>
    <definedName name="ProValResults" localSheetId="14">#REF!</definedName>
    <definedName name="ProValResults" localSheetId="13">#REF!</definedName>
    <definedName name="ProValResults" localSheetId="10">#REF!</definedName>
    <definedName name="ProValResults">#REF!</definedName>
    <definedName name="ProValResults1" localSheetId="14">#REF!</definedName>
    <definedName name="ProValResults1" localSheetId="13">#REF!</definedName>
    <definedName name="ProValResults1" localSheetId="10">#REF!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4">#REF!</definedName>
    <definedName name="TableData" localSheetId="13">#REF!</definedName>
    <definedName name="TableData" localSheetId="10">#REF!</definedName>
    <definedName name="TableData">#REF!</definedName>
    <definedName name="TableData1" localSheetId="14">#REF!</definedName>
    <definedName name="TableData1" localSheetId="13">#REF!</definedName>
    <definedName name="TableData1" localSheetId="10">#REF!</definedName>
    <definedName name="TableData1">#REF!</definedName>
    <definedName name="Type" localSheetId="14">#REF!</definedName>
    <definedName name="Type" localSheetId="13">#REF!</definedName>
    <definedName name="Type" localSheetId="10">#REF!</definedName>
    <definedName name="Type">#REF!</definedName>
    <definedName name="TypeAnnuity" localSheetId="14">#REF!</definedName>
    <definedName name="TypeAnnuity" localSheetId="13">#REF!</definedName>
    <definedName name="TypeAnnuity" localSheetId="10">#REF!</definedName>
    <definedName name="TypeAnnuity">#REF!</definedName>
    <definedName name="TypeAnnuity1" localSheetId="14">#REF!</definedName>
    <definedName name="TypeAnnuity1" localSheetId="13">#REF!</definedName>
    <definedName name="TypeAnnuity1" localSheetId="10">#REF!</definedName>
    <definedName name="TypeAnnuity1">#REF!</definedName>
    <definedName name="TypePension" localSheetId="14">#REF!</definedName>
    <definedName name="TypePension" localSheetId="13">#REF!</definedName>
    <definedName name="TypePension" localSheetId="10">#REF!</definedName>
    <definedName name="TypePension">#REF!</definedName>
    <definedName name="TypePension1" localSheetId="14">#REF!</definedName>
    <definedName name="TypePension1" localSheetId="13">#REF!</definedName>
    <definedName name="TypePension1" localSheetId="10">#REF!</definedName>
    <definedName name="TypePension1">#REF!</definedName>
    <definedName name="UnfundedData" localSheetId="14">#REF!</definedName>
    <definedName name="UnfundedData" localSheetId="13">#REF!</definedName>
    <definedName name="UnfundedData" localSheetId="10">#REF!</definedName>
    <definedName name="UnfundedData">#REF!</definedName>
    <definedName name="UnfundedData1" localSheetId="14">#REF!</definedName>
    <definedName name="UnfundedData1" localSheetId="13">#REF!</definedName>
    <definedName name="UnfundedData1" localSheetId="10">#REF!</definedName>
    <definedName name="UnfundedData1">#REF!</definedName>
    <definedName name="UnfundedLY" localSheetId="14">#REF!</definedName>
    <definedName name="UnfundedLY" localSheetId="13">#REF!</definedName>
    <definedName name="UnfundedLY" localSheetId="10">#REF!</definedName>
    <definedName name="UnfundedLY">#REF!</definedName>
    <definedName name="UnfundedLY1" localSheetId="14">#REF!</definedName>
    <definedName name="UnfundedLY1" localSheetId="13">#REF!</definedName>
    <definedName name="UnfundedLY1" localSheetId="10">#REF!</definedName>
    <definedName name="UnfundedLY1">#REF!</definedName>
    <definedName name="UnfundedLYLEO1" localSheetId="14">#REF!</definedName>
    <definedName name="UnfundedLYLEO1" localSheetId="13">#REF!</definedName>
    <definedName name="UnfundedLYLEO1" localSheetId="10">#REF!</definedName>
    <definedName name="UnfundedLYLEO1">#REF!</definedName>
    <definedName name="UnfunedLYLEO" localSheetId="14">#REF!</definedName>
    <definedName name="UnfunedLYLEO" localSheetId="13">#REF!</definedName>
    <definedName name="UnfunedLYLEO" localSheetId="10">#REF!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18" l="1"/>
  <c r="K114" i="18"/>
  <c r="J114" i="18"/>
  <c r="L114" i="18" s="1"/>
  <c r="K105" i="18"/>
  <c r="L105" i="18" s="1"/>
  <c r="J105" i="18"/>
  <c r="K91" i="18"/>
  <c r="J91" i="18"/>
  <c r="L91" i="18" s="1"/>
  <c r="K77" i="18"/>
  <c r="J77" i="18"/>
  <c r="L77" i="18" s="1"/>
  <c r="K70" i="18"/>
  <c r="J70" i="18"/>
  <c r="L70" i="18" s="1"/>
  <c r="L69" i="18"/>
  <c r="K65" i="18"/>
  <c r="L65" i="18" s="1"/>
  <c r="J65" i="18"/>
  <c r="B63" i="18"/>
  <c r="L62" i="18"/>
  <c r="K59" i="18"/>
  <c r="J59" i="18"/>
  <c r="L59" i="18" s="1"/>
  <c r="K49" i="18"/>
  <c r="J49" i="18"/>
  <c r="K43" i="18"/>
  <c r="J43" i="18"/>
  <c r="K36" i="18"/>
  <c r="J36" i="18"/>
  <c r="S25" i="18"/>
  <c r="Q24" i="18"/>
  <c r="K24" i="18" s="1"/>
  <c r="S23" i="18"/>
  <c r="K23" i="18"/>
  <c r="K128" i="18" s="1"/>
  <c r="S22" i="18"/>
  <c r="K22" i="18"/>
  <c r="K127" i="18" s="1"/>
  <c r="S21" i="18"/>
  <c r="K21" i="18"/>
  <c r="K126" i="18" s="1"/>
  <c r="S20" i="18"/>
  <c r="K20" i="18"/>
  <c r="K25" i="18" s="1"/>
  <c r="S19" i="18"/>
  <c r="P18" i="18"/>
  <c r="S18" i="18" s="1"/>
  <c r="J18" i="18"/>
  <c r="S17" i="18"/>
  <c r="J17" i="18"/>
  <c r="K124" i="18" s="1"/>
  <c r="S16" i="18"/>
  <c r="J16" i="18"/>
  <c r="K123" i="18" s="1"/>
  <c r="S15" i="18"/>
  <c r="J15" i="18"/>
  <c r="K122" i="18" s="1"/>
  <c r="F9" i="18"/>
  <c r="C104" i="18" s="1"/>
  <c r="K129" i="17"/>
  <c r="K114" i="17"/>
  <c r="J114" i="17"/>
  <c r="L114" i="17" s="1"/>
  <c r="K105" i="17"/>
  <c r="L105" i="17" s="1"/>
  <c r="J105" i="17"/>
  <c r="K91" i="17"/>
  <c r="J91" i="17"/>
  <c r="K77" i="17"/>
  <c r="J77" i="17"/>
  <c r="L77" i="17" s="1"/>
  <c r="K70" i="17"/>
  <c r="J70" i="17"/>
  <c r="L70" i="17" s="1"/>
  <c r="L69" i="17"/>
  <c r="K65" i="17"/>
  <c r="L65" i="17" s="1"/>
  <c r="J65" i="17"/>
  <c r="B63" i="17"/>
  <c r="L62" i="17"/>
  <c r="K59" i="17"/>
  <c r="J59" i="17"/>
  <c r="L59" i="17" s="1"/>
  <c r="K49" i="17"/>
  <c r="J49" i="17"/>
  <c r="K43" i="17"/>
  <c r="J43" i="17"/>
  <c r="K36" i="17"/>
  <c r="J36" i="17"/>
  <c r="L36" i="17" s="1"/>
  <c r="S25" i="17"/>
  <c r="Q24" i="17"/>
  <c r="S24" i="17" s="1"/>
  <c r="S23" i="17"/>
  <c r="K23" i="17"/>
  <c r="K128" i="17" s="1"/>
  <c r="S22" i="17"/>
  <c r="K22" i="17"/>
  <c r="K127" i="17" s="1"/>
  <c r="S21" i="17"/>
  <c r="K21" i="17"/>
  <c r="K126" i="17" s="1"/>
  <c r="S20" i="17"/>
  <c r="K20" i="17"/>
  <c r="S19" i="17"/>
  <c r="P18" i="17"/>
  <c r="S18" i="17" s="1"/>
  <c r="J18" i="17"/>
  <c r="S17" i="17"/>
  <c r="J17" i="17"/>
  <c r="K124" i="17" s="1"/>
  <c r="S16" i="17"/>
  <c r="J16" i="17"/>
  <c r="K123" i="17" s="1"/>
  <c r="S15" i="17"/>
  <c r="J15" i="17"/>
  <c r="F9" i="17"/>
  <c r="C104" i="17" s="1"/>
  <c r="K129" i="16"/>
  <c r="K125" i="16"/>
  <c r="K114" i="16"/>
  <c r="J114" i="16"/>
  <c r="L114" i="16" s="1"/>
  <c r="L105" i="16"/>
  <c r="K105" i="16"/>
  <c r="J105" i="16"/>
  <c r="K91" i="16"/>
  <c r="J91" i="16"/>
  <c r="L91" i="16" s="1"/>
  <c r="K77" i="16"/>
  <c r="J77" i="16"/>
  <c r="L77" i="16" s="1"/>
  <c r="K70" i="16"/>
  <c r="J70" i="16"/>
  <c r="L69" i="16"/>
  <c r="K65" i="16"/>
  <c r="J65" i="16"/>
  <c r="B63" i="16"/>
  <c r="L62" i="16"/>
  <c r="K59" i="16"/>
  <c r="J59" i="16"/>
  <c r="L59" i="16" s="1"/>
  <c r="L49" i="16"/>
  <c r="K49" i="16"/>
  <c r="J49" i="16"/>
  <c r="K43" i="16"/>
  <c r="L43" i="16" s="1"/>
  <c r="J43" i="16"/>
  <c r="K36" i="16"/>
  <c r="J36" i="16"/>
  <c r="L36" i="16" s="1"/>
  <c r="S25" i="16"/>
  <c r="Q24" i="16"/>
  <c r="S24" i="16" s="1"/>
  <c r="S23" i="16"/>
  <c r="K23" i="16"/>
  <c r="K128" i="16" s="1"/>
  <c r="S22" i="16"/>
  <c r="K22" i="16"/>
  <c r="K127" i="16" s="1"/>
  <c r="S21" i="16"/>
  <c r="K21" i="16"/>
  <c r="S20" i="16"/>
  <c r="K20" i="16"/>
  <c r="S19" i="16"/>
  <c r="P18" i="16"/>
  <c r="J18" i="16" s="1"/>
  <c r="S17" i="16"/>
  <c r="J17" i="16"/>
  <c r="K124" i="16" s="1"/>
  <c r="S16" i="16"/>
  <c r="J16" i="16"/>
  <c r="K123" i="16" s="1"/>
  <c r="S15" i="16"/>
  <c r="J15" i="16"/>
  <c r="K122" i="16" s="1"/>
  <c r="F9" i="16"/>
  <c r="C104" i="16" s="1"/>
  <c r="L49" i="18" l="1"/>
  <c r="L43" i="18"/>
  <c r="L36" i="18"/>
  <c r="S24" i="18"/>
  <c r="L91" i="17"/>
  <c r="L49" i="17"/>
  <c r="L43" i="17"/>
  <c r="L70" i="16"/>
  <c r="L65" i="16"/>
  <c r="S18" i="16"/>
  <c r="K26" i="18"/>
  <c r="K125" i="18"/>
  <c r="C64" i="18"/>
  <c r="B100" i="18"/>
  <c r="C35" i="18"/>
  <c r="J19" i="18"/>
  <c r="J26" i="18" s="1"/>
  <c r="L26" i="18" s="1"/>
  <c r="K122" i="17"/>
  <c r="C35" i="17"/>
  <c r="C64" i="17"/>
  <c r="K24" i="17"/>
  <c r="K25" i="17" s="1"/>
  <c r="K125" i="17"/>
  <c r="B100" i="17"/>
  <c r="C64" i="16"/>
  <c r="K24" i="16"/>
  <c r="B100" i="16"/>
  <c r="K126" i="16"/>
  <c r="C35" i="16"/>
  <c r="J19" i="17" l="1"/>
  <c r="J26" i="17" s="1"/>
  <c r="K26" i="17"/>
  <c r="L26" i="17" s="1"/>
  <c r="K25" i="16"/>
  <c r="K26" i="16" s="1"/>
  <c r="J19" i="16"/>
  <c r="J26" i="16" s="1"/>
  <c r="L26" i="16" l="1"/>
  <c r="C32" i="5" l="1"/>
  <c r="B63" i="2"/>
  <c r="B57" i="8"/>
  <c r="L56" i="8"/>
  <c r="L63" i="8"/>
  <c r="K83" i="8"/>
  <c r="K78" i="8"/>
  <c r="K77" i="8"/>
  <c r="J18" i="4"/>
  <c r="H18" i="4"/>
  <c r="N18" i="4"/>
  <c r="F18" i="4"/>
  <c r="L69" i="2"/>
  <c r="L62" i="2"/>
  <c r="S20" i="2"/>
  <c r="Q24" i="2"/>
  <c r="P18" i="2"/>
  <c r="H16" i="12"/>
  <c r="B57" i="12"/>
  <c r="B49" i="12"/>
  <c r="B42" i="12"/>
  <c r="J33" i="12"/>
  <c r="H33" i="12"/>
  <c r="F33" i="12"/>
  <c r="D33" i="12"/>
  <c r="J24" i="12"/>
  <c r="H24" i="12"/>
  <c r="F24" i="12"/>
  <c r="D24" i="12"/>
  <c r="B24" i="12"/>
  <c r="J16" i="12"/>
  <c r="F16" i="12"/>
  <c r="D16" i="12"/>
  <c r="J15" i="8" l="1"/>
  <c r="J16" i="8"/>
  <c r="Q18" i="5"/>
  <c r="K53" i="8" l="1"/>
  <c r="J53" i="8"/>
  <c r="K68" i="5" l="1"/>
  <c r="K129"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B16" i="12" s="1"/>
  <c r="L16" i="12" s="1"/>
  <c r="P16" i="12" s="1"/>
  <c r="D18" i="12" s="1"/>
  <c r="S18" i="8"/>
  <c r="S24" i="8"/>
  <c r="S18" i="2"/>
  <c r="K23" i="8"/>
  <c r="K82" i="8" s="1"/>
  <c r="K22" i="8"/>
  <c r="K81" i="8" s="1"/>
  <c r="K21" i="8"/>
  <c r="K80" i="8" s="1"/>
  <c r="J17" i="8"/>
  <c r="K79" i="8" s="1"/>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79" i="7"/>
  <c r="J16" i="7"/>
  <c r="H67" i="7" s="1"/>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J11" i="10"/>
  <c r="H11" i="10"/>
  <c r="F11" i="10"/>
  <c r="L10" i="10"/>
  <c r="P10" i="10" s="1"/>
  <c r="P11" i="10" s="1"/>
  <c r="J4" i="10"/>
  <c r="F7" i="10" s="1"/>
  <c r="K26" i="8"/>
  <c r="J26" i="8"/>
  <c r="K26" i="2"/>
  <c r="J26" i="2"/>
  <c r="L11" i="10" l="1"/>
  <c r="L15" i="10"/>
  <c r="L26" i="8"/>
  <c r="L19" i="10"/>
  <c r="L59" i="8"/>
  <c r="L46" i="8"/>
  <c r="L64" i="8"/>
  <c r="L34" i="8"/>
  <c r="L7" i="10"/>
  <c r="L69" i="8"/>
  <c r="L41" i="8"/>
  <c r="L53" i="8"/>
  <c r="L91" i="2"/>
  <c r="L43" i="2"/>
  <c r="L88" i="7" l="1"/>
  <c r="L77" i="7"/>
  <c r="L66" i="7"/>
  <c r="D33" i="7"/>
  <c r="D89" i="7" s="1"/>
  <c r="J89" i="7" s="1"/>
  <c r="P89" i="7" s="1"/>
  <c r="D78" i="7"/>
  <c r="J78" i="7" s="1"/>
  <c r="P78" i="7" s="1"/>
  <c r="B57" i="7"/>
  <c r="D91" i="7" s="1"/>
  <c r="J91" i="7" s="1"/>
  <c r="P91" i="7" s="1"/>
  <c r="D80" i="7"/>
  <c r="J80" i="7" s="1"/>
  <c r="P80" i="7" s="1"/>
  <c r="F33" i="7"/>
  <c r="D90" i="7" s="1"/>
  <c r="J90" i="7" s="1"/>
  <c r="P90" i="7" s="1"/>
  <c r="D79" i="7"/>
  <c r="J79" i="7" s="1"/>
  <c r="P79" i="7" s="1"/>
  <c r="N57" i="7"/>
  <c r="N49" i="7"/>
  <c r="N42" i="7"/>
  <c r="N33" i="7"/>
  <c r="N24" i="7"/>
  <c r="B33"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<sst xmlns="http://schemas.openxmlformats.org/spreadsheetml/2006/main" count="8482" uniqueCount="1807">
  <si>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</si>
  <si>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</si>
  <si>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</si>
  <si>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</si>
  <si>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</si>
  <si>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</si>
  <si>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</si>
  <si>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</si>
  <si>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</si>
  <si>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</si>
  <si>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</si>
  <si>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</si>
  <si>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</si>
  <si>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</si>
  <si>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</si>
  <si>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</si>
  <si>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</si>
  <si>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</si>
  <si>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</si>
  <si>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</si>
  <si>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</si>
  <si>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</si>
  <si>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</si>
  <si>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</si>
  <si>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</si>
  <si>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</si>
  <si>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</si>
  <si>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</si>
  <si>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</si>
  <si>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</si>
  <si>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</si>
  <si>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</si>
  <si>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</si>
  <si>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</si>
  <si>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</si>
  <si>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</si>
  <si>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</si>
  <si>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</si>
  <si>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</si>
  <si>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</si>
  <si>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</si>
  <si>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</si>
  <si>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</si>
  <si>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</si>
  <si>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</si>
  <si>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</si>
  <si>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</si>
  <si>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</si>
  <si>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</si>
  <si>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</si>
  <si>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</si>
  <si>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</si>
  <si>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</si>
  <si>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</si>
  <si>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</si>
  <si>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</si>
  <si>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</si>
  <si>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</si>
  <si>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</si>
  <si>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</si>
  <si>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</si>
  <si>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</si>
  <si>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</si>
  <si>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</si>
  <si>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</si>
  <si>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</si>
  <si>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</si>
  <si>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</si>
  <si>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</si>
  <si>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</si>
  <si>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</si>
  <si>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</si>
  <si>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</si>
  <si>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</si>
  <si>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</si>
  <si>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</si>
  <si>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</si>
  <si>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</si>
  <si>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</si>
  <si>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</si>
  <si>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</si>
  <si>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</si>
  <si>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</si>
  <si>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</si>
  <si>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</si>
  <si>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</si>
  <si>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</si>
  <si>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</si>
  <si>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</si>
  <si>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</si>
  <si>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</si>
  <si>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</si>
  <si>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</si>
  <si>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</si>
  <si>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</si>
  <si>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</si>
  <si>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</si>
  <si>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</si>
  <si>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</si>
  <si>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</si>
  <si>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</si>
  <si>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</si>
  <si>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</si>
  <si>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</si>
  <si>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</si>
  <si>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</si>
  <si>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</si>
  <si>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</si>
  <si>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</si>
  <si>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</si>
  <si>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</si>
  <si>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</si>
  <si>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</si>
  <si>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</si>
  <si>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</si>
  <si>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</si>
  <si>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</si>
  <si>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</si>
  <si>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</si>
  <si>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</si>
  <si>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</si>
  <si>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</si>
  <si>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</si>
  <si>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</si>
  <si>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</si>
  <si>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</si>
  <si>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</si>
  <si>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</si>
  <si>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</si>
  <si>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</si>
  <si>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</si>
  <si>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</si>
  <si>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</si>
  <si>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</si>
  <si>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</si>
  <si>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</si>
  <si>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</si>
  <si>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</si>
  <si>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</si>
  <si>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</si>
  <si>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</si>
  <si>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</si>
  <si>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</si>
  <si>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</si>
  <si>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</si>
  <si>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</si>
  <si>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</si>
  <si>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</si>
  <si>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</si>
  <si>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</si>
  <si>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</si>
  <si>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</si>
  <si>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</si>
  <si>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</si>
  <si>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</si>
  <si>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</si>
  <si>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</si>
  <si>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</si>
  <si>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</si>
  <si>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</si>
  <si>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</si>
  <si>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</si>
  <si>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</si>
  <si>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</si>
  <si>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</si>
  <si>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</si>
  <si>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</si>
  <si>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</si>
  <si>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</si>
  <si>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</si>
  <si>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</si>
  <si>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</si>
  <si>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</si>
  <si>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</si>
  <si>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</si>
  <si>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</si>
  <si>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</si>
  <si>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</si>
  <si>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</si>
  <si>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</si>
  <si>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</si>
  <si>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</si>
  <si>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</si>
  <si>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</si>
  <si>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</si>
  <si>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</si>
  <si>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</si>
  <si>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</si>
  <si>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</si>
  <si>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</si>
  <si>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</si>
  <si>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</si>
  <si>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</si>
  <si>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</si>
  <si>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</si>
  <si>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</si>
  <si>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</si>
  <si>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</si>
  <si>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</si>
  <si>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</si>
  <si>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</si>
  <si>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</si>
  <si>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</si>
  <si>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</si>
  <si>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</si>
  <si>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</si>
  <si>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</si>
  <si>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</si>
  <si>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</si>
  <si>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</si>
  <si>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</si>
  <si>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</si>
  <si>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</si>
  <si>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</si>
  <si>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</si>
  <si>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</si>
  <si>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</si>
  <si>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</si>
  <si>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</si>
  <si>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</si>
  <si>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</si>
  <si>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</si>
  <si>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</si>
  <si>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</si>
  <si>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</si>
  <si>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</si>
  <si>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</si>
  <si>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</si>
  <si>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</si>
  <si>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</si>
  <si>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</si>
  <si>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</si>
  <si>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</si>
  <si>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</si>
  <si>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</si>
  <si>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</si>
  <si>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</si>
  <si>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</si>
  <si>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</si>
  <si>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</si>
  <si>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</si>
  <si>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</si>
  <si>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</si>
  <si>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</si>
  <si>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</si>
  <si>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</si>
  <si>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</si>
  <si>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</si>
  <si>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</si>
  <si>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</si>
  <si>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</si>
  <si>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</si>
  <si>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</si>
  <si>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</si>
  <si>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</si>
  <si>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</si>
  <si>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</si>
  <si>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</si>
  <si>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</si>
  <si>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</si>
  <si>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</si>
  <si>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</si>
  <si>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</si>
  <si>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</si>
  <si>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</si>
  <si>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</si>
  <si>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</si>
  <si>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</si>
  <si>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</si>
  <si>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</si>
  <si>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</si>
  <si>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</si>
  <si>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</si>
  <si>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</si>
  <si>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</si>
  <si>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</si>
  <si>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</si>
  <si>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</si>
  <si>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</si>
  <si>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</si>
  <si>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</si>
  <si>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</si>
  <si>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</si>
  <si>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</si>
  <si>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</si>
  <si>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</si>
  <si>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</si>
  <si>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</si>
  <si>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</si>
  <si>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</si>
  <si>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</si>
  <si>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</si>
  <si>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</si>
  <si>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</si>
  <si>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</si>
  <si>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</si>
  <si>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</si>
  <si>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</si>
  <si>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</si>
  <si>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</si>
  <si>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</si>
  <si>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</si>
  <si>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</si>
  <si>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</si>
  <si>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</si>
  <si>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</si>
  <si>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</si>
  <si>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</si>
  <si>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</si>
  <si>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</si>
  <si>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</si>
  <si>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</si>
  <si>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</si>
  <si>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</si>
  <si>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</si>
  <si>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</si>
  <si>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</si>
  <si>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</si>
  <si>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</si>
  <si>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</si>
  <si>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</si>
  <si>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</si>
  <si>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</si>
  <si>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</si>
  <si>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</si>
  <si>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</si>
  <si>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</si>
  <si>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</si>
  <si>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</si>
  <si>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</si>
  <si>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</si>
  <si>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</si>
  <si>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</si>
  <si>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</si>
  <si>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</si>
  <si>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</si>
  <si>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</si>
  <si>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</si>
  <si>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</si>
  <si>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</si>
  <si>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</si>
  <si>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</si>
  <si>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</si>
  <si>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</si>
  <si>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</si>
  <si>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</si>
  <si>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</si>
  <si>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</si>
  <si>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</si>
  <si>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</si>
  <si>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</si>
  <si>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</si>
  <si>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</si>
  <si>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</si>
  <si>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</si>
  <si>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</si>
  <si>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</si>
  <si>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</si>
  <si>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</si>
  <si>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</si>
  <si>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</si>
  <si>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</si>
  <si>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</si>
  <si>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</si>
  <si>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</si>
  <si>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</si>
  <si>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</si>
  <si>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</si>
  <si>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</si>
  <si>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</si>
  <si>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</si>
  <si>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</si>
  <si>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</si>
  <si>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</si>
  <si>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</si>
  <si>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</si>
  <si>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</si>
  <si>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</si>
  <si>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</si>
  <si>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</si>
  <si>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</si>
  <si>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</si>
  <si>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</si>
  <si>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</si>
  <si>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</si>
  <si>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</si>
  <si>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</si>
  <si>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</si>
  <si>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</si>
  <si>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</si>
  <si>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</si>
  <si>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</si>
  <si>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</si>
  <si>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</si>
  <si>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</si>
  <si>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</si>
  <si>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</si>
  <si>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</si>
  <si>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</si>
  <si>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</si>
  <si>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</si>
  <si>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</si>
  <si>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</si>
  <si>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</si>
  <si>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</si>
  <si>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</si>
  <si>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</si>
  <si>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</si>
  <si>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</si>
  <si>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</si>
  <si>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</si>
  <si>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</si>
  <si>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</si>
  <si>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</si>
  <si>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</si>
  <si>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</si>
  <si>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</si>
  <si>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</si>
  <si>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</si>
  <si>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</si>
  <si>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</si>
  <si>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</si>
  <si>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</si>
  <si>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</si>
  <si>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</si>
  <si>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</si>
  <si>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</si>
  <si>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</si>
  <si>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</si>
  <si>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</si>
  <si>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</si>
  <si>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</si>
  <si>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</si>
  <si>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</si>
  <si>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</si>
  <si>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</si>
  <si>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</si>
  <si>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</si>
  <si>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</si>
  <si>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</si>
  <si>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</si>
  <si>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</si>
  <si>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</si>
  <si>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</si>
  <si>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</si>
  <si>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</si>
  <si>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</si>
  <si>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</si>
  <si>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</si>
  <si>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</si>
  <si>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</si>
  <si>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</si>
  <si>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</si>
  <si>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</si>
  <si>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</si>
  <si>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</si>
  <si>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</si>
  <si>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</si>
  <si>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</si>
  <si>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</si>
  <si>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</si>
  <si>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</si>
  <si>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</si>
  <si>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</si>
  <si>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</si>
  <si>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</si>
  <si>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</si>
  <si>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</si>
  <si>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</si>
  <si>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</si>
  <si>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</si>
  <si>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</si>
  <si>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</si>
  <si>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</si>
  <si>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</si>
  <si>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</si>
  <si>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</si>
  <si>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</si>
  <si>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</si>
  <si>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</si>
  <si>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</si>
  <si>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</si>
  <si>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</si>
  <si>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</si>
  <si>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</si>
  <si>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</si>
  <si>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</si>
  <si>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</si>
  <si>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</si>
  <si>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</si>
  <si>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</si>
  <si>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</si>
  <si>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</si>
  <si>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</si>
  <si>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</si>
  <si>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</si>
  <si>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</si>
  <si>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</si>
  <si>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</si>
  <si>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</si>
  <si>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</si>
  <si>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</si>
  <si>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</si>
  <si>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</si>
  <si>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</si>
  <si>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</si>
  <si>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</si>
  <si>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</si>
  <si>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</si>
  <si>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</si>
  <si>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</si>
  <si>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</si>
  <si>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</si>
  <si>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</si>
  <si>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</si>
  <si>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</si>
  <si>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</si>
  <si>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</si>
  <si>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</si>
  <si>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</si>
  <si>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</si>
  <si>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</si>
  <si>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</si>
  <si>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</si>
  <si>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</si>
  <si>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</si>
  <si>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</si>
  <si>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</si>
  <si>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</si>
  <si>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</si>
  <si>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</si>
  <si>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</si>
  <si>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</si>
  <si>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</si>
  <si>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</si>
  <si>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</si>
  <si>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</si>
  <si>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</si>
  <si>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</si>
  <si>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</si>
  <si>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</si>
  <si>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</si>
  <si>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</si>
  <si>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</si>
  <si>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</si>
  <si>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</si>
  <si>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</si>
  <si>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</si>
  <si>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</si>
  <si>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</si>
  <si>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</si>
  <si>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</si>
  <si>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</si>
  <si>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</si>
  <si>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</si>
  <si>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</si>
  <si>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</si>
  <si>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</si>
  <si>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</si>
  <si>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</si>
  <si>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</si>
  <si>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</si>
  <si>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</si>
  <si>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</si>
  <si>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</si>
  <si>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</si>
  <si>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</si>
  <si>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</si>
  <si>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</si>
  <si>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</si>
  <si>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</si>
  <si>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</si>
  <si>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</si>
  <si>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</si>
  <si>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</si>
  <si>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</si>
  <si>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</si>
  <si>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</si>
  <si>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</si>
  <si>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</si>
  <si>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</si>
  <si>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</si>
  <si>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</si>
  <si>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</si>
  <si>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</si>
  <si>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</si>
  <si>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</si>
  <si>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</si>
  <si>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</si>
  <si>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</si>
  <si>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</si>
  <si>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</si>
  <si>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</si>
  <si>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</si>
  <si>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</si>
  <si>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</si>
  <si>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</si>
  <si>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</si>
  <si>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</si>
  <si>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</si>
  <si>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</si>
  <si>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</si>
  <si>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</si>
  <si>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</si>
  <si>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</si>
  <si>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</si>
  <si>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</si>
  <si>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</si>
  <si>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</si>
  <si>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</si>
  <si>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</si>
  <si>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</si>
  <si>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</si>
  <si>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</si>
  <si>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</si>
  <si>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</si>
  <si>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</si>
  <si>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</si>
  <si>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</si>
  <si>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</si>
  <si>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</si>
  <si>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</si>
  <si>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</si>
  <si>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</si>
  <si>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</si>
  <si>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</si>
  <si>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</si>
  <si>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</si>
  <si>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</si>
  <si>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</si>
  <si>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</si>
  <si>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</si>
  <si>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</si>
  <si>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</si>
  <si>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</si>
  <si>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</si>
  <si>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</si>
  <si>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</si>
  <si>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</si>
  <si>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</si>
  <si>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</si>
  <si>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</si>
  <si>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</si>
  <si>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</si>
  <si>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</si>
  <si>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</si>
  <si>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</si>
  <si>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</si>
  <si>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</si>
  <si>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</si>
  <si>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</si>
  <si>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</si>
  <si>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</si>
  <si>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</si>
  <si>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</si>
  <si>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</si>
  <si>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</si>
  <si>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</si>
  <si>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</si>
  <si>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</si>
  <si>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</si>
  <si>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</si>
  <si>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</si>
  <si>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</si>
  <si>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</si>
  <si>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</si>
  <si>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</si>
  <si>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</si>
  <si>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</si>
  <si>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</si>
  <si>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</si>
  <si>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</si>
  <si>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</si>
  <si>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</si>
  <si>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</si>
  <si>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</si>
  <si>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</si>
  <si>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</si>
  <si>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</si>
  <si>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</si>
  <si>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</si>
  <si>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</si>
  <si>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</si>
  <si>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</si>
  <si>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</si>
  <si>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</si>
  <si>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</si>
  <si>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</si>
  <si>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</si>
  <si>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</si>
  <si>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</si>
  <si>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</si>
  <si>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</si>
  <si>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</si>
  <si>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</si>
  <si>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</si>
  <si>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</si>
  <si>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</si>
  <si>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</si>
  <si>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</si>
  <si>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</si>
  <si>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</si>
  <si>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</si>
  <si>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</si>
  <si>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</si>
  <si>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</si>
  <si>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</si>
  <si>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</si>
  <si>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</si>
  <si>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</si>
  <si>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</si>
  <si>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</si>
  <si>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</si>
  <si>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</si>
  <si>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</si>
  <si>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</si>
  <si>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</si>
  <si>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</si>
  <si>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</si>
  <si>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</si>
  <si>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</si>
  <si>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</si>
  <si>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</si>
  <si>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</si>
  <si>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</si>
  <si>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</si>
  <si>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</si>
  <si>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</si>
  <si>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</si>
  <si>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</si>
  <si>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</si>
  <si>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</si>
  <si>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</si>
  <si>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</si>
  <si>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</si>
  <si>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</si>
  <si>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</si>
  <si>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</si>
  <si>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</si>
  <si>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</si>
  <si>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</si>
  <si>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</si>
  <si>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</si>
  <si>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</si>
  <si>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</si>
  <si>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</si>
  <si>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</si>
  <si>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</si>
  <si>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</si>
  <si>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</si>
  <si>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</si>
  <si>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</si>
  <si>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</si>
  <si>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</si>
  <si>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</si>
  <si>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</si>
  <si>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</si>
  <si>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</si>
  <si>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</si>
  <si>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</si>
  <si>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</si>
  <si>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</si>
  <si>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</si>
  <si>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</si>
  <si>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</si>
  <si>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</si>
  <si>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</si>
  <si>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</si>
  <si>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</si>
  <si>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</si>
  <si>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</si>
  <si>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</si>
  <si>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</si>
  <si>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</si>
  <si>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</si>
  <si>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</si>
  <si>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</si>
  <si>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</si>
  <si>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</si>
  <si>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</si>
  <si>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</si>
  <si>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</si>
  <si>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</si>
  <si>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</si>
  <si>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</si>
  <si>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</si>
  <si>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</si>
  <si>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</si>
  <si>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</si>
  <si>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</si>
  <si>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</si>
  <si>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</si>
  <si>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</si>
  <si>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</si>
  <si>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</si>
  <si>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</si>
  <si>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</si>
  <si>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</si>
  <si>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</si>
  <si>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</si>
  <si>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</si>
  <si>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</si>
  <si>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</si>
  <si>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</si>
  <si>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</si>
  <si>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</si>
  <si>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</si>
  <si>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</si>
  <si>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</si>
  <si>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</si>
  <si>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</si>
  <si>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</si>
  <si>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</si>
  <si>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</si>
  <si>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</si>
  <si>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</si>
  <si>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</si>
  <si>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</si>
  <si>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</si>
  <si>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</si>
  <si>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</si>
  <si>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</si>
  <si>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</si>
  <si>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</si>
  <si>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</si>
  <si>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</si>
  <si>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</si>
  <si>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</si>
  <si>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</si>
  <si>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</si>
  <si>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</si>
  <si>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</si>
  <si>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</si>
  <si>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</si>
  <si>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</si>
  <si>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</si>
  <si>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</si>
  <si>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</si>
  <si>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</si>
  <si>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</si>
  <si>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</si>
  <si>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</si>
  <si>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</si>
  <si>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</si>
  <si>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</si>
  <si>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</si>
  <si>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</si>
  <si>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</si>
  <si>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</si>
  <si>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</si>
  <si>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</si>
  <si>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</si>
  <si>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</si>
  <si>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</si>
  <si>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</si>
  <si>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</si>
  <si>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</si>
  <si>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</si>
  <si>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</si>
  <si>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</si>
  <si>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</si>
  <si>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</si>
  <si>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</si>
  <si>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</si>
  <si>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</si>
  <si>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</si>
  <si>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</si>
  <si>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</si>
  <si>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</si>
  <si>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</si>
  <si>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</si>
  <si>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</si>
  <si>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</si>
  <si>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</si>
  <si>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</si>
  <si>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</si>
  <si>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</si>
  <si>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</si>
  <si>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</si>
  <si>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</si>
  <si>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</si>
  <si>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</si>
  <si>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</si>
  <si>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</si>
  <si>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</si>
  <si>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</si>
  <si>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</si>
  <si>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</si>
  <si>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</si>
  <si>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</si>
  <si>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</si>
  <si>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</si>
  <si>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</si>
  <si>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</si>
  <si>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</si>
  <si>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</si>
  <si>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</si>
  <si>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</si>
  <si>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</si>
  <si>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</si>
  <si>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</si>
  <si>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</si>
  <si>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</si>
  <si>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</si>
  <si>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</si>
  <si>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</si>
  <si>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</si>
  <si>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</si>
  <si>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</si>
  <si>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</si>
  <si>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</si>
  <si>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</si>
  <si>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</si>
  <si>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</si>
  <si>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</si>
  <si>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</si>
  <si>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</si>
  <si>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</si>
  <si>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</si>
  <si>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</si>
  <si>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</si>
  <si>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</si>
  <si>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</si>
  <si>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</si>
  <si>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</si>
  <si>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</si>
  <si>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</si>
  <si>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</si>
  <si>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</si>
  <si>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</si>
  <si>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</si>
  <si>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</si>
  <si>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</si>
  <si>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</si>
  <si>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</si>
  <si>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</si>
  <si>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</si>
  <si>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</si>
  <si>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</si>
  <si>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</si>
  <si>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</si>
  <si>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</si>
  <si>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</si>
  <si>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</si>
  <si>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</si>
  <si>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</si>
  <si>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</si>
  <si>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</si>
  <si>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</si>
  <si>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</si>
  <si>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</si>
  <si>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</si>
  <si>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</si>
  <si>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</si>
  <si>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</si>
  <si>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</si>
  <si>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</si>
  <si>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</si>
  <si>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</si>
  <si>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</si>
  <si>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</si>
  <si>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</si>
  <si>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</si>
  <si>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</si>
  <si>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</si>
  <si>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</si>
  <si>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</si>
  <si>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</si>
  <si>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</si>
  <si>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</si>
  <si>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</si>
  <si>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</si>
  <si>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</si>
  <si>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</si>
  <si>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</si>
  <si>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</si>
  <si>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</si>
  <si>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</si>
  <si>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</si>
  <si>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</si>
  <si>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</si>
  <si>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</si>
  <si>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</si>
  <si>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</si>
  <si>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</si>
  <si>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</si>
  <si>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</si>
  <si>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</si>
  <si>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</si>
  <si>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</si>
  <si>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</si>
  <si>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</si>
  <si>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</si>
  <si>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</si>
  <si>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</si>
  <si>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</si>
  <si>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</si>
  <si>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</si>
  <si>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</si>
  <si>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</si>
  <si>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</si>
  <si>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</si>
  <si>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</si>
  <si>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</si>
  <si>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</si>
  <si>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</si>
  <si>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</si>
  <si>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</si>
  <si>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</si>
  <si>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</si>
  <si>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</si>
  <si>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</si>
  <si>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</si>
  <si>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</si>
  <si>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</si>
  <si>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</si>
  <si>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</si>
  <si>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</si>
  <si>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</si>
  <si>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</si>
  <si>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</si>
  <si>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</si>
  <si>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</si>
  <si>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</si>
  <si>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</si>
  <si>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</si>
  <si>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</si>
  <si>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</si>
  <si>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</si>
  <si>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</si>
  <si>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</si>
  <si>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</si>
  <si>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</si>
  <si>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</si>
  <si>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</si>
  <si>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</si>
  <si>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</si>
  <si>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</si>
  <si>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</si>
  <si>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</si>
  <si>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</si>
  <si>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</si>
  <si>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</si>
  <si>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</si>
  <si>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</si>
  <si>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</si>
  <si>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</si>
  <si>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</si>
  <si>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</si>
  <si>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</si>
  <si>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</si>
  <si>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</si>
  <si>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</si>
  <si>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</si>
  <si>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</si>
  <si>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</si>
  <si>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</si>
  <si>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</si>
  <si>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</si>
  <si>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</si>
  <si>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</si>
  <si>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</si>
  <si>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</si>
  <si>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</si>
  <si>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</si>
  <si>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</si>
  <si>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</si>
  <si>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</si>
  <si>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</si>
  <si>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</si>
  <si>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</si>
  <si>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</si>
  <si>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</si>
  <si>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</si>
  <si>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</si>
  <si>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</si>
  <si>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</si>
  <si>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</si>
  <si>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</si>
  <si>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</si>
  <si>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</si>
  <si>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</si>
  <si>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</si>
  <si>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</si>
  <si>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</si>
  <si>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</si>
  <si>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</si>
  <si>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</si>
  <si>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</si>
  <si>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</si>
  <si>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</si>
  <si>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</si>
  <si>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</si>
  <si>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</si>
  <si>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</si>
  <si>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</si>
  <si>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</si>
  <si>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</si>
  <si>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</si>
  <si>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</si>
  <si>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</si>
  <si>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</si>
  <si>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</si>
  <si>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</si>
  <si>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</si>
  <si>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</si>
  <si>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</si>
  <si>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</si>
  <si>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</si>
  <si>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</si>
  <si>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</si>
  <si>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</si>
  <si>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</si>
  <si>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</si>
  <si>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</si>
  <si>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</si>
  <si>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</si>
  <si>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</si>
  <si>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</si>
  <si>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</si>
  <si>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</si>
  <si>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</si>
  <si>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</si>
  <si>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</si>
  <si>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</si>
  <si>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</si>
  <si>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</si>
  <si>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</si>
  <si>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</si>
  <si>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</si>
  <si>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</si>
  <si>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</si>
  <si>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</si>
  <si>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</si>
  <si>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</si>
  <si>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</si>
  <si>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</si>
  <si>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</si>
  <si>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</si>
  <si>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</si>
  <si>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</si>
  <si>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</si>
  <si>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</si>
  <si>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</si>
  <si>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</si>
  <si>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</si>
  <si>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</si>
  <si>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</si>
  <si>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</si>
  <si>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</si>
  <si>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</si>
  <si>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</si>
  <si>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</si>
  <si>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</si>
  <si>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</si>
  <si>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</si>
  <si>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</si>
  <si>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</si>
  <si>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</si>
  <si>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</si>
  <si>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</si>
  <si>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</si>
  <si>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</si>
  <si>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</si>
  <si>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</si>
  <si>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</si>
  <si>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</si>
  <si>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</si>
  <si>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</si>
  <si>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</si>
  <si>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</si>
  <si>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</si>
  <si>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</si>
  <si>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</si>
  <si>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</si>
  <si>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</si>
  <si>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</si>
  <si>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</si>
  <si>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</si>
  <si>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</si>
  <si>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</si>
  <si>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</si>
  <si>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</si>
  <si>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</si>
  <si>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</si>
  <si>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</si>
  <si>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</si>
  <si>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</si>
  <si>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</si>
  <si>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</si>
  <si>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</si>
  <si>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</si>
  <si>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</si>
  <si>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</si>
  <si>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</si>
  <si>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</si>
  <si>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</si>
  <si>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</si>
  <si>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</si>
  <si>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</si>
  <si>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</si>
  <si>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</si>
  <si>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</si>
  <si>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</si>
  <si>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</si>
  <si>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</si>
  <si>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</si>
  <si>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</si>
  <si>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</si>
  <si>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</si>
  <si>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</si>
  <si>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</si>
  <si>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</si>
  <si>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</si>
  <si>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</si>
  <si>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</si>
  <si>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</si>
  <si>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</si>
  <si>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</si>
  <si>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</si>
  <si>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</si>
  <si>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</si>
  <si>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</si>
  <si>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</si>
  <si>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</si>
  <si>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</si>
  <si>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</si>
  <si>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</si>
  <si>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</si>
  <si>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</si>
  <si>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</si>
  <si>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</si>
  <si>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</si>
  <si>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</si>
  <si>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</si>
  <si>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</si>
  <si>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</si>
  <si>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</si>
  <si>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</si>
  <si>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</si>
  <si>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</si>
  <si>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</si>
  <si>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</si>
  <si>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</si>
  <si>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</si>
  <si>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</si>
  <si>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</si>
  <si>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</si>
  <si>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</si>
  <si>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</si>
  <si>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</si>
  <si>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</si>
  <si>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</si>
  <si>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</si>
  <si>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</si>
  <si>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</si>
  <si>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</si>
  <si>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</si>
  <si>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</si>
  <si>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</si>
  <si>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</si>
  <si>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</si>
  <si>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</si>
  <si>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</si>
  <si>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</si>
  <si>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</si>
  <si>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</si>
  <si>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</si>
  <si>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</si>
  <si>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</si>
  <si>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</si>
  <si>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</si>
  <si>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</si>
  <si>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</si>
  <si>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</si>
  <si>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</si>
  <si>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</si>
  <si>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</si>
  <si>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</si>
  <si>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</si>
  <si>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</si>
  <si>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</si>
  <si>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</si>
  <si>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</si>
  <si>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</si>
  <si>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</si>
  <si>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</si>
  <si>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</si>
  <si>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</si>
  <si>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</si>
  <si>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</si>
  <si>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</si>
  <si>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</si>
  <si>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</si>
  <si>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</si>
  <si>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</si>
  <si>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</si>
  <si>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</si>
  <si>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</si>
  <si>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</si>
  <si>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</si>
  <si>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</si>
  <si>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</si>
  <si>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</si>
  <si>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</si>
  <si>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</si>
  <si>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</si>
  <si>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</si>
  <si>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</si>
  <si>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</si>
  <si>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</si>
  <si>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</si>
  <si>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</si>
  <si>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</si>
  <si>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</si>
  <si>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</si>
  <si>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</si>
  <si>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</si>
  <si>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</si>
  <si>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</si>
  <si>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</si>
  <si>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</si>
  <si>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</si>
  <si>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</si>
  <si>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</si>
  <si>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</si>
  <si>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</si>
  <si>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</si>
  <si>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</si>
  <si>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</si>
  <si>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</si>
  <si>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</si>
  <si>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</si>
  <si>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</si>
  <si>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</si>
  <si>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</si>
  <si>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</si>
  <si>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</si>
  <si>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</si>
  <si>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</si>
  <si>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</si>
  <si>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</si>
  <si>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</si>
  <si>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</si>
  <si>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</si>
  <si>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</si>
  <si>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</si>
  <si>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</si>
  <si>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</si>
  <si>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</si>
  <si>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</si>
  <si>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</si>
  <si>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</si>
  <si>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</si>
  <si>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</si>
  <si>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</si>
  <si>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</si>
  <si>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</si>
  <si>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</si>
  <si>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</si>
  <si>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</si>
  <si>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</si>
  <si>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</si>
  <si>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</si>
  <si>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</si>
  <si>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</si>
  <si>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</si>
  <si>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</si>
  <si>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</si>
  <si>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</si>
  <si>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</si>
  <si>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</si>
  <si>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</si>
  <si>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</si>
  <si>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</si>
  <si>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</si>
  <si>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</si>
  <si>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</si>
  <si>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</si>
  <si>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</si>
  <si>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</si>
  <si>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</si>
  <si>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</si>
  <si>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</si>
  <si>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</si>
  <si>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</si>
  <si>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</si>
  <si>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</si>
  <si>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</si>
  <si>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</si>
  <si>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</si>
  <si>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</si>
  <si>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</si>
  <si>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</si>
  <si>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</si>
  <si>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</si>
  <si>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</si>
  <si>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</si>
  <si>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</si>
  <si>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</si>
  <si>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</si>
  <si>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</si>
  <si>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</si>
  <si>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</si>
  <si>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</si>
  <si>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</si>
  <si>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</si>
  <si>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</si>
  <si>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</si>
  <si>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</si>
  <si>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</si>
  <si>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</si>
  <si>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</si>
  <si>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</si>
  <si>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</si>
  <si>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</si>
  <si>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</si>
  <si>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</si>
  <si>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</si>
  <si>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</si>
  <si>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</si>
  <si>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</si>
  <si>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</si>
  <si>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</si>
  <si>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</si>
  <si>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</si>
  <si>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</si>
  <si>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</si>
  <si>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</si>
  <si>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</si>
  <si>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</si>
  <si>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</si>
  <si>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</si>
  <si>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</si>
  <si>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</si>
  <si>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</si>
  <si>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</si>
  <si>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</si>
  <si>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</si>
  <si>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</si>
  <si>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</si>
  <si>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</si>
  <si>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</si>
  <si>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</si>
  <si>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</si>
  <si>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</si>
  <si>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</si>
  <si>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</si>
  <si>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</si>
  <si>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</si>
  <si>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</si>
  <si>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</si>
  <si>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</si>
  <si>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</si>
  <si>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</si>
  <si>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</si>
  <si>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</si>
  <si>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</si>
  <si>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</si>
  <si>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</si>
  <si>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</si>
  <si>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</si>
  <si>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</si>
  <si>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</si>
  <si>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</si>
  <si>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</si>
  <si>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</si>
  <si>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</si>
  <si>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</si>
  <si>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</si>
  <si>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</si>
  <si>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</si>
  <si>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</si>
  <si>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</si>
  <si>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</si>
  <si>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</si>
  <si>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</si>
  <si>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</si>
  <si>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</si>
  <si>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</si>
  <si>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</si>
  <si>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</si>
  <si>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</si>
  <si>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</si>
  <si>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</si>
  <si>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</si>
  <si>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</si>
  <si>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</si>
  <si>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</si>
  <si>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</si>
  <si>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</si>
  <si>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</si>
  <si>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</si>
  <si>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</si>
  <si>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</si>
  <si>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</si>
  <si>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</si>
  <si>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</si>
  <si>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</si>
  <si>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</si>
  <si>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</si>
  <si>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</si>
  <si>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</si>
  <si>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</si>
  <si>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</si>
  <si>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</si>
  <si>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</si>
  <si>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</si>
  <si>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</si>
  <si>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</si>
  <si>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</si>
  <si>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</si>
  <si>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</si>
  <si>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</si>
  <si>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</si>
  <si>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</si>
  <si>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</si>
  <si>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</si>
  <si>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</si>
  <si>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</si>
  <si>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</si>
  <si>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</si>
  <si>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</si>
  <si>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</si>
  <si>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</si>
  <si>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</si>
  <si>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</si>
  <si>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</si>
  <si>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</si>
  <si>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</si>
  <si>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</si>
  <si>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</si>
  <si>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</si>
  <si>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</si>
  <si>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</si>
  <si>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</si>
  <si>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</si>
  <si>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</si>
  <si>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</si>
  <si>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</si>
  <si>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</si>
  <si>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</si>
  <si>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</si>
  <si>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</si>
  <si>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</si>
  <si>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</si>
  <si>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</si>
  <si>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</si>
  <si>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</si>
  <si>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</si>
  <si>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</si>
  <si>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</si>
  <si>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</si>
  <si>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</si>
  <si>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</si>
  <si>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</si>
  <si>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</si>
  <si>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</si>
  <si>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</si>
  <si>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</si>
  <si>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</si>
  <si>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</si>
  <si>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</si>
  <si>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</si>
  <si>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</si>
  <si>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</si>
  <si>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</si>
  <si>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</si>
  <si>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</si>
  <si>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</si>
  <si>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</si>
  <si>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</si>
  <si>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</si>
  <si>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</si>
  <si>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</si>
  <si>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</si>
  <si>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</si>
  <si>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</si>
  <si>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</si>
  <si>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</si>
  <si>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</si>
  <si>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</si>
  <si>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</si>
  <si>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</si>
  <si>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</si>
  <si>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</si>
  <si>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</si>
  <si>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</si>
  <si>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</si>
  <si>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</si>
  <si>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</si>
  <si>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</si>
  <si>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</si>
  <si>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</si>
  <si>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</si>
  <si>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</si>
  <si>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</si>
  <si>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</si>
  <si>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</si>
  <si>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</si>
  <si>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</si>
  <si>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</si>
  <si>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</si>
  <si>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</si>
  <si>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</si>
  <si>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</si>
  <si>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</si>
  <si>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</si>
  <si>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</si>
  <si>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</si>
  <si>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</si>
  <si>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</si>
  <si>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</si>
  <si>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</si>
  <si>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</si>
  <si>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</si>
  <si>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</si>
  <si>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</si>
  <si>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</si>
  <si>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</si>
  <si>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</si>
  <si>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</si>
  <si>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</si>
  <si>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</si>
  <si>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</si>
  <si>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</si>
  <si>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</si>
  <si>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</si>
  <si>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</si>
  <si>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</si>
  <si>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</si>
  <si>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</si>
  <si>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</si>
  <si>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</si>
  <si>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</si>
  <si>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</si>
  <si>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</si>
  <si>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</si>
  <si>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</si>
  <si>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</si>
  <si>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</si>
  <si>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</si>
  <si>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</si>
  <si>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</si>
  <si>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</si>
  <si>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</si>
  <si>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</si>
  <si>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</si>
  <si>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</si>
  <si>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</si>
  <si>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</si>
  <si>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</si>
  <si>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</si>
  <si>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</si>
  <si>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</si>
  <si>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</si>
  <si>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</si>
  <si>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</si>
  <si>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</si>
  <si>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</si>
  <si>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</si>
  <si>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</si>
  <si>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</si>
  <si>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</si>
  <si>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</si>
  <si>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</si>
  <si>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</si>
  <si>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</si>
  <si>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</si>
  <si>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</si>
  <si>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</si>
  <si>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</si>
  <si>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</si>
  <si>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</si>
  <si>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</si>
  <si>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</si>
  <si>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</si>
  <si>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</si>
  <si>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</si>
  <si>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</si>
  <si>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</si>
  <si>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</si>
  <si>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</si>
  <si>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</si>
  <si>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</si>
  <si>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</si>
  <si>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</si>
  <si>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</si>
  <si>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</si>
  <si>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</si>
  <si>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</si>
  <si>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</si>
  <si>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</si>
  <si>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</si>
  <si>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</si>
  <si>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</si>
  <si>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</si>
  <si>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</si>
  <si>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</si>
  <si>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</si>
  <si>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</si>
  <si>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</si>
  <si>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</si>
  <si>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</si>
  <si>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</si>
  <si>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</si>
  <si>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</si>
  <si>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</si>
  <si>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</si>
  <si>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</si>
  <si>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</si>
  <si>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</si>
  <si>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</si>
  <si>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</si>
  <si>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</si>
  <si>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</si>
  <si>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</si>
  <si>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</si>
  <si>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</si>
  <si>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</si>
  <si>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</si>
  <si>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</si>
  <si>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</si>
  <si>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</si>
  <si>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</si>
  <si>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</si>
  <si>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</si>
  <si>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</si>
  <si>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</si>
  <si>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</si>
  <si>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</si>
  <si>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</si>
  <si>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</si>
  <si>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</si>
  <si>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</si>
  <si>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</si>
  <si>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</si>
  <si>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</si>
  <si>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</si>
  <si>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</si>
  <si>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</si>
  <si>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</si>
  <si>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</si>
  <si>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</si>
  <si>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</si>
  <si>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</si>
  <si>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</si>
  <si>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</si>
  <si>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</si>
  <si>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</si>
  <si>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</si>
  <si>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</si>
  <si>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</si>
  <si>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</si>
  <si>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</si>
  <si>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</si>
  <si>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</si>
  <si>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</si>
  <si>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</si>
  <si>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</si>
  <si>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</si>
  <si>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</si>
  <si>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</si>
  <si>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</si>
  <si>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</si>
  <si>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</si>
  <si>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</si>
  <si>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</si>
  <si>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</si>
  <si>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</si>
  <si>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</si>
  <si>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</si>
  <si>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</si>
  <si>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</si>
  <si>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</si>
  <si>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</si>
  <si>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</si>
  <si>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</si>
  <si>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</si>
  <si>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</si>
  <si>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</si>
  <si>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</si>
  <si>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</si>
  <si>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</si>
  <si>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</si>
  <si>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</si>
  <si>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</si>
  <si>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</si>
  <si>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</si>
  <si>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</si>
  <si>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</si>
  <si>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</si>
  <si>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</si>
  <si>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</si>
  <si>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</si>
  <si>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</si>
  <si>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</si>
  <si>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</si>
  <si>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</si>
  <si>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</si>
  <si>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</si>
  <si>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</si>
  <si>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</si>
  <si>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Account Number</t>
  </si>
  <si>
    <t>C32</t>
  </si>
  <si>
    <t>Changed account 0765-Investment and interest to account 0777-Investment and interest income.</t>
  </si>
  <si>
    <t>Department of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</si>
</sst>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94">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24" sqref="I2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A8" sqref="A8:Q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1806</v>
      </c>
      <c r="G4" s="263"/>
      <c r="H4" s="263"/>
      <c r="I4" s="263"/>
    </row>
    <row r="5" spans="1:20" ht="16.5" customHeight="1" x14ac:dyDescent="0.2">
      <c r="A5" s="261" t="s">
        <v>1639</v>
      </c>
      <c r="B5" s="261"/>
      <c r="C5" s="261"/>
      <c r="D5" s="261"/>
      <c r="E5" s="261"/>
      <c r="F5" s="263" t="s">
        <v>700</v>
      </c>
      <c r="G5" s="263"/>
      <c r="H5" s="263"/>
      <c r="I5" s="263"/>
      <c r="L5" s="39"/>
      <c r="M5" s="39"/>
      <c r="N5" s="39"/>
      <c r="O5" s="39"/>
      <c r="P5" s="39"/>
      <c r="Q5" s="39"/>
    </row>
    <row r="6" spans="1:20" ht="16.5" customHeight="1" x14ac:dyDescent="0.25">
      <c r="A6" s="261" t="s">
        <v>1682</v>
      </c>
      <c r="B6" s="261"/>
      <c r="C6" s="261"/>
      <c r="D6" s="261"/>
      <c r="E6" s="261"/>
      <c r="F6" s="264">
        <v>42</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TRANSPORTATION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91516504</v>
      </c>
      <c r="M17" s="196">
        <v>91516504</v>
      </c>
      <c r="P17" s="196">
        <v>91516505</v>
      </c>
      <c r="Q17" s="224"/>
      <c r="S17" s="223">
        <f t="shared" si="0"/>
        <v>1</v>
      </c>
      <c r="T17" s="251" t="s">
        <v>1760</v>
      </c>
    </row>
    <row r="18" spans="1:20" ht="16.5" customHeight="1" x14ac:dyDescent="0.25">
      <c r="A18" s="99"/>
      <c r="B18" s="26" t="s">
        <v>178</v>
      </c>
      <c r="C18" s="26"/>
      <c r="D18" s="26"/>
      <c r="E18" s="193"/>
      <c r="F18" s="194"/>
      <c r="G18" s="194"/>
      <c r="H18" s="195"/>
      <c r="I18" s="195"/>
      <c r="J18" s="248">
        <f>P18</f>
        <v>349545</v>
      </c>
      <c r="M18" s="196">
        <v>393467</v>
      </c>
      <c r="P18" s="221">
        <f>IF(SUM($Q$20:$Q$23)&gt;SUM($P$15:$P$17),SUM($Q$20:$Q$23)-SUM($P$15:$P$17),0)</f>
        <v>349545</v>
      </c>
      <c r="Q18" s="224"/>
      <c r="S18" s="223">
        <f t="shared" si="0"/>
        <v>-43922</v>
      </c>
      <c r="T18" s="250" t="s">
        <v>1730</v>
      </c>
    </row>
    <row r="19" spans="1:20" ht="16.5" customHeight="1" x14ac:dyDescent="0.25">
      <c r="A19" s="99"/>
      <c r="B19" s="26" t="s">
        <v>179</v>
      </c>
      <c r="C19" s="26"/>
      <c r="D19" s="26"/>
      <c r="E19" s="193"/>
      <c r="F19" s="194"/>
      <c r="G19" s="194"/>
      <c r="H19" s="195"/>
      <c r="I19" s="195"/>
      <c r="J19" s="248">
        <f>IF(SUM($K$20:$K$24)&gt;SUM($J$15:$J$18),SUM($K$20:$K$24)-SUM($J$15:$J$18),0)</f>
        <v>1</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37365048</v>
      </c>
      <c r="N22" s="196">
        <v>37365048</v>
      </c>
      <c r="P22" s="224"/>
      <c r="Q22" s="196">
        <v>37365048</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54501002</v>
      </c>
      <c r="N23" s="196">
        <v>54501002</v>
      </c>
      <c r="P23" s="224"/>
      <c r="Q23" s="196">
        <v>54501002</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v>-43920.92084063217</v>
      </c>
      <c r="P24" s="224"/>
      <c r="Q24" s="221">
        <f>IF(SUM($Q$20:$Q$23)&lt;SUM($P$15:$P$17),-SUM($Q$20:$Q$23)+SUM($P$15:$P$17),0)</f>
        <v>0</v>
      </c>
      <c r="S24" s="223">
        <f t="shared" si="1"/>
        <v>43920.92084063217</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91866050</v>
      </c>
      <c r="K26" s="155">
        <f>SUM(K15:K25)</f>
        <v>91866050</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22460938.645462304</v>
      </c>
      <c r="K33" s="197"/>
    </row>
    <row r="34" spans="1:12" ht="16.5" customHeight="1" x14ac:dyDescent="0.25">
      <c r="A34" s="99"/>
      <c r="B34" s="26"/>
      <c r="C34" s="26" t="s">
        <v>1745</v>
      </c>
      <c r="D34" s="193"/>
      <c r="E34" s="193"/>
      <c r="F34" s="194"/>
      <c r="G34" s="194"/>
      <c r="H34" s="195"/>
      <c r="I34" s="195"/>
      <c r="J34" s="197"/>
      <c r="K34" s="196">
        <v>22400435.235462304</v>
      </c>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v>60503.410000000149</v>
      </c>
    </row>
    <row r="36" spans="1:12" ht="16.5" customHeight="1" x14ac:dyDescent="0.25">
      <c r="A36" s="99"/>
      <c r="C36" s="43"/>
      <c r="D36" s="43"/>
      <c r="E36" s="43"/>
      <c r="F36" s="44"/>
      <c r="G36" s="44"/>
      <c r="H36" s="45"/>
      <c r="I36" s="45"/>
      <c r="J36" s="155">
        <f>SUM(J33:J35)</f>
        <v>22460938.645462304</v>
      </c>
      <c r="K36" s="155">
        <f>SUM(K33:K35)</f>
        <v>22460938.645462304</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22460938.645462304</v>
      </c>
      <c r="K41" s="197"/>
    </row>
    <row r="42" spans="1:12" ht="16.5" customHeight="1" x14ac:dyDescent="0.25">
      <c r="A42" s="99"/>
      <c r="B42" s="26"/>
      <c r="C42" s="26" t="s">
        <v>197</v>
      </c>
      <c r="D42" s="193"/>
      <c r="E42" s="193"/>
      <c r="F42" s="194"/>
      <c r="G42" s="194"/>
      <c r="H42" s="195"/>
      <c r="I42" s="195"/>
      <c r="J42" s="197"/>
      <c r="K42" s="196">
        <v>22460938.645462304</v>
      </c>
    </row>
    <row r="43" spans="1:12" ht="16.5" customHeight="1" x14ac:dyDescent="0.25">
      <c r="A43" s="99"/>
      <c r="B43" s="182" t="s">
        <v>1691</v>
      </c>
      <c r="C43" s="43"/>
      <c r="D43" s="43"/>
      <c r="E43" s="43"/>
      <c r="F43" s="44"/>
      <c r="G43" s="44"/>
      <c r="H43" s="45"/>
      <c r="I43" s="45"/>
      <c r="J43" s="155">
        <f>SUM(J39:J42)</f>
        <v>22460938.645462304</v>
      </c>
      <c r="K43" s="155">
        <f>SUM(K39:K42)</f>
        <v>22460938.645462304</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22400435.235462304</v>
      </c>
      <c r="K47" s="197"/>
    </row>
    <row r="48" spans="1:12" ht="16.5" customHeight="1" x14ac:dyDescent="0.25">
      <c r="A48" s="234" t="s">
        <v>1697</v>
      </c>
      <c r="B48" s="26"/>
      <c r="C48" s="26" t="s">
        <v>183</v>
      </c>
      <c r="D48" s="193"/>
      <c r="E48" s="193"/>
      <c r="F48" s="194"/>
      <c r="G48" s="194"/>
      <c r="H48" s="195"/>
      <c r="I48" s="195"/>
      <c r="J48" s="197"/>
      <c r="K48" s="196">
        <v>22400435.235462304</v>
      </c>
    </row>
    <row r="49" spans="1:16" ht="16.5" customHeight="1" x14ac:dyDescent="0.25">
      <c r="A49" s="99"/>
      <c r="C49" s="43"/>
      <c r="D49" s="43"/>
      <c r="E49" s="43"/>
      <c r="F49" s="44"/>
      <c r="G49" s="44"/>
      <c r="H49" s="45"/>
      <c r="I49" s="45"/>
      <c r="J49" s="155">
        <f>SUM(J47:J48)</f>
        <v>22400435.235462304</v>
      </c>
      <c r="K49" s="155">
        <f>SUM(K47:K48)</f>
        <v>22400435.235462304</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20113219.679516971</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20113219.679516971</v>
      </c>
    </row>
    <row r="59" spans="1:16" ht="16.5" customHeight="1" x14ac:dyDescent="0.25">
      <c r="A59" s="99"/>
      <c r="C59" s="43"/>
      <c r="D59" s="43"/>
      <c r="E59" s="43"/>
      <c r="F59" s="44"/>
      <c r="G59" s="44"/>
      <c r="H59" s="45"/>
      <c r="I59" s="45"/>
      <c r="J59" s="155">
        <f>SUM(J55:J58)</f>
        <v>20113219.679516971</v>
      </c>
      <c r="K59" s="155">
        <f>SUM(K55:K58)</f>
        <v>20113219.679516971</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19938324.55708665</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304299.39291334641</v>
      </c>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v>20242623.950000007</v>
      </c>
    </row>
    <row r="65" spans="1:12" ht="16.5" customHeight="1" x14ac:dyDescent="0.25">
      <c r="A65" s="99"/>
      <c r="C65" s="43"/>
      <c r="D65" s="43"/>
      <c r="E65" s="43"/>
      <c r="F65" s="44"/>
      <c r="G65" s="44"/>
      <c r="H65" s="45"/>
      <c r="I65" s="45"/>
      <c r="J65" s="155">
        <f>SUM(J62:J64)</f>
        <v>20242623.949999996</v>
      </c>
      <c r="K65" s="155">
        <f>SUM(K62:K64)</f>
        <v>20242623.950000007</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19938324.55708665</v>
      </c>
      <c r="K68" s="197"/>
    </row>
    <row r="69" spans="1:12" ht="16.5" customHeight="1" x14ac:dyDescent="0.25">
      <c r="A69" s="99"/>
      <c r="B69" s="26"/>
      <c r="C69" s="26" t="s">
        <v>202</v>
      </c>
      <c r="D69" s="193"/>
      <c r="E69" s="193"/>
      <c r="F69" s="194"/>
      <c r="G69" s="194"/>
      <c r="H69" s="195"/>
      <c r="I69" s="195"/>
      <c r="J69" s="197"/>
      <c r="K69" s="196">
        <v>19938324.55708665</v>
      </c>
      <c r="L69" s="37" t="str">
        <f>IF($J$62=$K$69,"","&lt;- Accts 0848 must agree")</f>
        <v/>
      </c>
    </row>
    <row r="70" spans="1:12" ht="16.5" customHeight="1" x14ac:dyDescent="0.25">
      <c r="A70" s="99"/>
      <c r="C70" s="43"/>
      <c r="D70" s="43"/>
      <c r="E70" s="43"/>
      <c r="F70" s="44"/>
      <c r="G70" s="44"/>
      <c r="H70" s="45"/>
      <c r="I70" s="45"/>
      <c r="J70" s="155">
        <f>SUM(J68:J69)</f>
        <v>19938324.55708665</v>
      </c>
      <c r="K70" s="155">
        <f>SUM(K68:K69)</f>
        <v>19938324.55708665</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20973205.347867493</v>
      </c>
      <c r="K75" s="197"/>
    </row>
    <row r="76" spans="1:12" ht="16.5" customHeight="1" x14ac:dyDescent="0.25">
      <c r="A76" s="99"/>
      <c r="B76" s="26"/>
      <c r="C76" s="26" t="s">
        <v>210</v>
      </c>
      <c r="D76" s="193"/>
      <c r="E76" s="193"/>
      <c r="F76" s="194"/>
      <c r="G76" s="194"/>
      <c r="H76" s="195"/>
      <c r="I76" s="195"/>
      <c r="J76" s="197"/>
      <c r="K76" s="196">
        <v>20973205.347867493</v>
      </c>
    </row>
    <row r="77" spans="1:12" ht="16.5" customHeight="1" x14ac:dyDescent="0.2">
      <c r="A77" s="99"/>
      <c r="B77" s="268" t="s">
        <v>1737</v>
      </c>
      <c r="C77" s="268"/>
      <c r="D77" s="268"/>
      <c r="E77" s="268"/>
      <c r="F77" s="268"/>
      <c r="G77" s="268"/>
      <c r="H77" s="268"/>
      <c r="I77" s="268"/>
      <c r="J77" s="155">
        <f>SUM(J75:J76)</f>
        <v>20973205.347867493</v>
      </c>
      <c r="K77" s="155">
        <f>SUM(K75:K76)</f>
        <v>20973205.347867493</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v>4765378.24</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v>4765378.24</v>
      </c>
    </row>
    <row r="91" spans="1:16" ht="16.5" customHeight="1" x14ac:dyDescent="0.25">
      <c r="B91" s="182" t="s">
        <v>1692</v>
      </c>
      <c r="H91" s="37"/>
      <c r="J91" s="156">
        <f>SUM(J85:J90)</f>
        <v>4765378.24</v>
      </c>
      <c r="K91" s="156">
        <f>SUM(K85:K90)</f>
        <v>4765378.24</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v>2031617.24</v>
      </c>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v>548353.47</v>
      </c>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v>0</v>
      </c>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v>2545926.8200000003</v>
      </c>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v>34043.889999999665</v>
      </c>
    </row>
    <row r="105" spans="1:12" ht="16.5" customHeight="1" x14ac:dyDescent="0.25">
      <c r="B105" s="182" t="s">
        <v>1692</v>
      </c>
      <c r="H105" s="37"/>
      <c r="J105" s="156">
        <f>SUM(J96:J104)</f>
        <v>2579970.71</v>
      </c>
      <c r="K105" s="156">
        <f>SUM(K96:K104)</f>
        <v>2579970.71</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106666137.5854623</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-52164535.96951697</v>
      </c>
    </row>
    <row r="128" spans="1:12" ht="16.5" customHeight="1" x14ac:dyDescent="0.25">
      <c r="D128" s="193" t="s">
        <v>1708</v>
      </c>
      <c r="H128" s="37"/>
      <c r="K128" s="238">
        <f>-K23-K48+J68+J75+J96-K113</f>
        <v>-33958290.09050817</v>
      </c>
    </row>
    <row r="129" spans="4:11" ht="16.5" customHeight="1" x14ac:dyDescent="0.25">
      <c r="D129" s="193" t="s">
        <v>1709</v>
      </c>
      <c r="H129" s="37"/>
      <c r="K129" s="238">
        <f>-K76</f>
        <v>-20973205.347867493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93" priority="12">
      <formula>$J$62&lt;&gt;$K$69</formula>
    </cfRule>
  </conditionalFormatting>
  <conditionalFormatting sqref="L26:P26">
    <cfRule type="expression" dxfId="92" priority="1">
      <formula>$J$26&lt;&gt;$K$26</formula>
    </cfRule>
  </conditionalFormatting>
  <conditionalFormatting sqref="L36:P36">
    <cfRule type="expression" dxfId="91" priority="2">
      <formula>$J$36&lt;&gt;$K$36</formula>
    </cfRule>
  </conditionalFormatting>
  <conditionalFormatting sqref="L43:P43">
    <cfRule type="expression" dxfId="90" priority="3">
      <formula>$J$43&lt;&gt;$K$43</formula>
    </cfRule>
  </conditionalFormatting>
  <conditionalFormatting sqref="L49:P49">
    <cfRule type="expression" dxfId="89" priority="4">
      <formula>$J$49&lt;&gt;$K$49</formula>
    </cfRule>
  </conditionalFormatting>
  <conditionalFormatting sqref="L59:P59">
    <cfRule type="expression" dxfId="88" priority="5">
      <formula>$J$59&lt;&gt;$K$59</formula>
    </cfRule>
  </conditionalFormatting>
  <conditionalFormatting sqref="L65:P65">
    <cfRule type="expression" dxfId="87" priority="6">
      <formula>$J$65&lt;&gt;$K$65</formula>
    </cfRule>
  </conditionalFormatting>
  <conditionalFormatting sqref="L70:P70">
    <cfRule type="expression" dxfId="86" priority="7">
      <formula>$J$70&lt;&gt;$K$70</formula>
    </cfRule>
  </conditionalFormatting>
  <conditionalFormatting sqref="L77:P77">
    <cfRule type="expression" dxfId="85" priority="8">
      <formula>$J$77&lt;&gt;$K$77</formula>
    </cfRule>
  </conditionalFormatting>
  <conditionalFormatting sqref="L91:P91">
    <cfRule type="expression" dxfId="84" priority="9">
      <formula>$J$91&lt;&gt;$K$91</formula>
    </cfRule>
  </conditionalFormatting>
  <conditionalFormatting sqref="L105:P105">
    <cfRule type="expression" dxfId="83" priority="10">
      <formula>$J$105&lt;&gt;$K$105</formula>
    </cfRule>
  </conditionalFormatting>
  <conditionalFormatting sqref="L114:P114">
    <cfRule type="expression" dxfId="82"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B939E-042C-456D-86AC-73624A0120DC}">
  <sheetPr>
    <tabColor theme="9" tint="0.59999389629810485"/>
    <pageSetUpPr fitToPage="1"/>
  </sheetPr>
  <dimension ref="A1:T193"/>
  <sheetViews>
    <sheetView zoomScale="70" zoomScaleNormal="70" workbookViewId="0">
      <selection activeCell="A8" sqref="A8:Q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1806</v>
      </c>
      <c r="G4" s="263"/>
      <c r="H4" s="263"/>
      <c r="I4" s="263"/>
    </row>
    <row r="5" spans="1:20" ht="16.5" customHeight="1" x14ac:dyDescent="0.2">
      <c r="A5" s="261" t="s">
        <v>1639</v>
      </c>
      <c r="B5" s="261"/>
      <c r="C5" s="261"/>
      <c r="D5" s="261"/>
      <c r="E5" s="261"/>
      <c r="F5" s="263" t="s">
        <v>700</v>
      </c>
      <c r="G5" s="263"/>
      <c r="H5" s="263"/>
      <c r="I5" s="263"/>
      <c r="L5" s="39"/>
      <c r="M5" s="39"/>
      <c r="N5" s="39"/>
      <c r="O5" s="39"/>
      <c r="P5" s="39"/>
      <c r="Q5" s="39"/>
    </row>
    <row r="6" spans="1:20" ht="16.5" customHeight="1" x14ac:dyDescent="0.25">
      <c r="A6" s="261" t="s">
        <v>1682</v>
      </c>
      <c r="B6" s="261"/>
      <c r="C6" s="261"/>
      <c r="D6" s="261"/>
      <c r="E6" s="261"/>
      <c r="F6" s="264">
        <v>46</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TRANSPORTATION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17089708</v>
      </c>
      <c r="M16" s="196">
        <v>17089708</v>
      </c>
      <c r="P16" s="196">
        <v>17089708</v>
      </c>
      <c r="Q16" s="224"/>
      <c r="S16" s="223">
        <f t="shared" si="0"/>
        <v>0</v>
      </c>
      <c r="T16" s="251" t="s">
        <v>1760</v>
      </c>
    </row>
    <row r="17" spans="1:20" ht="16.5" customHeight="1" x14ac:dyDescent="0.25">
      <c r="A17" s="228" t="s">
        <v>1689</v>
      </c>
      <c r="B17" s="26" t="s">
        <v>182</v>
      </c>
      <c r="C17" s="26"/>
      <c r="D17" s="26"/>
      <c r="E17" s="193"/>
      <c r="F17" s="194"/>
      <c r="G17" s="194"/>
      <c r="H17" s="195"/>
      <c r="I17" s="195"/>
      <c r="J17" s="248">
        <f>M17</f>
        <v>0</v>
      </c>
      <c r="M17" s="196">
        <v>0</v>
      </c>
      <c r="P17" s="196">
        <v>0</v>
      </c>
      <c r="Q17" s="224"/>
      <c r="S17" s="223">
        <f t="shared" si="0"/>
        <v>0</v>
      </c>
      <c r="T17" s="251" t="s">
        <v>1760</v>
      </c>
    </row>
    <row r="18" spans="1:20" ht="16.5" customHeight="1" x14ac:dyDescent="0.25">
      <c r="A18" s="99"/>
      <c r="B18" s="26" t="s">
        <v>178</v>
      </c>
      <c r="C18" s="26"/>
      <c r="D18" s="26"/>
      <c r="E18" s="193"/>
      <c r="F18" s="194"/>
      <c r="G18" s="194"/>
      <c r="H18" s="195"/>
      <c r="I18" s="195"/>
      <c r="J18" s="248">
        <f>P18</f>
        <v>0</v>
      </c>
      <c r="M18" s="196">
        <v>0</v>
      </c>
      <c r="P18" s="221">
        <f>IF(SUM($Q$20:$Q$23)&gt;SUM($P$15:$P$17),SUM($Q$20:$Q$23)-SUM($P$15:$P$17),0)</f>
        <v>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v>0</v>
      </c>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2010554</v>
      </c>
      <c r="N21" s="196">
        <v>2010554</v>
      </c>
      <c r="P21" s="224"/>
      <c r="Q21" s="196">
        <v>2010554</v>
      </c>
      <c r="S21" s="223">
        <f>Q21-N21</f>
        <v>0</v>
      </c>
      <c r="T21" s="250" t="s">
        <v>1730</v>
      </c>
    </row>
    <row r="22" spans="1:20" ht="16.5" customHeight="1" x14ac:dyDescent="0.25">
      <c r="A22" s="99"/>
      <c r="B22" s="26"/>
      <c r="C22" s="26" t="s">
        <v>188</v>
      </c>
      <c r="D22" s="26"/>
      <c r="E22" s="193"/>
      <c r="F22" s="194"/>
      <c r="G22" s="194"/>
      <c r="H22" s="195"/>
      <c r="I22" s="195"/>
      <c r="J22" s="213"/>
      <c r="K22" s="248">
        <f>N22</f>
        <v>0</v>
      </c>
      <c r="N22" s="196"/>
      <c r="P22" s="224"/>
      <c r="Q22" s="196"/>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15079152</v>
      </c>
      <c r="N23" s="196">
        <v>15079152</v>
      </c>
      <c r="P23" s="224"/>
      <c r="Q23" s="196">
        <v>15079153</v>
      </c>
      <c r="S23" s="223">
        <f t="shared" si="1"/>
        <v>1</v>
      </c>
      <c r="T23" s="250" t="s">
        <v>1730</v>
      </c>
    </row>
    <row r="24" spans="1:20" ht="16.5" customHeight="1" x14ac:dyDescent="0.25">
      <c r="A24" s="99"/>
      <c r="B24" s="26"/>
      <c r="C24" s="26" t="s">
        <v>185</v>
      </c>
      <c r="D24" s="26"/>
      <c r="E24" s="193"/>
      <c r="F24" s="194"/>
      <c r="G24" s="194"/>
      <c r="H24" s="195"/>
      <c r="I24" s="195"/>
      <c r="J24" s="213"/>
      <c r="K24" s="248">
        <f>Q24</f>
        <v>1</v>
      </c>
      <c r="N24" s="196">
        <v>-1.608121071010828</v>
      </c>
      <c r="P24" s="224"/>
      <c r="Q24" s="221">
        <f>IF(SUM($Q$20:$Q$23)&lt;SUM($P$15:$P$17),-SUM($Q$20:$Q$23)+SUM($P$15:$P$17),0)</f>
        <v>1</v>
      </c>
      <c r="S24" s="223">
        <f t="shared" si="1"/>
        <v>2.608121071010828</v>
      </c>
      <c r="T24" s="250" t="s">
        <v>1730</v>
      </c>
    </row>
    <row r="25" spans="1:20" ht="16.5" customHeight="1" x14ac:dyDescent="0.25">
      <c r="A25" s="99"/>
      <c r="B25" s="26"/>
      <c r="C25" s="26" t="s">
        <v>186</v>
      </c>
      <c r="D25" s="26"/>
      <c r="E25" s="193"/>
      <c r="F25" s="194"/>
      <c r="G25" s="194"/>
      <c r="H25" s="195"/>
      <c r="I25" s="195"/>
      <c r="J25" s="213"/>
      <c r="K25" s="248">
        <f>IF(SUM($K$20:$K$24)&lt;SUM($J$15:$J$18),-SUM($K$20:$K$24)+SUM($J$15:$J$18),0)</f>
        <v>1</v>
      </c>
      <c r="N25" s="196"/>
      <c r="P25" s="224"/>
      <c r="Q25" s="224"/>
      <c r="S25" s="223">
        <f t="shared" si="1"/>
        <v>0</v>
      </c>
      <c r="T25" s="250" t="s">
        <v>1730</v>
      </c>
    </row>
    <row r="26" spans="1:20" ht="16.5" customHeight="1" x14ac:dyDescent="0.25">
      <c r="A26" s="99"/>
      <c r="C26" s="47"/>
      <c r="D26" s="47"/>
      <c r="E26" s="47"/>
      <c r="F26" s="179"/>
      <c r="G26" s="179"/>
      <c r="H26" s="49"/>
      <c r="I26" s="49"/>
      <c r="J26" s="155">
        <f>SUM(J15:J25)</f>
        <v>17089708</v>
      </c>
      <c r="K26" s="155">
        <f>SUM(K15:K25)</f>
        <v>17089708</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12063322.965432333</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v>12063322.965432333</v>
      </c>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12063322.965432333</v>
      </c>
      <c r="K59" s="155">
        <f>SUM(K55:K58)</f>
        <v>12063322.965432333</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12059701.959235745</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22930.04076425634</v>
      </c>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v>12082632</v>
      </c>
    </row>
    <row r="65" spans="1:12" ht="16.5" customHeight="1" x14ac:dyDescent="0.25">
      <c r="A65" s="99"/>
      <c r="C65" s="43"/>
      <c r="D65" s="43"/>
      <c r="E65" s="43"/>
      <c r="F65" s="44"/>
      <c r="G65" s="44"/>
      <c r="H65" s="45"/>
      <c r="I65" s="45"/>
      <c r="J65" s="155">
        <f>SUM(J62:J64)</f>
        <v>12082632</v>
      </c>
      <c r="K65" s="155">
        <f>SUM(K62:K64)</f>
        <v>12082632</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12059701.959235745</v>
      </c>
      <c r="K68" s="197"/>
    </row>
    <row r="69" spans="1:12" ht="16.5" customHeight="1" x14ac:dyDescent="0.25">
      <c r="A69" s="99"/>
      <c r="B69" s="26"/>
      <c r="C69" s="26" t="s">
        <v>202</v>
      </c>
      <c r="D69" s="193"/>
      <c r="E69" s="193"/>
      <c r="F69" s="194"/>
      <c r="G69" s="194"/>
      <c r="H69" s="195"/>
      <c r="I69" s="195"/>
      <c r="J69" s="197"/>
      <c r="K69" s="196">
        <v>12059701.959235745</v>
      </c>
      <c r="L69" s="37" t="str">
        <f>IF($J$62=$K$69,"","&lt;- Accts 0848 must agree")</f>
        <v/>
      </c>
    </row>
    <row r="70" spans="1:12" ht="16.5" customHeight="1" x14ac:dyDescent="0.25">
      <c r="A70" s="99"/>
      <c r="C70" s="43"/>
      <c r="D70" s="43"/>
      <c r="E70" s="43"/>
      <c r="F70" s="44"/>
      <c r="G70" s="44"/>
      <c r="H70" s="45"/>
      <c r="I70" s="45"/>
      <c r="J70" s="155">
        <f>SUM(J68:J69)</f>
        <v>12059701.959235745</v>
      </c>
      <c r="K70" s="155">
        <f>SUM(K68:K69)</f>
        <v>12059701.959235745</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3019450.1394336075</v>
      </c>
      <c r="K75" s="197"/>
    </row>
    <row r="76" spans="1:12" ht="16.5" customHeight="1" x14ac:dyDescent="0.25">
      <c r="A76" s="99"/>
      <c r="B76" s="26"/>
      <c r="C76" s="26" t="s">
        <v>210</v>
      </c>
      <c r="D76" s="193"/>
      <c r="E76" s="193"/>
      <c r="F76" s="194"/>
      <c r="G76" s="194"/>
      <c r="H76" s="195"/>
      <c r="I76" s="195"/>
      <c r="J76" s="197"/>
      <c r="K76" s="196">
        <v>3019450.1394336075</v>
      </c>
    </row>
    <row r="77" spans="1:12" ht="16.5" customHeight="1" x14ac:dyDescent="0.2">
      <c r="A77" s="99"/>
      <c r="B77" s="268" t="s">
        <v>1737</v>
      </c>
      <c r="C77" s="268"/>
      <c r="D77" s="268"/>
      <c r="E77" s="268"/>
      <c r="F77" s="268"/>
      <c r="G77" s="268"/>
      <c r="H77" s="268"/>
      <c r="I77" s="268"/>
      <c r="J77" s="155">
        <f>SUM(J75:J76)</f>
        <v>3019450.1394336075</v>
      </c>
      <c r="K77" s="155">
        <f>SUM(K75:K76)</f>
        <v>3019450.1394336075</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v>0</v>
      </c>
      <c r="K85" s="197"/>
      <c r="L85" s="21"/>
    </row>
    <row r="86" spans="1:16" ht="16.5" customHeight="1" x14ac:dyDescent="0.2">
      <c r="A86" s="99"/>
      <c r="B86" s="26" t="s">
        <v>172</v>
      </c>
      <c r="C86" s="53"/>
      <c r="D86" s="53"/>
      <c r="E86" s="53"/>
      <c r="F86" s="53"/>
      <c r="G86" s="53"/>
      <c r="H86" s="53"/>
      <c r="I86" s="53"/>
      <c r="J86" s="196">
        <v>0</v>
      </c>
      <c r="K86" s="201"/>
    </row>
    <row r="87" spans="1:16" ht="16.5" customHeight="1" x14ac:dyDescent="0.2">
      <c r="A87" s="99"/>
      <c r="B87" s="26" t="s">
        <v>204</v>
      </c>
      <c r="C87" s="53"/>
      <c r="D87" s="53"/>
      <c r="E87" s="53"/>
      <c r="F87" s="53"/>
      <c r="G87" s="53"/>
      <c r="H87" s="53"/>
      <c r="I87" s="53"/>
      <c r="J87" s="196">
        <v>0</v>
      </c>
      <c r="K87" s="201"/>
    </row>
    <row r="88" spans="1:16" ht="16.5" customHeight="1" x14ac:dyDescent="0.2">
      <c r="A88" s="228" t="s">
        <v>1689</v>
      </c>
      <c r="B88" s="53"/>
      <c r="C88" s="26" t="s">
        <v>205</v>
      </c>
      <c r="D88" s="53"/>
      <c r="E88" s="53"/>
      <c r="F88" s="53"/>
      <c r="G88" s="53"/>
      <c r="H88" s="53"/>
      <c r="I88" s="53"/>
      <c r="J88" s="201"/>
      <c r="K88" s="196">
        <v>0</v>
      </c>
    </row>
    <row r="89" spans="1:16" ht="16.5" customHeight="1" x14ac:dyDescent="0.2">
      <c r="A89" s="228" t="s">
        <v>1689</v>
      </c>
      <c r="B89" s="53"/>
      <c r="C89" s="26" t="s">
        <v>173</v>
      </c>
      <c r="D89" s="53"/>
      <c r="E89" s="53"/>
      <c r="F89" s="53"/>
      <c r="G89" s="53"/>
      <c r="H89" s="53"/>
      <c r="I89" s="53"/>
      <c r="J89" s="201"/>
      <c r="K89" s="196">
        <v>0</v>
      </c>
    </row>
    <row r="90" spans="1:16" ht="16.5" customHeight="1" x14ac:dyDescent="0.2">
      <c r="A90" s="228" t="s">
        <v>1689</v>
      </c>
      <c r="B90" s="53"/>
      <c r="C90" s="26" t="s">
        <v>206</v>
      </c>
      <c r="D90" s="53"/>
      <c r="E90" s="53"/>
      <c r="F90" s="53"/>
      <c r="G90" s="53"/>
      <c r="H90" s="53"/>
      <c r="I90" s="53"/>
      <c r="J90" s="201"/>
      <c r="K90" s="196">
        <v>0</v>
      </c>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17089708</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-14073876.965432333</v>
      </c>
    </row>
    <row r="127" spans="1:12" ht="16.5" customHeight="1" x14ac:dyDescent="0.25">
      <c r="D127" s="193" t="s">
        <v>1707</v>
      </c>
      <c r="H127" s="37"/>
      <c r="K127" s="238">
        <f>-K22-K58+J87+J99</f>
        <v>0</v>
      </c>
    </row>
    <row r="128" spans="1:12" ht="16.5" customHeight="1" x14ac:dyDescent="0.25">
      <c r="D128" s="193" t="s">
        <v>1708</v>
      </c>
      <c r="H128" s="37"/>
      <c r="K128" s="238">
        <f>-K23-K48+J68+J75+J96-K113</f>
        <v>9.8669352009892464E-2</v>
      </c>
    </row>
    <row r="129" spans="4:11" ht="16.5" customHeight="1" x14ac:dyDescent="0.25">
      <c r="D129" s="193" t="s">
        <v>1709</v>
      </c>
      <c r="H129" s="37"/>
      <c r="K129" s="238">
        <f>-K76</f>
        <v>-3019450.1394336075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81" priority="12">
      <formula>$J$62&lt;&gt;$K$69</formula>
    </cfRule>
  </conditionalFormatting>
  <conditionalFormatting sqref="L26:P26">
    <cfRule type="expression" dxfId="80" priority="1">
      <formula>$J$26&lt;&gt;$K$26</formula>
    </cfRule>
  </conditionalFormatting>
  <conditionalFormatting sqref="L36:P36">
    <cfRule type="expression" dxfId="79" priority="2">
      <formula>$J$36&lt;&gt;$K$36</formula>
    </cfRule>
  </conditionalFormatting>
  <conditionalFormatting sqref="L43:P43">
    <cfRule type="expression" dxfId="78" priority="3">
      <formula>$J$43&lt;&gt;$K$43</formula>
    </cfRule>
  </conditionalFormatting>
  <conditionalFormatting sqref="L49:P49">
    <cfRule type="expression" dxfId="77" priority="4">
      <formula>$J$49&lt;&gt;$K$49</formula>
    </cfRule>
  </conditionalFormatting>
  <conditionalFormatting sqref="L59:P59">
    <cfRule type="expression" dxfId="76" priority="5">
      <formula>$J$59&lt;&gt;$K$59</formula>
    </cfRule>
  </conditionalFormatting>
  <conditionalFormatting sqref="L65:P65">
    <cfRule type="expression" dxfId="75" priority="6">
      <formula>$J$65&lt;&gt;$K$65</formula>
    </cfRule>
  </conditionalFormatting>
  <conditionalFormatting sqref="L70:P70">
    <cfRule type="expression" dxfId="74" priority="7">
      <formula>$J$70&lt;&gt;$K$70</formula>
    </cfRule>
  </conditionalFormatting>
  <conditionalFormatting sqref="L77:P77">
    <cfRule type="expression" dxfId="73" priority="8">
      <formula>$J$77&lt;&gt;$K$77</formula>
    </cfRule>
  </conditionalFormatting>
  <conditionalFormatting sqref="L91:P91">
    <cfRule type="expression" dxfId="72" priority="9">
      <formula>$J$91&lt;&gt;$K$91</formula>
    </cfRule>
  </conditionalFormatting>
  <conditionalFormatting sqref="L105:P105">
    <cfRule type="expression" dxfId="71" priority="10">
      <formula>$J$105&lt;&gt;$K$105</formula>
    </cfRule>
  </conditionalFormatting>
  <conditionalFormatting sqref="L114:P114">
    <cfRule type="expression" dxfId="70" priority="11">
      <formula>$J$114&lt;&gt;$K$114</formula>
    </cfRule>
  </conditionalFormatting>
  <dataValidations count="3">
    <dataValidation type="textLength" operator="equal" allowBlank="1" showInputMessage="1" showErrorMessage="1" errorTitle="4-Digit Org Code" error="Enter the Org Code/BU as 4 digits." sqref="F5" xr:uid="{8138C084-32AB-4E9A-8394-B77641B6DB6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7D3C765-A902-48C2-873C-7CD0F88FA19A}">
      <formula1>0</formula1>
    </dataValidation>
    <dataValidation operator="lessThan" allowBlank="1" showInputMessage="1" showErrorMessage="1" sqref="A3:A8" xr:uid="{E8B0399A-D340-49A8-8F21-A142BB90F884}"/>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5D93447F-831F-47D7-B521-ABA34F075F03}">
          <x14:formula1>
            <xm:f>'Drop Down Menus'!$E$1:$E$3</xm:f>
          </x14:formula1>
          <xm:sqref>F8</xm:sqref>
        </x14:dataValidation>
        <x14:dataValidation type="list" allowBlank="1" showInputMessage="1" showErrorMessage="1" xr:uid="{5EDF7824-D864-41E8-A009-97AEC7380B3B}">
          <x14:formula1>
            <xm:f>'Drop Down Menus'!$B$1:$B$2</xm:f>
          </x14:formula1>
          <xm:sqref>F7</xm:sqref>
        </x14:dataValidation>
        <x14:dataValidation type="list" allowBlank="1" showInputMessage="1" showErrorMessage="1" xr:uid="{53550C2C-9FD2-4C03-A1DD-2D16FDDE218F}">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F8B7D-35D2-47F8-BB83-CDF4C0A457A7}">
  <sheetPr>
    <tabColor theme="9" tint="0.59999389629810485"/>
    <pageSetUpPr fitToPage="1"/>
  </sheetPr>
  <dimension ref="A1:T193"/>
  <sheetViews>
    <sheetView zoomScale="70" zoomScaleNormal="70" workbookViewId="0">
      <selection activeCell="A8" sqref="A8:Q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1806</v>
      </c>
      <c r="G4" s="263"/>
      <c r="H4" s="263"/>
      <c r="I4" s="263"/>
    </row>
    <row r="5" spans="1:20" ht="16.5" customHeight="1" x14ac:dyDescent="0.2">
      <c r="A5" s="261" t="s">
        <v>1639</v>
      </c>
      <c r="B5" s="261"/>
      <c r="C5" s="261"/>
      <c r="D5" s="261"/>
      <c r="E5" s="261"/>
      <c r="F5" s="263" t="s">
        <v>700</v>
      </c>
      <c r="G5" s="263"/>
      <c r="H5" s="263"/>
      <c r="I5" s="263"/>
      <c r="L5" s="39"/>
      <c r="M5" s="39"/>
      <c r="N5" s="39"/>
      <c r="O5" s="39"/>
      <c r="P5" s="39"/>
      <c r="Q5" s="39"/>
    </row>
    <row r="6" spans="1:20" ht="16.5" customHeight="1" x14ac:dyDescent="0.25">
      <c r="A6" s="261" t="s">
        <v>1682</v>
      </c>
      <c r="B6" s="261"/>
      <c r="C6" s="261"/>
      <c r="D6" s="261"/>
      <c r="E6" s="261"/>
      <c r="F6" s="264">
        <v>3290</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TRANSPORTATION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9654615.8977623675</v>
      </c>
      <c r="M17" s="196">
        <v>9654615.8977623675</v>
      </c>
      <c r="P17" s="196">
        <v>9654616</v>
      </c>
      <c r="Q17" s="224"/>
      <c r="S17" s="223">
        <f t="shared" si="0"/>
        <v>0.1022376324981451</v>
      </c>
      <c r="T17" s="251" t="s">
        <v>1760</v>
      </c>
    </row>
    <row r="18" spans="1:20" ht="16.5" customHeight="1" x14ac:dyDescent="0.25">
      <c r="A18" s="99"/>
      <c r="B18" s="26" t="s">
        <v>178</v>
      </c>
      <c r="C18" s="26"/>
      <c r="D18" s="26"/>
      <c r="E18" s="193"/>
      <c r="F18" s="194"/>
      <c r="G18" s="194"/>
      <c r="H18" s="195"/>
      <c r="I18" s="195"/>
      <c r="J18" s="248">
        <f>P18</f>
        <v>26766</v>
      </c>
      <c r="M18" s="196">
        <v>26766.119702864758</v>
      </c>
      <c r="P18" s="221">
        <f>IF(SUM($Q$20:$Q$23)&gt;SUM($P$15:$P$17),SUM($Q$20:$Q$23)-SUM($P$15:$P$17),0)</f>
        <v>26766</v>
      </c>
      <c r="Q18" s="224"/>
      <c r="S18" s="223">
        <f t="shared" si="0"/>
        <v>-0.1197028647584375</v>
      </c>
      <c r="T18" s="250" t="s">
        <v>1730</v>
      </c>
    </row>
    <row r="19" spans="1:20" ht="16.5" customHeight="1" x14ac:dyDescent="0.25">
      <c r="A19" s="99"/>
      <c r="B19" s="26" t="s">
        <v>179</v>
      </c>
      <c r="C19" s="26"/>
      <c r="D19" s="26"/>
      <c r="E19" s="193"/>
      <c r="F19" s="194"/>
      <c r="G19" s="194"/>
      <c r="H19" s="195"/>
      <c r="I19" s="195"/>
      <c r="J19" s="248">
        <f>IF(SUM($K$20:$K$24)&gt;SUM($J$15:$J$18),SUM($K$20:$K$24)-SUM($J$15:$J$18),0)</f>
        <v>0.11970286630094051</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2606165.7039593505</v>
      </c>
      <c r="N22" s="196">
        <v>2606165.7039593505</v>
      </c>
      <c r="P22" s="224"/>
      <c r="Q22" s="196">
        <v>2606166</v>
      </c>
      <c r="S22" s="223">
        <f t="shared" ref="S22:S25" si="1">Q22-N22</f>
        <v>0.29604064952582121</v>
      </c>
      <c r="T22" s="250" t="s">
        <v>1730</v>
      </c>
    </row>
    <row r="23" spans="1:20" ht="16.5" customHeight="1" x14ac:dyDescent="0.25">
      <c r="A23" s="234" t="s">
        <v>1697</v>
      </c>
      <c r="B23" s="26"/>
      <c r="C23" s="26" t="s">
        <v>183</v>
      </c>
      <c r="D23" s="26"/>
      <c r="E23" s="193"/>
      <c r="F23" s="194"/>
      <c r="G23" s="194"/>
      <c r="H23" s="195"/>
      <c r="I23" s="195"/>
      <c r="J23" s="213"/>
      <c r="K23" s="248">
        <f>N23</f>
        <v>7075216.3135058833</v>
      </c>
      <c r="N23" s="196">
        <v>7075216.3135058833</v>
      </c>
      <c r="P23" s="224"/>
      <c r="Q23" s="196">
        <v>7075216</v>
      </c>
      <c r="S23" s="223">
        <f t="shared" si="1"/>
        <v>-0.31350588332861662</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9681382.0174652338</v>
      </c>
      <c r="K26" s="155">
        <f>SUM(K15:K25)</f>
        <v>9681382.0174652338</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3132600</v>
      </c>
      <c r="K33" s="197"/>
    </row>
    <row r="34" spans="1:12" ht="16.5" customHeight="1" x14ac:dyDescent="0.25">
      <c r="A34" s="99"/>
      <c r="B34" s="26"/>
      <c r="C34" s="26" t="s">
        <v>1745</v>
      </c>
      <c r="D34" s="193"/>
      <c r="E34" s="193"/>
      <c r="F34" s="194"/>
      <c r="G34" s="194"/>
      <c r="H34" s="195"/>
      <c r="I34" s="195"/>
      <c r="J34" s="197"/>
      <c r="K34" s="196">
        <v>3096843</v>
      </c>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v>35757</v>
      </c>
    </row>
    <row r="36" spans="1:12" ht="16.5" customHeight="1" x14ac:dyDescent="0.25">
      <c r="A36" s="99"/>
      <c r="C36" s="43"/>
      <c r="D36" s="43"/>
      <c r="E36" s="43"/>
      <c r="F36" s="44"/>
      <c r="G36" s="44"/>
      <c r="H36" s="45"/>
      <c r="I36" s="45"/>
      <c r="J36" s="155">
        <f>SUM(J33:J35)</f>
        <v>3132600</v>
      </c>
      <c r="K36" s="155">
        <f>SUM(K33:K35)</f>
        <v>3132600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3132600</v>
      </c>
      <c r="K41" s="197"/>
    </row>
    <row r="42" spans="1:12" ht="16.5" customHeight="1" x14ac:dyDescent="0.25">
      <c r="A42" s="99"/>
      <c r="B42" s="26"/>
      <c r="C42" s="26" t="s">
        <v>197</v>
      </c>
      <c r="D42" s="193"/>
      <c r="E42" s="193"/>
      <c r="F42" s="194"/>
      <c r="G42" s="194"/>
      <c r="H42" s="195"/>
      <c r="I42" s="195"/>
      <c r="J42" s="197"/>
      <c r="K42" s="196">
        <v>3132600</v>
      </c>
    </row>
    <row r="43" spans="1:12" ht="16.5" customHeight="1" x14ac:dyDescent="0.25">
      <c r="A43" s="99"/>
      <c r="B43" s="182" t="s">
        <v>1691</v>
      </c>
      <c r="C43" s="43"/>
      <c r="D43" s="43"/>
      <c r="E43" s="43"/>
      <c r="F43" s="44"/>
      <c r="G43" s="44"/>
      <c r="H43" s="45"/>
      <c r="I43" s="45"/>
      <c r="J43" s="155">
        <f>SUM(J39:J42)</f>
        <v>3132600</v>
      </c>
      <c r="K43" s="155">
        <f>SUM(K39:K42)</f>
        <v>3132600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3096843</v>
      </c>
      <c r="K47" s="197"/>
    </row>
    <row r="48" spans="1:12" ht="16.5" customHeight="1" x14ac:dyDescent="0.25">
      <c r="A48" s="234" t="s">
        <v>1697</v>
      </c>
      <c r="B48" s="26"/>
      <c r="C48" s="26" t="s">
        <v>183</v>
      </c>
      <c r="D48" s="193"/>
      <c r="E48" s="193"/>
      <c r="F48" s="194"/>
      <c r="G48" s="194"/>
      <c r="H48" s="195"/>
      <c r="I48" s="195"/>
      <c r="J48" s="197"/>
      <c r="K48" s="196">
        <v>3096843</v>
      </c>
    </row>
    <row r="49" spans="1:16" ht="16.5" customHeight="1" x14ac:dyDescent="0.25">
      <c r="A49" s="99"/>
      <c r="C49" s="43"/>
      <c r="D49" s="43"/>
      <c r="E49" s="43"/>
      <c r="F49" s="44"/>
      <c r="G49" s="44"/>
      <c r="H49" s="45"/>
      <c r="I49" s="45"/>
      <c r="J49" s="155">
        <f>SUM(J47:J48)</f>
        <v>3096843</v>
      </c>
      <c r="K49" s="155">
        <f>SUM(K47:K48)</f>
        <v>3096843</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2726131</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2726131</v>
      </c>
    </row>
    <row r="59" spans="1:16" ht="16.5" customHeight="1" x14ac:dyDescent="0.25">
      <c r="A59" s="99"/>
      <c r="C59" s="43"/>
      <c r="D59" s="43"/>
      <c r="E59" s="43"/>
      <c r="F59" s="44"/>
      <c r="G59" s="44"/>
      <c r="H59" s="45"/>
      <c r="I59" s="45"/>
      <c r="J59" s="155">
        <f>SUM(J55:J58)</f>
        <v>2726131</v>
      </c>
      <c r="K59" s="155">
        <f>SUM(K55:K58)</f>
        <v>2726131</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2650049</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57101</v>
      </c>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v>2707150</v>
      </c>
    </row>
    <row r="65" spans="1:12" ht="16.5" customHeight="1" x14ac:dyDescent="0.25">
      <c r="A65" s="99"/>
      <c r="C65" s="43"/>
      <c r="D65" s="43"/>
      <c r="E65" s="43"/>
      <c r="F65" s="44"/>
      <c r="G65" s="44"/>
      <c r="H65" s="45"/>
      <c r="I65" s="45"/>
      <c r="J65" s="155">
        <f>SUM(J62:J64)</f>
        <v>2707150</v>
      </c>
      <c r="K65" s="155">
        <f>SUM(K62:K64)</f>
        <v>2707150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2650049</v>
      </c>
      <c r="K68" s="197"/>
    </row>
    <row r="69" spans="1:12" ht="16.5" customHeight="1" x14ac:dyDescent="0.25">
      <c r="A69" s="99"/>
      <c r="B69" s="26"/>
      <c r="C69" s="26" t="s">
        <v>202</v>
      </c>
      <c r="D69" s="193"/>
      <c r="E69" s="193"/>
      <c r="F69" s="194"/>
      <c r="G69" s="194"/>
      <c r="H69" s="195"/>
      <c r="I69" s="195"/>
      <c r="J69" s="197"/>
      <c r="K69" s="196">
        <v>2650049</v>
      </c>
      <c r="L69" s="37" t="str">
        <f>IF($J$62=$K$69,"","&lt;- Accts 0848 must agree")</f>
        <v/>
      </c>
    </row>
    <row r="70" spans="1:12" ht="16.5" customHeight="1" x14ac:dyDescent="0.25">
      <c r="A70" s="99"/>
      <c r="C70" s="43"/>
      <c r="D70" s="43"/>
      <c r="E70" s="43"/>
      <c r="F70" s="44"/>
      <c r="G70" s="44"/>
      <c r="H70" s="45"/>
      <c r="I70" s="45"/>
      <c r="J70" s="155">
        <f>SUM(J68:J69)</f>
        <v>2650049</v>
      </c>
      <c r="K70" s="155">
        <f>SUM(K68:K69)</f>
        <v>2650049</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2463504</v>
      </c>
      <c r="K75" s="197"/>
    </row>
    <row r="76" spans="1:12" ht="16.5" customHeight="1" x14ac:dyDescent="0.25">
      <c r="A76" s="99"/>
      <c r="B76" s="26"/>
      <c r="C76" s="26" t="s">
        <v>210</v>
      </c>
      <c r="D76" s="193"/>
      <c r="E76" s="193"/>
      <c r="F76" s="194"/>
      <c r="G76" s="194"/>
      <c r="H76" s="195"/>
      <c r="I76" s="195"/>
      <c r="J76" s="197"/>
      <c r="K76" s="196">
        <v>2463504</v>
      </c>
    </row>
    <row r="77" spans="1:12" ht="16.5" customHeight="1" x14ac:dyDescent="0.2">
      <c r="A77" s="99"/>
      <c r="B77" s="268" t="s">
        <v>1737</v>
      </c>
      <c r="C77" s="268"/>
      <c r="D77" s="268"/>
      <c r="E77" s="268"/>
      <c r="F77" s="268"/>
      <c r="G77" s="268"/>
      <c r="H77" s="268"/>
      <c r="I77" s="268"/>
      <c r="J77" s="155">
        <f>SUM(J75:J76)</f>
        <v>2463504</v>
      </c>
      <c r="K77" s="155">
        <f>SUM(K75:K76)</f>
        <v>2463504</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v>672258.36</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v>672258.36</v>
      </c>
    </row>
    <row r="91" spans="1:16" ht="16.5" customHeight="1" x14ac:dyDescent="0.25">
      <c r="B91" s="182" t="s">
        <v>1692</v>
      </c>
      <c r="H91" s="37"/>
      <c r="J91" s="156">
        <f>SUM(J85:J90)</f>
        <v>672258.36</v>
      </c>
      <c r="K91" s="156">
        <f>SUM(K85:K90)</f>
        <v>672258.36</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12114957.537762368</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-4660038.3439593501</v>
      </c>
    </row>
    <row r="128" spans="1:12" ht="16.5" customHeight="1" x14ac:dyDescent="0.25">
      <c r="D128" s="193" t="s">
        <v>1708</v>
      </c>
      <c r="H128" s="37"/>
      <c r="K128" s="238">
        <f>-K23-K48+J68+J75+J96-K113</f>
        <v>-5058506.3135058843</v>
      </c>
    </row>
    <row r="129" spans="4:11" ht="16.5" customHeight="1" x14ac:dyDescent="0.25">
      <c r="D129" s="193" t="s">
        <v>1709</v>
      </c>
      <c r="H129" s="37"/>
      <c r="K129" s="238">
        <f>-K76</f>
        <v>-2463504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69" priority="12">
      <formula>$J$62&lt;&gt;$K$69</formula>
    </cfRule>
  </conditionalFormatting>
  <conditionalFormatting sqref="L26:P26">
    <cfRule type="expression" dxfId="68" priority="1">
      <formula>$J$26&lt;&gt;$K$26</formula>
    </cfRule>
  </conditionalFormatting>
  <conditionalFormatting sqref="L36:P36">
    <cfRule type="expression" dxfId="67" priority="2">
      <formula>$J$36&lt;&gt;$K$36</formula>
    </cfRule>
  </conditionalFormatting>
  <conditionalFormatting sqref="L43:P43">
    <cfRule type="expression" dxfId="66" priority="3">
      <formula>$J$43&lt;&gt;$K$43</formula>
    </cfRule>
  </conditionalFormatting>
  <conditionalFormatting sqref="L49:P49">
    <cfRule type="expression" dxfId="65" priority="4">
      <formula>$J$49&lt;&gt;$K$49</formula>
    </cfRule>
  </conditionalFormatting>
  <conditionalFormatting sqref="L59:P59">
    <cfRule type="expression" dxfId="64" priority="5">
      <formula>$J$59&lt;&gt;$K$59</formula>
    </cfRule>
  </conditionalFormatting>
  <conditionalFormatting sqref="L65:P65">
    <cfRule type="expression" dxfId="63" priority="6">
      <formula>$J$65&lt;&gt;$K$65</formula>
    </cfRule>
  </conditionalFormatting>
  <conditionalFormatting sqref="L70:P70">
    <cfRule type="expression" dxfId="62" priority="7">
      <formula>$J$70&lt;&gt;$K$70</formula>
    </cfRule>
  </conditionalFormatting>
  <conditionalFormatting sqref="L77:P77">
    <cfRule type="expression" dxfId="61" priority="8">
      <formula>$J$77&lt;&gt;$K$77</formula>
    </cfRule>
  </conditionalFormatting>
  <conditionalFormatting sqref="L91:P91">
    <cfRule type="expression" dxfId="60" priority="9">
      <formula>$J$91&lt;&gt;$K$91</formula>
    </cfRule>
  </conditionalFormatting>
  <conditionalFormatting sqref="L105:P105">
    <cfRule type="expression" dxfId="59" priority="10">
      <formula>$J$105&lt;&gt;$K$105</formula>
    </cfRule>
  </conditionalFormatting>
  <conditionalFormatting sqref="L114:P114">
    <cfRule type="expression" dxfId="58" priority="11">
      <formula>$J$114&lt;&gt;$K$114</formula>
    </cfRule>
  </conditionalFormatting>
  <dataValidations count="3">
    <dataValidation operator="lessThan" allowBlank="1" showInputMessage="1" showErrorMessage="1" sqref="A3:A8" xr:uid="{180CD8B9-80D1-4A9F-BD28-2AC3529857C8}"/>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20C8EF2-8EAE-4335-B11E-29141DCE056A}">
      <formula1>0</formula1>
    </dataValidation>
    <dataValidation type="textLength" operator="equal" allowBlank="1" showInputMessage="1" showErrorMessage="1" errorTitle="4-Digit Org Code" error="Enter the Org Code/BU as 4 digits." sqref="F5" xr:uid="{6B71F417-BB39-4D80-BF61-27A4B02358CB}">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1C033DF0-EBCF-471D-B42B-EC319D1E2166}">
          <x14:formula1>
            <xm:f>'Drop Down Menus'!$A$1:$A$101</xm:f>
          </x14:formula1>
          <xm:sqref>F3</xm:sqref>
        </x14:dataValidation>
        <x14:dataValidation type="list" allowBlank="1" showInputMessage="1" showErrorMessage="1" xr:uid="{6A46FB34-D5F0-458B-96FF-7DA89C7970B8}">
          <x14:formula1>
            <xm:f>'Drop Down Menus'!$B$1:$B$2</xm:f>
          </x14:formula1>
          <xm:sqref>F7</xm:sqref>
        </x14:dataValidation>
        <x14:dataValidation type="list" allowBlank="1" showInputMessage="1" showErrorMessage="1" xr:uid="{EE64907E-4E07-4CCD-BCFB-4E4D60E8BBBF}">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011CA-9F2F-49B1-B0D1-0A7BCA77C264}">
  <sheetPr>
    <tabColor theme="9" tint="0.59999389629810485"/>
    <pageSetUpPr fitToPage="1"/>
  </sheetPr>
  <dimension ref="A1:T193"/>
  <sheetViews>
    <sheetView zoomScale="70" zoomScaleNormal="70" workbookViewId="0">
      <selection activeCell="A8" sqref="A8:Q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1806</v>
      </c>
      <c r="G4" s="263"/>
      <c r="H4" s="263"/>
      <c r="I4" s="263"/>
    </row>
    <row r="5" spans="1:20" ht="16.5" customHeight="1" x14ac:dyDescent="0.2">
      <c r="A5" s="261" t="s">
        <v>1639</v>
      </c>
      <c r="B5" s="261"/>
      <c r="C5" s="261"/>
      <c r="D5" s="261"/>
      <c r="E5" s="261"/>
      <c r="F5" s="263" t="s">
        <v>700</v>
      </c>
      <c r="G5" s="263"/>
      <c r="H5" s="263"/>
      <c r="I5" s="263"/>
      <c r="L5" s="39"/>
      <c r="M5" s="39"/>
      <c r="N5" s="39"/>
      <c r="O5" s="39"/>
      <c r="P5" s="39"/>
      <c r="Q5" s="39"/>
    </row>
    <row r="6" spans="1:20" ht="16.5" customHeight="1" x14ac:dyDescent="0.25">
      <c r="A6" s="261" t="s">
        <v>1682</v>
      </c>
      <c r="B6" s="261"/>
      <c r="C6" s="261"/>
      <c r="D6" s="261"/>
      <c r="E6" s="261"/>
      <c r="F6" s="264">
        <v>3291</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TRANSPORTATION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83839.330469547567</v>
      </c>
      <c r="M17" s="196">
        <v>83839.330469547567</v>
      </c>
      <c r="P17" s="196">
        <v>83839</v>
      </c>
      <c r="Q17" s="224"/>
      <c r="S17" s="223">
        <f t="shared" si="0"/>
        <v>-0.3304695475671906</v>
      </c>
      <c r="T17" s="251" t="s">
        <v>1760</v>
      </c>
    </row>
    <row r="18" spans="1:20" ht="16.5" customHeight="1" x14ac:dyDescent="0.25">
      <c r="A18" s="99"/>
      <c r="B18" s="26" t="s">
        <v>178</v>
      </c>
      <c r="C18" s="26"/>
      <c r="D18" s="26"/>
      <c r="E18" s="193"/>
      <c r="F18" s="194"/>
      <c r="G18" s="194"/>
      <c r="H18" s="195"/>
      <c r="I18" s="195"/>
      <c r="J18" s="248">
        <f>P18</f>
        <v>885</v>
      </c>
      <c r="M18" s="196">
        <v>885.25731251537218</v>
      </c>
      <c r="P18" s="221">
        <f>IF(SUM($Q$20:$Q$23)&gt;SUM($P$15:$P$17),SUM($Q$20:$Q$23)-SUM($P$15:$P$17),0)</f>
        <v>885</v>
      </c>
      <c r="Q18" s="224"/>
      <c r="S18" s="223">
        <f t="shared" si="0"/>
        <v>-0.25731251537217759</v>
      </c>
      <c r="T18" s="250" t="s">
        <v>1730</v>
      </c>
    </row>
    <row r="19" spans="1:20" ht="16.5" customHeight="1" x14ac:dyDescent="0.25">
      <c r="A19" s="99"/>
      <c r="B19" s="26" t="s">
        <v>179</v>
      </c>
      <c r="C19" s="26"/>
      <c r="D19" s="26"/>
      <c r="E19" s="193"/>
      <c r="F19" s="194"/>
      <c r="G19" s="194"/>
      <c r="H19" s="195"/>
      <c r="I19" s="195"/>
      <c r="J19" s="248">
        <f>IF(SUM($K$20:$K$24)&gt;SUM($J$15:$J$18),SUM($K$20:$K$24)-SUM($J$15:$J$18),0)</f>
        <v>0.25731251537217759</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32604.184071490727</v>
      </c>
      <c r="N22" s="196">
        <v>32604.184071490727</v>
      </c>
      <c r="P22" s="224"/>
      <c r="Q22" s="196">
        <v>32604</v>
      </c>
      <c r="S22" s="223">
        <f t="shared" ref="S22:S25" si="1">Q22-N22</f>
        <v>-0.18407149072663742</v>
      </c>
      <c r="T22" s="250" t="s">
        <v>1730</v>
      </c>
    </row>
    <row r="23" spans="1:20" ht="16.5" customHeight="1" x14ac:dyDescent="0.25">
      <c r="A23" s="234" t="s">
        <v>1697</v>
      </c>
      <c r="B23" s="26"/>
      <c r="C23" s="26" t="s">
        <v>183</v>
      </c>
      <c r="D23" s="26"/>
      <c r="E23" s="193"/>
      <c r="F23" s="194"/>
      <c r="G23" s="194"/>
      <c r="H23" s="195"/>
      <c r="I23" s="195"/>
      <c r="J23" s="213"/>
      <c r="K23" s="248">
        <f>N23</f>
        <v>52120.403710572216</v>
      </c>
      <c r="N23" s="196">
        <v>52120.403710572216</v>
      </c>
      <c r="P23" s="224"/>
      <c r="Q23" s="196">
        <v>52120</v>
      </c>
      <c r="S23" s="223">
        <f t="shared" si="1"/>
        <v>-0.40371057221636875</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84724.587782062939</v>
      </c>
      <c r="K26" s="155">
        <f>SUM(K15:K25)</f>
        <v>84724.587782062939</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55003.155226091265</v>
      </c>
      <c r="K33" s="197"/>
    </row>
    <row r="34" spans="1:12" ht="16.5" customHeight="1" x14ac:dyDescent="0.25">
      <c r="A34" s="99"/>
      <c r="B34" s="26"/>
      <c r="C34" s="26" t="s">
        <v>1745</v>
      </c>
      <c r="D34" s="193"/>
      <c r="E34" s="193"/>
      <c r="F34" s="194"/>
      <c r="G34" s="194"/>
      <c r="H34" s="195"/>
      <c r="I34" s="195"/>
      <c r="J34" s="197"/>
      <c r="K34" s="196">
        <v>55003.155226091265</v>
      </c>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55003.155226091265</v>
      </c>
      <c r="K36" s="155">
        <f>SUM(K33:K35)</f>
        <v>55003.155226091265</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55003.155226091265</v>
      </c>
      <c r="K41" s="197"/>
    </row>
    <row r="42" spans="1:12" ht="16.5" customHeight="1" x14ac:dyDescent="0.25">
      <c r="A42" s="99"/>
      <c r="B42" s="26"/>
      <c r="C42" s="26" t="s">
        <v>197</v>
      </c>
      <c r="D42" s="193"/>
      <c r="E42" s="193"/>
      <c r="F42" s="194"/>
      <c r="G42" s="194"/>
      <c r="H42" s="195"/>
      <c r="I42" s="195"/>
      <c r="J42" s="197"/>
      <c r="K42" s="196">
        <v>55003.155226091265</v>
      </c>
    </row>
    <row r="43" spans="1:12" ht="16.5" customHeight="1" x14ac:dyDescent="0.25">
      <c r="A43" s="99"/>
      <c r="B43" s="182" t="s">
        <v>1691</v>
      </c>
      <c r="C43" s="43"/>
      <c r="D43" s="43"/>
      <c r="E43" s="43"/>
      <c r="F43" s="44"/>
      <c r="G43" s="44"/>
      <c r="H43" s="45"/>
      <c r="I43" s="45"/>
      <c r="J43" s="155">
        <f>SUM(J39:J42)</f>
        <v>55003.155226091265</v>
      </c>
      <c r="K43" s="155">
        <f>SUM(K39:K42)</f>
        <v>55003.155226091265</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55003.155226091265</v>
      </c>
      <c r="K47" s="197"/>
    </row>
    <row r="48" spans="1:12" ht="16.5" customHeight="1" x14ac:dyDescent="0.25">
      <c r="A48" s="234" t="s">
        <v>1697</v>
      </c>
      <c r="B48" s="26"/>
      <c r="C48" s="26" t="s">
        <v>183</v>
      </c>
      <c r="D48" s="193"/>
      <c r="E48" s="193"/>
      <c r="F48" s="194"/>
      <c r="G48" s="194"/>
      <c r="H48" s="195"/>
      <c r="I48" s="195"/>
      <c r="J48" s="197"/>
      <c r="K48" s="196">
        <v>55003.155226091265</v>
      </c>
    </row>
    <row r="49" spans="1:16" ht="16.5" customHeight="1" x14ac:dyDescent="0.25">
      <c r="A49" s="99"/>
      <c r="C49" s="43"/>
      <c r="D49" s="43"/>
      <c r="E49" s="43"/>
      <c r="F49" s="44"/>
      <c r="G49" s="44"/>
      <c r="H49" s="45"/>
      <c r="I49" s="45"/>
      <c r="J49" s="155">
        <f>SUM(J47:J48)</f>
        <v>55003.155226091265</v>
      </c>
      <c r="K49" s="155">
        <f>SUM(K47:K48)</f>
        <v>55003.155226091265</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47947.59084479147</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47947.59084479147</v>
      </c>
    </row>
    <row r="59" spans="1:16" ht="16.5" customHeight="1" x14ac:dyDescent="0.25">
      <c r="A59" s="99"/>
      <c r="C59" s="43"/>
      <c r="D59" s="43"/>
      <c r="E59" s="43"/>
      <c r="F59" s="44"/>
      <c r="G59" s="44"/>
      <c r="H59" s="45"/>
      <c r="I59" s="45"/>
      <c r="J59" s="155">
        <f>SUM(J55:J58)</f>
        <v>47947.59084479147</v>
      </c>
      <c r="K59" s="155">
        <f>SUM(K55:K58)</f>
        <v>47947.59084479147</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47118.596509896699</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1298.3634901033045</v>
      </c>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v>48416.960000000006</v>
      </c>
    </row>
    <row r="65" spans="1:12" ht="16.5" customHeight="1" x14ac:dyDescent="0.25">
      <c r="A65" s="99"/>
      <c r="C65" s="43"/>
      <c r="D65" s="43"/>
      <c r="E65" s="43"/>
      <c r="F65" s="44"/>
      <c r="G65" s="44"/>
      <c r="H65" s="45"/>
      <c r="I65" s="45"/>
      <c r="J65" s="155">
        <f>SUM(J62:J64)</f>
        <v>48416.960000000006</v>
      </c>
      <c r="K65" s="155">
        <f>SUM(K62:K64)</f>
        <v>48416.960000000006</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47118.596509896699</v>
      </c>
      <c r="K68" s="197"/>
    </row>
    <row r="69" spans="1:12" ht="16.5" customHeight="1" x14ac:dyDescent="0.25">
      <c r="A69" s="99"/>
      <c r="B69" s="26"/>
      <c r="C69" s="26" t="s">
        <v>202</v>
      </c>
      <c r="D69" s="193"/>
      <c r="E69" s="193"/>
      <c r="F69" s="194"/>
      <c r="G69" s="194"/>
      <c r="H69" s="195"/>
      <c r="I69" s="195"/>
      <c r="J69" s="197"/>
      <c r="K69" s="196">
        <v>47118.596509896699</v>
      </c>
      <c r="L69" s="37" t="str">
        <f>IF($J$62=$K$69,"","&lt;- Accts 0848 must agree")</f>
        <v/>
      </c>
    </row>
    <row r="70" spans="1:12" ht="16.5" customHeight="1" x14ac:dyDescent="0.25">
      <c r="A70" s="99"/>
      <c r="C70" s="43"/>
      <c r="D70" s="43"/>
      <c r="E70" s="43"/>
      <c r="F70" s="44"/>
      <c r="G70" s="44"/>
      <c r="H70" s="45"/>
      <c r="I70" s="45"/>
      <c r="J70" s="155">
        <f>SUM(J68:J69)</f>
        <v>47118.596509896699</v>
      </c>
      <c r="K70" s="155">
        <f>SUM(K68:K69)</f>
        <v>47118.596509896699</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44185.73085604253</v>
      </c>
      <c r="K75" s="197"/>
    </row>
    <row r="76" spans="1:12" ht="16.5" customHeight="1" x14ac:dyDescent="0.25">
      <c r="A76" s="99"/>
      <c r="B76" s="26"/>
      <c r="C76" s="26" t="s">
        <v>210</v>
      </c>
      <c r="D76" s="193"/>
      <c r="E76" s="193"/>
      <c r="F76" s="194"/>
      <c r="G76" s="194"/>
      <c r="H76" s="195"/>
      <c r="I76" s="195"/>
      <c r="J76" s="197"/>
      <c r="K76" s="196">
        <v>44185.73085604253</v>
      </c>
    </row>
    <row r="77" spans="1:12" ht="16.5" customHeight="1" x14ac:dyDescent="0.2">
      <c r="A77" s="99"/>
      <c r="B77" s="268" t="s">
        <v>1737</v>
      </c>
      <c r="C77" s="268"/>
      <c r="D77" s="268"/>
      <c r="E77" s="268"/>
      <c r="F77" s="268"/>
      <c r="G77" s="268"/>
      <c r="H77" s="268"/>
      <c r="I77" s="268"/>
      <c r="J77" s="155">
        <f>SUM(J75:J76)</f>
        <v>44185.73085604253</v>
      </c>
      <c r="K77" s="155">
        <f>SUM(K75:K76)</f>
        <v>44185.73085604253</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138842.48569563884</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-80551.7749162822</v>
      </c>
    </row>
    <row r="128" spans="1:12" ht="16.5" customHeight="1" x14ac:dyDescent="0.25">
      <c r="D128" s="193" t="s">
        <v>1708</v>
      </c>
      <c r="H128" s="37"/>
      <c r="K128" s="238">
        <f>-K23-K48+J68+J75+J96-K113</f>
        <v>-15819.231570724252</v>
      </c>
    </row>
    <row r="129" spans="4:11" ht="16.5" customHeight="1" x14ac:dyDescent="0.25">
      <c r="D129" s="193" t="s">
        <v>1709</v>
      </c>
      <c r="H129" s="37"/>
      <c r="K129" s="238">
        <f>-K76</f>
        <v>-44185.73085604253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type="textLength" operator="equal" allowBlank="1" showInputMessage="1" showErrorMessage="1" errorTitle="4-Digit Org Code" error="Enter the Org Code/BU as 4 digits." sqref="F5" xr:uid="{1DE84D83-D59F-4BB4-90C8-BACABB22A46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C3A8816-B58E-4898-B3DB-4F708C68826C}">
      <formula1>0</formula1>
    </dataValidation>
    <dataValidation operator="lessThan" allowBlank="1" showInputMessage="1" showErrorMessage="1" sqref="A3:A8" xr:uid="{94E44F7D-AEFB-4352-932E-08A5CDA4BFF8}"/>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D98961F2-73E4-4D38-AED1-97688130D4A3}">
          <x14:formula1>
            <xm:f>'Drop Down Menus'!$E$1:$E$3</xm:f>
          </x14:formula1>
          <xm:sqref>F8</xm:sqref>
        </x14:dataValidation>
        <x14:dataValidation type="list" allowBlank="1" showInputMessage="1" showErrorMessage="1" xr:uid="{93AB465F-A943-4374-84EC-69F29A2F8DF8}">
          <x14:formula1>
            <xm:f>'Drop Down Menus'!$B$1:$B$2</xm:f>
          </x14:formula1>
          <xm:sqref>F7</xm:sqref>
        </x14:dataValidation>
        <x14:dataValidation type="list" allowBlank="1" showInputMessage="1" showErrorMessage="1" xr:uid="{373209DC-EC9D-42B6-9076-9DC23050FE60}">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A8" sqref="A8:Q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2660</v>
      </c>
      <c r="C9" s="282"/>
      <c r="D9" s="5"/>
      <c r="E9" s="5"/>
      <c r="F9" s="5"/>
    </row>
    <row r="10" spans="1:13" ht="15.75" x14ac:dyDescent="0.25">
      <c r="A10" s="12" t="s">
        <v>208</v>
      </c>
      <c r="B10" s="283" t="s">
        <v>1806</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26500344.249493748</v>
      </c>
      <c r="C13" s="100">
        <v>644502.90104563418</v>
      </c>
      <c r="D13" s="272" t="s">
        <v>6</v>
      </c>
      <c r="E13" s="273"/>
      <c r="F13" s="273"/>
      <c r="G13" s="57"/>
      <c r="H13" s="57"/>
      <c r="I13" s="57"/>
      <c r="J13" s="57"/>
      <c r="K13" s="57"/>
      <c r="L13" s="57"/>
      <c r="M13" s="57"/>
    </row>
    <row r="14" spans="1:13" x14ac:dyDescent="0.2">
      <c r="A14" s="84" t="str">
        <f>LEFT(A13,4)+1&amp;"–"&amp;RIGHT(A13,4)+1</f>
        <v>2025–2026</v>
      </c>
      <c r="B14" s="100">
        <v>20746760.468746148</v>
      </c>
      <c r="C14" s="100">
        <v>460667.47243739315</v>
      </c>
      <c r="D14" s="272"/>
      <c r="E14" s="273"/>
      <c r="F14" s="273"/>
    </row>
    <row r="15" spans="1:13" ht="15.75" x14ac:dyDescent="0.2">
      <c r="A15" s="84" t="str">
        <f>LEFT(A14,4)+1&amp;"–"&amp;RIGHT(A14,4)+1</f>
        <v>2026–2027</v>
      </c>
      <c r="B15" s="100">
        <v>9091793.5341697969</v>
      </c>
      <c r="C15" s="100">
        <v>288162.36766134511</v>
      </c>
      <c r="D15" s="269" t="s">
        <v>130</v>
      </c>
      <c r="E15" s="269"/>
      <c r="F15" s="269"/>
      <c r="G15" s="58"/>
      <c r="H15" s="58"/>
      <c r="I15" s="58"/>
      <c r="J15" s="58"/>
      <c r="K15" s="58"/>
      <c r="L15" s="58"/>
      <c r="M15" s="58"/>
    </row>
    <row r="16" spans="1:13" x14ac:dyDescent="0.2">
      <c r="A16" s="84" t="str">
        <f>LEFT(A15,4)+1&amp;"–"&amp;RIGHT(A15,4)+1</f>
        <v>2027–2028</v>
      </c>
      <c r="B16" s="100">
        <v>5745950.5598043054</v>
      </c>
      <c r="C16" s="100">
        <v>140543.66974025621</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v>1014822.2234421201</v>
      </c>
      <c r="C17" s="100">
        <v>68344.776557879886</v>
      </c>
      <c r="D17" s="269"/>
      <c r="E17" s="269"/>
      <c r="F17" s="269"/>
      <c r="G17" s="59"/>
      <c r="H17" s="59"/>
      <c r="I17" s="59"/>
      <c r="J17" s="59"/>
      <c r="K17" s="59"/>
    </row>
    <row r="18" spans="1:13" ht="15" customHeight="1" x14ac:dyDescent="0.25">
      <c r="A18" s="84" t="str">
        <f>LEFT(A17,4)+1&amp;"–"&amp;RIGHT(A17,4)+5</f>
        <v>2029–2034</v>
      </c>
      <c r="B18" s="100">
        <v>2433290</v>
      </c>
      <c r="C18" s="100">
        <v>108119</v>
      </c>
      <c r="D18" s="272" t="s">
        <v>8</v>
      </c>
      <c r="E18" s="273"/>
      <c r="F18" s="273"/>
      <c r="G18" s="57"/>
      <c r="H18" s="57"/>
      <c r="I18" s="57"/>
      <c r="J18" s="57"/>
      <c r="K18" s="57"/>
      <c r="L18" s="57"/>
      <c r="M18" s="57"/>
    </row>
    <row r="19" spans="1:13" x14ac:dyDescent="0.2">
      <c r="A19" s="84" t="str">
        <f t="shared" ref="A19:A32" si="0">LEFT(A18,4)+5&amp;"–"&amp;RIGHT(A18,4)+5</f>
        <v>2034–2039</v>
      </c>
      <c r="B19" s="100">
        <v>0</v>
      </c>
      <c r="C19" s="100">
        <v>0</v>
      </c>
      <c r="D19" s="272"/>
      <c r="E19" s="273"/>
      <c r="F19" s="273"/>
    </row>
    <row r="20" spans="1:13" ht="15.75" x14ac:dyDescent="0.2">
      <c r="A20" s="84" t="str">
        <f t="shared" si="0"/>
        <v>2039–2044</v>
      </c>
      <c r="B20" s="100">
        <v>0</v>
      </c>
      <c r="C20" s="100">
        <v>0</v>
      </c>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v>0</v>
      </c>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v>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2660</v>
      </c>
      <c r="C40" s="278"/>
      <c r="E40" s="60"/>
    </row>
    <row r="41" spans="1:13" ht="15.75" x14ac:dyDescent="0.25">
      <c r="A41" s="12" t="s">
        <v>208</v>
      </c>
      <c r="B41" s="276" t="str">
        <f>B10</f>
        <v>Department of Transportation</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2660</v>
      </c>
      <c r="C71" s="278"/>
    </row>
    <row r="72" spans="1:13" ht="15.75" x14ac:dyDescent="0.25">
      <c r="A72" s="12" t="s">
        <v>208</v>
      </c>
      <c r="B72" s="276" t="str">
        <f>B10</f>
        <v>Department of Transportation</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D1" zoomScale="80" zoomScaleNormal="80" workbookViewId="0">
      <selection activeCell="A8" sqref="A8:Q9"/>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0042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2660 - Department of Transportation</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v>76707490.926146969</v>
      </c>
      <c r="G10" s="103"/>
      <c r="H10" s="107">
        <v>25552281.577976324</v>
      </c>
      <c r="I10" s="103"/>
      <c r="J10" s="107">
        <v>36726811.377960891</v>
      </c>
      <c r="K10" s="103"/>
      <c r="L10" s="109">
        <f>SUM(F10+H10-J10)</f>
        <v>65532961.12616241</v>
      </c>
      <c r="M10" s="103"/>
      <c r="N10" s="107">
        <v>26500345.314915199</v>
      </c>
      <c r="O10" s="103"/>
      <c r="P10" s="109">
        <f>L10-N10</f>
        <v>39032615.811247215</v>
      </c>
      <c r="Q10" s="71"/>
    </row>
    <row r="11" spans="2:17" ht="19.5" thickTop="1" thickBot="1" x14ac:dyDescent="0.3">
      <c r="B11" s="69"/>
      <c r="C11" s="73" t="s">
        <v>21</v>
      </c>
      <c r="F11" s="108">
        <f>SUM(F10:F10)</f>
        <v>76707490.926146969</v>
      </c>
      <c r="G11" s="103"/>
      <c r="H11" s="108">
        <f>SUM(H10:H10)</f>
        <v>25552281.577976324</v>
      </c>
      <c r="I11" s="103"/>
      <c r="J11" s="108">
        <f>SUM(J10:J10)</f>
        <v>36726811.377960891</v>
      </c>
      <c r="K11" s="103"/>
      <c r="L11" s="108">
        <f>SUM(L10:L10)</f>
        <v>65532961.12616241</v>
      </c>
      <c r="M11" s="103"/>
      <c r="N11" s="108">
        <f>SUM(N10:N10)</f>
        <v>26500345.314915199</v>
      </c>
      <c r="O11" s="103"/>
      <c r="P11" s="108">
        <f>SUM(P10:P10)</f>
        <v>39032615.811247215</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v>0</v>
      </c>
      <c r="G14" s="103"/>
      <c r="H14" s="107">
        <v>0</v>
      </c>
      <c r="I14" s="103"/>
      <c r="J14" s="107">
        <v>0</v>
      </c>
      <c r="K14" s="103"/>
      <c r="L14" s="109">
        <f>SUM(F14+H14-J14)</f>
        <v>0</v>
      </c>
      <c r="M14" s="103"/>
      <c r="N14" s="107">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0042 Journal Entries'!$F$8="Proprietary - Enterprise Fund",'LS-Fund 0042 Journal Entries'!$K$23,0)</f>
        <v>0</v>
      </c>
      <c r="G18" s="103"/>
      <c r="H18" s="107">
        <f>IF('LS-Fund 0042 Journal Entries'!$F$8="Proprietary - Enterprise Fund",SUM('LS-Fund 0042 Journal Entries'!$K$48,'LS-Fund 0042 Journal Entries'!K113),0)</f>
        <v>0</v>
      </c>
      <c r="I18" s="103"/>
      <c r="J18" s="107">
        <f>IF('LS-Fund 0042 Journal Entries'!$F$8="Proprietary - Enterprise Fund",SUM('LS-Fund 0042 Journal Entries'!$J$68,'LS-Fund 0042 Journal Entries'!J96),0)</f>
        <v>0</v>
      </c>
      <c r="K18" s="103"/>
      <c r="L18" s="109">
        <f>SUM(F18+H18-J18)</f>
        <v>0</v>
      </c>
      <c r="M18" s="103"/>
      <c r="N18" s="107">
        <f>IF('LS-Fund 0042 Journal Entries'!$F$8="Proprietary - Enterprise Fund",'LS-Fund 0042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A8" sqref="A8:Q9"/>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v>76707490.926146969</v>
      </c>
      <c r="C16" s="168" t="s">
        <v>155</v>
      </c>
      <c r="D16" s="130">
        <v>25552281.577976324</v>
      </c>
      <c r="E16" s="170" t="s">
        <v>156</v>
      </c>
      <c r="F16" s="130">
        <v>34695194.137960888</v>
      </c>
      <c r="G16" s="169" t="s">
        <v>156</v>
      </c>
      <c r="H16" s="130">
        <v>2031617.24</v>
      </c>
      <c r="I16" s="169" t="s">
        <v>155</v>
      </c>
      <c r="J16" s="130">
        <f>IF('LS-Fund 0042 Journal Entries'!$F$8="Governmental Fund",'LS-Fund 0042 Journal Entries'!$K$113,0)</f>
        <v>0</v>
      </c>
      <c r="K16" s="170" t="s">
        <v>159</v>
      </c>
      <c r="L16" s="133">
        <f>+B16+D16-F16-H16+J16</f>
        <v>65532961.126162417</v>
      </c>
      <c r="M16" s="132"/>
      <c r="N16" s="134">
        <f>SUM('LS-Department Note Disclosure'!B13:B36)</f>
        <v>65532961.035656124</v>
      </c>
      <c r="O16" s="131"/>
      <c r="P16" s="135">
        <f>L16-N16</f>
        <v>9.0506292879581451E-2</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v>0</v>
      </c>
      <c r="C24" s="168" t="s">
        <v>155</v>
      </c>
      <c r="D24" s="130">
        <v>0</v>
      </c>
      <c r="E24" s="170" t="s">
        <v>156</v>
      </c>
      <c r="F24" s="130">
        <v>0</v>
      </c>
      <c r="G24" s="169" t="s">
        <v>156</v>
      </c>
      <c r="H24" s="130">
        <v>0</v>
      </c>
      <c r="I24" s="169" t="s">
        <v>155</v>
      </c>
      <c r="J24" s="130">
        <f>IF('LS-Fund 0042 Journal Entries'!$F$8="Proprietary - Internal Service Fund",'LS-Fund 0042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0042 Journal Entries'!$F$8="Proprietary - Enterprise Fund",'LS-Fund 0042 Journal Entries'!$K$23,0)</f>
        <v>0</v>
      </c>
      <c r="C33" s="168" t="s">
        <v>155</v>
      </c>
      <c r="D33" s="130">
        <f>IF('LS-Fund 0042 Journal Entries'!$F$8="Proprietary - Enterprise Fund",'LS-Fund 0042 Journal Entries'!$K$48,0)</f>
        <v>0</v>
      </c>
      <c r="E33" s="170" t="s">
        <v>156</v>
      </c>
      <c r="F33" s="130">
        <f>IF('LS-Fund 0042 Journal Entries'!$F$8="Proprietary - Enterprise Fund",'LS-Fund 0042 Journal Entries'!$J$68,0)</f>
        <v>0</v>
      </c>
      <c r="G33" s="169" t="s">
        <v>156</v>
      </c>
      <c r="H33" s="130">
        <f>IF('LS-Fund 0042 Journal Entries'!$F$8="Proprietary - Enterprise Fund",'LS-Fund 0042 Journal Entries'!$J$96,0)</f>
        <v>0</v>
      </c>
      <c r="I33" s="169" t="s">
        <v>155</v>
      </c>
      <c r="J33" s="130">
        <f>IF('LS-Fund 0042 Journal Entries'!$F$8="Proprietary - Enterprise Fund",'LS-Fund 0042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v>26500345</v>
      </c>
      <c r="C42" s="138"/>
      <c r="E42" s="138"/>
      <c r="G42" s="167"/>
      <c r="H42" s="167"/>
      <c r="I42" s="167"/>
      <c r="J42" s="167"/>
      <c r="K42" s="138"/>
      <c r="L42" s="138"/>
      <c r="M42" s="139"/>
      <c r="N42" s="134">
        <f>'LS-Department Note Disclosure'!B13</f>
        <v>26500344.249493748</v>
      </c>
      <c r="O42" s="140"/>
      <c r="P42" s="135">
        <f>B42-N42</f>
        <v>0.75050625205039978</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0042 Journal Entries'!$F$8="Proprietary - Enterprise Fund",'LS-Fund 0042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76707490.926146969</v>
      </c>
      <c r="J66" s="143">
        <f>SUM(D66)</f>
        <v>76707490.926146969</v>
      </c>
      <c r="L66" s="144" t="str">
        <f>CONCATENATE("Balance July 1, ",LEFT('LS-Department Note Disclosure'!$B$8,4))</f>
        <v>Balance July 1, 2023</v>
      </c>
      <c r="N66" s="143">
        <f>'LS-Lease Liabilities'!F10</f>
        <v>76707490.926146969</v>
      </c>
      <c r="P66" s="135">
        <f>J66-N66</f>
        <v>0</v>
      </c>
    </row>
    <row r="67" spans="1:17" x14ac:dyDescent="0.25">
      <c r="B67" s="125" t="s">
        <v>166</v>
      </c>
      <c r="D67" s="143">
        <f>$D$16</f>
        <v>25552281.577976324</v>
      </c>
      <c r="E67" s="171" t="s">
        <v>155</v>
      </c>
      <c r="F67" s="125" t="s">
        <v>1753</v>
      </c>
      <c r="H67" s="143">
        <f>$J$16</f>
        <v>0</v>
      </c>
      <c r="J67" s="143">
        <f>SUM(D67,H67)</f>
        <v>25552281.577976324</v>
      </c>
      <c r="L67" s="144" t="s">
        <v>14</v>
      </c>
      <c r="N67" s="143">
        <f>'LS-Lease Liabilities'!H10</f>
        <v>25552281.577976324</v>
      </c>
      <c r="P67" s="135">
        <f t="shared" ref="P67:P69" si="0">J67-N67</f>
        <v>0</v>
      </c>
    </row>
    <row r="68" spans="1:17" x14ac:dyDescent="0.25">
      <c r="B68" s="125" t="s">
        <v>161</v>
      </c>
      <c r="D68" s="143">
        <f>$F$16</f>
        <v>34695194.137960888</v>
      </c>
      <c r="E68" s="171" t="s">
        <v>155</v>
      </c>
      <c r="F68" s="125" t="s">
        <v>1750</v>
      </c>
      <c r="H68" s="143">
        <f>$H$16</f>
        <v>2031617.24</v>
      </c>
      <c r="J68" s="143">
        <f>SUM(D68,H68)</f>
        <v>36726811.377960891</v>
      </c>
      <c r="L68" s="144" t="s">
        <v>15</v>
      </c>
      <c r="N68" s="143">
        <f>'LS-Lease Liabilities'!J10</f>
        <v>36726811.377960891</v>
      </c>
      <c r="P68" s="135">
        <f t="shared" si="0"/>
        <v>0</v>
      </c>
    </row>
    <row r="69" spans="1:17" x14ac:dyDescent="0.25">
      <c r="B69" s="125" t="s">
        <v>165</v>
      </c>
      <c r="D69" s="143">
        <f>$B$42</f>
        <v>26500345</v>
      </c>
      <c r="J69" s="143">
        <f>SUM(D69)</f>
        <v>26500345</v>
      </c>
      <c r="L69" s="144" t="s">
        <v>16</v>
      </c>
      <c r="N69" s="143">
        <f>'LS-Lease Liabilities'!N10</f>
        <v>26500345.314915199</v>
      </c>
      <c r="P69" s="135">
        <f t="shared" si="0"/>
        <v>-0.31491519883275032</v>
      </c>
    </row>
    <row r="70" spans="1:17" x14ac:dyDescent="0.25">
      <c r="D70" s="145"/>
    </row>
    <row r="71" spans="1:17" ht="15.95" customHeight="1" x14ac:dyDescent="0.25">
      <c r="D71" s="137" t="str">
        <f>IF(OR(P66&gt;0, (P66&lt;0),P67&gt;0,P67&lt;0,P68&gt;0,P68&lt;0,P69&gt;0,P69&lt;0), "Please review and correct the variance.","")</f>
        <v>Please review and correct the variance.</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5"/>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1736</v>
      </c>
      <c r="B14" s="240" t="s">
        <v>1803</v>
      </c>
      <c r="C14" s="240" t="s">
        <v>1804</v>
      </c>
      <c r="D14" s="240" t="s">
        <v>1804</v>
      </c>
      <c r="E14" s="240" t="s">
        <v>1805</v>
      </c>
      <c r="F14" s="240" t="s">
        <v>1791</v>
      </c>
    </row>
    <row r="15" spans="1:6" ht="28.5" x14ac:dyDescent="0.25">
      <c r="A15" s="240" t="s">
        <v>1770</v>
      </c>
      <c r="B15" s="240" t="s">
        <v>1774</v>
      </c>
      <c r="C15" s="240" t="s">
        <v>1788</v>
      </c>
      <c r="D15" s="240" t="s">
        <v>1788</v>
      </c>
      <c r="E15" s="240" t="s">
        <v>1772</v>
      </c>
      <c r="F15" s="240" t="s">
        <v>1773</v>
      </c>
    </row>
  </sheetData>
  <sheetProtection algorithmName="SHA-512" hashValue="EXqxFYvO0geQCaZNqQA0AbqBrwURSEghrClAgpVWpbyMVWQL9CSd2hDykFbGuwGtcTZ4WHGDRBAcuiWbnlIlzw==" saltValue="VdyryUjs4fF152SR2GMThg==" spinCount="100000" sheet="1" objects="1" scenarios="1"/>
  <mergeCells count="1">
    <mergeCell ref="A1:F2"/>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tabSelected="1" zoomScale="80" zoomScaleNormal="80" zoomScaleSheetLayoutView="80" workbookViewId="0">
      <selection activeCell="N71" sqref="N7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0" t="s">
        <v>1666</v>
      </c>
      <c r="B1" s="260"/>
      <c r="C1" s="260"/>
      <c r="D1" s="260"/>
      <c r="E1" s="260"/>
      <c r="F1" s="260"/>
      <c r="G1" s="260"/>
      <c r="H1" s="260"/>
      <c r="I1" s="260"/>
      <c r="J1" s="260"/>
      <c r="K1" s="260"/>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t="s">
        <v>1806</v>
      </c>
      <c r="H4" s="7"/>
      <c r="I4" s="7"/>
      <c r="J4" s="7"/>
      <c r="K4" s="7"/>
      <c r="L4" s="7"/>
      <c r="M4" s="7"/>
      <c r="N4" s="7"/>
      <c r="O4" s="7"/>
      <c r="P4" s="7"/>
      <c r="Q4" s="7"/>
      <c r="R4" s="7"/>
    </row>
    <row r="5" spans="1:20" ht="17.45" customHeight="1" x14ac:dyDescent="0.25">
      <c r="A5" s="293" t="s">
        <v>1683</v>
      </c>
      <c r="B5" s="293"/>
      <c r="C5" s="293"/>
      <c r="D5" s="293"/>
      <c r="E5" s="161" t="s">
        <v>700</v>
      </c>
      <c r="H5" s="7"/>
      <c r="I5" s="7"/>
      <c r="J5" s="8"/>
      <c r="K5" s="8"/>
      <c r="L5" s="8"/>
      <c r="M5" s="8"/>
      <c r="N5" s="8"/>
      <c r="O5" s="8"/>
      <c r="P5" s="8"/>
      <c r="Q5" s="7"/>
      <c r="R5" s="7"/>
    </row>
    <row r="6" spans="1:20" ht="17.45" customHeight="1" x14ac:dyDescent="0.25">
      <c r="A6" s="293" t="s">
        <v>1684</v>
      </c>
      <c r="B6" s="293"/>
      <c r="C6" s="293"/>
      <c r="D6" s="293"/>
      <c r="E6" s="97">
        <v>42</v>
      </c>
      <c r="G6" s="8"/>
      <c r="H6" s="8"/>
      <c r="I6" s="8"/>
      <c r="J6" s="8"/>
      <c r="K6" s="8"/>
      <c r="L6" s="8"/>
      <c r="M6" s="8"/>
      <c r="N6" s="8"/>
      <c r="O6" s="8"/>
      <c r="P6" s="8"/>
      <c r="Q6" s="7"/>
      <c r="R6" s="7"/>
    </row>
    <row r="7" spans="1:20" ht="17.45" customHeight="1" x14ac:dyDescent="0.25">
      <c r="A7" s="293" t="s">
        <v>3</v>
      </c>
      <c r="B7" s="293"/>
      <c r="C7" s="293"/>
      <c r="D7" s="293"/>
      <c r="E7" s="35" t="s">
        <v>123</v>
      </c>
      <c r="G7" s="8"/>
      <c r="H7" s="8"/>
      <c r="I7" s="8"/>
      <c r="J7" s="8"/>
      <c r="K7" s="8"/>
      <c r="L7" s="8"/>
      <c r="M7" s="8"/>
      <c r="N7" s="8"/>
      <c r="O7" s="8"/>
      <c r="P7" s="8"/>
      <c r="Q7" s="7"/>
      <c r="R7" s="7"/>
    </row>
    <row r="8" spans="1:20" ht="17.45" customHeight="1" x14ac:dyDescent="0.25">
      <c r="A8" s="293" t="s">
        <v>1640</v>
      </c>
      <c r="B8" s="293"/>
      <c r="C8" s="293"/>
      <c r="D8" s="293"/>
      <c r="E8" s="35" t="s">
        <v>164</v>
      </c>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6" t="s">
        <v>1671</v>
      </c>
      <c r="N13" s="267"/>
      <c r="O13" s="188"/>
      <c r="P13" s="266" t="s">
        <v>1667</v>
      </c>
      <c r="Q13" s="267"/>
      <c r="R13" s="188"/>
      <c r="S13" s="222" t="s">
        <v>1668</v>
      </c>
    </row>
    <row r="14" spans="1:20" ht="17.45" customHeight="1" x14ac:dyDescent="0.2">
      <c r="B14" s="20" t="s">
        <v>212</v>
      </c>
      <c r="C14" s="151"/>
      <c r="D14" s="151"/>
      <c r="E14" s="151"/>
      <c r="F14" s="151"/>
      <c r="G14" s="151"/>
      <c r="H14" s="151"/>
      <c r="I14" s="151"/>
      <c r="J14" s="248">
        <f>M14</f>
        <v>17296630</v>
      </c>
      <c r="K14" s="37"/>
      <c r="L14" s="37"/>
      <c r="M14" s="196">
        <v>17296630</v>
      </c>
      <c r="N14" s="37"/>
      <c r="O14" s="37"/>
      <c r="P14" s="196">
        <v>17296630</v>
      </c>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17137181</v>
      </c>
      <c r="L17" s="37"/>
      <c r="M17" s="37"/>
      <c r="N17" s="196">
        <v>17137181</v>
      </c>
      <c r="O17" s="37"/>
      <c r="P17" s="224"/>
      <c r="Q17" s="196">
        <v>17137181</v>
      </c>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159449</v>
      </c>
      <c r="L18" s="37"/>
      <c r="M18" s="37"/>
      <c r="N18" s="196">
        <v>159449</v>
      </c>
      <c r="O18" s="37"/>
      <c r="P18" s="224"/>
      <c r="Q18" s="221">
        <f>IF(SUM($Q$17)&lt;SUM($P$14),-SUM($Q$17)+SUM($P$14),0)</f>
        <v>159449</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17296630</v>
      </c>
      <c r="K20" s="155">
        <f>SUM(K14:K19)</f>
        <v>17296630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0775 - OTHER INCOME</v>
      </c>
      <c r="C30" s="291"/>
      <c r="D30" s="291"/>
      <c r="E30" s="291"/>
      <c r="F30" s="291"/>
      <c r="G30" s="291"/>
      <c r="H30" s="291"/>
      <c r="I30" s="291"/>
      <c r="J30" s="196">
        <v>2785837</v>
      </c>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v>2641657</v>
      </c>
      <c r="M31" s="19"/>
      <c r="N31" s="22"/>
      <c r="O31" s="9"/>
      <c r="P31" s="14"/>
      <c r="Q31" s="9"/>
      <c r="R31" s="9"/>
      <c r="S31" s="9"/>
      <c r="T31" s="9"/>
      <c r="U31" s="9"/>
      <c r="V31" s="9"/>
    </row>
    <row r="32" spans="1:22" ht="17.45" customHeight="1" x14ac:dyDescent="0.2">
      <c r="B32" s="20"/>
      <c r="C32" s="20" t="str">
        <f>IF($E$7="Governmental","Cr: Acct 0740 - INTEREST INCOME","Cr: Acct 0777 - INVESTMENT AND INTEREST INCOME")</f>
        <v>Cr: Acct 0740 - INTEREST INCOME</v>
      </c>
      <c r="D32" s="20"/>
      <c r="E32" s="20"/>
      <c r="F32" s="20"/>
      <c r="G32" s="20"/>
      <c r="H32" s="20"/>
      <c r="I32" s="20"/>
      <c r="J32" s="32"/>
      <c r="K32" s="196">
        <v>144180</v>
      </c>
      <c r="N32" s="22"/>
      <c r="O32" s="23"/>
    </row>
    <row r="33" spans="1:22" ht="17.45" customHeight="1" x14ac:dyDescent="0.3">
      <c r="A33" s="15"/>
      <c r="C33" s="183"/>
      <c r="D33" s="183"/>
      <c r="E33" s="183"/>
      <c r="F33" s="183"/>
      <c r="G33" s="183"/>
      <c r="H33" s="183"/>
      <c r="I33" s="183"/>
      <c r="J33" s="156">
        <f>J30</f>
        <v>2785837</v>
      </c>
      <c r="K33" s="253">
        <f>SUM(K31:K32)</f>
        <v>2785837</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v>2682353</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2682353</v>
      </c>
      <c r="R37" s="9"/>
      <c r="S37" s="9"/>
      <c r="T37" s="9"/>
      <c r="U37" s="9"/>
      <c r="V37" s="9"/>
    </row>
    <row r="38" spans="1:22" ht="17.45" customHeight="1" x14ac:dyDescent="0.2">
      <c r="A38" s="15"/>
      <c r="C38" s="14"/>
      <c r="D38" s="9"/>
      <c r="E38" s="9"/>
      <c r="F38" s="9"/>
      <c r="G38" s="9"/>
      <c r="H38" s="9"/>
      <c r="I38" s="1"/>
      <c r="J38" s="253">
        <f>J36</f>
        <v>2682353</v>
      </c>
      <c r="K38" s="156">
        <f>K37</f>
        <v>2682353</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v>2598335</v>
      </c>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v>2598335</v>
      </c>
      <c r="O42" s="9"/>
      <c r="P42" s="9"/>
      <c r="Q42" s="9"/>
      <c r="R42" s="9"/>
      <c r="S42" s="9"/>
      <c r="T42" s="9"/>
      <c r="U42" s="9"/>
      <c r="V42" s="9"/>
    </row>
    <row r="43" spans="1:22" ht="17.45" customHeight="1" x14ac:dyDescent="0.2">
      <c r="A43" s="15"/>
      <c r="B43" s="292" t="s">
        <v>1738</v>
      </c>
      <c r="C43" s="292"/>
      <c r="D43" s="292"/>
      <c r="E43" s="292"/>
      <c r="F43" s="292"/>
      <c r="G43" s="292"/>
      <c r="H43" s="292"/>
      <c r="I43" s="292"/>
      <c r="J43" s="253">
        <f>J41</f>
        <v>2598335</v>
      </c>
      <c r="K43" s="156">
        <f>K42</f>
        <v>2598335</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12056638</v>
      </c>
    </row>
    <row r="68" spans="2:11" ht="17.45" customHeight="1" x14ac:dyDescent="0.25">
      <c r="D68" s="193" t="s">
        <v>1714</v>
      </c>
      <c r="E68" s="37"/>
      <c r="F68" s="37"/>
      <c r="G68" s="37"/>
      <c r="H68" s="37"/>
      <c r="I68" s="37"/>
      <c r="J68" s="37"/>
      <c r="K68" s="238">
        <f>J41</f>
        <v>2598335</v>
      </c>
    </row>
    <row r="69" spans="2:11" ht="17.45" customHeight="1" x14ac:dyDescent="0.25">
      <c r="D69" s="193" t="s">
        <v>1715</v>
      </c>
      <c r="E69" s="37"/>
      <c r="F69" s="37"/>
      <c r="G69" s="37"/>
      <c r="H69" s="37"/>
      <c r="I69" s="37"/>
      <c r="J69" s="37"/>
      <c r="K69" s="238">
        <f>-K17-K25+J36+J49-K59</f>
        <v>-14454828</v>
      </c>
    </row>
    <row r="70" spans="2:11" ht="17.45" customHeight="1" x14ac:dyDescent="0.2">
      <c r="I70" s="24"/>
    </row>
    <row r="71" spans="2:11" ht="17.45" customHeight="1" x14ac:dyDescent="0.2">
      <c r="I71" s="24"/>
    </row>
    <row r="72" spans="2:11" ht="17.45" customHeight="1" x14ac:dyDescent="0.2">
      <c r="I72" s="24"/>
    </row>
  </sheetData>
  <sheetProtection algorithmName="SHA-512" hashValue="LES/lSrze3oyHWDOgjYjvHEUMs8SWM8uio46YO0clwaxzO0UJ0noRa/kx4vBCrlFcnmA3BB6jiE1c9NA+3pR4A==" saltValue="kmuOodMFc1BX7XEvYoalX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topLeftCell="D1"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v>2660</v>
      </c>
      <c r="C10" s="298"/>
      <c r="D10" s="82"/>
      <c r="F10" s="38"/>
      <c r="G10" s="38"/>
      <c r="H10" s="38"/>
      <c r="I10" s="38"/>
      <c r="J10" s="38"/>
      <c r="K10" s="38"/>
      <c r="L10" s="38"/>
      <c r="M10" s="38"/>
      <c r="N10" s="38"/>
      <c r="O10" s="38"/>
      <c r="P10" s="6"/>
      <c r="Q10" s="6"/>
      <c r="R10" s="6"/>
      <c r="S10" s="6"/>
    </row>
    <row r="11" spans="1:19" ht="15.75" x14ac:dyDescent="0.25">
      <c r="A11" s="12" t="s">
        <v>208</v>
      </c>
      <c r="B11" s="297" t="s">
        <v>1806</v>
      </c>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v>2598335.3508864841</v>
      </c>
      <c r="C14" s="2">
        <v>121045.72911351579</v>
      </c>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v>2588302.7505960562</v>
      </c>
      <c r="C15" s="2">
        <v>97850.329403943499</v>
      </c>
      <c r="D15" s="62"/>
      <c r="E15" s="271"/>
      <c r="F15" s="5"/>
      <c r="G15" s="5"/>
      <c r="H15" s="5"/>
      <c r="I15" s="5"/>
      <c r="J15" s="5"/>
      <c r="K15" s="5"/>
      <c r="L15" s="5"/>
      <c r="M15" s="5"/>
      <c r="N15" s="5"/>
      <c r="O15" s="5"/>
      <c r="P15" s="5"/>
      <c r="Q15" s="5"/>
      <c r="R15" s="5"/>
      <c r="S15" s="5"/>
    </row>
    <row r="16" spans="1:19" ht="15.75" x14ac:dyDescent="0.25">
      <c r="A16" s="84" t="str">
        <f>LEFT(A15,4)+1&amp;"–"&amp;RIGHT(A15,4)+1</f>
        <v>2026–2027</v>
      </c>
      <c r="B16" s="2">
        <v>2611693.8067237558</v>
      </c>
      <c r="C16" s="2">
        <v>74459.273276244392</v>
      </c>
      <c r="D16" s="62"/>
      <c r="E16" s="271"/>
      <c r="F16" s="5"/>
      <c r="G16" s="5"/>
      <c r="H16" s="5"/>
      <c r="I16" s="5"/>
      <c r="J16" s="5"/>
      <c r="K16" s="5"/>
      <c r="L16" s="5"/>
      <c r="M16" s="5"/>
      <c r="N16" s="5"/>
      <c r="O16" s="5"/>
      <c r="P16" s="5"/>
      <c r="Q16" s="5"/>
      <c r="R16" s="5"/>
      <c r="S16" s="5"/>
    </row>
    <row r="17" spans="1:19" ht="15.75" x14ac:dyDescent="0.25">
      <c r="A17" s="84" t="str">
        <f>LEFT(A16,4)+1&amp;"–"&amp;RIGHT(A16,4)+1</f>
        <v>2027–2028</v>
      </c>
      <c r="B17" s="2">
        <v>2635296.2529242132</v>
      </c>
      <c r="C17" s="2">
        <v>50856.827075786918</v>
      </c>
      <c r="D17" s="62"/>
      <c r="E17" s="271"/>
      <c r="F17" s="5"/>
      <c r="G17" s="5"/>
      <c r="H17" s="5"/>
      <c r="I17" s="5"/>
      <c r="J17" s="5"/>
      <c r="K17" s="5"/>
      <c r="L17" s="5"/>
      <c r="M17" s="5"/>
      <c r="N17" s="5"/>
      <c r="O17" s="5"/>
      <c r="P17" s="5"/>
      <c r="Q17" s="5"/>
      <c r="R17" s="5"/>
      <c r="S17" s="5"/>
    </row>
    <row r="18" spans="1:19" ht="15.75" x14ac:dyDescent="0.25">
      <c r="A18" s="84" t="str">
        <f>LEFT(A17,4)+1&amp;"–"&amp;RIGHT(A17,4)+1</f>
        <v>2028–2029</v>
      </c>
      <c r="B18" s="2">
        <v>2659111.9995755926</v>
      </c>
      <c r="C18" s="2">
        <v>27041.080424406999</v>
      </c>
      <c r="D18" s="62"/>
      <c r="E18" s="98" t="s">
        <v>130</v>
      </c>
      <c r="F18" s="5"/>
      <c r="G18" s="88"/>
      <c r="H18" s="88"/>
      <c r="I18" s="5"/>
      <c r="J18" s="88"/>
      <c r="K18" s="88"/>
      <c r="L18" s="5"/>
      <c r="M18" s="5"/>
      <c r="N18" s="5"/>
      <c r="O18" s="5"/>
      <c r="P18" s="5"/>
      <c r="Q18" s="5"/>
      <c r="R18" s="5"/>
      <c r="S18" s="5"/>
    </row>
    <row r="19" spans="1:19" ht="15.75" x14ac:dyDescent="0.25">
      <c r="A19" s="84" t="str">
        <f>LEFT(A18,4)+1&amp;"–"&amp;RIGHT(A18,4)+5</f>
        <v>2029–2034</v>
      </c>
      <c r="B19" s="2">
        <v>1562232.4190390611</v>
      </c>
      <c r="C19" s="2">
        <v>4690.2109609392091</v>
      </c>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2660</v>
      </c>
      <c r="C41" s="278"/>
      <c r="D41" s="91"/>
    </row>
    <row r="42" spans="1:19" ht="15.75" x14ac:dyDescent="0.25">
      <c r="A42" s="12" t="s">
        <v>208</v>
      </c>
      <c r="B42" s="276" t="str">
        <f>B11</f>
        <v>Department of Transportation</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2660</v>
      </c>
      <c r="C72" s="278"/>
      <c r="D72" s="91"/>
    </row>
    <row r="73" spans="1:19" ht="15.75" x14ac:dyDescent="0.25">
      <c r="A73" s="12" t="s">
        <v>208</v>
      </c>
      <c r="B73" s="276" t="str">
        <f>B42</f>
        <v>Department of Transportation</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H39" sqref="H39"/>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0042 Journal Entries'!$E$8="Governmental Fund",'LR-Fund 0042 Journal Entries'!$J$14,0)</f>
        <v>17296630</v>
      </c>
      <c r="C16" s="168" t="s">
        <v>155</v>
      </c>
      <c r="D16" s="130">
        <f>IF('LR-Fund 0042 Journal Entries'!$E$8="Governmental Fund",'LR-Fund 0042 Journal Entries'!$J$24,0)</f>
        <v>0</v>
      </c>
      <c r="E16" s="170" t="s">
        <v>156</v>
      </c>
      <c r="F16" s="130">
        <f>IF('LR-Fund 0042 Journal Entries'!$E$8="Governmental Fund",'LR-Fund 0042 Journal Entries'!$K$31,0)</f>
        <v>2641657</v>
      </c>
      <c r="G16" s="169" t="s">
        <v>156</v>
      </c>
      <c r="H16" s="130">
        <f>IF('LR-Fund 0042 Journal Entries'!$E$8="Governmental Fund",'LR-Fund 0042 Journal Entries'!$K$52,0)</f>
        <v>0</v>
      </c>
      <c r="I16" s="169" t="s">
        <v>155</v>
      </c>
      <c r="J16" s="130">
        <f>IF('LR-Fund 0042 Journal Entries'!$E$8="Governmental Fund",'LR-Fund 0042 Journal Entries'!$J$58,0)</f>
        <v>0</v>
      </c>
      <c r="K16" s="170" t="s">
        <v>159</v>
      </c>
      <c r="L16" s="133">
        <f>+B16+D16-F16-H16+J16</f>
        <v>14654973</v>
      </c>
      <c r="M16" s="132"/>
      <c r="N16" s="134">
        <f>SUM('LR-Department Note Disclosure'!B14:B37)</f>
        <v>14654972.579745164</v>
      </c>
      <c r="O16" s="131"/>
      <c r="P16" s="135">
        <f>L16-N16</f>
        <v>0.42025483585894108</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0042 Journal Entries'!$E$8="Proprietary - Internal Service Fund",'LR-Fund 0042 Journal Entries'!$J$14,0)</f>
        <v>0</v>
      </c>
      <c r="C24" s="168" t="s">
        <v>155</v>
      </c>
      <c r="D24" s="130">
        <f>IF('LR-Fund 0042 Journal Entries'!$E$8="Proprietary - Internal Service Fund",'LR-Fund 0042 Journal Entries'!$J$24,0)</f>
        <v>0</v>
      </c>
      <c r="E24" s="170" t="s">
        <v>156</v>
      </c>
      <c r="F24" s="130">
        <f>IF('LR-Fund 0042 Journal Entries'!$E$8="Proprietary - Internal Service Fund",'LR-Fund 0042 Journal Entries'!$K$31,0)</f>
        <v>0</v>
      </c>
      <c r="G24" s="169" t="s">
        <v>156</v>
      </c>
      <c r="H24" s="130">
        <f>IF('LR-Fund 0042 Journal Entries'!$E$8="Proprietary - Internal Service Fund",'LR-Fund 0042 Journal Entries'!$K$52,0)</f>
        <v>0</v>
      </c>
      <c r="I24" s="169" t="s">
        <v>155</v>
      </c>
      <c r="J24" s="130">
        <f>IF('LR-Fund 0042 Journal Entries'!$E$8="Proprietary - Internal Service Fund",'LR-Fund 0042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0042 Journal Entries'!$E$8="Proprietary - Enterprise Fund",'LR-Fund 0042 Journal Entries'!$J$14,0)</f>
        <v>0</v>
      </c>
      <c r="C33" s="168" t="s">
        <v>155</v>
      </c>
      <c r="D33" s="130">
        <f>IF('LR-Fund 0042 Journal Entries'!$E$8="Proprietary - Enterprise Fund",'LR-Fund 0042 Journal Entries'!$J$24,0)</f>
        <v>0</v>
      </c>
      <c r="E33" s="170" t="s">
        <v>156</v>
      </c>
      <c r="F33" s="130">
        <f>IF('LR-Fund 0042 Journal Entries'!$E$8="Proprietary - Enterprise Fund",'LR-Fund 0042 Journal Entries'!$K$31,0)</f>
        <v>0</v>
      </c>
      <c r="G33" s="169" t="s">
        <v>156</v>
      </c>
      <c r="H33" s="130">
        <f>IF('LR-Fund 0042 Journal Entries'!$E$8="Proprietary - Enterprise Fund",'LR-Fund 0042 Journal Entries'!$K$52,0)</f>
        <v>0</v>
      </c>
      <c r="I33" s="169" t="s">
        <v>155</v>
      </c>
      <c r="J33" s="130">
        <f>IF('LR-Fund 0042 Journal Entries'!$E$8="Proprietary - Enterprise Fund",'LR-Fund 0042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0042 Journal Entries'!$E$8="Governmental Fund",'LR-Fund 0042 Journal Entries'!$J$41,0)</f>
        <v>2598335</v>
      </c>
      <c r="C42" s="138"/>
      <c r="E42" s="138"/>
      <c r="G42" s="167"/>
      <c r="H42" s="167"/>
      <c r="I42" s="167"/>
      <c r="J42" s="167"/>
      <c r="K42" s="138"/>
      <c r="L42" s="138"/>
      <c r="M42" s="139"/>
      <c r="N42" s="134">
        <f>'LR-Department Note Disclosure'!B14</f>
        <v>2598335.3508864841</v>
      </c>
      <c r="O42" s="140"/>
      <c r="P42" s="135">
        <f>B42-N42</f>
        <v>-0.35088648414239287</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0042 Journal Entries'!$E$8="Proprietary - Internal Service Fund",'LR-Fund 0042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0042 Journal Entries'!$E$8="Proprietary - Enterprise Fund",'LR-Fund 0042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zoomScale="70" zoomScaleNormal="70" zoomScaleSheetLayoutView="80" workbookViewId="0">
      <selection activeCell="P81" sqref="P81"/>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0" t="s">
        <v>1665</v>
      </c>
      <c r="B1" s="260"/>
      <c r="C1" s="260"/>
      <c r="D1" s="260"/>
      <c r="E1" s="260"/>
      <c r="F1" s="260"/>
      <c r="G1" s="260"/>
      <c r="H1" s="260"/>
      <c r="I1" s="260"/>
      <c r="J1" s="260"/>
      <c r="K1" s="260"/>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1" t="s">
        <v>12</v>
      </c>
      <c r="B3" s="261"/>
      <c r="C3" s="261"/>
      <c r="D3" s="261"/>
      <c r="E3" s="261"/>
      <c r="F3" s="262" t="s">
        <v>24</v>
      </c>
      <c r="G3" s="262"/>
      <c r="H3" s="262"/>
      <c r="I3" s="262"/>
    </row>
    <row r="4" spans="1:20" ht="15.75" x14ac:dyDescent="0.2">
      <c r="A4" s="261" t="s">
        <v>208</v>
      </c>
      <c r="B4" s="261"/>
      <c r="C4" s="261"/>
      <c r="D4" s="261"/>
      <c r="E4" s="261"/>
      <c r="F4" s="263" t="s">
        <v>1806</v>
      </c>
      <c r="G4" s="263"/>
      <c r="H4" s="263"/>
      <c r="I4" s="263"/>
      <c r="L4" s="39"/>
      <c r="M4" s="39"/>
      <c r="N4" s="39"/>
      <c r="O4" s="39"/>
      <c r="P4" s="39"/>
      <c r="Q4" s="39"/>
    </row>
    <row r="5" spans="1:20" ht="15.75" x14ac:dyDescent="0.2">
      <c r="A5" s="261" t="s">
        <v>1639</v>
      </c>
      <c r="B5" s="261"/>
      <c r="C5" s="261"/>
      <c r="D5" s="261"/>
      <c r="E5" s="261"/>
      <c r="F5" s="263" t="s">
        <v>700</v>
      </c>
      <c r="G5" s="263"/>
      <c r="H5" s="263"/>
      <c r="I5" s="263"/>
      <c r="L5" s="40"/>
      <c r="M5" s="40"/>
      <c r="N5" s="40"/>
      <c r="O5" s="40"/>
      <c r="P5" s="39"/>
      <c r="Q5" s="39"/>
    </row>
    <row r="6" spans="1:20" ht="18" x14ac:dyDescent="0.25">
      <c r="A6" s="261" t="s">
        <v>2</v>
      </c>
      <c r="B6" s="261"/>
      <c r="C6" s="261"/>
      <c r="D6" s="261"/>
      <c r="E6" s="261"/>
      <c r="F6" s="264">
        <v>46</v>
      </c>
      <c r="G6" s="264"/>
      <c r="H6" s="264"/>
      <c r="I6" s="264"/>
      <c r="K6" s="96"/>
      <c r="L6" s="40"/>
      <c r="M6" s="40"/>
      <c r="N6" s="40"/>
      <c r="O6" s="40"/>
      <c r="P6" s="39"/>
      <c r="Q6" s="39"/>
    </row>
    <row r="7" spans="1:20" ht="18" x14ac:dyDescent="0.25">
      <c r="A7" s="261" t="s">
        <v>3</v>
      </c>
      <c r="B7" s="261"/>
      <c r="C7" s="261"/>
      <c r="D7" s="261"/>
      <c r="E7" s="261"/>
      <c r="F7" s="264" t="s">
        <v>123</v>
      </c>
      <c r="G7" s="264"/>
      <c r="H7" s="264"/>
      <c r="I7" s="264"/>
      <c r="K7" s="96"/>
      <c r="L7" s="40"/>
      <c r="M7" s="40"/>
      <c r="N7" s="40"/>
      <c r="O7" s="40"/>
      <c r="P7" s="39"/>
      <c r="Q7" s="39"/>
    </row>
    <row r="8" spans="1:20" ht="18" x14ac:dyDescent="0.25">
      <c r="A8" s="261" t="s">
        <v>1640</v>
      </c>
      <c r="B8" s="261"/>
      <c r="C8" s="261"/>
      <c r="D8" s="261"/>
      <c r="E8" s="261"/>
      <c r="F8" s="264" t="s">
        <v>164</v>
      </c>
      <c r="G8" s="264"/>
      <c r="H8" s="264"/>
      <c r="I8" s="264"/>
      <c r="K8" s="96"/>
      <c r="L8" s="40"/>
      <c r="M8" s="40"/>
      <c r="N8" s="40"/>
      <c r="O8" s="40"/>
      <c r="P8" s="39"/>
      <c r="Q8" s="39"/>
    </row>
    <row r="9" spans="1:20" ht="15.75" x14ac:dyDescent="0.25">
      <c r="A9" s="261" t="s">
        <v>1638</v>
      </c>
      <c r="B9" s="261"/>
      <c r="C9" s="261"/>
      <c r="D9" s="261"/>
      <c r="E9" s="261"/>
      <c r="F9" s="265" t="str">
        <f>IFERROR(IF(F7="Proprietary","Proprietary Fund",VLOOKUP(F5,qryIndex02a!$A$2:$K$654,4,FALSE)),"Unidentified")</f>
        <v>TRANSPORTATION</v>
      </c>
      <c r="G9" s="265"/>
      <c r="H9" s="265"/>
      <c r="I9" s="265"/>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6" t="s">
        <v>1670</v>
      </c>
      <c r="N14" s="267"/>
      <c r="P14" s="266" t="s">
        <v>1667</v>
      </c>
      <c r="Q14" s="267"/>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9660657.63393436</v>
      </c>
      <c r="M17" s="196">
        <v>9660657.63393436</v>
      </c>
      <c r="P17" s="196">
        <v>9660657.63393436</v>
      </c>
      <c r="Q17" s="224"/>
      <c r="S17" s="223">
        <f>P17-M17</f>
        <v>0</v>
      </c>
      <c r="T17" s="251" t="s">
        <v>1760</v>
      </c>
    </row>
    <row r="18" spans="1:20" ht="16.5" customHeight="1" x14ac:dyDescent="0.25">
      <c r="A18" s="99"/>
      <c r="B18" s="26" t="s">
        <v>178</v>
      </c>
      <c r="C18" s="193"/>
      <c r="D18" s="193"/>
      <c r="E18" s="193"/>
      <c r="F18" s="194"/>
      <c r="G18" s="194"/>
      <c r="H18" s="195"/>
      <c r="I18" s="195"/>
      <c r="J18" s="248">
        <f>P18</f>
        <v>1651590.36606564</v>
      </c>
      <c r="M18" s="196">
        <v>1651590.0684252288</v>
      </c>
      <c r="P18" s="249">
        <f>IF(SUM($Q$21:$Q$23)&gt;SUM($P$15:$P$17),SUM($Q$21:$Q$23)-SUM($P$15:$P$17),0)</f>
        <v>1651590.36606564</v>
      </c>
      <c r="Q18" s="224"/>
      <c r="S18" s="223">
        <f>P18-M18</f>
        <v>0.29764041118323803</v>
      </c>
      <c r="T18" s="250" t="s">
        <v>1730</v>
      </c>
    </row>
    <row r="19" spans="1:20" ht="16.5" customHeight="1" x14ac:dyDescent="0.25">
      <c r="A19" s="99"/>
      <c r="B19" s="26" t="s">
        <v>179</v>
      </c>
      <c r="C19" s="193"/>
      <c r="D19" s="193"/>
      <c r="E19" s="193"/>
      <c r="F19" s="194"/>
      <c r="G19" s="194"/>
      <c r="H19" s="195"/>
      <c r="I19" s="195"/>
      <c r="J19" s="248">
        <f>IF(SUM($K$21:$K$24)&gt;SUM($J$15:$J$18),SUM($K$21:$K$24)-SUM($J$15:$J$18),0)</f>
        <v>5.3573742508888245E-2</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3864263.053573743</v>
      </c>
      <c r="N21" s="196">
        <v>3864263.053573743</v>
      </c>
      <c r="P21" s="224"/>
      <c r="Q21" s="196">
        <v>3864264</v>
      </c>
      <c r="S21" s="223">
        <f>Q21-N21</f>
        <v>0.94642625702545047</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7447985</v>
      </c>
      <c r="N23" s="196">
        <v>7447985</v>
      </c>
      <c r="P23" s="224"/>
      <c r="Q23" s="196">
        <v>7447984</v>
      </c>
      <c r="S23" s="223">
        <f t="shared" si="0"/>
        <v>-1</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11312248.053573743</v>
      </c>
      <c r="K26" s="155">
        <f>SUM(K15:K25)</f>
        <v>11312248.053573743</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0830 - TRANSPORTATION (GAAP ADJ)</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v>1932131.5267868715</v>
      </c>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v>1932131.5267868715</v>
      </c>
    </row>
    <row r="53" spans="1:12" ht="16.5" customHeight="1" x14ac:dyDescent="0.25">
      <c r="A53" s="99"/>
      <c r="C53" s="47"/>
      <c r="D53" s="47"/>
      <c r="E53" s="47"/>
      <c r="F53" s="48"/>
      <c r="G53" s="48"/>
      <c r="H53" s="49"/>
      <c r="I53" s="49"/>
      <c r="J53" s="155">
        <f>SUM(J50:J52)</f>
        <v>1932131.5267868715</v>
      </c>
      <c r="K53" s="155">
        <f>SUM(K50:K52)</f>
        <v>1932131.5267868715</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v>1117687.1083045534</v>
      </c>
      <c r="K56" s="220"/>
      <c r="L56" s="37" t="str">
        <f>IF($J$56=$K$63,"","&lt;- Accts 0848 must agree")</f>
        <v/>
      </c>
    </row>
    <row r="57" spans="1:12" ht="16.5" customHeight="1" x14ac:dyDescent="0.25">
      <c r="A57" s="99"/>
      <c r="B57" s="26" t="str">
        <f>IF($F$7="Governmental","Dr: Acct 0851 - DEBT SERVICE - INTEREST LEASES","Dr: Acct 0894 - INTEREST EXPENSE AND FISCAL CHARGES")</f>
        <v>Dr: Acct 0851 - DEBT SERVICE - INTEREST LEASES</v>
      </c>
      <c r="C57" s="193"/>
      <c r="D57" s="193"/>
      <c r="E57" s="193"/>
      <c r="F57" s="194"/>
      <c r="G57" s="194"/>
      <c r="H57" s="195"/>
      <c r="I57" s="195"/>
      <c r="J57" s="196">
        <v>62428.891695446517</v>
      </c>
      <c r="K57" s="220"/>
    </row>
    <row r="58" spans="1:12" ht="16.5" customHeight="1" x14ac:dyDescent="0.25">
      <c r="A58" s="99"/>
      <c r="B58" s="193"/>
      <c r="C58" s="26" t="str">
        <f>IF($F$7="Proprietary","Cr: Acct 0870 - SERVICES &amp; CHARGES (MG ADJ)",VLOOKUP($F$9,'Drop Down Menus'!$F$2:$G$10,2,FALSE))</f>
        <v>Cr: Acct 0830 - TRANSPORTATION (GAAP ADJ)</v>
      </c>
      <c r="D58" s="193"/>
      <c r="E58" s="193"/>
      <c r="F58" s="194"/>
      <c r="G58" s="194"/>
      <c r="H58" s="195"/>
      <c r="I58" s="195"/>
      <c r="J58" s="220"/>
      <c r="K58" s="196">
        <v>1180116</v>
      </c>
    </row>
    <row r="59" spans="1:12" ht="16.5" customHeight="1" x14ac:dyDescent="0.25">
      <c r="A59" s="99"/>
      <c r="C59" s="43"/>
      <c r="D59" s="43"/>
      <c r="E59" s="43"/>
      <c r="F59" s="44"/>
      <c r="G59" s="44"/>
      <c r="H59" s="45"/>
      <c r="I59" s="45"/>
      <c r="J59" s="155">
        <f>SUM(J56:J58)</f>
        <v>1180116</v>
      </c>
      <c r="K59" s="155">
        <f>SUM(K56:K58)</f>
        <v>1180116</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v>1117687.1083045534</v>
      </c>
      <c r="K62" s="220"/>
    </row>
    <row r="63" spans="1:12" ht="16.5" customHeight="1" x14ac:dyDescent="0.25">
      <c r="A63" s="99"/>
      <c r="B63" s="193"/>
      <c r="C63" s="26" t="s">
        <v>202</v>
      </c>
      <c r="D63" s="193"/>
      <c r="E63" s="193"/>
      <c r="F63" s="194"/>
      <c r="G63" s="194"/>
      <c r="H63" s="195"/>
      <c r="I63" s="195"/>
      <c r="J63" s="220"/>
      <c r="K63" s="196">
        <v>1117687.1083045534</v>
      </c>
      <c r="L63" s="37" t="str">
        <f>IF($J$56=$K$63,"","&lt;- Accts 0848 must agree")</f>
        <v/>
      </c>
    </row>
    <row r="64" spans="1:12" ht="16.5" customHeight="1" x14ac:dyDescent="0.25">
      <c r="A64" s="99"/>
      <c r="C64" s="43"/>
      <c r="D64" s="43"/>
      <c r="E64" s="43"/>
      <c r="F64" s="44"/>
      <c r="G64" s="44"/>
      <c r="H64" s="45"/>
      <c r="I64" s="45"/>
      <c r="J64" s="155">
        <f>SUM(J62:J63)</f>
        <v>1117687.1083045534</v>
      </c>
      <c r="K64" s="155">
        <f>SUM(K62:K63)</f>
        <v>1117687.1083045534</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v>1127787.8903237886</v>
      </c>
      <c r="K67" s="220"/>
    </row>
    <row r="68" spans="1:12" ht="16.5" customHeight="1" x14ac:dyDescent="0.25">
      <c r="A68" s="99"/>
      <c r="B68" s="193"/>
      <c r="C68" s="26" t="s">
        <v>1757</v>
      </c>
      <c r="D68" s="193"/>
      <c r="E68" s="193"/>
      <c r="F68" s="194"/>
      <c r="G68" s="194"/>
      <c r="H68" s="195"/>
      <c r="I68" s="195"/>
      <c r="J68" s="220"/>
      <c r="K68" s="196">
        <v>1127787.8903237886</v>
      </c>
    </row>
    <row r="69" spans="1:12" ht="16.5" customHeight="1" x14ac:dyDescent="0.2">
      <c r="A69" s="99"/>
      <c r="B69" s="300" t="s">
        <v>1737</v>
      </c>
      <c r="C69" s="300"/>
      <c r="D69" s="300"/>
      <c r="E69" s="300"/>
      <c r="F69" s="300"/>
      <c r="G69" s="300"/>
      <c r="H69" s="300"/>
      <c r="I69" s="300"/>
      <c r="J69" s="155">
        <f>SUM(J67:J68)</f>
        <v>1127787.8903237886</v>
      </c>
      <c r="K69" s="155">
        <f>SUM(K67:K68)</f>
        <v>1127787.8903237886</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9660657.63393436</v>
      </c>
    </row>
    <row r="80" spans="1:12" ht="16.5" customHeight="1" x14ac:dyDescent="0.25">
      <c r="D80" s="193" t="s">
        <v>1719</v>
      </c>
      <c r="H80" s="37"/>
      <c r="K80" s="238">
        <f>-K21-K52</f>
        <v>-5796394.5803606147</v>
      </c>
    </row>
    <row r="81" spans="4:11" ht="15.75" x14ac:dyDescent="0.25">
      <c r="D81" s="193" t="s">
        <v>1720</v>
      </c>
      <c r="H81" s="37"/>
      <c r="K81" s="238">
        <f>-K22-K51</f>
        <v>0</v>
      </c>
    </row>
    <row r="82" spans="4:11" ht="16.5" customHeight="1" x14ac:dyDescent="0.25">
      <c r="D82" s="193" t="s">
        <v>1721</v>
      </c>
      <c r="H82" s="37"/>
      <c r="K82" s="238">
        <f>-K23-K45+J62+J67</f>
        <v>-5202510.0013716575</v>
      </c>
    </row>
    <row r="83" spans="4:11" ht="16.5" customHeight="1" x14ac:dyDescent="0.25">
      <c r="D83" s="193" t="s">
        <v>1758</v>
      </c>
      <c r="H83" s="37"/>
      <c r="K83" s="238">
        <f>-K68</f>
        <v>-1127787.8903237886</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70" zoomScaleNormal="70" workbookViewId="0">
      <selection activeCell="P81" sqref="P81"/>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0046 Journal Entries'!F3)</f>
        <v>FY 2023–2024</v>
      </c>
      <c r="K4" s="3"/>
      <c r="L4" s="3"/>
      <c r="M4" s="3"/>
      <c r="N4" s="3"/>
      <c r="O4" s="3"/>
      <c r="P4" s="3"/>
      <c r="Q4" s="71"/>
    </row>
    <row r="5" spans="2:17" ht="20.25" x14ac:dyDescent="0.3">
      <c r="B5" s="69"/>
      <c r="D5" s="3"/>
      <c r="E5" s="3"/>
      <c r="F5" s="3"/>
      <c r="G5" s="3"/>
      <c r="H5" s="3"/>
      <c r="I5" s="3"/>
      <c r="J5" s="102" t="str">
        <f>CONCATENATE("Business Unit ",'FP-Fund 0046 Journal Entries'!F5," - ",'FP-Fund 0046 Journal Entries'!F4)</f>
        <v>Business Unit 2660 - Department of Transportation</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v>7447985</v>
      </c>
      <c r="G10" s="103"/>
      <c r="H10" s="104">
        <v>0</v>
      </c>
      <c r="I10" s="103"/>
      <c r="J10" s="104">
        <v>1117687.1083045534</v>
      </c>
      <c r="K10" s="103"/>
      <c r="L10" s="103">
        <f>SUM(F10+H10-J10)</f>
        <v>6330297.8916954463</v>
      </c>
      <c r="M10" s="103"/>
      <c r="N10" s="104">
        <v>1127787.8903237886</v>
      </c>
      <c r="O10" s="103"/>
      <c r="P10" s="103">
        <f>L10-N10</f>
        <v>5202510.0013716575</v>
      </c>
      <c r="Q10" s="71"/>
    </row>
    <row r="11" spans="2:17" ht="19.5" thickTop="1" thickBot="1" x14ac:dyDescent="0.3">
      <c r="B11" s="69"/>
      <c r="C11" s="73" t="s">
        <v>21</v>
      </c>
      <c r="F11" s="108">
        <f>SUM(F10:F10)</f>
        <v>7447985</v>
      </c>
      <c r="G11" s="103"/>
      <c r="H11" s="108">
        <f>SUM(H10:H10)</f>
        <v>0</v>
      </c>
      <c r="I11" s="103"/>
      <c r="J11" s="108">
        <f>SUM(J10:J10)</f>
        <v>1117687.1083045534</v>
      </c>
      <c r="K11" s="103"/>
      <c r="L11" s="108">
        <f>SUM(L10:L10)</f>
        <v>6330297.8916954463</v>
      </c>
      <c r="M11" s="103"/>
      <c r="N11" s="108">
        <f>SUM(N10:N10)</f>
        <v>1127787.8903237886</v>
      </c>
      <c r="O11" s="103"/>
      <c r="P11" s="108">
        <f>SUM(P10:P10)</f>
        <v>5202510.0013716575</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Drop Down Menus</vt:lpstr>
      <vt:lpstr>qryIndex02a</vt:lpstr>
      <vt:lpstr>LS-Version Changes</vt:lpstr>
      <vt:lpstr>LS-Fund 0042 Journal Entries</vt:lpstr>
      <vt:lpstr>LS-Fund 0046 Journal Entrie </vt:lpstr>
      <vt:lpstr>LS-Fund 3290 Journal Entrie </vt:lpstr>
      <vt:lpstr>LS-Fund 3291 Journal Entrie</vt:lpstr>
      <vt:lpstr>LS-Department Note Disclosure</vt:lpstr>
      <vt:lpstr>LS-Lease Liabilities</vt:lpstr>
      <vt:lpstr>LS-Check Figures  </vt:lpstr>
      <vt:lpstr>LR-Version Changes</vt:lpstr>
      <vt:lpstr>LR-Fund 0042 Journal Entries</vt:lpstr>
      <vt:lpstr>LR-Department Note Disclosure</vt:lpstr>
      <vt:lpstr>LR-Check Figures</vt:lpstr>
      <vt:lpstr>FP-Version Changes</vt:lpstr>
      <vt:lpstr>FP-Fund 0046 Journal Entries</vt:lpstr>
      <vt:lpstr>FP-Lease Liabilities</vt:lpstr>
      <vt:lpstr>'FP-Fund 0046 Journal Entries'!Print_Area</vt:lpstr>
      <vt:lpstr>'FP-Lease Liabilities'!Print_Area</vt:lpstr>
      <vt:lpstr>'LR-Check Figures'!Print_Area</vt:lpstr>
      <vt:lpstr>'LR-Department Note Disclosure'!Print_Area</vt:lpstr>
      <vt:lpstr>'LR-Fund 0042 Journal Entries'!Print_Area</vt:lpstr>
      <vt:lpstr>'LS-Department Note Disclosure'!Print_Area</vt:lpstr>
      <vt:lpstr>'LS-Fund 0042 Journal Entries'!Print_Area</vt:lpstr>
      <vt:lpstr>'LS-Fund 0046 Journal Entrie '!Print_Area</vt:lpstr>
      <vt:lpstr>'LS-Fund 3290 Journal Entrie '!Print_Area</vt:lpstr>
      <vt:lpstr>'LS-Fund 3291 Journal Entrie'!Print_Area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2025-02-11T20:05:53Z</dcterms:modified>
</cp:coreProperties>
</file>