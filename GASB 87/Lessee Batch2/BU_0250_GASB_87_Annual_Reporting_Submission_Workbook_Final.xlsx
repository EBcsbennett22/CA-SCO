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0250 JUDICIAL\"/>
    </mc:Choice>
  </mc:AlternateContent>
  <xr:revisionPtr revIDLastSave="0" documentId="13_ncr:1_{5E5A03EA-9609-419F-9F0A-5D42685C9099}" xr6:coauthVersionLast="47" xr6:coauthVersionMax="47" xr10:uidLastSave="{00000000-0000-0000-0000-000000000000}"/>
  <bookViews>
    <workbookView xWindow="20370" yWindow="-120" windowWidth="29040" windowHeight="15840" tabRatio="720" firstSheet="9" activeTab="14" xr2:uid="{B046A927-4C3D-4BC7-9ED7-A5E0AC22CAD5}"/>
  </bookViews>
  <sheets>
    <sheet name="Drop Down Menus" sheetId="1" state="hidden" r:id="rId1"/>
    <sheet name="qryIndex02a" sheetId="11" state="hidden" r:id="rId2"/>
    <sheet name="LS-Version Changes" sheetId="13" r:id="rId3"/>
    <sheet name="LS-Fund 0001 Journal Entries" sheetId="2" r:id="rId4"/>
    <sheet name="LS-Fund 0159 Journal Entries" sheetId="16" r:id="rId5"/>
    <sheet name="LS-Fund 0587 Journal Entries" sheetId="17" r:id="rId6"/>
    <sheet name="LS-Fund 0890 Journal Entries" sheetId="18" r:id="rId7"/>
    <sheet name="LS-Fund 0932 Journal Entries" sheetId="19" r:id="rId8"/>
    <sheet name="LS-Fund 3037 Journal Entries" sheetId="20" r:id="rId9"/>
    <sheet name="LS-Fund 3060 Journal Entries" sheetId="21" r:id="rId10"/>
    <sheet name="LS-Fund 3066 Journal Entries" sheetId="22" r:id="rId11"/>
    <sheet name="LS-Fund 3085 Journal Entries" sheetId="23" r:id="rId12"/>
    <sheet name="LS-Department Note Disclosure" sheetId="3" r:id="rId13"/>
    <sheet name="LS-Lease Liabilities" sheetId="4" r:id="rId14"/>
    <sheet name="LS-Check Figures  " sheetId="7" r:id="rId15"/>
    <sheet name="LR-Version Changes" sheetId="15" r:id="rId16"/>
    <sheet name="LR-Fund 3066 Journal Entries" sheetId="5" r:id="rId17"/>
    <sheet name="LR-Department Note Disclosure" sheetId="6" r:id="rId18"/>
    <sheet name="LR-Check Figures" sheetId="12" r:id="rId19"/>
    <sheet name="FP-Version Changes" sheetId="14" state="hidden" r:id="rId20"/>
    <sheet name="FP-Fund #### Journal Entries" sheetId="8" state="hidden" r:id="rId21"/>
    <sheet name="FP-Lease Liabilities" sheetId="10" state="hidden" r:id="rId22"/>
  </sheets>
  <externalReferences>
    <externalReference r:id="rId23"/>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9">#REF!</definedName>
    <definedName name="AgencyCode" localSheetId="18">#REF!</definedName>
    <definedName name="AgencyCode" localSheetId="15">#REF!</definedName>
    <definedName name="AgencyCode">#REF!</definedName>
    <definedName name="AgencyCode1" localSheetId="19">#REF!</definedName>
    <definedName name="AgencyCode1" localSheetId="18">#REF!</definedName>
    <definedName name="AgencyCode1" localSheetId="15">#REF!</definedName>
    <definedName name="AgencyCode1">#REF!</definedName>
    <definedName name="AnalystGASB">[1]DeveloperInfo!$D$20</definedName>
    <definedName name="Annuity" localSheetId="19">#REF!</definedName>
    <definedName name="Annuity" localSheetId="18">#REF!</definedName>
    <definedName name="Annuity" localSheetId="15">#REF!</definedName>
    <definedName name="Annuity">#REF!</definedName>
    <definedName name="Annuity1" localSheetId="19">#REF!</definedName>
    <definedName name="Annuity1" localSheetId="18">#REF!</definedName>
    <definedName name="Annuity1" localSheetId="15">#REF!</definedName>
    <definedName name="Annuity1">#REF!</definedName>
    <definedName name="AnnuityLY" localSheetId="19">#REF!</definedName>
    <definedName name="AnnuityLY" localSheetId="18">#REF!</definedName>
    <definedName name="AnnuityLY" localSheetId="15">#REF!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9">#REF!</definedName>
    <definedName name="EmployerRates" localSheetId="18">#REF!</definedName>
    <definedName name="EmployerRates" localSheetId="15">#REF!</definedName>
    <definedName name="EmployerRates">#REF!</definedName>
    <definedName name="EmployerRates1" localSheetId="19">#REF!</definedName>
    <definedName name="EmployerRates1" localSheetId="18">#REF!</definedName>
    <definedName name="EmployerRates1" localSheetId="15">#REF!</definedName>
    <definedName name="EmployerRates1">#REF!</definedName>
    <definedName name="EmployerRatesLEO" localSheetId="19">#REF!</definedName>
    <definedName name="EmployerRatesLEO" localSheetId="18">#REF!</definedName>
    <definedName name="EmployerRatesLEO" localSheetId="15">#REF!</definedName>
    <definedName name="EmployerRatesLEO">#REF!</definedName>
    <definedName name="EmployerRatesLEO1" localSheetId="19">#REF!</definedName>
    <definedName name="EmployerRatesLEO1" localSheetId="18">#REF!</definedName>
    <definedName name="EmployerRatesLEO1" localSheetId="15">#REF!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9">#REF!</definedName>
    <definedName name="Pension" localSheetId="18">#REF!</definedName>
    <definedName name="Pension" localSheetId="15">#REF!</definedName>
    <definedName name="Pension">#REF!</definedName>
    <definedName name="Pension1" localSheetId="19">#REF!</definedName>
    <definedName name="Pension1" localSheetId="18">#REF!</definedName>
    <definedName name="Pension1" localSheetId="15">#REF!</definedName>
    <definedName name="Pension1">#REF!</definedName>
    <definedName name="PensionLY" localSheetId="19">#REF!</definedName>
    <definedName name="PensionLY" localSheetId="18">#REF!</definedName>
    <definedName name="PensionLY" localSheetId="15">#REF!</definedName>
    <definedName name="PensionLY">#REF!</definedName>
    <definedName name="PlanNameLongGASB">[1]DeveloperInfo!$D$7</definedName>
    <definedName name="PlanNameShortGASB">[1]DeveloperInfo!$D$8</definedName>
    <definedName name="_xlnm.Print_Area" localSheetId="20">'FP-Fund #### Journal Entries'!$A$1:$R$84</definedName>
    <definedName name="_xlnm.Print_Area" localSheetId="21">'FP-Lease Liabilities'!$A$1:$S$23</definedName>
    <definedName name="_xlnm.Print_Area" localSheetId="18">'LR-Check Figures'!$A$1:$Q$59</definedName>
    <definedName name="_xlnm.Print_Area" localSheetId="17">'LR-Department Note Disclosure'!$A$1:$E$99</definedName>
    <definedName name="_xlnm.Print_Area" localSheetId="16">'LR-Fund 3066 Journal Entries'!$A$1:$R$70</definedName>
    <definedName name="_xlnm.Print_Area" localSheetId="12">'LS-Department Note Disclosure'!$A$1:$F$96</definedName>
    <definedName name="_xlnm.Print_Area" localSheetId="3">'LS-Fund 0001 Journal Entries'!$A$1:$R$130</definedName>
    <definedName name="_xlnm.Print_Area" localSheetId="4">'LS-Fund 0159 Journal Entries'!$A$1:$R$130</definedName>
    <definedName name="_xlnm.Print_Area" localSheetId="5">'LS-Fund 0587 Journal Entries'!$A$1:$R$130</definedName>
    <definedName name="_xlnm.Print_Area" localSheetId="6">'LS-Fund 0890 Journal Entries'!$A$1:$R$130</definedName>
    <definedName name="_xlnm.Print_Area" localSheetId="7">'LS-Fund 0932 Journal Entries'!$A$1:$R$130</definedName>
    <definedName name="_xlnm.Print_Area" localSheetId="8">'LS-Fund 3037 Journal Entries'!$A$1:$R$130</definedName>
    <definedName name="_xlnm.Print_Area" localSheetId="9">'LS-Fund 3060 Journal Entries'!$A$1:$R$130</definedName>
    <definedName name="_xlnm.Print_Area" localSheetId="10">'LS-Fund 3066 Journal Entries'!$A$1:$R$130</definedName>
    <definedName name="_xlnm.Print_Area" localSheetId="11">'LS-Fund 3085 Journal Entries'!$A$1:$R$130</definedName>
    <definedName name="_xlnm.Print_Area" localSheetId="13">'LS-Lease Liabilities'!$A$1:$U$24</definedName>
    <definedName name="ProjDisc?">[1]DeveloperInfo!$D$65</definedName>
    <definedName name="ProValResults" localSheetId="19">#REF!</definedName>
    <definedName name="ProValResults" localSheetId="18">#REF!</definedName>
    <definedName name="ProValResults" localSheetId="15">#REF!</definedName>
    <definedName name="ProValResults">#REF!</definedName>
    <definedName name="ProValResults1" localSheetId="19">#REF!</definedName>
    <definedName name="ProValResults1" localSheetId="18">#REF!</definedName>
    <definedName name="ProValResults1" localSheetId="15">#REF!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9">#REF!</definedName>
    <definedName name="TableData" localSheetId="18">#REF!</definedName>
    <definedName name="TableData" localSheetId="15">#REF!</definedName>
    <definedName name="TableData">#REF!</definedName>
    <definedName name="TableData1" localSheetId="19">#REF!</definedName>
    <definedName name="TableData1" localSheetId="18">#REF!</definedName>
    <definedName name="TableData1" localSheetId="15">#REF!</definedName>
    <definedName name="TableData1">#REF!</definedName>
    <definedName name="Type" localSheetId="19">#REF!</definedName>
    <definedName name="Type" localSheetId="18">#REF!</definedName>
    <definedName name="Type" localSheetId="15">#REF!</definedName>
    <definedName name="Type">#REF!</definedName>
    <definedName name="TypeAnnuity" localSheetId="19">#REF!</definedName>
    <definedName name="TypeAnnuity" localSheetId="18">#REF!</definedName>
    <definedName name="TypeAnnuity" localSheetId="15">#REF!</definedName>
    <definedName name="TypeAnnuity">#REF!</definedName>
    <definedName name="TypeAnnuity1" localSheetId="19">#REF!</definedName>
    <definedName name="TypeAnnuity1" localSheetId="18">#REF!</definedName>
    <definedName name="TypeAnnuity1" localSheetId="15">#REF!</definedName>
    <definedName name="TypeAnnuity1">#REF!</definedName>
    <definedName name="TypePension" localSheetId="19">#REF!</definedName>
    <definedName name="TypePension" localSheetId="18">#REF!</definedName>
    <definedName name="TypePension" localSheetId="15">#REF!</definedName>
    <definedName name="TypePension">#REF!</definedName>
    <definedName name="TypePension1" localSheetId="19">#REF!</definedName>
    <definedName name="TypePension1" localSheetId="18">#REF!</definedName>
    <definedName name="TypePension1" localSheetId="15">#REF!</definedName>
    <definedName name="TypePension1">#REF!</definedName>
    <definedName name="UnfundedData" localSheetId="19">#REF!</definedName>
    <definedName name="UnfundedData" localSheetId="18">#REF!</definedName>
    <definedName name="UnfundedData" localSheetId="15">#REF!</definedName>
    <definedName name="UnfundedData">#REF!</definedName>
    <definedName name="UnfundedData1" localSheetId="19">#REF!</definedName>
    <definedName name="UnfundedData1" localSheetId="18">#REF!</definedName>
    <definedName name="UnfundedData1" localSheetId="15">#REF!</definedName>
    <definedName name="UnfundedData1">#REF!</definedName>
    <definedName name="UnfundedLY" localSheetId="19">#REF!</definedName>
    <definedName name="UnfundedLY" localSheetId="18">#REF!</definedName>
    <definedName name="UnfundedLY" localSheetId="15">#REF!</definedName>
    <definedName name="UnfundedLY">#REF!</definedName>
    <definedName name="UnfundedLY1" localSheetId="19">#REF!</definedName>
    <definedName name="UnfundedLY1" localSheetId="18">#REF!</definedName>
    <definedName name="UnfundedLY1" localSheetId="15">#REF!</definedName>
    <definedName name="UnfundedLY1">#REF!</definedName>
    <definedName name="UnfundedLYLEO1" localSheetId="19">#REF!</definedName>
    <definedName name="UnfundedLYLEO1" localSheetId="18">#REF!</definedName>
    <definedName name="UnfundedLYLEO1" localSheetId="15">#REF!</definedName>
    <definedName name="UnfundedLYLEO1">#REF!</definedName>
    <definedName name="UnfunedLYLEO" localSheetId="19">#REF!</definedName>
    <definedName name="UnfunedLYLEO" localSheetId="18">#REF!</definedName>
    <definedName name="UnfunedLYLEO" localSheetId="15">#REF!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17" i="3"/>
  <c r="C16" i="3"/>
  <c r="C15" i="3"/>
  <c r="C14" i="3"/>
  <c r="C13" i="3"/>
  <c r="B16" i="3"/>
  <c r="B15" i="3"/>
  <c r="B14" i="3"/>
  <c r="B13" i="3"/>
  <c r="J75" i="22"/>
  <c r="J112" i="22"/>
  <c r="K76" i="22" l="1"/>
  <c r="K113" i="22"/>
  <c r="F16" i="7" l="1"/>
  <c r="J16" i="7"/>
  <c r="K76" i="21" l="1"/>
  <c r="H16" i="7" l="1"/>
  <c r="K113" i="19"/>
  <c r="K76" i="23" l="1"/>
  <c r="K69" i="23"/>
  <c r="J68" i="23"/>
  <c r="K69" i="21"/>
  <c r="K76" i="20"/>
  <c r="K69" i="20"/>
  <c r="J68" i="20"/>
  <c r="K76" i="19"/>
  <c r="K69" i="19"/>
  <c r="J68" i="19"/>
  <c r="K76" i="18"/>
  <c r="K69" i="18"/>
  <c r="J68" i="18"/>
  <c r="K76" i="17"/>
  <c r="K69" i="17"/>
  <c r="J68" i="17"/>
  <c r="K76" i="16"/>
  <c r="K69" i="16"/>
  <c r="J68" i="16"/>
  <c r="J68" i="2"/>
  <c r="K69" i="2" s="1"/>
  <c r="H10" i="4"/>
  <c r="D16" i="7"/>
  <c r="B42" i="7" l="1"/>
  <c r="N10" i="4"/>
  <c r="J10" i="4"/>
  <c r="K129" i="23"/>
  <c r="K114" i="23"/>
  <c r="J114" i="23"/>
  <c r="L114" i="23" s="1"/>
  <c r="K105" i="23"/>
  <c r="J105" i="23"/>
  <c r="L105" i="23" s="1"/>
  <c r="K91" i="23"/>
  <c r="J91" i="23"/>
  <c r="L91" i="23" s="1"/>
  <c r="K77" i="23"/>
  <c r="J77" i="23"/>
  <c r="K70" i="23"/>
  <c r="J70" i="23"/>
  <c r="L70" i="23" s="1"/>
  <c r="L69" i="23"/>
  <c r="K65" i="23"/>
  <c r="J65" i="23"/>
  <c r="L65" i="23" s="1"/>
  <c r="B63" i="23"/>
  <c r="L62" i="23"/>
  <c r="K59" i="23"/>
  <c r="J59" i="23"/>
  <c r="K49" i="23"/>
  <c r="J49" i="23"/>
  <c r="L49" i="23" s="1"/>
  <c r="K43" i="23"/>
  <c r="L43" i="23" s="1"/>
  <c r="J43" i="23"/>
  <c r="L36" i="23"/>
  <c r="K36" i="23"/>
  <c r="J36" i="23"/>
  <c r="S25" i="23"/>
  <c r="Q24" i="23"/>
  <c r="S24" i="23" s="1"/>
  <c r="K24" i="23"/>
  <c r="S23" i="23"/>
  <c r="K23" i="23"/>
  <c r="K128" i="23" s="1"/>
  <c r="S22" i="23"/>
  <c r="K22" i="23"/>
  <c r="K127" i="23" s="1"/>
  <c r="S21" i="23"/>
  <c r="K21" i="23"/>
  <c r="S20" i="23"/>
  <c r="K20" i="23"/>
  <c r="K125" i="23" s="1"/>
  <c r="S19" i="23"/>
  <c r="P18" i="23"/>
  <c r="S18" i="23" s="1"/>
  <c r="S17" i="23"/>
  <c r="J17" i="23"/>
  <c r="K124" i="23" s="1"/>
  <c r="S16" i="23"/>
  <c r="J16" i="23"/>
  <c r="K123" i="23" s="1"/>
  <c r="S15" i="23"/>
  <c r="J15" i="23"/>
  <c r="F9" i="23"/>
  <c r="C104" i="23" s="1"/>
  <c r="K129" i="22"/>
  <c r="K125" i="22"/>
  <c r="K114" i="22"/>
  <c r="J114" i="22"/>
  <c r="K105" i="22"/>
  <c r="J105" i="22"/>
  <c r="L105" i="22" s="1"/>
  <c r="K91" i="22"/>
  <c r="J91" i="22"/>
  <c r="L91" i="22" s="1"/>
  <c r="K77" i="22"/>
  <c r="J77" i="22"/>
  <c r="K70" i="22"/>
  <c r="J70" i="22"/>
  <c r="L69" i="22"/>
  <c r="K65" i="22"/>
  <c r="J65" i="22"/>
  <c r="B63" i="22"/>
  <c r="L62" i="22"/>
  <c r="K59" i="22"/>
  <c r="J59" i="22"/>
  <c r="K49" i="22"/>
  <c r="J49" i="22"/>
  <c r="K43" i="22"/>
  <c r="J43" i="22"/>
  <c r="K36" i="22"/>
  <c r="J36" i="22"/>
  <c r="S25" i="22"/>
  <c r="Q24" i="22"/>
  <c r="K24" i="22" s="1"/>
  <c r="S23" i="22"/>
  <c r="K23" i="22"/>
  <c r="K128" i="22" s="1"/>
  <c r="S22" i="22"/>
  <c r="K22" i="22"/>
  <c r="K127" i="22" s="1"/>
  <c r="S21" i="22"/>
  <c r="K21" i="22"/>
  <c r="S20" i="22"/>
  <c r="K20" i="22"/>
  <c r="S19" i="22"/>
  <c r="P18" i="22"/>
  <c r="S18" i="22" s="1"/>
  <c r="S17" i="22"/>
  <c r="J17" i="22"/>
  <c r="K124" i="22" s="1"/>
  <c r="S16" i="22"/>
  <c r="J16" i="22"/>
  <c r="K123" i="22" s="1"/>
  <c r="S15" i="22"/>
  <c r="J15" i="22"/>
  <c r="K122" i="22" s="1"/>
  <c r="F9" i="22"/>
  <c r="C64" i="22" s="1"/>
  <c r="K129" i="21"/>
  <c r="K114" i="21"/>
  <c r="J114" i="21"/>
  <c r="L114" i="21" s="1"/>
  <c r="K105" i="21"/>
  <c r="J105" i="21"/>
  <c r="L105" i="21" s="1"/>
  <c r="K91" i="21"/>
  <c r="J91" i="21"/>
  <c r="L91" i="21" s="1"/>
  <c r="K77" i="21"/>
  <c r="J77" i="21"/>
  <c r="K70" i="21"/>
  <c r="J70" i="21"/>
  <c r="L70" i="21" s="1"/>
  <c r="L69" i="21"/>
  <c r="K65" i="21"/>
  <c r="J65" i="21"/>
  <c r="B63" i="21"/>
  <c r="L62" i="21"/>
  <c r="K59" i="21"/>
  <c r="J59" i="21"/>
  <c r="K49" i="21"/>
  <c r="J49" i="21"/>
  <c r="L49" i="21" s="1"/>
  <c r="K43" i="21"/>
  <c r="L43" i="21" s="1"/>
  <c r="J43" i="21"/>
  <c r="K36" i="21"/>
  <c r="J36" i="21"/>
  <c r="L36" i="21" s="1"/>
  <c r="S25" i="21"/>
  <c r="Q24" i="21"/>
  <c r="S24" i="21" s="1"/>
  <c r="S23" i="21"/>
  <c r="K23" i="21"/>
  <c r="K128" i="21" s="1"/>
  <c r="S22" i="21"/>
  <c r="K22" i="21"/>
  <c r="K127" i="21" s="1"/>
  <c r="S21" i="21"/>
  <c r="K21" i="21"/>
  <c r="S20" i="21"/>
  <c r="K20" i="21"/>
  <c r="K125" i="21" s="1"/>
  <c r="S19" i="21"/>
  <c r="P18" i="21"/>
  <c r="J18" i="21" s="1"/>
  <c r="S17" i="21"/>
  <c r="J17" i="21"/>
  <c r="K124" i="21" s="1"/>
  <c r="S16" i="21"/>
  <c r="J16" i="21"/>
  <c r="K123" i="21" s="1"/>
  <c r="S15" i="21"/>
  <c r="J15" i="21"/>
  <c r="K122" i="21" s="1"/>
  <c r="F9" i="21"/>
  <c r="B100" i="21" s="1"/>
  <c r="K129" i="20"/>
  <c r="K114" i="20"/>
  <c r="J114" i="20"/>
  <c r="L114" i="20" s="1"/>
  <c r="K105" i="20"/>
  <c r="J105" i="20"/>
  <c r="K91" i="20"/>
  <c r="J91" i="20"/>
  <c r="L91" i="20" s="1"/>
  <c r="K77" i="20"/>
  <c r="J77" i="20"/>
  <c r="L77" i="20" s="1"/>
  <c r="K70" i="20"/>
  <c r="J70" i="20"/>
  <c r="L69" i="20"/>
  <c r="K65" i="20"/>
  <c r="J65" i="20"/>
  <c r="B63" i="20"/>
  <c r="L62" i="20"/>
  <c r="K59" i="20"/>
  <c r="J59" i="20"/>
  <c r="L59" i="20" s="1"/>
  <c r="K49" i="20"/>
  <c r="J49" i="20"/>
  <c r="L49" i="20" s="1"/>
  <c r="K43" i="20"/>
  <c r="L43" i="20" s="1"/>
  <c r="J43" i="20"/>
  <c r="K36" i="20"/>
  <c r="J36" i="20"/>
  <c r="L36" i="20" s="1"/>
  <c r="S25" i="20"/>
  <c r="Q24" i="20"/>
  <c r="S24" i="20" s="1"/>
  <c r="S23" i="20"/>
  <c r="K23" i="20"/>
  <c r="S22" i="20"/>
  <c r="K22" i="20"/>
  <c r="K127" i="20" s="1"/>
  <c r="S21" i="20"/>
  <c r="K21" i="20"/>
  <c r="S20" i="20"/>
  <c r="K20" i="20"/>
  <c r="K125" i="20" s="1"/>
  <c r="S19" i="20"/>
  <c r="P18" i="20"/>
  <c r="S18" i="20" s="1"/>
  <c r="S17" i="20"/>
  <c r="J17" i="20"/>
  <c r="K124" i="20" s="1"/>
  <c r="S16" i="20"/>
  <c r="J16" i="20"/>
  <c r="K123" i="20" s="1"/>
  <c r="S15" i="20"/>
  <c r="J15" i="20"/>
  <c r="F9" i="20"/>
  <c r="C35" i="20" s="1"/>
  <c r="K129" i="19"/>
  <c r="K114" i="19"/>
  <c r="J114" i="19"/>
  <c r="L114" i="19" s="1"/>
  <c r="K105" i="19"/>
  <c r="J105" i="19"/>
  <c r="K91" i="19"/>
  <c r="J91" i="19"/>
  <c r="K77" i="19"/>
  <c r="J77" i="19"/>
  <c r="L77" i="19" s="1"/>
  <c r="K70" i="19"/>
  <c r="J70" i="19"/>
  <c r="L70" i="19" s="1"/>
  <c r="L69" i="19"/>
  <c r="K65" i="19"/>
  <c r="J65" i="19"/>
  <c r="B63" i="19"/>
  <c r="L62" i="19"/>
  <c r="K59" i="19"/>
  <c r="J59" i="19"/>
  <c r="K49" i="19"/>
  <c r="J49" i="19"/>
  <c r="K43" i="19"/>
  <c r="J43" i="19"/>
  <c r="K36" i="19"/>
  <c r="J36" i="19"/>
  <c r="S25" i="19"/>
  <c r="Q24" i="19"/>
  <c r="S24" i="19" s="1"/>
  <c r="S23" i="19"/>
  <c r="K23" i="19"/>
  <c r="K128" i="19" s="1"/>
  <c r="S22" i="19"/>
  <c r="K22" i="19"/>
  <c r="K127" i="19" s="1"/>
  <c r="S21" i="19"/>
  <c r="K21" i="19"/>
  <c r="S20" i="19"/>
  <c r="K20" i="19"/>
  <c r="K125" i="19" s="1"/>
  <c r="S19" i="19"/>
  <c r="P18" i="19"/>
  <c r="S18" i="19" s="1"/>
  <c r="S17" i="19"/>
  <c r="J17" i="19"/>
  <c r="K124" i="19" s="1"/>
  <c r="S16" i="19"/>
  <c r="J16" i="19"/>
  <c r="K123" i="19" s="1"/>
  <c r="S15" i="19"/>
  <c r="J15" i="19"/>
  <c r="K122" i="19" s="1"/>
  <c r="F9" i="19"/>
  <c r="C64" i="19" s="1"/>
  <c r="K129" i="18"/>
  <c r="K125" i="18"/>
  <c r="K114" i="18"/>
  <c r="J114" i="18"/>
  <c r="L114" i="18" s="1"/>
  <c r="K105" i="18"/>
  <c r="J105" i="18"/>
  <c r="L105" i="18" s="1"/>
  <c r="K91" i="18"/>
  <c r="J91" i="18"/>
  <c r="L91" i="18" s="1"/>
  <c r="K77" i="18"/>
  <c r="J77" i="18"/>
  <c r="L77" i="18" s="1"/>
  <c r="K70" i="18"/>
  <c r="J70" i="18"/>
  <c r="L70" i="18" s="1"/>
  <c r="L69" i="18"/>
  <c r="K65" i="18"/>
  <c r="J65" i="18"/>
  <c r="B63" i="18"/>
  <c r="L62" i="18"/>
  <c r="K59" i="18"/>
  <c r="J59" i="18"/>
  <c r="L59" i="18" s="1"/>
  <c r="K49" i="18"/>
  <c r="J49" i="18"/>
  <c r="L49" i="18" s="1"/>
  <c r="K43" i="18"/>
  <c r="L43" i="18" s="1"/>
  <c r="J43" i="18"/>
  <c r="K36" i="18"/>
  <c r="J36" i="18"/>
  <c r="L36" i="18" s="1"/>
  <c r="S25" i="18"/>
  <c r="Q24" i="18"/>
  <c r="S24" i="18" s="1"/>
  <c r="S23" i="18"/>
  <c r="K23" i="18"/>
  <c r="K128" i="18" s="1"/>
  <c r="S22" i="18"/>
  <c r="K22" i="18"/>
  <c r="K127" i="18" s="1"/>
  <c r="S21" i="18"/>
  <c r="K21" i="18"/>
  <c r="S20" i="18"/>
  <c r="K20" i="18"/>
  <c r="S19" i="18"/>
  <c r="P18" i="18"/>
  <c r="S18" i="18" s="1"/>
  <c r="J18" i="18"/>
  <c r="S17" i="18"/>
  <c r="J17" i="18"/>
  <c r="K124" i="18" s="1"/>
  <c r="S16" i="18"/>
  <c r="J16" i="18"/>
  <c r="K123" i="18" s="1"/>
  <c r="S15" i="18"/>
  <c r="J15" i="18"/>
  <c r="K122" i="18" s="1"/>
  <c r="F9" i="18"/>
  <c r="C35" i="18" s="1"/>
  <c r="K129" i="17"/>
  <c r="K125" i="17"/>
  <c r="K122" i="17"/>
  <c r="K114" i="17"/>
  <c r="J114" i="17"/>
  <c r="L114" i="17" s="1"/>
  <c r="K105" i="17"/>
  <c r="J105" i="17"/>
  <c r="L105" i="17" s="1"/>
  <c r="K91" i="17"/>
  <c r="J91" i="17"/>
  <c r="L91" i="17" s="1"/>
  <c r="K77" i="17"/>
  <c r="J77" i="17"/>
  <c r="K70" i="17"/>
  <c r="J70" i="17"/>
  <c r="L70" i="17" s="1"/>
  <c r="L69" i="17"/>
  <c r="K65" i="17"/>
  <c r="J65" i="17"/>
  <c r="B63" i="17"/>
  <c r="L62" i="17"/>
  <c r="K59" i="17"/>
  <c r="J59" i="17"/>
  <c r="K49" i="17"/>
  <c r="J49" i="17"/>
  <c r="L49" i="17" s="1"/>
  <c r="K43" i="17"/>
  <c r="L43" i="17" s="1"/>
  <c r="J43" i="17"/>
  <c r="K36" i="17"/>
  <c r="J36" i="17"/>
  <c r="L36" i="17" s="1"/>
  <c r="S25" i="17"/>
  <c r="Q24" i="17"/>
  <c r="S24" i="17" s="1"/>
  <c r="K24" i="17"/>
  <c r="S23" i="17"/>
  <c r="K23" i="17"/>
  <c r="K128" i="17" s="1"/>
  <c r="S22" i="17"/>
  <c r="K22" i="17"/>
  <c r="K127" i="17" s="1"/>
  <c r="S21" i="17"/>
  <c r="K21" i="17"/>
  <c r="S20" i="17"/>
  <c r="K20" i="17"/>
  <c r="S19" i="17"/>
  <c r="P18" i="17"/>
  <c r="S18" i="17" s="1"/>
  <c r="S17" i="17"/>
  <c r="J17" i="17"/>
  <c r="K124" i="17" s="1"/>
  <c r="S16" i="17"/>
  <c r="J16" i="17"/>
  <c r="K123" i="17" s="1"/>
  <c r="S15" i="17"/>
  <c r="J15" i="17"/>
  <c r="F9" i="17"/>
  <c r="C35" i="17" s="1"/>
  <c r="L114" i="22" l="1"/>
  <c r="K128" i="20"/>
  <c r="F10" i="4"/>
  <c r="L77" i="21"/>
  <c r="L49" i="19"/>
  <c r="L36" i="19"/>
  <c r="L65" i="22"/>
  <c r="L49" i="22"/>
  <c r="L91" i="19"/>
  <c r="L65" i="17"/>
  <c r="L70" i="22"/>
  <c r="L105" i="19"/>
  <c r="L105" i="20"/>
  <c r="L77" i="22"/>
  <c r="L77" i="23"/>
  <c r="L65" i="21"/>
  <c r="L70" i="20"/>
  <c r="L65" i="20"/>
  <c r="L65" i="19"/>
  <c r="L65" i="18"/>
  <c r="L77" i="17"/>
  <c r="L59" i="23"/>
  <c r="L59" i="22"/>
  <c r="L59" i="21"/>
  <c r="L59" i="19"/>
  <c r="L59" i="17"/>
  <c r="L43" i="22"/>
  <c r="L36" i="22"/>
  <c r="L43" i="19"/>
  <c r="J18" i="23"/>
  <c r="J19" i="23" s="1"/>
  <c r="J26" i="23" s="1"/>
  <c r="J18" i="22"/>
  <c r="J19" i="22"/>
  <c r="J26" i="22" s="1"/>
  <c r="S24" i="22"/>
  <c r="K24" i="21"/>
  <c r="K24" i="20"/>
  <c r="J18" i="20"/>
  <c r="J19" i="20" s="1"/>
  <c r="J26" i="20" s="1"/>
  <c r="K24" i="19"/>
  <c r="J18" i="19"/>
  <c r="J19" i="19" s="1"/>
  <c r="J26" i="19" s="1"/>
  <c r="K24" i="18"/>
  <c r="K25" i="18"/>
  <c r="K26" i="18" s="1"/>
  <c r="J19" i="18"/>
  <c r="J26" i="18" s="1"/>
  <c r="J18" i="17"/>
  <c r="J19" i="17"/>
  <c r="J26" i="17" s="1"/>
  <c r="B100" i="23"/>
  <c r="C64" i="23"/>
  <c r="K25" i="23"/>
  <c r="K26" i="23" s="1"/>
  <c r="K122" i="23"/>
  <c r="C35" i="23"/>
  <c r="K126" i="23"/>
  <c r="B100" i="22"/>
  <c r="C104" i="22"/>
  <c r="C35" i="22"/>
  <c r="K25" i="22"/>
  <c r="K26" i="22" s="1"/>
  <c r="K126" i="22"/>
  <c r="C104" i="21"/>
  <c r="K25" i="21"/>
  <c r="K26" i="21" s="1"/>
  <c r="C64" i="21"/>
  <c r="C35" i="21"/>
  <c r="S18" i="21"/>
  <c r="K126" i="21"/>
  <c r="J19" i="21"/>
  <c r="J26" i="21" s="1"/>
  <c r="K25" i="20"/>
  <c r="K26" i="20" s="1"/>
  <c r="C64" i="20"/>
  <c r="B100" i="20"/>
  <c r="C104" i="20"/>
  <c r="K122" i="20"/>
  <c r="K126" i="20"/>
  <c r="K25" i="19"/>
  <c r="K26" i="19" s="1"/>
  <c r="C35" i="19"/>
  <c r="K126" i="19"/>
  <c r="B100" i="19"/>
  <c r="C104" i="19"/>
  <c r="B100" i="18"/>
  <c r="C64" i="18"/>
  <c r="K126" i="18"/>
  <c r="C104" i="18"/>
  <c r="B100" i="17"/>
  <c r="C104" i="17"/>
  <c r="K25" i="17"/>
  <c r="C64" i="17"/>
  <c r="K26" i="17"/>
  <c r="K126" i="17"/>
  <c r="L26" i="18" l="1"/>
  <c r="L26" i="21"/>
  <c r="L26" i="17"/>
  <c r="L26" i="23"/>
  <c r="L26" i="22"/>
  <c r="L26" i="20"/>
  <c r="L26" i="19"/>
  <c r="K129" i="16" l="1"/>
  <c r="K114" i="16"/>
  <c r="J114" i="16"/>
  <c r="L114" i="16" s="1"/>
  <c r="K105" i="16"/>
  <c r="J105" i="16"/>
  <c r="L105" i="16" s="1"/>
  <c r="K91" i="16"/>
  <c r="J91" i="16"/>
  <c r="L91" i="16" s="1"/>
  <c r="K77" i="16"/>
  <c r="J77" i="16"/>
  <c r="K70" i="16"/>
  <c r="J70" i="16"/>
  <c r="L70" i="16" s="1"/>
  <c r="L69" i="16"/>
  <c r="K65" i="16"/>
  <c r="J65" i="16"/>
  <c r="B63" i="16"/>
  <c r="L62" i="16"/>
  <c r="K59" i="16"/>
  <c r="J59" i="16"/>
  <c r="K49" i="16"/>
  <c r="J49" i="16"/>
  <c r="L49" i="16" s="1"/>
  <c r="K43" i="16"/>
  <c r="L43" i="16" s="1"/>
  <c r="J43" i="16"/>
  <c r="K36" i="16"/>
  <c r="J36" i="16"/>
  <c r="L36" i="16" s="1"/>
  <c r="S25" i="16"/>
  <c r="Q24" i="16"/>
  <c r="K24" i="16" s="1"/>
  <c r="S23" i="16"/>
  <c r="K23" i="16"/>
  <c r="K128" i="16" s="1"/>
  <c r="S22" i="16"/>
  <c r="K22" i="16"/>
  <c r="K127" i="16" s="1"/>
  <c r="S21" i="16"/>
  <c r="K21" i="16"/>
  <c r="S20" i="16"/>
  <c r="K20" i="16"/>
  <c r="K125" i="16" s="1"/>
  <c r="S19" i="16"/>
  <c r="P18" i="16"/>
  <c r="S18" i="16" s="1"/>
  <c r="S17" i="16"/>
  <c r="J17" i="16"/>
  <c r="K124" i="16" s="1"/>
  <c r="S16" i="16"/>
  <c r="J16" i="16"/>
  <c r="K123" i="16" s="1"/>
  <c r="S15" i="16"/>
  <c r="J15" i="16"/>
  <c r="F9" i="16"/>
  <c r="B100" i="16" s="1"/>
  <c r="B63" i="2"/>
  <c r="B57" i="8"/>
  <c r="L56" i="8"/>
  <c r="L63" i="8"/>
  <c r="K83" i="8"/>
  <c r="K82" i="8"/>
  <c r="K81" i="8"/>
  <c r="K80" i="8"/>
  <c r="K79" i="8"/>
  <c r="K78" i="8"/>
  <c r="K77" i="8"/>
  <c r="J18" i="4"/>
  <c r="J14" i="4"/>
  <c r="H18" i="4"/>
  <c r="H14" i="4"/>
  <c r="N18" i="4"/>
  <c r="N14" i="4"/>
  <c r="F18" i="4"/>
  <c r="F14" i="4"/>
  <c r="L69" i="2"/>
  <c r="L62" i="2"/>
  <c r="S20" i="2"/>
  <c r="Q24" i="2"/>
  <c r="P18" i="2"/>
  <c r="H16" i="12"/>
  <c r="B57" i="12"/>
  <c r="B49" i="12"/>
  <c r="B42" i="12"/>
  <c r="J33" i="12"/>
  <c r="H33" i="12"/>
  <c r="F33" i="12"/>
  <c r="D33" i="12"/>
  <c r="J24" i="12"/>
  <c r="H24" i="12"/>
  <c r="F24" i="12"/>
  <c r="D24" i="12"/>
  <c r="B24" i="12"/>
  <c r="J16" i="12"/>
  <c r="F16" i="12"/>
  <c r="D16" i="12"/>
  <c r="L77" i="16" l="1"/>
  <c r="L65" i="16"/>
  <c r="L59" i="16"/>
  <c r="J18" i="16"/>
  <c r="J19" i="16"/>
  <c r="J26" i="16" s="1"/>
  <c r="C104" i="16"/>
  <c r="K25" i="16"/>
  <c r="K26" i="16" s="1"/>
  <c r="C64" i="16"/>
  <c r="S24" i="16"/>
  <c r="K122" i="16"/>
  <c r="C35" i="16"/>
  <c r="K126" i="16"/>
  <c r="J15" i="8"/>
  <c r="J16" i="8"/>
  <c r="Q18" i="5"/>
  <c r="L26" i="16" l="1"/>
  <c r="K53" i="8"/>
  <c r="J53" i="8"/>
  <c r="K68" i="5" l="1"/>
  <c r="K129"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B16" i="7" l="1"/>
  <c r="K128" i="2"/>
  <c r="K24" i="2"/>
  <c r="J19" i="2" s="1"/>
  <c r="K17" i="5"/>
  <c r="K69" i="5" s="1"/>
  <c r="J14" i="5"/>
  <c r="B16" i="12" s="1"/>
  <c r="L16" i="12" s="1"/>
  <c r="P16" i="12" s="1"/>
  <c r="D18" i="12" s="1"/>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<sst xmlns="http://schemas.openxmlformats.org/spreadsheetml/2006/main" count="9139" uniqueCount="1806">
  <si>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</si>
  <si>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</si>
  <si>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</si>
  <si>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</si>
  <si>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</si>
  <si>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</si>
  <si>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</si>
  <si>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</si>
  <si>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</si>
  <si>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</si>
  <si>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</si>
  <si>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</si>
  <si>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</si>
  <si>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</si>
  <si>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</si>
  <si>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</si>
  <si>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</si>
  <si>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</si>
  <si>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</si>
  <si>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</si>
  <si>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</si>
  <si>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</si>
  <si>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</si>
  <si>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</si>
  <si>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</si>
  <si>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</si>
  <si>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</si>
  <si>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</si>
  <si>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</si>
  <si>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</si>
  <si>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</si>
  <si>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</si>
  <si>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</si>
  <si>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</si>
  <si>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</si>
  <si>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</si>
  <si>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</si>
  <si>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</si>
  <si>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</si>
  <si>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</si>
  <si>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</si>
  <si>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</si>
  <si>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</si>
  <si>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</si>
  <si>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</si>
  <si>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</si>
  <si>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</si>
  <si>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</si>
  <si>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</si>
  <si>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</si>
  <si>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</si>
  <si>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</si>
  <si>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</si>
  <si>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</si>
  <si>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</si>
  <si>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</si>
  <si>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</si>
  <si>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</si>
  <si>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</si>
  <si>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</si>
  <si>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</si>
  <si>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</si>
  <si>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</si>
  <si>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</si>
  <si>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</si>
  <si>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</si>
  <si>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</si>
  <si>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</si>
  <si>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</si>
  <si>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</si>
  <si>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</si>
  <si>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</si>
  <si>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</si>
  <si>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</si>
  <si>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</si>
  <si>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</si>
  <si>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</si>
  <si>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</si>
  <si>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</si>
  <si>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</si>
  <si>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</si>
  <si>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</si>
  <si>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</si>
  <si>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</si>
  <si>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</si>
  <si>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</si>
  <si>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</si>
  <si>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</si>
  <si>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</si>
  <si>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</si>
  <si>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</si>
  <si>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</si>
  <si>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</si>
  <si>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</si>
  <si>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</si>
  <si>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</si>
  <si>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</si>
  <si>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</si>
  <si>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</si>
  <si>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</si>
  <si>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</si>
  <si>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</si>
  <si>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</si>
  <si>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</si>
  <si>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</si>
  <si>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</si>
  <si>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</si>
  <si>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</si>
  <si>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</si>
  <si>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</si>
  <si>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</si>
  <si>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</si>
  <si>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</si>
  <si>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</si>
  <si>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</si>
  <si>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</si>
  <si>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</si>
  <si>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</si>
  <si>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</si>
  <si>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</si>
  <si>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</si>
  <si>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</si>
  <si>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</si>
  <si>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</si>
  <si>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</si>
  <si>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</si>
  <si>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</si>
  <si>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</si>
  <si>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</si>
  <si>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</si>
  <si>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</si>
  <si>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</si>
  <si>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</si>
  <si>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</si>
  <si>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</si>
  <si>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</si>
  <si>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</si>
  <si>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</si>
  <si>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</si>
  <si>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</si>
  <si>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</si>
  <si>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</si>
  <si>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</si>
  <si>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</si>
  <si>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</si>
  <si>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</si>
  <si>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</si>
  <si>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</si>
  <si>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</si>
  <si>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</si>
  <si>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</si>
  <si>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</si>
  <si>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</si>
  <si>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</si>
  <si>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</si>
  <si>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</si>
  <si>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</si>
  <si>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</si>
  <si>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</si>
  <si>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</si>
  <si>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</si>
  <si>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</si>
  <si>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</si>
  <si>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</si>
  <si>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</si>
  <si>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</si>
  <si>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</si>
  <si>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</si>
  <si>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</si>
  <si>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</si>
  <si>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</si>
  <si>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</si>
  <si>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</si>
  <si>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</si>
  <si>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</si>
  <si>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</si>
  <si>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</si>
  <si>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</si>
  <si>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</si>
  <si>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</si>
  <si>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</si>
  <si>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</si>
  <si>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</si>
  <si>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</si>
  <si>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</si>
  <si>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</si>
  <si>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</si>
  <si>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</si>
  <si>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</si>
  <si>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</si>
  <si>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</si>
  <si>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</si>
  <si>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</si>
  <si>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</si>
  <si>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</si>
  <si>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</si>
  <si>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</si>
  <si>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</si>
  <si>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</si>
  <si>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</si>
  <si>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</si>
  <si>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</si>
  <si>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</si>
  <si>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</si>
  <si>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</si>
  <si>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</si>
  <si>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</si>
  <si>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</si>
  <si>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</si>
  <si>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</si>
  <si>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</si>
  <si>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</si>
  <si>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</si>
  <si>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</si>
  <si>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</si>
  <si>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</si>
  <si>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</si>
  <si>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</si>
  <si>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</si>
  <si>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</si>
  <si>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</si>
  <si>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</si>
  <si>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</si>
  <si>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</si>
  <si>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</si>
  <si>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</si>
  <si>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</si>
  <si>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</si>
  <si>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</si>
  <si>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</si>
  <si>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</si>
  <si>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</si>
  <si>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</si>
  <si>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</si>
  <si>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</si>
  <si>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</si>
  <si>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</si>
  <si>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</si>
  <si>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</si>
  <si>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</si>
  <si>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</si>
  <si>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</si>
  <si>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</si>
  <si>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</si>
  <si>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</si>
  <si>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</si>
  <si>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</si>
  <si>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</si>
  <si>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</si>
  <si>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</si>
  <si>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</si>
  <si>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</si>
  <si>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</si>
  <si>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</si>
  <si>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</si>
  <si>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</si>
  <si>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</si>
  <si>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</si>
  <si>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</si>
  <si>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</si>
  <si>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</si>
  <si>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</si>
  <si>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</si>
  <si>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</si>
  <si>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</si>
  <si>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</si>
  <si>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</si>
  <si>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</si>
  <si>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</si>
  <si>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</si>
  <si>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</si>
  <si>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</si>
  <si>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</si>
  <si>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</si>
  <si>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</si>
  <si>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</si>
  <si>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</si>
  <si>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</si>
  <si>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</si>
  <si>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</si>
  <si>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</si>
  <si>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</si>
  <si>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</si>
  <si>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</si>
  <si>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</si>
  <si>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</si>
  <si>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</si>
  <si>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</si>
  <si>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</si>
  <si>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</si>
  <si>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</si>
  <si>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</si>
  <si>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</si>
  <si>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</si>
  <si>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</si>
  <si>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</si>
  <si>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</si>
  <si>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</si>
  <si>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</si>
  <si>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</si>
  <si>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</si>
  <si>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</si>
  <si>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</si>
  <si>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</si>
  <si>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</si>
  <si>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</si>
  <si>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</si>
  <si>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</si>
  <si>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</si>
  <si>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</si>
  <si>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</si>
  <si>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</si>
  <si>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</si>
  <si>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</si>
  <si>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</si>
  <si>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</si>
  <si>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</si>
  <si>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</si>
  <si>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</si>
  <si>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</si>
  <si>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</si>
  <si>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</si>
  <si>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</si>
  <si>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</si>
  <si>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</si>
  <si>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</si>
  <si>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</si>
  <si>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</si>
  <si>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</si>
  <si>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</si>
  <si>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</si>
  <si>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</si>
  <si>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</si>
  <si>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</si>
  <si>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</si>
  <si>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</si>
  <si>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</si>
  <si>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</si>
  <si>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</si>
  <si>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</si>
  <si>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</si>
  <si>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</si>
  <si>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</si>
  <si>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</si>
  <si>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</si>
  <si>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</si>
  <si>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</si>
  <si>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</si>
  <si>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</si>
  <si>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</si>
  <si>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</si>
  <si>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</si>
  <si>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</si>
  <si>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</si>
  <si>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</si>
  <si>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</si>
  <si>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</si>
  <si>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</si>
  <si>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</si>
  <si>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</si>
  <si>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</si>
  <si>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</si>
  <si>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</si>
  <si>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</si>
  <si>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</si>
  <si>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</si>
  <si>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</si>
  <si>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</si>
  <si>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</si>
  <si>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</si>
  <si>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</si>
  <si>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</si>
  <si>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</si>
  <si>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</si>
  <si>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</si>
  <si>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</si>
  <si>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</si>
  <si>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</si>
  <si>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</si>
  <si>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</si>
  <si>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</si>
  <si>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</si>
  <si>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</si>
  <si>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</si>
  <si>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</si>
  <si>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</si>
  <si>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</si>
  <si>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</si>
  <si>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</si>
  <si>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</si>
  <si>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</si>
  <si>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</si>
  <si>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</si>
  <si>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</si>
  <si>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</si>
  <si>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</si>
  <si>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</si>
  <si>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</si>
  <si>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</si>
  <si>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</si>
  <si>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</si>
  <si>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</si>
  <si>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</si>
  <si>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</si>
  <si>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</si>
  <si>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</si>
  <si>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</si>
  <si>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</si>
  <si>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</si>
  <si>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</si>
  <si>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</si>
  <si>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</si>
  <si>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</si>
  <si>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</si>
  <si>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</si>
  <si>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</si>
  <si>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</si>
  <si>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</si>
  <si>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</si>
  <si>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</si>
  <si>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</si>
  <si>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</si>
  <si>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</si>
  <si>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</si>
  <si>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</si>
  <si>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</si>
  <si>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</si>
  <si>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</si>
  <si>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</si>
  <si>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</si>
  <si>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</si>
  <si>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</si>
  <si>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</si>
  <si>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</si>
  <si>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</si>
  <si>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</si>
  <si>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</si>
  <si>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</si>
  <si>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</si>
  <si>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</si>
  <si>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</si>
  <si>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</si>
  <si>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</si>
  <si>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</si>
  <si>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</si>
  <si>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</si>
  <si>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</si>
  <si>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</si>
  <si>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</si>
  <si>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</si>
  <si>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</si>
  <si>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</si>
  <si>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</si>
  <si>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</si>
  <si>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</si>
  <si>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</si>
  <si>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</si>
  <si>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</si>
  <si>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</si>
  <si>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</si>
  <si>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</si>
  <si>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</si>
  <si>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</si>
  <si>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</si>
  <si>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</si>
  <si>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</si>
  <si>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</si>
  <si>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</si>
  <si>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</si>
  <si>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</si>
  <si>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</si>
  <si>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</si>
  <si>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</si>
  <si>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</si>
  <si>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</si>
  <si>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</si>
  <si>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</si>
  <si>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</si>
  <si>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</si>
  <si>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</si>
  <si>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</si>
  <si>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</si>
  <si>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</si>
  <si>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</si>
  <si>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</si>
  <si>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</si>
  <si>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</si>
  <si>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</si>
  <si>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</si>
  <si>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</si>
  <si>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</si>
  <si>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</si>
  <si>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</si>
  <si>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</si>
  <si>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</si>
  <si>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</si>
  <si>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</si>
  <si>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</si>
  <si>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</si>
  <si>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</si>
  <si>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</si>
  <si>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</si>
  <si>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</si>
  <si>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</si>
  <si>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</si>
  <si>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</si>
  <si>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</si>
  <si>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</si>
  <si>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</si>
  <si>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</si>
  <si>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</si>
  <si>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</si>
  <si>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</si>
  <si>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</si>
  <si>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</si>
  <si>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</si>
  <si>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</si>
  <si>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</si>
  <si>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</si>
  <si>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</si>
  <si>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</si>
  <si>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</si>
  <si>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</si>
  <si>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</si>
  <si>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</si>
  <si>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</si>
  <si>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</si>
  <si>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</si>
  <si>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</si>
  <si>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</si>
  <si>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</si>
  <si>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</si>
  <si>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</si>
  <si>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</si>
  <si>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</si>
  <si>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</si>
  <si>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</si>
  <si>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</si>
  <si>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</si>
  <si>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</si>
  <si>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</si>
  <si>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</si>
  <si>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</si>
  <si>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</si>
  <si>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</si>
  <si>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</si>
  <si>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</si>
  <si>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</si>
  <si>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</si>
  <si>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</si>
  <si>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</si>
  <si>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</si>
  <si>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</si>
  <si>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</si>
  <si>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</si>
  <si>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</si>
  <si>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</si>
  <si>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</si>
  <si>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</si>
  <si>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</si>
  <si>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</si>
  <si>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</si>
  <si>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</si>
  <si>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</si>
  <si>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</si>
  <si>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</si>
  <si>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</si>
  <si>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</si>
  <si>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</si>
  <si>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</si>
  <si>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</si>
  <si>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</si>
  <si>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</si>
  <si>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</si>
  <si>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</si>
  <si>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</si>
  <si>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</si>
  <si>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</si>
  <si>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</si>
  <si>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</si>
  <si>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</si>
  <si>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</si>
  <si>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</si>
  <si>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</si>
  <si>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</si>
  <si>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</si>
  <si>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</si>
  <si>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</si>
  <si>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</si>
  <si>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</si>
  <si>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</si>
  <si>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</si>
  <si>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</si>
  <si>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</si>
  <si>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</si>
  <si>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</si>
  <si>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</si>
  <si>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</si>
  <si>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</si>
  <si>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</si>
  <si>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</si>
  <si>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</si>
  <si>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</si>
  <si>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</si>
  <si>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</si>
  <si>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</si>
  <si>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</si>
  <si>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</si>
  <si>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</si>
  <si>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</si>
  <si>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</si>
  <si>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</si>
  <si>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</si>
  <si>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</si>
  <si>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</si>
  <si>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</si>
  <si>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</si>
  <si>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</si>
  <si>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</si>
  <si>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</si>
  <si>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</si>
  <si>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</si>
  <si>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</si>
  <si>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</si>
  <si>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</si>
  <si>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</si>
  <si>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</si>
  <si>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</si>
  <si>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</si>
  <si>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</si>
  <si>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</si>
  <si>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</si>
  <si>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</si>
  <si>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</si>
  <si>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</si>
  <si>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</si>
  <si>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</si>
  <si>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</si>
  <si>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</si>
  <si>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</si>
  <si>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</si>
  <si>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</si>
  <si>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</si>
  <si>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</si>
  <si>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</si>
  <si>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</si>
  <si>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</si>
  <si>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</si>
  <si>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</si>
  <si>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</si>
  <si>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</si>
  <si>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</si>
  <si>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</si>
  <si>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</si>
  <si>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</si>
  <si>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</si>
  <si>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</si>
  <si>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</si>
  <si>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</si>
  <si>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</si>
  <si>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</si>
  <si>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</si>
  <si>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</si>
  <si>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</si>
  <si>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</si>
  <si>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</si>
  <si>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</si>
  <si>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</si>
  <si>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</si>
  <si>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</si>
  <si>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</si>
  <si>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</si>
  <si>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</si>
  <si>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</si>
  <si>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</si>
  <si>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</si>
  <si>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</si>
  <si>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</si>
  <si>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</si>
  <si>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</si>
  <si>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</si>
  <si>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</si>
  <si>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</si>
  <si>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</si>
  <si>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</si>
  <si>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</si>
  <si>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</si>
  <si>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</si>
  <si>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</si>
  <si>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</si>
  <si>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</si>
  <si>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</si>
  <si>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</si>
  <si>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</si>
  <si>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</si>
  <si>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</si>
  <si>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</si>
  <si>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</si>
  <si>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</si>
  <si>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</si>
  <si>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</si>
  <si>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</si>
  <si>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</si>
  <si>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</si>
  <si>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</si>
  <si>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</si>
  <si>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</si>
  <si>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</si>
  <si>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</si>
  <si>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</si>
  <si>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</si>
  <si>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</si>
  <si>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</si>
  <si>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</si>
  <si>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</si>
  <si>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</si>
  <si>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</si>
  <si>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</si>
  <si>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</si>
  <si>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</si>
  <si>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</si>
  <si>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</si>
  <si>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</si>
  <si>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</si>
  <si>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</si>
  <si>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</si>
  <si>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</si>
  <si>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</si>
  <si>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</si>
  <si>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</si>
  <si>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</si>
  <si>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</si>
  <si>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</si>
  <si>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</si>
  <si>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</si>
  <si>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</si>
  <si>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</si>
  <si>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</si>
  <si>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</si>
  <si>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</si>
  <si>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</si>
  <si>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</si>
  <si>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</si>
  <si>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</si>
  <si>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</si>
  <si>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</si>
  <si>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</si>
  <si>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</si>
  <si>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</si>
  <si>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</si>
  <si>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</si>
  <si>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</si>
  <si>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</si>
  <si>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</si>
  <si>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</si>
  <si>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</si>
  <si>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</si>
  <si>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</si>
  <si>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</si>
  <si>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</si>
  <si>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</si>
  <si>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</si>
  <si>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</si>
  <si>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</si>
  <si>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</si>
  <si>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</si>
  <si>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</si>
  <si>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</si>
  <si>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</si>
  <si>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</si>
  <si>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</si>
  <si>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</si>
  <si>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</si>
  <si>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</si>
  <si>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</si>
  <si>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</si>
  <si>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</si>
  <si>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</si>
  <si>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</si>
  <si>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</si>
  <si>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</si>
  <si>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</si>
  <si>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</si>
  <si>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</si>
  <si>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</si>
  <si>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</si>
  <si>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</si>
  <si>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</si>
  <si>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</si>
  <si>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</si>
  <si>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</si>
  <si>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</si>
  <si>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</si>
  <si>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</si>
  <si>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</si>
  <si>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</si>
  <si>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</si>
  <si>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</si>
  <si>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</si>
  <si>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</si>
  <si>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</si>
  <si>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</si>
  <si>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</si>
  <si>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</si>
  <si>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</si>
  <si>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</si>
  <si>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</si>
  <si>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</si>
  <si>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</si>
  <si>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</si>
  <si>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</si>
  <si>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</si>
  <si>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</si>
  <si>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</si>
  <si>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</si>
  <si>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</si>
  <si>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</si>
  <si>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</si>
  <si>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</si>
  <si>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</si>
  <si>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</si>
  <si>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</si>
  <si>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</si>
  <si>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</si>
  <si>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</si>
  <si>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</si>
  <si>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</si>
  <si>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</si>
  <si>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</si>
  <si>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</si>
  <si>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</si>
  <si>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</si>
  <si>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</si>
  <si>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</si>
  <si>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</si>
  <si>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</si>
  <si>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</si>
  <si>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</si>
  <si>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</si>
  <si>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</si>
  <si>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</si>
  <si>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</si>
  <si>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</si>
  <si>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</si>
  <si>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</si>
  <si>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</si>
  <si>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</si>
  <si>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</si>
  <si>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</si>
  <si>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</si>
  <si>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</si>
  <si>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</si>
  <si>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</si>
  <si>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</si>
  <si>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</si>
  <si>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</si>
  <si>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</si>
  <si>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</si>
  <si>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</si>
  <si>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</si>
  <si>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</si>
  <si>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</si>
  <si>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</si>
  <si>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</si>
  <si>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</si>
  <si>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</si>
  <si>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</si>
  <si>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</si>
  <si>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</si>
  <si>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</si>
  <si>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</si>
  <si>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</si>
  <si>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</si>
  <si>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</si>
  <si>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</si>
  <si>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</si>
  <si>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</si>
  <si>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</si>
  <si>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</si>
  <si>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</si>
  <si>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</si>
  <si>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</si>
  <si>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</si>
  <si>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</si>
  <si>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</si>
  <si>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</si>
  <si>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</si>
  <si>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</si>
  <si>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</si>
  <si>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</si>
  <si>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</si>
  <si>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</si>
  <si>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</si>
  <si>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</si>
  <si>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</si>
  <si>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</si>
  <si>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</si>
  <si>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</si>
  <si>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</si>
  <si>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</si>
  <si>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</si>
  <si>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</si>
  <si>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</si>
  <si>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</si>
  <si>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</si>
  <si>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</si>
  <si>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</si>
  <si>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</si>
  <si>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</si>
  <si>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</si>
  <si>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</si>
  <si>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</si>
  <si>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</si>
  <si>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</si>
  <si>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</si>
  <si>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</si>
  <si>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</si>
  <si>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</si>
  <si>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</si>
  <si>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</si>
  <si>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</si>
  <si>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</si>
  <si>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</si>
  <si>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</si>
  <si>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</si>
  <si>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</si>
  <si>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</si>
  <si>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</si>
  <si>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</si>
  <si>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</si>
  <si>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</si>
  <si>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</si>
  <si>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</si>
  <si>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</si>
  <si>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</si>
  <si>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</si>
  <si>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</si>
  <si>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</si>
  <si>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</si>
  <si>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</si>
  <si>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</si>
  <si>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</si>
  <si>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</si>
  <si>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</si>
  <si>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</si>
  <si>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</si>
  <si>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</si>
  <si>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</si>
  <si>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</si>
  <si>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</si>
  <si>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</si>
  <si>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</si>
  <si>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</si>
  <si>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</si>
  <si>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</si>
  <si>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</si>
  <si>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</si>
  <si>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</si>
  <si>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</si>
  <si>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</si>
  <si>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</si>
  <si>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</si>
  <si>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</si>
  <si>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</si>
  <si>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</si>
  <si>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</si>
  <si>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</si>
  <si>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</si>
  <si>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</si>
  <si>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</si>
  <si>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</si>
  <si>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</si>
  <si>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</si>
  <si>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</si>
  <si>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</si>
  <si>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</si>
  <si>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</si>
  <si>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</si>
  <si>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</si>
  <si>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</si>
  <si>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</si>
  <si>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</si>
  <si>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</si>
  <si>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</si>
  <si>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</si>
  <si>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</si>
  <si>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</si>
  <si>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</si>
  <si>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</si>
  <si>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</si>
  <si>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</si>
  <si>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</si>
  <si>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</si>
  <si>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</si>
  <si>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</si>
  <si>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</si>
  <si>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</si>
  <si>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</si>
  <si>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</si>
  <si>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</si>
  <si>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</si>
  <si>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</si>
  <si>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</si>
  <si>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</si>
  <si>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</si>
  <si>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</si>
  <si>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</si>
  <si>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</si>
  <si>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</si>
  <si>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</si>
  <si>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</si>
  <si>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</si>
  <si>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</si>
  <si>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</si>
  <si>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</si>
  <si>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</si>
  <si>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</si>
  <si>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</si>
  <si>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</si>
  <si>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</si>
  <si>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</si>
  <si>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</si>
  <si>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</si>
  <si>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</si>
  <si>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</si>
  <si>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</si>
  <si>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</si>
  <si>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</si>
  <si>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</si>
  <si>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</si>
  <si>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</si>
  <si>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</si>
  <si>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</si>
  <si>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</si>
  <si>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</si>
  <si>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</si>
  <si>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</si>
  <si>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</si>
  <si>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</si>
  <si>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</si>
  <si>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</si>
  <si>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</si>
  <si>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</si>
  <si>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</si>
  <si>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</si>
  <si>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</si>
  <si>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</si>
  <si>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</si>
  <si>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</si>
  <si>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</si>
  <si>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</si>
  <si>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</si>
  <si>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</si>
  <si>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</si>
  <si>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</si>
  <si>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</si>
  <si>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</si>
  <si>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</si>
  <si>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</si>
  <si>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</si>
  <si>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</si>
  <si>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</si>
  <si>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</si>
  <si>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</si>
  <si>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</si>
  <si>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</si>
  <si>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</si>
  <si>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</si>
  <si>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</si>
  <si>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</si>
  <si>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</si>
  <si>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</si>
  <si>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</si>
  <si>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</si>
  <si>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</si>
  <si>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</si>
  <si>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</si>
  <si>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</si>
  <si>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</si>
  <si>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</si>
  <si>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</si>
  <si>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</si>
  <si>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</si>
  <si>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</si>
  <si>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</si>
  <si>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</si>
  <si>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</si>
  <si>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</si>
  <si>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</si>
  <si>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</si>
  <si>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</si>
  <si>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</si>
  <si>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</si>
  <si>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</si>
  <si>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</si>
  <si>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</si>
  <si>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</si>
  <si>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</si>
  <si>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</si>
  <si>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</si>
  <si>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</si>
  <si>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</si>
  <si>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</si>
  <si>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</si>
  <si>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</si>
  <si>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</si>
  <si>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</si>
  <si>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</si>
  <si>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</si>
  <si>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</si>
  <si>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</si>
  <si>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</si>
  <si>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</si>
  <si>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</si>
  <si>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</si>
  <si>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</si>
  <si>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</si>
  <si>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</si>
  <si>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</si>
  <si>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</si>
  <si>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</si>
  <si>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</si>
  <si>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</si>
  <si>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</si>
  <si>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</si>
  <si>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</si>
  <si>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</si>
  <si>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</si>
  <si>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</si>
  <si>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</si>
  <si>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</si>
  <si>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</si>
  <si>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</si>
  <si>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</si>
  <si>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</si>
  <si>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</si>
  <si>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</si>
  <si>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</si>
  <si>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</si>
  <si>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</si>
  <si>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</si>
  <si>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</si>
  <si>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</si>
  <si>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</si>
  <si>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</si>
  <si>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</si>
  <si>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</si>
  <si>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</si>
  <si>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</si>
  <si>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</si>
  <si>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</si>
  <si>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</si>
  <si>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</si>
  <si>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</si>
  <si>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</si>
  <si>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</si>
  <si>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</si>
  <si>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</si>
  <si>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</si>
  <si>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</si>
  <si>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</si>
  <si>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</si>
  <si>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</si>
  <si>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</si>
  <si>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</si>
  <si>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</si>
  <si>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</si>
  <si>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</si>
  <si>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</si>
  <si>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</si>
  <si>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</si>
  <si>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</si>
  <si>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</si>
  <si>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</si>
  <si>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</si>
  <si>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</si>
  <si>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</si>
  <si>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</si>
  <si>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</si>
  <si>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</si>
  <si>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</si>
  <si>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</si>
  <si>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</si>
  <si>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</si>
  <si>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</si>
  <si>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</si>
  <si>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</si>
  <si>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</si>
  <si>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</si>
  <si>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</si>
  <si>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</si>
  <si>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</si>
  <si>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</si>
  <si>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</si>
  <si>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</si>
  <si>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</si>
  <si>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</si>
  <si>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</si>
  <si>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</si>
  <si>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</si>
  <si>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</si>
  <si>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</si>
  <si>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</si>
  <si>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</si>
  <si>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</si>
  <si>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</si>
  <si>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</si>
  <si>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</si>
  <si>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</si>
  <si>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</si>
  <si>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</si>
  <si>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</si>
  <si>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</si>
  <si>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</si>
  <si>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</si>
  <si>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</si>
  <si>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</si>
  <si>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</si>
  <si>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</si>
  <si>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</si>
  <si>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</si>
  <si>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</si>
  <si>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</si>
  <si>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</si>
  <si>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</si>
  <si>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</si>
  <si>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</si>
  <si>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</si>
  <si>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</si>
  <si>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</si>
  <si>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</si>
  <si>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</si>
  <si>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</si>
  <si>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</si>
  <si>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</si>
  <si>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</si>
  <si>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</si>
  <si>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</si>
  <si>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</si>
  <si>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</si>
  <si>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</si>
  <si>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</si>
  <si>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</si>
  <si>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</si>
  <si>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</si>
  <si>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</si>
  <si>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</si>
  <si>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</si>
  <si>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</si>
  <si>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</si>
  <si>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</si>
  <si>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</si>
  <si>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</si>
  <si>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</si>
  <si>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</si>
  <si>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</si>
  <si>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</si>
  <si>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</si>
  <si>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</si>
  <si>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</si>
  <si>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</si>
  <si>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</si>
  <si>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</si>
  <si>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</si>
  <si>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</si>
  <si>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</si>
  <si>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</si>
  <si>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</si>
  <si>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</si>
  <si>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</si>
  <si>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</si>
  <si>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</si>
  <si>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</si>
  <si>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</si>
  <si>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</si>
  <si>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</si>
  <si>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</si>
  <si>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</si>
  <si>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</si>
  <si>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</si>
  <si>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</si>
  <si>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</si>
  <si>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</si>
  <si>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</si>
  <si>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</si>
  <si>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</si>
  <si>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</si>
  <si>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</si>
  <si>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</si>
  <si>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</si>
  <si>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</si>
  <si>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</si>
  <si>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</si>
  <si>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</si>
  <si>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</si>
  <si>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</si>
  <si>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</si>
  <si>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</si>
  <si>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</si>
  <si>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</si>
  <si>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</si>
  <si>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</si>
  <si>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</si>
  <si>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</si>
  <si>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</si>
  <si>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</si>
  <si>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</si>
  <si>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</si>
  <si>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</si>
  <si>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</si>
  <si>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</si>
  <si>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</si>
  <si>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</si>
  <si>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</si>
  <si>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</si>
  <si>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</si>
  <si>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</si>
  <si>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</si>
  <si>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</si>
  <si>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</si>
  <si>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</si>
  <si>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</si>
  <si>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</si>
  <si>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</si>
  <si>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</si>
  <si>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</si>
  <si>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</si>
  <si>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</si>
  <si>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</si>
  <si>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</si>
  <si>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</si>
  <si>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</si>
  <si>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</si>
  <si>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</si>
  <si>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</si>
  <si>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</si>
  <si>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</si>
  <si>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</si>
  <si>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</si>
  <si>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</si>
  <si>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</si>
  <si>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</si>
  <si>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</si>
  <si>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</si>
  <si>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</si>
  <si>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</si>
  <si>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</si>
  <si>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</si>
  <si>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</si>
  <si>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</si>
  <si>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</si>
  <si>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</si>
  <si>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</si>
  <si>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</si>
  <si>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</si>
  <si>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</si>
  <si>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</si>
  <si>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</si>
  <si>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</si>
  <si>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</si>
  <si>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</si>
  <si>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</si>
  <si>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</si>
  <si>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</si>
  <si>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</si>
  <si>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</si>
  <si>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</si>
  <si>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</si>
  <si>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</si>
  <si>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</si>
  <si>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</si>
  <si>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</si>
  <si>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</si>
  <si>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</si>
  <si>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</si>
  <si>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</si>
  <si>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</si>
  <si>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</si>
  <si>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</si>
  <si>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</si>
  <si>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</si>
  <si>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</si>
  <si>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</si>
  <si>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</si>
  <si>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</si>
  <si>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</si>
  <si>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</si>
  <si>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</si>
  <si>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</si>
  <si>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</si>
  <si>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</si>
  <si>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</si>
  <si>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</si>
  <si>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</si>
  <si>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</si>
  <si>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</si>
  <si>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</si>
  <si>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</si>
  <si>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</si>
  <si>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</si>
  <si>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</si>
  <si>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</si>
  <si>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</si>
  <si>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</si>
  <si>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</si>
  <si>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</si>
  <si>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</si>
  <si>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</si>
  <si>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</si>
  <si>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</si>
  <si>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</si>
  <si>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</si>
  <si>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</si>
  <si>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</si>
  <si>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</si>
  <si>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</si>
  <si>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</si>
  <si>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</si>
  <si>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</si>
  <si>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</si>
  <si>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</si>
  <si>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</si>
  <si>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</si>
  <si>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</si>
  <si>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</si>
  <si>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</si>
  <si>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</si>
  <si>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</si>
  <si>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</si>
  <si>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</si>
  <si>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</si>
  <si>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</si>
  <si>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</si>
  <si>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</si>
  <si>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</si>
  <si>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</si>
  <si>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</si>
  <si>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</si>
  <si>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</si>
  <si>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</si>
  <si>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</si>
  <si>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</si>
  <si>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</si>
  <si>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</si>
  <si>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</si>
  <si>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</si>
  <si>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</si>
  <si>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</si>
  <si>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</si>
  <si>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</si>
  <si>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</si>
  <si>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</si>
  <si>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</si>
  <si>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</si>
  <si>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</si>
  <si>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</si>
  <si>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</si>
  <si>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</si>
  <si>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</si>
  <si>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</si>
  <si>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</si>
  <si>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</si>
  <si>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</si>
  <si>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</si>
  <si>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</si>
  <si>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</si>
  <si>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</si>
  <si>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</si>
  <si>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</si>
  <si>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</si>
  <si>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</si>
  <si>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</si>
  <si>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</si>
  <si>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</si>
  <si>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</si>
  <si>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</si>
  <si>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</si>
  <si>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</si>
  <si>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</si>
  <si>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</si>
  <si>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</si>
  <si>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</si>
  <si>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</si>
  <si>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</si>
  <si>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</si>
  <si>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</si>
  <si>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</si>
  <si>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</si>
  <si>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</si>
  <si>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</si>
  <si>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</si>
  <si>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</si>
  <si>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</si>
  <si>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</si>
  <si>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</si>
  <si>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</si>
  <si>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</si>
  <si>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</si>
  <si>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</si>
  <si>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</si>
  <si>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</si>
  <si>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</si>
  <si>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</si>
  <si>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</si>
  <si>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</si>
  <si>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</si>
  <si>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</si>
  <si>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</si>
  <si>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</si>
  <si>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</si>
  <si>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</si>
  <si>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</si>
  <si>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</si>
  <si>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</si>
  <si>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</si>
  <si>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</si>
  <si>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</si>
  <si>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</si>
  <si>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</si>
  <si>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</si>
  <si>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</si>
  <si>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</si>
  <si>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</si>
  <si>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</si>
  <si>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</si>
  <si>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</si>
  <si>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</si>
  <si>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</si>
  <si>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</si>
  <si>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</si>
  <si>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</si>
  <si>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</si>
  <si>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</si>
  <si>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</si>
  <si>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</si>
  <si>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</si>
  <si>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</si>
  <si>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</si>
  <si>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</si>
  <si>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</si>
  <si>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</si>
  <si>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</si>
  <si>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</si>
  <si>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</si>
  <si>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</si>
  <si>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</si>
  <si>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</si>
  <si>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</si>
  <si>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</si>
  <si>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</si>
  <si>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</si>
  <si>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</si>
  <si>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</si>
  <si>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</si>
  <si>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</si>
  <si>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</si>
  <si>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</si>
  <si>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</si>
  <si>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</si>
  <si>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</si>
  <si>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</si>
  <si>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</si>
  <si>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</si>
  <si>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</si>
  <si>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</si>
  <si>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</si>
  <si>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</si>
  <si>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</si>
  <si>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</si>
  <si>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</si>
  <si>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</si>
  <si>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</si>
  <si>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</si>
  <si>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</si>
  <si>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</si>
  <si>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</si>
  <si>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</si>
  <si>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</si>
  <si>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</si>
  <si>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</si>
  <si>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</si>
  <si>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</si>
  <si>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</si>
  <si>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</si>
  <si>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</si>
  <si>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</si>
  <si>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</si>
  <si>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</si>
  <si>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</si>
  <si>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</si>
  <si>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</si>
  <si>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</si>
  <si>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</si>
  <si>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</si>
  <si>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</si>
  <si>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</si>
  <si>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</si>
  <si>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</si>
  <si>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</si>
  <si>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</si>
  <si>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</si>
  <si>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</si>
  <si>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</si>
  <si>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</si>
  <si>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</si>
  <si>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</si>
  <si>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</si>
  <si>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</si>
  <si>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</si>
  <si>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</si>
  <si>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</si>
  <si>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</si>
  <si>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</si>
  <si>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</si>
  <si>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</si>
  <si>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</si>
  <si>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</si>
  <si>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</si>
  <si>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</si>
  <si>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</si>
  <si>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</si>
  <si>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</si>
  <si>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</si>
  <si>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</si>
  <si>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</si>
  <si>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</si>
  <si>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</si>
  <si>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</si>
  <si>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</si>
  <si>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</si>
  <si>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</si>
  <si>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</si>
  <si>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</si>
  <si>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</si>
  <si>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</si>
  <si>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</si>
  <si>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</si>
  <si>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</si>
  <si>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</si>
  <si>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</si>
  <si>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</si>
  <si>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</si>
  <si>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</si>
  <si>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</si>
  <si>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</si>
  <si>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</si>
  <si>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</si>
  <si>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</si>
  <si>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</si>
  <si>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</si>
  <si>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</si>
  <si>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</si>
  <si>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</si>
  <si>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</si>
  <si>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</si>
  <si>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</si>
  <si>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</si>
  <si>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</si>
  <si>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</si>
  <si>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</si>
  <si>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</si>
  <si>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</si>
  <si>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</si>
  <si>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</si>
  <si>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</si>
  <si>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</si>
  <si>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</si>
  <si>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</si>
  <si>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</si>
  <si>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</si>
  <si>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</si>
  <si>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</si>
  <si>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</si>
  <si>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</si>
  <si>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</si>
  <si>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</si>
  <si>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</si>
  <si>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</si>
  <si>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</si>
  <si>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</si>
  <si>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</si>
  <si>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</si>
  <si>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</si>
  <si>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</si>
  <si>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</si>
  <si>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</si>
  <si>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</si>
  <si>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</si>
  <si>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</si>
  <si>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</si>
  <si>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</si>
  <si>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</si>
  <si>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</si>
  <si>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</si>
  <si>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</si>
  <si>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</si>
  <si>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</si>
  <si>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</si>
  <si>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</si>
  <si>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</si>
  <si>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</si>
  <si>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</si>
  <si>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</si>
  <si>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</si>
  <si>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</si>
  <si>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</si>
  <si>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</si>
  <si>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</si>
  <si>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</si>
  <si>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</si>
  <si>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</si>
  <si>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</si>
  <si>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</si>
  <si>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</si>
  <si>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</si>
  <si>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</si>
  <si>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</si>
  <si>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</si>
  <si>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</si>
  <si>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</si>
  <si>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</si>
  <si>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</si>
  <si>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</si>
  <si>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</si>
  <si>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</si>
  <si>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</si>
  <si>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</si>
  <si>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</si>
  <si>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</si>
  <si>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</si>
  <si>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</si>
  <si>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</si>
  <si>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</si>
  <si>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</si>
  <si>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</si>
  <si>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</si>
  <si>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</si>
  <si>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</si>
  <si>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</si>
  <si>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</si>
  <si>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</si>
  <si>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</si>
  <si>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</si>
  <si>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</si>
  <si>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</si>
  <si>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</si>
  <si>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</si>
  <si>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</si>
  <si>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</si>
  <si>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</si>
  <si>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</si>
  <si>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</si>
  <si>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</si>
  <si>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</si>
  <si>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</si>
  <si>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</si>
  <si>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</si>
  <si>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</si>
  <si>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</si>
  <si>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</si>
  <si>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</si>
  <si>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</si>
  <si>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</si>
  <si>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</si>
  <si>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</si>
  <si>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</si>
  <si>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</si>
  <si>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</si>
  <si>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</si>
  <si>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</si>
  <si>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</si>
  <si>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</si>
  <si>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</si>
  <si>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</si>
  <si>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</si>
  <si>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</si>
  <si>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</si>
  <si>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</si>
  <si>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</si>
  <si>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</si>
  <si>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</si>
  <si>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</si>
  <si>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</si>
  <si>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</si>
  <si>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</si>
  <si>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</si>
  <si>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</si>
  <si>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</si>
  <si>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</si>
  <si>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</si>
  <si>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</si>
  <si>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</si>
  <si>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</si>
  <si>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</si>
  <si>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</si>
  <si>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</si>
  <si>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</si>
  <si>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</si>
  <si>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</si>
  <si>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</si>
  <si>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</si>
  <si>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</si>
  <si>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</si>
  <si>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Judicial Council of California</t>
  </si>
  <si>
    <t>$100,000 early termination penalty</t>
  </si>
  <si>
    <t>Lease 0956L total lease payment amount $778,714.48 and Lease 0749L total lease payment amount $156,240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</si>
</sst>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154">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1</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71636050</v>
      </c>
      <c r="M17" s="196">
        <v>71636050</v>
      </c>
      <c r="P17" s="196">
        <v>71636050</v>
      </c>
      <c r="Q17" s="224"/>
      <c r="S17" s="223">
        <f t="shared" si="0"/>
        <v>0</v>
      </c>
      <c r="T17" s="251" t="s">
        <v>1760</v>
      </c>
    </row>
    <row r="18" spans="1:20" ht="16.5" customHeight="1" x14ac:dyDescent="0.25">
      <c r="A18" s="99"/>
      <c r="B18" s="26" t="s">
        <v>178</v>
      </c>
      <c r="C18" s="26"/>
      <c r="D18" s="26"/>
      <c r="E18" s="193"/>
      <c r="F18" s="194"/>
      <c r="G18" s="194"/>
      <c r="H18" s="195"/>
      <c r="I18" s="195"/>
      <c r="J18" s="248">
        <f>P18</f>
        <v>1960485</v>
      </c>
      <c r="M18" s="196">
        <v>1960485</v>
      </c>
      <c r="P18" s="221">
        <f>IF(SUM($Q$20:$Q$23)&gt;SUM($P$15:$P$17),SUM($Q$20:$Q$23)-SUM($P$15:$P$17),0)</f>
        <v>1960485</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20333447</v>
      </c>
      <c r="N22" s="196">
        <v>20333447</v>
      </c>
      <c r="P22" s="224"/>
      <c r="Q22" s="196">
        <v>20333447</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53263088</v>
      </c>
      <c r="N23" s="196">
        <v>53263088</v>
      </c>
      <c r="P23" s="224"/>
      <c r="Q23" s="196">
        <v>53263088</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73596535</v>
      </c>
      <c r="K26" s="155">
        <f>SUM(K15:K25)</f>
        <v>73596535</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10396937</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10396937</v>
      </c>
    </row>
    <row r="59" spans="1:16" ht="16.5" customHeight="1" x14ac:dyDescent="0.25">
      <c r="A59" s="99"/>
      <c r="C59" s="43"/>
      <c r="D59" s="43"/>
      <c r="E59" s="43"/>
      <c r="F59" s="44"/>
      <c r="G59" s="44"/>
      <c r="H59" s="45"/>
      <c r="I59" s="45"/>
      <c r="J59" s="155">
        <f>SUM(J55:J58)</f>
        <v>10396937</v>
      </c>
      <c r="K59" s="155">
        <f>SUM(K55:K58)</f>
        <v>10396937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9936158</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449845</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10386003</v>
      </c>
    </row>
    <row r="65" spans="1:12" ht="16.5" customHeight="1" x14ac:dyDescent="0.25">
      <c r="A65" s="99"/>
      <c r="C65" s="43"/>
      <c r="D65" s="43"/>
      <c r="E65" s="43"/>
      <c r="F65" s="44"/>
      <c r="G65" s="44"/>
      <c r="H65" s="45"/>
      <c r="I65" s="45"/>
      <c r="J65" s="155">
        <f>SUM(J62:J64)</f>
        <v>10386003</v>
      </c>
      <c r="K65" s="155">
        <f>SUM(K62:K64)</f>
        <v>10386003</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9936158</v>
      </c>
      <c r="K68" s="197"/>
    </row>
    <row r="69" spans="1:12" ht="16.5" customHeight="1" x14ac:dyDescent="0.25">
      <c r="A69" s="99"/>
      <c r="B69" s="26"/>
      <c r="C69" s="26" t="s">
        <v>202</v>
      </c>
      <c r="D69" s="193"/>
      <c r="E69" s="193"/>
      <c r="F69" s="194"/>
      <c r="G69" s="194"/>
      <c r="H69" s="195"/>
      <c r="I69" s="195"/>
      <c r="J69" s="197"/>
      <c r="K69" s="196">
        <f>+J68</f>
        <v>9936158</v>
      </c>
      <c r="L69" s="37" t="str">
        <f>IF($J$62=$K$69,"","&lt;- Accts 0848 must agree")</f>
        <v/>
      </c>
    </row>
    <row r="70" spans="1:12" ht="16.5" customHeight="1" x14ac:dyDescent="0.25">
      <c r="A70" s="99"/>
      <c r="C70" s="43"/>
      <c r="D70" s="43"/>
      <c r="E70" s="43"/>
      <c r="F70" s="44"/>
      <c r="G70" s="44"/>
      <c r="H70" s="45"/>
      <c r="I70" s="45"/>
      <c r="J70" s="155">
        <f>SUM(J68:J69)</f>
        <v>9936158</v>
      </c>
      <c r="K70" s="155">
        <f>SUM(K68:K69)</f>
        <v>9936158</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10391605</v>
      </c>
      <c r="K75" s="197"/>
    </row>
    <row r="76" spans="1:12" ht="16.5" customHeight="1" x14ac:dyDescent="0.25">
      <c r="A76" s="99"/>
      <c r="B76" s="26"/>
      <c r="C76" s="26" t="s">
        <v>210</v>
      </c>
      <c r="D76" s="193"/>
      <c r="E76" s="193"/>
      <c r="F76" s="194"/>
      <c r="G76" s="194"/>
      <c r="H76" s="195"/>
      <c r="I76" s="195"/>
      <c r="J76" s="197"/>
      <c r="K76" s="196">
        <v>10391605</v>
      </c>
    </row>
    <row r="77" spans="1:12" ht="16.5" customHeight="1" x14ac:dyDescent="0.2">
      <c r="A77" s="99"/>
      <c r="B77" s="263" t="s">
        <v>1737</v>
      </c>
      <c r="C77" s="263"/>
      <c r="D77" s="263"/>
      <c r="E77" s="263"/>
      <c r="F77" s="263"/>
      <c r="G77" s="263"/>
      <c r="H77" s="263"/>
      <c r="I77" s="263"/>
      <c r="J77" s="155">
        <f>SUM(J75:J76)</f>
        <v>10391605</v>
      </c>
      <c r="K77" s="155">
        <f>SUM(K75:K76)</f>
        <v>10391605</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71636050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-30730384</v>
      </c>
    </row>
    <row r="128" spans="1:12" ht="16.5" customHeight="1" x14ac:dyDescent="0.25">
      <c r="D128" s="193" t="s">
        <v>1708</v>
      </c>
      <c r="H128" s="37"/>
      <c r="K128" s="238">
        <f>-K23-K48+J68+J75+J96-K113</f>
        <v>-32935325</v>
      </c>
    </row>
    <row r="129" spans="4:11" ht="16.5" customHeight="1" x14ac:dyDescent="0.25">
      <c r="D129" s="193" t="s">
        <v>1709</v>
      </c>
      <c r="H129" s="37"/>
      <c r="K129" s="238">
        <f>-K76</f>
        <v>-10391605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153" priority="12">
      <formula>$J$62&lt;&gt;$K$69</formula>
    </cfRule>
  </conditionalFormatting>
  <conditionalFormatting sqref="L26:P26">
    <cfRule type="expression" dxfId="152" priority="1">
      <formula>$J$26&lt;&gt;$K$26</formula>
    </cfRule>
  </conditionalFormatting>
  <conditionalFormatting sqref="L36:P36">
    <cfRule type="expression" dxfId="151" priority="2">
      <formula>$J$36&lt;&gt;$K$36</formula>
    </cfRule>
  </conditionalFormatting>
  <conditionalFormatting sqref="L43:P43">
    <cfRule type="expression" dxfId="150" priority="3">
      <formula>$J$43&lt;&gt;$K$43</formula>
    </cfRule>
  </conditionalFormatting>
  <conditionalFormatting sqref="L49:P49">
    <cfRule type="expression" dxfId="149" priority="4">
      <formula>$J$49&lt;&gt;$K$49</formula>
    </cfRule>
  </conditionalFormatting>
  <conditionalFormatting sqref="L59:P59">
    <cfRule type="expression" dxfId="148" priority="5">
      <formula>$J$59&lt;&gt;$K$59</formula>
    </cfRule>
  </conditionalFormatting>
  <conditionalFormatting sqref="L65:P65">
    <cfRule type="expression" dxfId="147" priority="6">
      <formula>$J$65&lt;&gt;$K$65</formula>
    </cfRule>
  </conditionalFormatting>
  <conditionalFormatting sqref="L70:P70">
    <cfRule type="expression" dxfId="146" priority="7">
      <formula>$J$70&lt;&gt;$K$70</formula>
    </cfRule>
  </conditionalFormatting>
  <conditionalFormatting sqref="L77:P77">
    <cfRule type="expression" dxfId="145" priority="8">
      <formula>$J$77&lt;&gt;$K$77</formula>
    </cfRule>
  </conditionalFormatting>
  <conditionalFormatting sqref="L91:P91">
    <cfRule type="expression" dxfId="144" priority="9">
      <formula>$J$91&lt;&gt;$K$91</formula>
    </cfRule>
  </conditionalFormatting>
  <conditionalFormatting sqref="L105:P105">
    <cfRule type="expression" dxfId="143" priority="10">
      <formula>$J$105&lt;&gt;$K$105</formula>
    </cfRule>
  </conditionalFormatting>
  <conditionalFormatting sqref="L114:P114">
    <cfRule type="expression" dxfId="1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2C81-DA43-4502-A529-7D6D52CA6665}">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159</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439288</v>
      </c>
      <c r="M17" s="196">
        <v>439288</v>
      </c>
      <c r="P17" s="196">
        <v>439288</v>
      </c>
      <c r="Q17" s="224"/>
      <c r="S17" s="223">
        <f t="shared" si="0"/>
        <v>0</v>
      </c>
      <c r="T17" s="251" t="s">
        <v>1760</v>
      </c>
    </row>
    <row r="18" spans="1:20" ht="16.5" customHeight="1" x14ac:dyDescent="0.25">
      <c r="A18" s="99"/>
      <c r="B18" s="26" t="s">
        <v>178</v>
      </c>
      <c r="C18" s="26"/>
      <c r="D18" s="26"/>
      <c r="E18" s="193"/>
      <c r="F18" s="194"/>
      <c r="G18" s="194"/>
      <c r="H18" s="195"/>
      <c r="I18" s="195"/>
      <c r="J18" s="248">
        <f>P18</f>
        <v>10160</v>
      </c>
      <c r="M18" s="196">
        <v>10160</v>
      </c>
      <c r="P18" s="221">
        <f>IF(SUM($Q$20:$Q$23)&gt;SUM($P$15:$P$17),SUM($Q$20:$Q$23)-SUM($P$15:$P$17),0)</f>
        <v>10160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122938</v>
      </c>
      <c r="N22" s="196">
        <v>122938</v>
      </c>
      <c r="P22" s="224"/>
      <c r="Q22" s="196">
        <v>122938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326510</v>
      </c>
      <c r="N23" s="196">
        <v>326510</v>
      </c>
      <c r="P23" s="224"/>
      <c r="Q23" s="196">
        <v>326510</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449448</v>
      </c>
      <c r="K26" s="155">
        <f>SUM(K15:K25)</f>
        <v>449448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61469</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61469</v>
      </c>
    </row>
    <row r="59" spans="1:16" ht="16.5" customHeight="1" x14ac:dyDescent="0.25">
      <c r="A59" s="99"/>
      <c r="C59" s="43"/>
      <c r="D59" s="43"/>
      <c r="E59" s="43"/>
      <c r="F59" s="44"/>
      <c r="G59" s="44"/>
      <c r="H59" s="45"/>
      <c r="I59" s="45"/>
      <c r="J59" s="155">
        <f>SUM(J55:J58)</f>
        <v>61469</v>
      </c>
      <c r="K59" s="155">
        <f>SUM(K55:K58)</f>
        <v>61469</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57347</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2712</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60059</v>
      </c>
    </row>
    <row r="65" spans="1:12" ht="16.5" customHeight="1" x14ac:dyDescent="0.25">
      <c r="A65" s="99"/>
      <c r="C65" s="43"/>
      <c r="D65" s="43"/>
      <c r="E65" s="43"/>
      <c r="F65" s="44"/>
      <c r="G65" s="44"/>
      <c r="H65" s="45"/>
      <c r="I65" s="45"/>
      <c r="J65" s="155">
        <f>SUM(J62:J64)</f>
        <v>60059</v>
      </c>
      <c r="K65" s="155">
        <f>SUM(K62:K64)</f>
        <v>60059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57347</v>
      </c>
      <c r="K68" s="197"/>
    </row>
    <row r="69" spans="1:12" ht="16.5" customHeight="1" x14ac:dyDescent="0.25">
      <c r="A69" s="99"/>
      <c r="B69" s="26"/>
      <c r="C69" s="26" t="s">
        <v>202</v>
      </c>
      <c r="D69" s="193"/>
      <c r="E69" s="193"/>
      <c r="F69" s="194"/>
      <c r="G69" s="194"/>
      <c r="H69" s="195"/>
      <c r="I69" s="195"/>
      <c r="J69" s="197"/>
      <c r="K69" s="196">
        <f>+J68</f>
        <v>57347</v>
      </c>
      <c r="L69" s="37" t="str">
        <f>IF($J$62=$K$69,"","&lt;- Accts 0848 must agree")</f>
        <v/>
      </c>
    </row>
    <row r="70" spans="1:12" ht="16.5" customHeight="1" x14ac:dyDescent="0.25">
      <c r="A70" s="99"/>
      <c r="C70" s="43"/>
      <c r="D70" s="43"/>
      <c r="E70" s="43"/>
      <c r="F70" s="44"/>
      <c r="G70" s="44"/>
      <c r="H70" s="45"/>
      <c r="I70" s="45"/>
      <c r="J70" s="155">
        <f>SUM(J68:J69)</f>
        <v>57347</v>
      </c>
      <c r="K70" s="155">
        <f>SUM(K68:K69)</f>
        <v>57347</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61572</v>
      </c>
      <c r="K75" s="197"/>
    </row>
    <row r="76" spans="1:12" ht="16.5" customHeight="1" x14ac:dyDescent="0.25">
      <c r="A76" s="99"/>
      <c r="B76" s="26"/>
      <c r="C76" s="26" t="s">
        <v>210</v>
      </c>
      <c r="D76" s="193"/>
      <c r="E76" s="193"/>
      <c r="F76" s="194"/>
      <c r="G76" s="194"/>
      <c r="H76" s="195"/>
      <c r="I76" s="195"/>
      <c r="J76" s="197"/>
      <c r="K76" s="196">
        <f>+J75</f>
        <v>61572</v>
      </c>
    </row>
    <row r="77" spans="1:12" ht="16.5" customHeight="1" x14ac:dyDescent="0.2">
      <c r="A77" s="99"/>
      <c r="B77" s="263" t="s">
        <v>1737</v>
      </c>
      <c r="C77" s="263"/>
      <c r="D77" s="263"/>
      <c r="E77" s="263"/>
      <c r="F77" s="263"/>
      <c r="G77" s="263"/>
      <c r="H77" s="263"/>
      <c r="I77" s="263"/>
      <c r="J77" s="155">
        <f>SUM(J75:J76)</f>
        <v>61572</v>
      </c>
      <c r="K77" s="155">
        <f>SUM(K75:K76)</f>
        <v>61572</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439288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-184407</v>
      </c>
    </row>
    <row r="128" spans="1:12" ht="16.5" customHeight="1" x14ac:dyDescent="0.25">
      <c r="D128" s="193" t="s">
        <v>1708</v>
      </c>
      <c r="H128" s="37"/>
      <c r="K128" s="238">
        <f>-K23-K48+J68+J75+J96-K113</f>
        <v>-207591</v>
      </c>
    </row>
    <row r="129" spans="4:11" ht="16.5" customHeight="1" x14ac:dyDescent="0.25">
      <c r="D129" s="193" t="s">
        <v>1709</v>
      </c>
      <c r="H129" s="37"/>
      <c r="K129" s="238">
        <f>-K76</f>
        <v>-61572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41" priority="12">
      <formula>$J$62&lt;&gt;$K$69</formula>
    </cfRule>
  </conditionalFormatting>
  <conditionalFormatting sqref="L26:P26">
    <cfRule type="expression" dxfId="140" priority="1">
      <formula>$J$26&lt;&gt;$K$26</formula>
    </cfRule>
  </conditionalFormatting>
  <conditionalFormatting sqref="L36:P36">
    <cfRule type="expression" dxfId="139" priority="2">
      <formula>$J$36&lt;&gt;$K$36</formula>
    </cfRule>
  </conditionalFormatting>
  <conditionalFormatting sqref="L43:P43">
    <cfRule type="expression" dxfId="138" priority="3">
      <formula>$J$43&lt;&gt;$K$43</formula>
    </cfRule>
  </conditionalFormatting>
  <conditionalFormatting sqref="L49:P49">
    <cfRule type="expression" dxfId="137" priority="4">
      <formula>$J$49&lt;&gt;$K$49</formula>
    </cfRule>
  </conditionalFormatting>
  <conditionalFormatting sqref="L59:P59">
    <cfRule type="expression" dxfId="136" priority="5">
      <formula>$J$59&lt;&gt;$K$59</formula>
    </cfRule>
  </conditionalFormatting>
  <conditionalFormatting sqref="L65:P65">
    <cfRule type="expression" dxfId="135" priority="6">
      <formula>$J$65&lt;&gt;$K$65</formula>
    </cfRule>
  </conditionalFormatting>
  <conditionalFormatting sqref="L70:P70">
    <cfRule type="expression" dxfId="134" priority="7">
      <formula>$J$70&lt;&gt;$K$70</formula>
    </cfRule>
  </conditionalFormatting>
  <conditionalFormatting sqref="L77:P77">
    <cfRule type="expression" dxfId="133" priority="8">
      <formula>$J$77&lt;&gt;$K$77</formula>
    </cfRule>
  </conditionalFormatting>
  <conditionalFormatting sqref="L91:P91">
    <cfRule type="expression" dxfId="132" priority="9">
      <formula>$J$91&lt;&gt;$K$91</formula>
    </cfRule>
  </conditionalFormatting>
  <conditionalFormatting sqref="L105:P105">
    <cfRule type="expression" dxfId="131" priority="10">
      <formula>$J$105&lt;&gt;$K$105</formula>
    </cfRule>
  </conditionalFormatting>
  <conditionalFormatting sqref="L114:P114">
    <cfRule type="expression" dxfId="130" priority="11">
      <formula>$J$114&lt;&gt;$K$114</formula>
    </cfRule>
  </conditionalFormatting>
  <dataValidations count="3">
    <dataValidation type="textLength" operator="equal" allowBlank="1" showInputMessage="1" showErrorMessage="1" errorTitle="4-Digit Org Code" error="Enter the Org Code/BU as 4 digits." sqref="F5" xr:uid="{3F8E3382-C721-4EB9-A061-C69265F9E57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528E90C-52BC-4D76-A202-A4347F97D72E}">
      <formula1>0</formula1>
    </dataValidation>
    <dataValidation operator="lessThan" allowBlank="1" showInputMessage="1" showErrorMessage="1" sqref="A3:A8" xr:uid="{8FF984E2-0A4A-452D-9DFF-ACC39A7A42D2}"/>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3DC3D9C-B4EE-4C6E-84C6-6D12CEA68C16}">
          <x14:formula1>
            <xm:f>'Drop Down Menus'!$E$1:$E$3</xm:f>
          </x14:formula1>
          <xm:sqref>F8</xm:sqref>
        </x14:dataValidation>
        <x14:dataValidation type="list" allowBlank="1" showInputMessage="1" showErrorMessage="1" xr:uid="{714B20EB-CFD2-411D-AA1C-A6953FAA683D}">
          <x14:formula1>
            <xm:f>'Drop Down Menus'!$B$1:$B$2</xm:f>
          </x14:formula1>
          <xm:sqref>F7</xm:sqref>
        </x14:dataValidation>
        <x14:dataValidation type="list" allowBlank="1" showInputMessage="1" showErrorMessage="1" xr:uid="{297E59D7-B22E-43A8-A254-CFA189CB9E4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9BAE-9121-4B0D-A7A4-C4B296FD6944}">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587</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196228</v>
      </c>
      <c r="M17" s="196">
        <v>196228</v>
      </c>
      <c r="P17" s="196">
        <v>196228</v>
      </c>
      <c r="Q17" s="224"/>
      <c r="S17" s="223">
        <f t="shared" si="0"/>
        <v>0</v>
      </c>
      <c r="T17" s="251" t="s">
        <v>1760</v>
      </c>
    </row>
    <row r="18" spans="1:20" ht="16.5" customHeight="1" x14ac:dyDescent="0.25">
      <c r="A18" s="99"/>
      <c r="B18" s="26" t="s">
        <v>178</v>
      </c>
      <c r="C18" s="26"/>
      <c r="D18" s="26"/>
      <c r="E18" s="193"/>
      <c r="F18" s="194"/>
      <c r="G18" s="194"/>
      <c r="H18" s="195"/>
      <c r="I18" s="195"/>
      <c r="J18" s="248">
        <f>P18</f>
        <v>4252</v>
      </c>
      <c r="M18" s="196">
        <v>4252</v>
      </c>
      <c r="P18" s="221">
        <f>IF(SUM($Q$20:$Q$23)&gt;SUM($P$15:$P$17),SUM($Q$20:$Q$23)-SUM($P$15:$P$17),0)</f>
        <v>4252</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54132</v>
      </c>
      <c r="N22" s="196">
        <v>54132</v>
      </c>
      <c r="P22" s="224"/>
      <c r="Q22" s="196">
        <v>54132</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146348</v>
      </c>
      <c r="N23" s="196">
        <v>146348</v>
      </c>
      <c r="P23" s="224"/>
      <c r="Q23" s="196">
        <v>146348</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200480</v>
      </c>
      <c r="K26" s="155">
        <f>SUM(K15:K25)</f>
        <v>200480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27066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27066</v>
      </c>
    </row>
    <row r="59" spans="1:16" ht="16.5" customHeight="1" x14ac:dyDescent="0.25">
      <c r="A59" s="99"/>
      <c r="C59" s="43"/>
      <c r="D59" s="43"/>
      <c r="E59" s="43"/>
      <c r="F59" s="44"/>
      <c r="G59" s="44"/>
      <c r="H59" s="45"/>
      <c r="I59" s="45"/>
      <c r="J59" s="155">
        <f>SUM(J55:J58)</f>
        <v>27066</v>
      </c>
      <c r="K59" s="155">
        <f>SUM(K55:K58)</f>
        <v>27066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26138</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1210</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27348</v>
      </c>
    </row>
    <row r="65" spans="1:12" ht="16.5" customHeight="1" x14ac:dyDescent="0.25">
      <c r="A65" s="99"/>
      <c r="C65" s="43"/>
      <c r="D65" s="43"/>
      <c r="E65" s="43"/>
      <c r="F65" s="44"/>
      <c r="G65" s="44"/>
      <c r="H65" s="45"/>
      <c r="I65" s="45"/>
      <c r="J65" s="155">
        <f>SUM(J62:J64)</f>
        <v>27348</v>
      </c>
      <c r="K65" s="155">
        <f>SUM(K62:K64)</f>
        <v>27348</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26138</v>
      </c>
      <c r="K68" s="197"/>
    </row>
    <row r="69" spans="1:12" ht="16.5" customHeight="1" x14ac:dyDescent="0.25">
      <c r="A69" s="99"/>
      <c r="B69" s="26"/>
      <c r="C69" s="26" t="s">
        <v>202</v>
      </c>
      <c r="D69" s="193"/>
      <c r="E69" s="193"/>
      <c r="F69" s="194"/>
      <c r="G69" s="194"/>
      <c r="H69" s="195"/>
      <c r="I69" s="195"/>
      <c r="J69" s="197"/>
      <c r="K69" s="196">
        <f>+J68</f>
        <v>26138</v>
      </c>
      <c r="L69" s="37" t="str">
        <f>IF($J$62=$K$69,"","&lt;- Accts 0848 must agree")</f>
        <v/>
      </c>
    </row>
    <row r="70" spans="1:12" ht="16.5" customHeight="1" x14ac:dyDescent="0.25">
      <c r="A70" s="99"/>
      <c r="C70" s="43"/>
      <c r="D70" s="43"/>
      <c r="E70" s="43"/>
      <c r="F70" s="44"/>
      <c r="G70" s="44"/>
      <c r="H70" s="45"/>
      <c r="I70" s="45"/>
      <c r="J70" s="155">
        <f>SUM(J68:J69)</f>
        <v>26138</v>
      </c>
      <c r="K70" s="155">
        <f>SUM(K68:K69)</f>
        <v>26138</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26946</v>
      </c>
      <c r="K75" s="197"/>
    </row>
    <row r="76" spans="1:12" ht="16.5" customHeight="1" x14ac:dyDescent="0.25">
      <c r="A76" s="99"/>
      <c r="B76" s="26"/>
      <c r="C76" s="26" t="s">
        <v>210</v>
      </c>
      <c r="D76" s="193"/>
      <c r="E76" s="193"/>
      <c r="F76" s="194"/>
      <c r="G76" s="194"/>
      <c r="H76" s="195"/>
      <c r="I76" s="195"/>
      <c r="J76" s="197"/>
      <c r="K76" s="196">
        <f>+J75</f>
        <v>26946</v>
      </c>
    </row>
    <row r="77" spans="1:12" ht="16.5" customHeight="1" x14ac:dyDescent="0.2">
      <c r="A77" s="99"/>
      <c r="B77" s="263" t="s">
        <v>1737</v>
      </c>
      <c r="C77" s="263"/>
      <c r="D77" s="263"/>
      <c r="E77" s="263"/>
      <c r="F77" s="263"/>
      <c r="G77" s="263"/>
      <c r="H77" s="263"/>
      <c r="I77" s="263"/>
      <c r="J77" s="155">
        <f>SUM(J75:J76)</f>
        <v>26946</v>
      </c>
      <c r="K77" s="155">
        <f>SUM(K75:K76)</f>
        <v>26946</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196228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-81198</v>
      </c>
    </row>
    <row r="128" spans="1:12" ht="16.5" customHeight="1" x14ac:dyDescent="0.25">
      <c r="D128" s="193" t="s">
        <v>1708</v>
      </c>
      <c r="H128" s="37"/>
      <c r="K128" s="238">
        <f>-K23-K48+J68+J75+J96-K113</f>
        <v>-93264</v>
      </c>
    </row>
    <row r="129" spans="4:11" ht="16.5" customHeight="1" x14ac:dyDescent="0.25">
      <c r="D129" s="193" t="s">
        <v>1709</v>
      </c>
      <c r="H129" s="37"/>
      <c r="K129" s="238">
        <f>-K76</f>
        <v>-26946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29" priority="12">
      <formula>$J$62&lt;&gt;$K$69</formula>
    </cfRule>
  </conditionalFormatting>
  <conditionalFormatting sqref="L26:P26">
    <cfRule type="expression" dxfId="128" priority="1">
      <formula>$J$26&lt;&gt;$K$26</formula>
    </cfRule>
  </conditionalFormatting>
  <conditionalFormatting sqref="L36:P36">
    <cfRule type="expression" dxfId="127" priority="2">
      <formula>$J$36&lt;&gt;$K$36</formula>
    </cfRule>
  </conditionalFormatting>
  <conditionalFormatting sqref="L43:P43">
    <cfRule type="expression" dxfId="126" priority="3">
      <formula>$J$43&lt;&gt;$K$43</formula>
    </cfRule>
  </conditionalFormatting>
  <conditionalFormatting sqref="L49:P49">
    <cfRule type="expression" dxfId="125" priority="4">
      <formula>$J$49&lt;&gt;$K$49</formula>
    </cfRule>
  </conditionalFormatting>
  <conditionalFormatting sqref="L59:P59">
    <cfRule type="expression" dxfId="124" priority="5">
      <formula>$J$59&lt;&gt;$K$59</formula>
    </cfRule>
  </conditionalFormatting>
  <conditionalFormatting sqref="L65:P65">
    <cfRule type="expression" dxfId="123" priority="6">
      <formula>$J$65&lt;&gt;$K$65</formula>
    </cfRule>
  </conditionalFormatting>
  <conditionalFormatting sqref="L70:P70">
    <cfRule type="expression" dxfId="122" priority="7">
      <formula>$J$70&lt;&gt;$K$70</formula>
    </cfRule>
  </conditionalFormatting>
  <conditionalFormatting sqref="L77:P77">
    <cfRule type="expression" dxfId="121" priority="8">
      <formula>$J$77&lt;&gt;$K$77</formula>
    </cfRule>
  </conditionalFormatting>
  <conditionalFormatting sqref="L91:P91">
    <cfRule type="expression" dxfId="120" priority="9">
      <formula>$J$91&lt;&gt;$K$91</formula>
    </cfRule>
  </conditionalFormatting>
  <conditionalFormatting sqref="L105:P105">
    <cfRule type="expression" dxfId="119" priority="10">
      <formula>$J$105&lt;&gt;$K$105</formula>
    </cfRule>
  </conditionalFormatting>
  <conditionalFormatting sqref="L114:P114">
    <cfRule type="expression" dxfId="118" priority="11">
      <formula>$J$114&lt;&gt;$K$114</formula>
    </cfRule>
  </conditionalFormatting>
  <dataValidations count="3">
    <dataValidation operator="lessThan" allowBlank="1" showInputMessage="1" showErrorMessage="1" sqref="A3:A8" xr:uid="{E0732B9B-9904-494F-A9E0-E0DA2C36098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C6246DD-A35B-450E-BA20-2DD46FEEE338}">
      <formula1>0</formula1>
    </dataValidation>
    <dataValidation type="textLength" operator="equal" allowBlank="1" showInputMessage="1" showErrorMessage="1" errorTitle="4-Digit Org Code" error="Enter the Org Code/BU as 4 digits." sqref="F5" xr:uid="{D122DC36-5725-418A-B8FA-828CE8AC23E1}">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92ACD584-9976-4E7E-B0DD-F83302D3D3CA}">
          <x14:formula1>
            <xm:f>'Drop Down Menus'!$A$1:$A$101</xm:f>
          </x14:formula1>
          <xm:sqref>F3</xm:sqref>
        </x14:dataValidation>
        <x14:dataValidation type="list" allowBlank="1" showInputMessage="1" showErrorMessage="1" xr:uid="{E482485F-86A9-4C3C-B816-D1E606137EC0}">
          <x14:formula1>
            <xm:f>'Drop Down Menus'!$B$1:$B$2</xm:f>
          </x14:formula1>
          <xm:sqref>F7</xm:sqref>
        </x14:dataValidation>
        <x14:dataValidation type="list" allowBlank="1" showInputMessage="1" showErrorMessage="1" xr:uid="{A490C13D-376E-4993-A2EA-A33515DBA0FF}">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12F8-FF75-4802-B292-1EB67215C660}">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890</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65008</v>
      </c>
      <c r="M17" s="196">
        <v>65008</v>
      </c>
      <c r="P17" s="196">
        <v>65008</v>
      </c>
      <c r="Q17" s="224"/>
      <c r="S17" s="223">
        <f t="shared" si="0"/>
        <v>0</v>
      </c>
      <c r="T17" s="251" t="s">
        <v>1760</v>
      </c>
    </row>
    <row r="18" spans="1:20" ht="16.5" customHeight="1" x14ac:dyDescent="0.25">
      <c r="A18" s="99"/>
      <c r="B18" s="26" t="s">
        <v>178</v>
      </c>
      <c r="C18" s="26"/>
      <c r="D18" s="26"/>
      <c r="E18" s="193"/>
      <c r="F18" s="194"/>
      <c r="G18" s="194"/>
      <c r="H18" s="195"/>
      <c r="I18" s="195"/>
      <c r="J18" s="248">
        <f>P18</f>
        <v>1409</v>
      </c>
      <c r="M18" s="196">
        <v>1409</v>
      </c>
      <c r="P18" s="221">
        <f>IF(SUM($Q$20:$Q$23)&gt;SUM($P$15:$P$17),SUM($Q$20:$Q$23)-SUM($P$15:$P$17),0)</f>
        <v>1409</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17934</v>
      </c>
      <c r="N22" s="196">
        <v>17934</v>
      </c>
      <c r="P22" s="224"/>
      <c r="Q22" s="196">
        <v>17934</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48483</v>
      </c>
      <c r="N23" s="196">
        <v>48483</v>
      </c>
      <c r="P23" s="224"/>
      <c r="Q23" s="196">
        <v>48483</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66417</v>
      </c>
      <c r="K26" s="155">
        <f>SUM(K15:K25)</f>
        <v>66417</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8967</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8967</v>
      </c>
    </row>
    <row r="59" spans="1:16" ht="16.5" customHeight="1" x14ac:dyDescent="0.25">
      <c r="A59" s="99"/>
      <c r="C59" s="43"/>
      <c r="D59" s="43"/>
      <c r="E59" s="43"/>
      <c r="F59" s="44"/>
      <c r="G59" s="44"/>
      <c r="H59" s="45"/>
      <c r="I59" s="45"/>
      <c r="J59" s="155">
        <f>SUM(J55:J58)</f>
        <v>8967</v>
      </c>
      <c r="K59" s="155">
        <f>SUM(K55:K58)</f>
        <v>8967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8659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401</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9060</v>
      </c>
    </row>
    <row r="65" spans="1:12" ht="16.5" customHeight="1" x14ac:dyDescent="0.25">
      <c r="A65" s="99"/>
      <c r="C65" s="43"/>
      <c r="D65" s="43"/>
      <c r="E65" s="43"/>
      <c r="F65" s="44"/>
      <c r="G65" s="44"/>
      <c r="H65" s="45"/>
      <c r="I65" s="45"/>
      <c r="J65" s="155">
        <f>SUM(J62:J64)</f>
        <v>9060</v>
      </c>
      <c r="K65" s="155">
        <f>SUM(K62:K64)</f>
        <v>9060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8659</v>
      </c>
      <c r="K68" s="197"/>
    </row>
    <row r="69" spans="1:12" ht="16.5" customHeight="1" x14ac:dyDescent="0.25">
      <c r="A69" s="99"/>
      <c r="B69" s="26"/>
      <c r="C69" s="26" t="s">
        <v>202</v>
      </c>
      <c r="D69" s="193"/>
      <c r="E69" s="193"/>
      <c r="F69" s="194"/>
      <c r="G69" s="194"/>
      <c r="H69" s="195"/>
      <c r="I69" s="195"/>
      <c r="J69" s="197"/>
      <c r="K69" s="196">
        <f>+J68</f>
        <v>8659</v>
      </c>
      <c r="L69" s="37" t="str">
        <f>IF($J$62=$K$69,"","&lt;- Accts 0848 must agree")</f>
        <v/>
      </c>
    </row>
    <row r="70" spans="1:12" ht="16.5" customHeight="1" x14ac:dyDescent="0.25">
      <c r="A70" s="99"/>
      <c r="C70" s="43"/>
      <c r="D70" s="43"/>
      <c r="E70" s="43"/>
      <c r="F70" s="44"/>
      <c r="G70" s="44"/>
      <c r="H70" s="45"/>
      <c r="I70" s="45"/>
      <c r="J70" s="155">
        <f>SUM(J68:J69)</f>
        <v>8659</v>
      </c>
      <c r="K70" s="155">
        <f>SUM(K68:K69)</f>
        <v>8659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8927</v>
      </c>
      <c r="K75" s="197"/>
    </row>
    <row r="76" spans="1:12" ht="16.5" customHeight="1" x14ac:dyDescent="0.25">
      <c r="A76" s="99"/>
      <c r="B76" s="26"/>
      <c r="C76" s="26" t="s">
        <v>210</v>
      </c>
      <c r="D76" s="193"/>
      <c r="E76" s="193"/>
      <c r="F76" s="194"/>
      <c r="G76" s="194"/>
      <c r="H76" s="195"/>
      <c r="I76" s="195"/>
      <c r="J76" s="197"/>
      <c r="K76" s="196">
        <f>+J75</f>
        <v>8927</v>
      </c>
    </row>
    <row r="77" spans="1:12" ht="16.5" customHeight="1" x14ac:dyDescent="0.2">
      <c r="A77" s="99"/>
      <c r="B77" s="263" t="s">
        <v>1737</v>
      </c>
      <c r="C77" s="263"/>
      <c r="D77" s="263"/>
      <c r="E77" s="263"/>
      <c r="F77" s="263"/>
      <c r="G77" s="263"/>
      <c r="H77" s="263"/>
      <c r="I77" s="263"/>
      <c r="J77" s="155">
        <f>SUM(J75:J76)</f>
        <v>8927</v>
      </c>
      <c r="K77" s="155">
        <f>SUM(K75:K76)</f>
        <v>8927</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65008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-26901</v>
      </c>
    </row>
    <row r="128" spans="1:12" ht="16.5" customHeight="1" x14ac:dyDescent="0.25">
      <c r="D128" s="193" t="s">
        <v>1708</v>
      </c>
      <c r="H128" s="37"/>
      <c r="K128" s="238">
        <f>-K23-K48+J68+J75+J96-K113</f>
        <v>-30897</v>
      </c>
    </row>
    <row r="129" spans="4:11" ht="16.5" customHeight="1" x14ac:dyDescent="0.25">
      <c r="D129" s="193" t="s">
        <v>1709</v>
      </c>
      <c r="H129" s="37"/>
      <c r="K129" s="238">
        <f>-K76</f>
        <v>-8927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17" priority="12">
      <formula>$J$62&lt;&gt;$K$69</formula>
    </cfRule>
  </conditionalFormatting>
  <conditionalFormatting sqref="L26:P26">
    <cfRule type="expression" dxfId="116" priority="1">
      <formula>$J$26&lt;&gt;$K$26</formula>
    </cfRule>
  </conditionalFormatting>
  <conditionalFormatting sqref="L36:P36">
    <cfRule type="expression" dxfId="115" priority="2">
      <formula>$J$36&lt;&gt;$K$36</formula>
    </cfRule>
  </conditionalFormatting>
  <conditionalFormatting sqref="L43:P43">
    <cfRule type="expression" dxfId="114" priority="3">
      <formula>$J$43&lt;&gt;$K$43</formula>
    </cfRule>
  </conditionalFormatting>
  <conditionalFormatting sqref="L49:P49">
    <cfRule type="expression" dxfId="113" priority="4">
      <formula>$J$49&lt;&gt;$K$49</formula>
    </cfRule>
  </conditionalFormatting>
  <conditionalFormatting sqref="L59:P59">
    <cfRule type="expression" dxfId="112" priority="5">
      <formula>$J$59&lt;&gt;$K$59</formula>
    </cfRule>
  </conditionalFormatting>
  <conditionalFormatting sqref="L65:P65">
    <cfRule type="expression" dxfId="111" priority="6">
      <formula>$J$65&lt;&gt;$K$65</formula>
    </cfRule>
  </conditionalFormatting>
  <conditionalFormatting sqref="L70:P70">
    <cfRule type="expression" dxfId="110" priority="7">
      <formula>$J$70&lt;&gt;$K$70</formula>
    </cfRule>
  </conditionalFormatting>
  <conditionalFormatting sqref="L77:P77">
    <cfRule type="expression" dxfId="109" priority="8">
      <formula>$J$77&lt;&gt;$K$77</formula>
    </cfRule>
  </conditionalFormatting>
  <conditionalFormatting sqref="L91:P91">
    <cfRule type="expression" dxfId="108" priority="9">
      <formula>$J$91&lt;&gt;$K$91</formula>
    </cfRule>
  </conditionalFormatting>
  <conditionalFormatting sqref="L105:P105">
    <cfRule type="expression" dxfId="107" priority="10">
      <formula>$J$105&lt;&gt;$K$105</formula>
    </cfRule>
  </conditionalFormatting>
  <conditionalFormatting sqref="L114:P114">
    <cfRule type="expression" dxfId="106" priority="11">
      <formula>$J$114&lt;&gt;$K$114</formula>
    </cfRule>
  </conditionalFormatting>
  <dataValidations count="3">
    <dataValidation type="textLength" operator="equal" allowBlank="1" showInputMessage="1" showErrorMessage="1" errorTitle="4-Digit Org Code" error="Enter the Org Code/BU as 4 digits." sqref="F5" xr:uid="{6BE5D7C4-4DE0-4A2E-8B77-99F5ED9DF59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5CF5CDB-8C19-4B6C-8E61-AEE9E3F48264}">
      <formula1>0</formula1>
    </dataValidation>
    <dataValidation operator="lessThan" allowBlank="1" showInputMessage="1" showErrorMessage="1" sqref="A3:A8" xr:uid="{5E2F0972-558C-4485-996C-84D2CA34DA8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3C4C77D6-9C70-4FC6-AC8B-E8522036DBA0}">
          <x14:formula1>
            <xm:f>'Drop Down Menus'!$E$1:$E$3</xm:f>
          </x14:formula1>
          <xm:sqref>F8</xm:sqref>
        </x14:dataValidation>
        <x14:dataValidation type="list" allowBlank="1" showInputMessage="1" showErrorMessage="1" xr:uid="{F3971570-615A-4CAA-B4A9-521216D7C252}">
          <x14:formula1>
            <xm:f>'Drop Down Menus'!$B$1:$B$2</xm:f>
          </x14:formula1>
          <xm:sqref>F7</xm:sqref>
        </x14:dataValidation>
        <x14:dataValidation type="list" allowBlank="1" showInputMessage="1" showErrorMessage="1" xr:uid="{20B8EE17-1BA3-4CC0-821B-9D82D07B1B51}">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2398-5330-4265-A026-2D443FF86E28}">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932</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4474952</v>
      </c>
      <c r="M17" s="196">
        <v>4474952</v>
      </c>
      <c r="P17" s="196">
        <v>4474952</v>
      </c>
      <c r="Q17" s="224"/>
      <c r="S17" s="223">
        <f t="shared" si="0"/>
        <v>0</v>
      </c>
      <c r="T17" s="251" t="s">
        <v>1760</v>
      </c>
    </row>
    <row r="18" spans="1:20" ht="16.5" customHeight="1" x14ac:dyDescent="0.25">
      <c r="A18" s="99"/>
      <c r="B18" s="26" t="s">
        <v>178</v>
      </c>
      <c r="C18" s="26"/>
      <c r="D18" s="26"/>
      <c r="E18" s="193"/>
      <c r="F18" s="194"/>
      <c r="G18" s="194"/>
      <c r="H18" s="195"/>
      <c r="I18" s="195"/>
      <c r="J18" s="248">
        <f>P18</f>
        <v>98180</v>
      </c>
      <c r="M18" s="196">
        <v>98180</v>
      </c>
      <c r="P18" s="221">
        <f>IF(SUM($Q$20:$Q$23)&gt;SUM($P$15:$P$17),SUM($Q$20:$Q$23)-SUM($P$15:$P$17),0)</f>
        <v>98180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1781510</v>
      </c>
      <c r="N22" s="196">
        <v>1781510</v>
      </c>
      <c r="P22" s="224"/>
      <c r="Q22" s="196">
        <v>1781510</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2791622</v>
      </c>
      <c r="N23" s="196">
        <v>2791622</v>
      </c>
      <c r="P23" s="224"/>
      <c r="Q23" s="196">
        <v>2791622</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4573132</v>
      </c>
      <c r="K26" s="155">
        <f>SUM(K15:K25)</f>
        <v>4573132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809565</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809565</v>
      </c>
    </row>
    <row r="59" spans="1:16" ht="16.5" customHeight="1" x14ac:dyDescent="0.25">
      <c r="A59" s="99"/>
      <c r="C59" s="43"/>
      <c r="D59" s="43"/>
      <c r="E59" s="43"/>
      <c r="F59" s="44"/>
      <c r="G59" s="44"/>
      <c r="H59" s="45"/>
      <c r="I59" s="45"/>
      <c r="J59" s="155">
        <f>SUM(J55:J58)</f>
        <v>809565</v>
      </c>
      <c r="K59" s="155">
        <f>SUM(K55:K58)</f>
        <v>809565</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803004</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18313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821317</v>
      </c>
    </row>
    <row r="65" spans="1:12" ht="16.5" customHeight="1" x14ac:dyDescent="0.25">
      <c r="A65" s="99"/>
      <c r="C65" s="43"/>
      <c r="D65" s="43"/>
      <c r="E65" s="43"/>
      <c r="F65" s="44"/>
      <c r="G65" s="44"/>
      <c r="H65" s="45"/>
      <c r="I65" s="45"/>
      <c r="J65" s="155">
        <f>SUM(J62:J64)</f>
        <v>821317</v>
      </c>
      <c r="K65" s="155">
        <f>SUM(K62:K64)</f>
        <v>821317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803004</v>
      </c>
      <c r="K68" s="197"/>
    </row>
    <row r="69" spans="1:12" ht="16.5" customHeight="1" x14ac:dyDescent="0.25">
      <c r="A69" s="99"/>
      <c r="B69" s="26"/>
      <c r="C69" s="26" t="s">
        <v>202</v>
      </c>
      <c r="D69" s="193"/>
      <c r="E69" s="193"/>
      <c r="F69" s="194"/>
      <c r="G69" s="194"/>
      <c r="H69" s="195"/>
      <c r="I69" s="195"/>
      <c r="J69" s="197"/>
      <c r="K69" s="196">
        <f>+J68</f>
        <v>803004</v>
      </c>
      <c r="L69" s="37" t="str">
        <f>IF($J$62=$K$69,"","&lt;- Accts 0848 must agree")</f>
        <v/>
      </c>
    </row>
    <row r="70" spans="1:12" ht="16.5" customHeight="1" x14ac:dyDescent="0.25">
      <c r="A70" s="99"/>
      <c r="C70" s="43"/>
      <c r="D70" s="43"/>
      <c r="E70" s="43"/>
      <c r="F70" s="44"/>
      <c r="G70" s="44"/>
      <c r="H70" s="45"/>
      <c r="I70" s="45"/>
      <c r="J70" s="155">
        <f>SUM(J68:J69)</f>
        <v>803004</v>
      </c>
      <c r="K70" s="155">
        <f>SUM(K68:K69)</f>
        <v>803004</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753458</v>
      </c>
      <c r="K75" s="197"/>
    </row>
    <row r="76" spans="1:12" ht="16.5" customHeight="1" x14ac:dyDescent="0.25">
      <c r="A76" s="99"/>
      <c r="B76" s="26"/>
      <c r="C76" s="26" t="s">
        <v>210</v>
      </c>
      <c r="D76" s="193"/>
      <c r="E76" s="193"/>
      <c r="F76" s="194"/>
      <c r="G76" s="194"/>
      <c r="H76" s="195"/>
      <c r="I76" s="195"/>
      <c r="J76" s="197"/>
      <c r="K76" s="196">
        <f>+J75</f>
        <v>753458</v>
      </c>
    </row>
    <row r="77" spans="1:12" ht="16.5" customHeight="1" x14ac:dyDescent="0.2">
      <c r="A77" s="99"/>
      <c r="B77" s="263" t="s">
        <v>1737</v>
      </c>
      <c r="C77" s="263"/>
      <c r="D77" s="263"/>
      <c r="E77" s="263"/>
      <c r="F77" s="263"/>
      <c r="G77" s="263"/>
      <c r="H77" s="263"/>
      <c r="I77" s="263"/>
      <c r="J77" s="155">
        <f>SUM(J75:J76)</f>
        <v>753458</v>
      </c>
      <c r="K77" s="155">
        <f>SUM(K75:K76)</f>
        <v>753458</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122701</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350817</v>
      </c>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459692</v>
      </c>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v>13826</v>
      </c>
    </row>
    <row r="105" spans="1:12" ht="16.5" customHeight="1" x14ac:dyDescent="0.25">
      <c r="B105" s="182" t="s">
        <v>1692</v>
      </c>
      <c r="H105" s="37"/>
      <c r="J105" s="156">
        <f>SUM(J96:J104)</f>
        <v>473518</v>
      </c>
      <c r="K105" s="156">
        <f>SUM(K96:K104)</f>
        <v>473518</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164691</v>
      </c>
      <c r="K112" s="53"/>
    </row>
    <row r="113" spans="1:12" ht="16.5" customHeight="1" x14ac:dyDescent="0.2">
      <c r="A113" s="234" t="s">
        <v>1697</v>
      </c>
      <c r="B113" s="26"/>
      <c r="C113" s="26" t="s">
        <v>183</v>
      </c>
      <c r="D113" s="20"/>
      <c r="E113" s="53"/>
      <c r="F113" s="53"/>
      <c r="G113" s="53"/>
      <c r="H113" s="53"/>
      <c r="I113" s="53"/>
      <c r="J113" s="53"/>
      <c r="K113" s="196">
        <f>+J112</f>
        <v>164691</v>
      </c>
    </row>
    <row r="114" spans="1:12" ht="16.5" customHeight="1" x14ac:dyDescent="0.25">
      <c r="A114" s="15"/>
      <c r="B114" s="182" t="s">
        <v>1691</v>
      </c>
      <c r="C114" s="166"/>
      <c r="D114" s="166"/>
      <c r="H114" s="37"/>
      <c r="J114" s="156">
        <f>SUM(J110:J113)</f>
        <v>164691</v>
      </c>
      <c r="K114" s="156">
        <f>SUM(K110:K113)</f>
        <v>164691</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4179951</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-2240258</v>
      </c>
    </row>
    <row r="128" spans="1:12" ht="16.5" customHeight="1" x14ac:dyDescent="0.25">
      <c r="D128" s="193" t="s">
        <v>1708</v>
      </c>
      <c r="H128" s="37"/>
      <c r="K128" s="238">
        <f>-K23-K48+J68+J75+J96-K113</f>
        <v>-1277150</v>
      </c>
    </row>
    <row r="129" spans="4:11" ht="16.5" customHeight="1" x14ac:dyDescent="0.25">
      <c r="D129" s="193" t="s">
        <v>1709</v>
      </c>
      <c r="H129" s="37"/>
      <c r="K129" s="238">
        <f>-K76</f>
        <v>-753458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05" priority="12">
      <formula>$J$62&lt;&gt;$K$69</formula>
    </cfRule>
  </conditionalFormatting>
  <conditionalFormatting sqref="L26:P26">
    <cfRule type="expression" dxfId="104" priority="1">
      <formula>$J$26&lt;&gt;$K$26</formula>
    </cfRule>
  </conditionalFormatting>
  <conditionalFormatting sqref="L36:P36">
    <cfRule type="expression" dxfId="103" priority="2">
      <formula>$J$36&lt;&gt;$K$36</formula>
    </cfRule>
  </conditionalFormatting>
  <conditionalFormatting sqref="L43:P43">
    <cfRule type="expression" dxfId="102" priority="3">
      <formula>$J$43&lt;&gt;$K$43</formula>
    </cfRule>
  </conditionalFormatting>
  <conditionalFormatting sqref="L49:P49">
    <cfRule type="expression" dxfId="101" priority="4">
      <formula>$J$49&lt;&gt;$K$49</formula>
    </cfRule>
  </conditionalFormatting>
  <conditionalFormatting sqref="L59:P59">
    <cfRule type="expression" dxfId="100" priority="5">
      <formula>$J$59&lt;&gt;$K$59</formula>
    </cfRule>
  </conditionalFormatting>
  <conditionalFormatting sqref="L65:P65">
    <cfRule type="expression" dxfId="99" priority="6">
      <formula>$J$65&lt;&gt;$K$65</formula>
    </cfRule>
  </conditionalFormatting>
  <conditionalFormatting sqref="L70:P70">
    <cfRule type="expression" dxfId="98" priority="7">
      <formula>$J$70&lt;&gt;$K$70</formula>
    </cfRule>
  </conditionalFormatting>
  <conditionalFormatting sqref="L77:P77">
    <cfRule type="expression" dxfId="97" priority="8">
      <formula>$J$77&lt;&gt;$K$77</formula>
    </cfRule>
  </conditionalFormatting>
  <conditionalFormatting sqref="L91:P91">
    <cfRule type="expression" dxfId="96" priority="9">
      <formula>$J$91&lt;&gt;$K$91</formula>
    </cfRule>
  </conditionalFormatting>
  <conditionalFormatting sqref="L105:P105">
    <cfRule type="expression" dxfId="95" priority="10">
      <formula>$J$105&lt;&gt;$K$105</formula>
    </cfRule>
  </conditionalFormatting>
  <conditionalFormatting sqref="L114:P114">
    <cfRule type="expression" dxfId="94" priority="11">
      <formula>$J$114&lt;&gt;$K$114</formula>
    </cfRule>
  </conditionalFormatting>
  <dataValidations count="3">
    <dataValidation operator="lessThan" allowBlank="1" showInputMessage="1" showErrorMessage="1" sqref="A3:A8" xr:uid="{C43CD7A2-A1ED-406E-801F-99BB56143FA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78708AD-4D05-4E46-966D-7BDCD6718D3E}">
      <formula1>0</formula1>
    </dataValidation>
    <dataValidation type="textLength" operator="equal" allowBlank="1" showInputMessage="1" showErrorMessage="1" errorTitle="4-Digit Org Code" error="Enter the Org Code/BU as 4 digits." sqref="F5" xr:uid="{FD3E1FC0-0654-466C-9DD2-AD44473D2806}">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5955042A-1441-448A-91E1-FC9697AE4538}">
          <x14:formula1>
            <xm:f>'Drop Down Menus'!$A$1:$A$101</xm:f>
          </x14:formula1>
          <xm:sqref>F3</xm:sqref>
        </x14:dataValidation>
        <x14:dataValidation type="list" allowBlank="1" showInputMessage="1" showErrorMessage="1" xr:uid="{6D76EA1F-9E46-492F-B9BF-186811351086}">
          <x14:formula1>
            <xm:f>'Drop Down Menus'!$B$1:$B$2</xm:f>
          </x14:formula1>
          <xm:sqref>F7</xm:sqref>
        </x14:dataValidation>
        <x14:dataValidation type="list" allowBlank="1" showInputMessage="1" showErrorMessage="1" xr:uid="{5B106C5E-5216-4A9C-8069-5998D5E83DF8}">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60B1-72EB-4ECF-8B07-4E71AF9C0A3F}">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3037</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9853033</v>
      </c>
      <c r="M17" s="196">
        <v>9853033</v>
      </c>
      <c r="P17" s="196">
        <v>9853033</v>
      </c>
      <c r="Q17" s="224"/>
      <c r="S17" s="223">
        <f t="shared" si="0"/>
        <v>0</v>
      </c>
      <c r="T17" s="251" t="s">
        <v>1760</v>
      </c>
    </row>
    <row r="18" spans="1:20" ht="16.5" customHeight="1" x14ac:dyDescent="0.25">
      <c r="A18" s="99"/>
      <c r="B18" s="26" t="s">
        <v>178</v>
      </c>
      <c r="C18" s="26"/>
      <c r="D18" s="26"/>
      <c r="E18" s="193"/>
      <c r="F18" s="194"/>
      <c r="G18" s="194"/>
      <c r="H18" s="195"/>
      <c r="I18" s="195"/>
      <c r="J18" s="248">
        <f>P18</f>
        <v>124298</v>
      </c>
      <c r="M18" s="196">
        <v>124298</v>
      </c>
      <c r="P18" s="221">
        <f>IF(SUM($Q$20:$Q$23)&gt;SUM($P$15:$P$17),SUM($Q$20:$Q$23)-SUM($P$15:$P$17),0)</f>
        <v>124298</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1468024</v>
      </c>
      <c r="N22" s="196">
        <v>1468024</v>
      </c>
      <c r="P22" s="224"/>
      <c r="Q22" s="196">
        <v>1468024</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8424595</v>
      </c>
      <c r="N23" s="196">
        <v>8424595</v>
      </c>
      <c r="P23" s="224"/>
      <c r="Q23" s="196">
        <v>8509307</v>
      </c>
      <c r="S23" s="223">
        <f t="shared" si="1"/>
        <v>84712</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84712</v>
      </c>
      <c r="N25" s="196"/>
      <c r="P25" s="224"/>
      <c r="Q25" s="224"/>
      <c r="S25" s="223">
        <f t="shared" si="1"/>
        <v>0</v>
      </c>
      <c r="T25" s="250" t="s">
        <v>1730</v>
      </c>
    </row>
    <row r="26" spans="1:20" ht="16.5" customHeight="1" x14ac:dyDescent="0.25">
      <c r="A26" s="99"/>
      <c r="C26" s="47"/>
      <c r="D26" s="47"/>
      <c r="E26" s="47"/>
      <c r="F26" s="179"/>
      <c r="G26" s="179"/>
      <c r="H26" s="49"/>
      <c r="I26" s="49"/>
      <c r="J26" s="155">
        <f>SUM(J15:J25)</f>
        <v>9977331</v>
      </c>
      <c r="K26" s="155">
        <f>SUM(K15:K25)</f>
        <v>9977331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1710688</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1710688</v>
      </c>
    </row>
    <row r="59" spans="1:16" ht="16.5" customHeight="1" x14ac:dyDescent="0.25">
      <c r="A59" s="99"/>
      <c r="C59" s="43"/>
      <c r="D59" s="43"/>
      <c r="E59" s="43"/>
      <c r="F59" s="44"/>
      <c r="G59" s="44"/>
      <c r="H59" s="45"/>
      <c r="I59" s="45"/>
      <c r="J59" s="155">
        <f>SUM(J55:J58)</f>
        <v>1710688</v>
      </c>
      <c r="K59" s="155">
        <f>SUM(K55:K58)</f>
        <v>1710688</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1340613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147073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1487686</v>
      </c>
    </row>
    <row r="65" spans="1:12" ht="16.5" customHeight="1" x14ac:dyDescent="0.25">
      <c r="A65" s="99"/>
      <c r="C65" s="43"/>
      <c r="D65" s="43"/>
      <c r="E65" s="43"/>
      <c r="F65" s="44"/>
      <c r="G65" s="44"/>
      <c r="H65" s="45"/>
      <c r="I65" s="45"/>
      <c r="J65" s="155">
        <f>SUM(J62:J64)</f>
        <v>1487686</v>
      </c>
      <c r="K65" s="155">
        <f>SUM(K62:K64)</f>
        <v>1487686</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1340613</v>
      </c>
      <c r="K68" s="197"/>
    </row>
    <row r="69" spans="1:12" ht="16.5" customHeight="1" x14ac:dyDescent="0.25">
      <c r="A69" s="99"/>
      <c r="B69" s="26"/>
      <c r="C69" s="26" t="s">
        <v>202</v>
      </c>
      <c r="D69" s="193"/>
      <c r="E69" s="193"/>
      <c r="F69" s="194"/>
      <c r="G69" s="194"/>
      <c r="H69" s="195"/>
      <c r="I69" s="195"/>
      <c r="J69" s="197"/>
      <c r="K69" s="196">
        <f>+J68</f>
        <v>1340613</v>
      </c>
      <c r="L69" s="37" t="str">
        <f>IF($J$62=$K$69,"","&lt;- Accts 0848 must agree")</f>
        <v/>
      </c>
    </row>
    <row r="70" spans="1:12" ht="16.5" customHeight="1" x14ac:dyDescent="0.25">
      <c r="A70" s="99"/>
      <c r="C70" s="43"/>
      <c r="D70" s="43"/>
      <c r="E70" s="43"/>
      <c r="F70" s="44"/>
      <c r="G70" s="44"/>
      <c r="H70" s="45"/>
      <c r="I70" s="45"/>
      <c r="J70" s="155">
        <f>SUM(J68:J69)</f>
        <v>1340613</v>
      </c>
      <c r="K70" s="155">
        <f>SUM(K68:K69)</f>
        <v>1340613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1688487</v>
      </c>
      <c r="K75" s="197"/>
    </row>
    <row r="76" spans="1:12" ht="16.5" customHeight="1" x14ac:dyDescent="0.25">
      <c r="A76" s="99"/>
      <c r="B76" s="26"/>
      <c r="C76" s="26" t="s">
        <v>210</v>
      </c>
      <c r="D76" s="193"/>
      <c r="E76" s="193"/>
      <c r="F76" s="194"/>
      <c r="G76" s="194"/>
      <c r="H76" s="195"/>
      <c r="I76" s="195"/>
      <c r="J76" s="197"/>
      <c r="K76" s="196">
        <f>+J75</f>
        <v>1688487</v>
      </c>
    </row>
    <row r="77" spans="1:12" ht="16.5" customHeight="1" x14ac:dyDescent="0.2">
      <c r="A77" s="99"/>
      <c r="B77" s="263" t="s">
        <v>1737</v>
      </c>
      <c r="C77" s="263"/>
      <c r="D77" s="263"/>
      <c r="E77" s="263"/>
      <c r="F77" s="263"/>
      <c r="G77" s="263"/>
      <c r="H77" s="263"/>
      <c r="I77" s="263"/>
      <c r="J77" s="155">
        <f>SUM(J75:J76)</f>
        <v>1688487</v>
      </c>
      <c r="K77" s="155">
        <f>SUM(K75:K76)</f>
        <v>1688487</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9853033</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-3178712</v>
      </c>
    </row>
    <row r="128" spans="1:12" ht="16.5" customHeight="1" x14ac:dyDescent="0.25">
      <c r="D128" s="193" t="s">
        <v>1708</v>
      </c>
      <c r="H128" s="37"/>
      <c r="K128" s="238">
        <f>-K23-K48+J68+J75+J96-K113</f>
        <v>-5395495</v>
      </c>
    </row>
    <row r="129" spans="4:11" ht="16.5" customHeight="1" x14ac:dyDescent="0.25">
      <c r="D129" s="193" t="s">
        <v>1709</v>
      </c>
      <c r="H129" s="37"/>
      <c r="K129" s="238">
        <f>-K76</f>
        <v>-1688487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93" priority="12">
      <formula>$J$62&lt;&gt;$K$69</formula>
    </cfRule>
  </conditionalFormatting>
  <conditionalFormatting sqref="L26:P26">
    <cfRule type="expression" dxfId="92" priority="1">
      <formula>$J$26&lt;&gt;$K$26</formula>
    </cfRule>
  </conditionalFormatting>
  <conditionalFormatting sqref="L36:P36">
    <cfRule type="expression" dxfId="91" priority="2">
      <formula>$J$36&lt;&gt;$K$36</formula>
    </cfRule>
  </conditionalFormatting>
  <conditionalFormatting sqref="L43:P43">
    <cfRule type="expression" dxfId="90" priority="3">
      <formula>$J$43&lt;&gt;$K$43</formula>
    </cfRule>
  </conditionalFormatting>
  <conditionalFormatting sqref="L49:P49">
    <cfRule type="expression" dxfId="89" priority="4">
      <formula>$J$49&lt;&gt;$K$49</formula>
    </cfRule>
  </conditionalFormatting>
  <conditionalFormatting sqref="L59:P59">
    <cfRule type="expression" dxfId="88" priority="5">
      <formula>$J$59&lt;&gt;$K$59</formula>
    </cfRule>
  </conditionalFormatting>
  <conditionalFormatting sqref="L65:P65">
    <cfRule type="expression" dxfId="87" priority="6">
      <formula>$J$65&lt;&gt;$K$65</formula>
    </cfRule>
  </conditionalFormatting>
  <conditionalFormatting sqref="L70:P70">
    <cfRule type="expression" dxfId="86" priority="7">
      <formula>$J$70&lt;&gt;$K$70</formula>
    </cfRule>
  </conditionalFormatting>
  <conditionalFormatting sqref="L77:P77">
    <cfRule type="expression" dxfId="85" priority="8">
      <formula>$J$77&lt;&gt;$K$77</formula>
    </cfRule>
  </conditionalFormatting>
  <conditionalFormatting sqref="L91:P91">
    <cfRule type="expression" dxfId="84" priority="9">
      <formula>$J$91&lt;&gt;$K$91</formula>
    </cfRule>
  </conditionalFormatting>
  <conditionalFormatting sqref="L105:P105">
    <cfRule type="expression" dxfId="83" priority="10">
      <formula>$J$105&lt;&gt;$K$105</formula>
    </cfRule>
  </conditionalFormatting>
  <conditionalFormatting sqref="L114:P114">
    <cfRule type="expression" dxfId="82" priority="11">
      <formula>$J$114&lt;&gt;$K$114</formula>
    </cfRule>
  </conditionalFormatting>
  <dataValidations count="3">
    <dataValidation type="textLength" operator="equal" allowBlank="1" showInputMessage="1" showErrorMessage="1" errorTitle="4-Digit Org Code" error="Enter the Org Code/BU as 4 digits." sqref="F5" xr:uid="{9DA5B822-3FD5-4A92-9DF0-30BB6FE3AA3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6B2EBA7-36F5-4497-A412-66A93CFC1DF6}">
      <formula1>0</formula1>
    </dataValidation>
    <dataValidation operator="lessThan" allowBlank="1" showInputMessage="1" showErrorMessage="1" sqref="A3:A8" xr:uid="{DC66F6B7-3944-4B74-9EFE-1165708C2247}"/>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AB67E789-E163-4997-A368-091104F05194}">
          <x14:formula1>
            <xm:f>'Drop Down Menus'!$E$1:$E$3</xm:f>
          </x14:formula1>
          <xm:sqref>F8</xm:sqref>
        </x14:dataValidation>
        <x14:dataValidation type="list" allowBlank="1" showInputMessage="1" showErrorMessage="1" xr:uid="{8AD2F11B-4B68-49BE-AD52-4621C88112D9}">
          <x14:formula1>
            <xm:f>'Drop Down Menus'!$B$1:$B$2</xm:f>
          </x14:formula1>
          <xm:sqref>F7</xm:sqref>
        </x14:dataValidation>
        <x14:dataValidation type="list" allowBlank="1" showInputMessage="1" showErrorMessage="1" xr:uid="{7BE786F5-C9B9-46CA-813E-DBA1E6F85D77}">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AA75-1C7B-44EE-9656-B18169E3C3B5}">
  <sheetPr>
    <tabColor theme="9" tint="0.59999389629810485"/>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3060</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229409</v>
      </c>
      <c r="M17" s="196">
        <v>229409</v>
      </c>
      <c r="P17" s="196">
        <v>229409</v>
      </c>
      <c r="Q17" s="224"/>
      <c r="S17" s="223">
        <f t="shared" si="0"/>
        <v>0</v>
      </c>
      <c r="T17" s="251" t="s">
        <v>1760</v>
      </c>
    </row>
    <row r="18" spans="1:20" ht="16.5" customHeight="1" x14ac:dyDescent="0.25">
      <c r="A18" s="99"/>
      <c r="B18" s="26" t="s">
        <v>178</v>
      </c>
      <c r="C18" s="26"/>
      <c r="D18" s="26"/>
      <c r="E18" s="193"/>
      <c r="F18" s="194"/>
      <c r="G18" s="194"/>
      <c r="H18" s="195"/>
      <c r="I18" s="195"/>
      <c r="J18" s="248">
        <f>P18</f>
        <v>4732</v>
      </c>
      <c r="M18" s="196">
        <v>4732</v>
      </c>
      <c r="P18" s="221">
        <f>IF(SUM($Q$20:$Q$23)&gt;SUM($P$15:$P$17),SUM($Q$20:$Q$23)-SUM($P$15:$P$17),0)</f>
        <v>4732</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126814</v>
      </c>
      <c r="N22" s="196">
        <v>126814</v>
      </c>
      <c r="P22" s="224"/>
      <c r="Q22" s="196">
        <v>161629</v>
      </c>
      <c r="S22" s="223">
        <f t="shared" ref="S22:S25" si="1">Q22-N22</f>
        <v>34815</v>
      </c>
      <c r="T22" s="250" t="s">
        <v>1730</v>
      </c>
    </row>
    <row r="23" spans="1:20" ht="16.5" customHeight="1" x14ac:dyDescent="0.25">
      <c r="A23" s="234" t="s">
        <v>1697</v>
      </c>
      <c r="B23" s="26"/>
      <c r="C23" s="26" t="s">
        <v>183</v>
      </c>
      <c r="D23" s="26"/>
      <c r="E23" s="193"/>
      <c r="F23" s="194"/>
      <c r="G23" s="194"/>
      <c r="H23" s="195"/>
      <c r="I23" s="195"/>
      <c r="J23" s="213"/>
      <c r="K23" s="248">
        <f>N23</f>
        <v>107327</v>
      </c>
      <c r="N23" s="196">
        <v>107327</v>
      </c>
      <c r="P23" s="224"/>
      <c r="Q23" s="196">
        <v>72512</v>
      </c>
      <c r="S23" s="223">
        <f t="shared" si="1"/>
        <v>-34815</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234141</v>
      </c>
      <c r="K26" s="155">
        <f>SUM(K15:K25)</f>
        <v>234141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62566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62566</v>
      </c>
    </row>
    <row r="59" spans="1:16" ht="16.5" customHeight="1" x14ac:dyDescent="0.25">
      <c r="A59" s="99"/>
      <c r="C59" s="43"/>
      <c r="D59" s="43"/>
      <c r="E59" s="43"/>
      <c r="F59" s="44"/>
      <c r="G59" s="44"/>
      <c r="H59" s="45"/>
      <c r="I59" s="45"/>
      <c r="J59" s="155">
        <f>SUM(J55:J58)</f>
        <v>62566</v>
      </c>
      <c r="K59" s="155">
        <f>SUM(K55:K58)</f>
        <v>62566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63821</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16</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63837</v>
      </c>
    </row>
    <row r="65" spans="1:12" ht="16.5" customHeight="1" x14ac:dyDescent="0.25">
      <c r="A65" s="99"/>
      <c r="C65" s="43"/>
      <c r="D65" s="43"/>
      <c r="E65" s="43"/>
      <c r="F65" s="44"/>
      <c r="G65" s="44"/>
      <c r="H65" s="45"/>
      <c r="I65" s="45"/>
      <c r="J65" s="155">
        <f>SUM(J62:J64)</f>
        <v>63837</v>
      </c>
      <c r="K65" s="155">
        <f>SUM(K62:K64)</f>
        <v>63837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63821</v>
      </c>
      <c r="K68" s="197"/>
    </row>
    <row r="69" spans="1:12" ht="16.5" customHeight="1" x14ac:dyDescent="0.25">
      <c r="A69" s="99"/>
      <c r="B69" s="26"/>
      <c r="C69" s="26" t="s">
        <v>202</v>
      </c>
      <c r="D69" s="193"/>
      <c r="E69" s="193"/>
      <c r="F69" s="194"/>
      <c r="G69" s="194"/>
      <c r="H69" s="195"/>
      <c r="I69" s="195"/>
      <c r="J69" s="197"/>
      <c r="K69" s="196">
        <f>+J68</f>
        <v>63821</v>
      </c>
      <c r="L69" s="37" t="str">
        <f>IF($J$62=$K$69,"","&lt;- Accts 0848 must agree")</f>
        <v/>
      </c>
    </row>
    <row r="70" spans="1:12" ht="16.5" customHeight="1" x14ac:dyDescent="0.25">
      <c r="A70" s="99"/>
      <c r="C70" s="43"/>
      <c r="D70" s="43"/>
      <c r="E70" s="43"/>
      <c r="F70" s="44"/>
      <c r="G70" s="44"/>
      <c r="H70" s="45"/>
      <c r="I70" s="45"/>
      <c r="J70" s="155">
        <f>SUM(J68:J69)</f>
        <v>63821</v>
      </c>
      <c r="K70" s="155">
        <f>SUM(K68:K69)</f>
        <v>63821</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43505</v>
      </c>
      <c r="K75" s="197"/>
    </row>
    <row r="76" spans="1:12" ht="16.5" customHeight="1" x14ac:dyDescent="0.25">
      <c r="A76" s="99"/>
      <c r="B76" s="26"/>
      <c r="C76" s="26" t="s">
        <v>210</v>
      </c>
      <c r="D76" s="193"/>
      <c r="E76" s="193"/>
      <c r="F76" s="194"/>
      <c r="G76" s="194"/>
      <c r="H76" s="195"/>
      <c r="I76" s="195"/>
      <c r="J76" s="197"/>
      <c r="K76" s="196">
        <f>+J75</f>
        <v>43505</v>
      </c>
    </row>
    <row r="77" spans="1:12" ht="16.5" customHeight="1" x14ac:dyDescent="0.2">
      <c r="A77" s="99"/>
      <c r="B77" s="263" t="s">
        <v>1737</v>
      </c>
      <c r="C77" s="263"/>
      <c r="D77" s="263"/>
      <c r="E77" s="263"/>
      <c r="F77" s="263"/>
      <c r="G77" s="263"/>
      <c r="H77" s="263"/>
      <c r="I77" s="263"/>
      <c r="J77" s="155">
        <f>SUM(J75:J76)</f>
        <v>43505</v>
      </c>
      <c r="K77" s="155">
        <f>SUM(K75:K76)</f>
        <v>43505</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229409</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-189380</v>
      </c>
    </row>
    <row r="128" spans="1:12" ht="16.5" customHeight="1" x14ac:dyDescent="0.25">
      <c r="D128" s="193" t="s">
        <v>1708</v>
      </c>
      <c r="H128" s="37"/>
      <c r="K128" s="238">
        <f>-K23-K48+J68+J75+J96-K113</f>
        <v>-1</v>
      </c>
    </row>
    <row r="129" spans="4:11" ht="16.5" customHeight="1" x14ac:dyDescent="0.25">
      <c r="D129" s="193" t="s">
        <v>1709</v>
      </c>
      <c r="H129" s="37"/>
      <c r="K129" s="238">
        <f>-K76</f>
        <v>-43505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81" priority="12">
      <formula>$J$62&lt;&gt;$K$69</formula>
    </cfRule>
  </conditionalFormatting>
  <conditionalFormatting sqref="L26:P26">
    <cfRule type="expression" dxfId="80" priority="1">
      <formula>$J$26&lt;&gt;$K$26</formula>
    </cfRule>
  </conditionalFormatting>
  <conditionalFormatting sqref="L36:P36">
    <cfRule type="expression" dxfId="79" priority="2">
      <formula>$J$36&lt;&gt;$K$36</formula>
    </cfRule>
  </conditionalFormatting>
  <conditionalFormatting sqref="L43:P43">
    <cfRule type="expression" dxfId="78" priority="3">
      <formula>$J$43&lt;&gt;$K$43</formula>
    </cfRule>
  </conditionalFormatting>
  <conditionalFormatting sqref="L49:P49">
    <cfRule type="expression" dxfId="77" priority="4">
      <formula>$J$49&lt;&gt;$K$49</formula>
    </cfRule>
  </conditionalFormatting>
  <conditionalFormatting sqref="L59:P59">
    <cfRule type="expression" dxfId="76" priority="5">
      <formula>$J$59&lt;&gt;$K$59</formula>
    </cfRule>
  </conditionalFormatting>
  <conditionalFormatting sqref="L65:P65">
    <cfRule type="expression" dxfId="75" priority="6">
      <formula>$J$65&lt;&gt;$K$65</formula>
    </cfRule>
  </conditionalFormatting>
  <conditionalFormatting sqref="L70:P70">
    <cfRule type="expression" dxfId="74" priority="7">
      <formula>$J$70&lt;&gt;$K$70</formula>
    </cfRule>
  </conditionalFormatting>
  <conditionalFormatting sqref="L77:P77">
    <cfRule type="expression" dxfId="73" priority="8">
      <formula>$J$77&lt;&gt;$K$77</formula>
    </cfRule>
  </conditionalFormatting>
  <conditionalFormatting sqref="L91:P91">
    <cfRule type="expression" dxfId="72" priority="9">
      <formula>$J$91&lt;&gt;$K$91</formula>
    </cfRule>
  </conditionalFormatting>
  <conditionalFormatting sqref="L105:P105">
    <cfRule type="expression" dxfId="71" priority="10">
      <formula>$J$105&lt;&gt;$K$105</formula>
    </cfRule>
  </conditionalFormatting>
  <conditionalFormatting sqref="L114:P114">
    <cfRule type="expression" dxfId="70" priority="11">
      <formula>$J$114&lt;&gt;$K$114</formula>
    </cfRule>
  </conditionalFormatting>
  <dataValidations count="3">
    <dataValidation operator="lessThan" allowBlank="1" showInputMessage="1" showErrorMessage="1" sqref="A3:A8" xr:uid="{FA874C14-AF15-40BB-B95B-124515DEADE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0E98DF5-9B6E-4436-84D9-42A264685B71}">
      <formula1>0</formula1>
    </dataValidation>
    <dataValidation type="textLength" operator="equal" allowBlank="1" showInputMessage="1" showErrorMessage="1" errorTitle="4-Digit Org Code" error="Enter the Org Code/BU as 4 digits." sqref="F5" xr:uid="{28E6B938-CBD1-4E34-8000-87983C823683}">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21460CC-0503-4C06-877C-29249EDB2046}">
          <x14:formula1>
            <xm:f>'Drop Down Menus'!$A$1:$A$101</xm:f>
          </x14:formula1>
          <xm:sqref>F3</xm:sqref>
        </x14:dataValidation>
        <x14:dataValidation type="list" allowBlank="1" showInputMessage="1" showErrorMessage="1" xr:uid="{F41CBEFE-D637-499E-BA8D-93F0E4998C75}">
          <x14:formula1>
            <xm:f>'Drop Down Menus'!$B$1:$B$2</xm:f>
          </x14:formula1>
          <xm:sqref>F7</xm:sqref>
        </x14:dataValidation>
        <x14:dataValidation type="list" allowBlank="1" showInputMessage="1" showErrorMessage="1" xr:uid="{AD674736-0ACD-481A-964C-D84975C828A5}">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7584-C55B-4A49-B144-0AB08924276B}">
  <sheetPr>
    <tabColor theme="9" tint="0.59999389629810485"/>
    <pageSetUpPr fitToPage="1"/>
  </sheetPr>
  <dimension ref="A1:T193"/>
  <sheetViews>
    <sheetView topLeftCell="A53" workbookViewId="0">
      <selection activeCell="M75" sqref="M75"/>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3066</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423650</v>
      </c>
      <c r="M15" s="196">
        <v>423650</v>
      </c>
      <c r="P15" s="196">
        <v>423650</v>
      </c>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95501205</v>
      </c>
      <c r="M17" s="196">
        <v>95501205</v>
      </c>
      <c r="P17" s="196">
        <v>95501205</v>
      </c>
      <c r="Q17" s="224"/>
      <c r="S17" s="223">
        <f t="shared" si="0"/>
        <v>0</v>
      </c>
      <c r="T17" s="251" t="s">
        <v>1760</v>
      </c>
    </row>
    <row r="18" spans="1:20" ht="16.5" customHeight="1" x14ac:dyDescent="0.25">
      <c r="A18" s="99"/>
      <c r="B18" s="26" t="s">
        <v>178</v>
      </c>
      <c r="C18" s="26"/>
      <c r="D18" s="26"/>
      <c r="E18" s="193"/>
      <c r="F18" s="194"/>
      <c r="G18" s="194"/>
      <c r="H18" s="195"/>
      <c r="I18" s="195"/>
      <c r="J18" s="248">
        <f>P18</f>
        <v>3090218</v>
      </c>
      <c r="M18" s="196">
        <v>3090218</v>
      </c>
      <c r="P18" s="221">
        <f>IF(SUM($Q$20:$Q$23)&gt;SUM($P$15:$P$17),SUM($Q$20:$Q$23)-SUM($P$15:$P$17),0)</f>
        <v>3090218</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77669</v>
      </c>
      <c r="N20" s="196">
        <v>77669</v>
      </c>
      <c r="P20" s="224"/>
      <c r="Q20" s="196">
        <v>77669</v>
      </c>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30057596</v>
      </c>
      <c r="N22" s="196">
        <v>30057596</v>
      </c>
      <c r="P22" s="224"/>
      <c r="Q22" s="196">
        <v>30117630</v>
      </c>
      <c r="S22" s="223">
        <f t="shared" ref="S22:S25" si="1">Q22-N22</f>
        <v>60034</v>
      </c>
      <c r="T22" s="250" t="s">
        <v>1730</v>
      </c>
    </row>
    <row r="23" spans="1:20" ht="16.5" customHeight="1" x14ac:dyDescent="0.25">
      <c r="A23" s="234" t="s">
        <v>1697</v>
      </c>
      <c r="B23" s="26"/>
      <c r="C23" s="26" t="s">
        <v>183</v>
      </c>
      <c r="D23" s="26"/>
      <c r="E23" s="193"/>
      <c r="F23" s="194"/>
      <c r="G23" s="194"/>
      <c r="H23" s="195"/>
      <c r="I23" s="195"/>
      <c r="J23" s="213"/>
      <c r="K23" s="248">
        <f>N23</f>
        <v>68512682</v>
      </c>
      <c r="N23" s="196">
        <v>68512682</v>
      </c>
      <c r="P23" s="224"/>
      <c r="Q23" s="196">
        <v>68819774</v>
      </c>
      <c r="S23" s="223">
        <f t="shared" si="1"/>
        <v>307092</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367126</v>
      </c>
      <c r="N25" s="196"/>
      <c r="P25" s="224"/>
      <c r="Q25" s="224"/>
      <c r="S25" s="223">
        <f t="shared" si="1"/>
        <v>0</v>
      </c>
      <c r="T25" s="250" t="s">
        <v>1730</v>
      </c>
    </row>
    <row r="26" spans="1:20" ht="16.5" customHeight="1" x14ac:dyDescent="0.25">
      <c r="A26" s="99"/>
      <c r="C26" s="47"/>
      <c r="D26" s="47"/>
      <c r="E26" s="47"/>
      <c r="F26" s="179"/>
      <c r="G26" s="179"/>
      <c r="H26" s="49"/>
      <c r="I26" s="49"/>
      <c r="J26" s="155">
        <f>SUM(J15:J25)</f>
        <v>99015073</v>
      </c>
      <c r="K26" s="155">
        <f>SUM(K15:K25)</f>
        <v>99015073</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1317542</v>
      </c>
      <c r="K33" s="197"/>
    </row>
    <row r="34" spans="1:12" ht="16.5" customHeight="1" x14ac:dyDescent="0.25">
      <c r="A34" s="99"/>
      <c r="B34" s="26"/>
      <c r="C34" s="26" t="s">
        <v>1745</v>
      </c>
      <c r="D34" s="193"/>
      <c r="E34" s="193"/>
      <c r="F34" s="194"/>
      <c r="G34" s="194"/>
      <c r="H34" s="195"/>
      <c r="I34" s="195"/>
      <c r="J34" s="197"/>
      <c r="K34" s="196">
        <v>1317542</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1317542</v>
      </c>
      <c r="K36" s="155">
        <f>SUM(K33:K35)</f>
        <v>1317542</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1317542</v>
      </c>
      <c r="K41" s="197"/>
    </row>
    <row r="42" spans="1:12" ht="16.5" customHeight="1" x14ac:dyDescent="0.25">
      <c r="A42" s="99"/>
      <c r="B42" s="26"/>
      <c r="C42" s="26" t="s">
        <v>197</v>
      </c>
      <c r="D42" s="193"/>
      <c r="E42" s="193"/>
      <c r="F42" s="194"/>
      <c r="G42" s="194"/>
      <c r="H42" s="195"/>
      <c r="I42" s="195"/>
      <c r="J42" s="197"/>
      <c r="K42" s="196">
        <v>1317542</v>
      </c>
    </row>
    <row r="43" spans="1:12" ht="16.5" customHeight="1" x14ac:dyDescent="0.25">
      <c r="A43" s="99"/>
      <c r="B43" s="182" t="s">
        <v>1691</v>
      </c>
      <c r="C43" s="43"/>
      <c r="D43" s="43"/>
      <c r="E43" s="43"/>
      <c r="F43" s="44"/>
      <c r="G43" s="44"/>
      <c r="H43" s="45"/>
      <c r="I43" s="45"/>
      <c r="J43" s="155">
        <f>SUM(J39:J42)</f>
        <v>1317542</v>
      </c>
      <c r="K43" s="155">
        <f>SUM(K39:K42)</f>
        <v>1317542</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1317542</v>
      </c>
      <c r="K47" s="197"/>
    </row>
    <row r="48" spans="1:12" ht="16.5" customHeight="1" x14ac:dyDescent="0.25">
      <c r="A48" s="234" t="s">
        <v>1697</v>
      </c>
      <c r="B48" s="26"/>
      <c r="C48" s="26" t="s">
        <v>183</v>
      </c>
      <c r="D48" s="193"/>
      <c r="E48" s="193"/>
      <c r="F48" s="194"/>
      <c r="G48" s="194"/>
      <c r="H48" s="195"/>
      <c r="I48" s="195"/>
      <c r="J48" s="197"/>
      <c r="K48" s="196">
        <v>1317542</v>
      </c>
    </row>
    <row r="49" spans="1:16" ht="16.5" customHeight="1" x14ac:dyDescent="0.25">
      <c r="A49" s="99"/>
      <c r="C49" s="43"/>
      <c r="D49" s="43"/>
      <c r="E49" s="43"/>
      <c r="F49" s="44"/>
      <c r="G49" s="44"/>
      <c r="H49" s="45"/>
      <c r="I49" s="45"/>
      <c r="J49" s="155">
        <f>SUM(J47:J48)</f>
        <v>1317542</v>
      </c>
      <c r="K49" s="155">
        <f>SUM(K47:K48)</f>
        <v>1317542</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15565803</v>
      </c>
      <c r="K55" s="197"/>
    </row>
    <row r="56" spans="1:16" ht="16.5" customHeight="1" x14ac:dyDescent="0.25">
      <c r="A56" s="99"/>
      <c r="B56" s="53"/>
      <c r="C56" s="26" t="s">
        <v>187</v>
      </c>
      <c r="D56" s="193"/>
      <c r="E56" s="193"/>
      <c r="F56" s="194"/>
      <c r="G56" s="194"/>
      <c r="H56" s="195"/>
      <c r="I56" s="195"/>
      <c r="J56" s="198"/>
      <c r="K56" s="196">
        <v>84730</v>
      </c>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15481073</v>
      </c>
    </row>
    <row r="59" spans="1:16" ht="16.5" customHeight="1" x14ac:dyDescent="0.25">
      <c r="A59" s="99"/>
      <c r="C59" s="43"/>
      <c r="D59" s="43"/>
      <c r="E59" s="43"/>
      <c r="F59" s="44"/>
      <c r="G59" s="44"/>
      <c r="H59" s="45"/>
      <c r="I59" s="45"/>
      <c r="J59" s="155">
        <f>SUM(J55:J58)</f>
        <v>15565803</v>
      </c>
      <c r="K59" s="155">
        <f>SUM(K55:K58)</f>
        <v>15565803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14799948</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616540</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15416488</v>
      </c>
    </row>
    <row r="65" spans="1:12" ht="16.5" customHeight="1" x14ac:dyDescent="0.25">
      <c r="A65" s="99"/>
      <c r="C65" s="43"/>
      <c r="D65" s="43"/>
      <c r="E65" s="43"/>
      <c r="F65" s="44"/>
      <c r="G65" s="44"/>
      <c r="H65" s="45"/>
      <c r="I65" s="45"/>
      <c r="J65" s="155">
        <f>SUM(J62:J64)</f>
        <v>15416488</v>
      </c>
      <c r="K65" s="155">
        <f>SUM(K62:K64)</f>
        <v>15416488</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14799948</v>
      </c>
      <c r="K68" s="197"/>
    </row>
    <row r="69" spans="1:12" ht="16.5" customHeight="1" x14ac:dyDescent="0.25">
      <c r="A69" s="99"/>
      <c r="B69" s="26"/>
      <c r="C69" s="26" t="s">
        <v>202</v>
      </c>
      <c r="D69" s="193"/>
      <c r="E69" s="193"/>
      <c r="F69" s="194"/>
      <c r="G69" s="194"/>
      <c r="H69" s="195"/>
      <c r="I69" s="195"/>
      <c r="J69" s="197"/>
      <c r="K69" s="196">
        <v>14799948</v>
      </c>
      <c r="L69" s="37" t="str">
        <f>IF($J$62=$K$69,"","&lt;- Accts 0848 must agree")</f>
        <v/>
      </c>
    </row>
    <row r="70" spans="1:12" ht="16.5" customHeight="1" x14ac:dyDescent="0.25">
      <c r="A70" s="99"/>
      <c r="C70" s="43"/>
      <c r="D70" s="43"/>
      <c r="E70" s="43"/>
      <c r="F70" s="44"/>
      <c r="G70" s="44"/>
      <c r="H70" s="45"/>
      <c r="I70" s="45"/>
      <c r="J70" s="155">
        <f>SUM(J68:J69)</f>
        <v>14799948</v>
      </c>
      <c r="K70" s="155">
        <f>SUM(K68:K69)</f>
        <v>14799948</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f>15891730-42172-255838</f>
        <v>15593720</v>
      </c>
      <c r="K75" s="197"/>
    </row>
    <row r="76" spans="1:12" ht="16.5" customHeight="1" x14ac:dyDescent="0.25">
      <c r="A76" s="99"/>
      <c r="B76" s="26"/>
      <c r="C76" s="26" t="s">
        <v>210</v>
      </c>
      <c r="D76" s="193"/>
      <c r="E76" s="193"/>
      <c r="F76" s="194"/>
      <c r="G76" s="194"/>
      <c r="H76" s="195"/>
      <c r="I76" s="195"/>
      <c r="J76" s="197"/>
      <c r="K76" s="196">
        <f>+J75</f>
        <v>15593720</v>
      </c>
    </row>
    <row r="77" spans="1:12" ht="16.5" customHeight="1" x14ac:dyDescent="0.2">
      <c r="A77" s="99"/>
      <c r="B77" s="263" t="s">
        <v>1737</v>
      </c>
      <c r="C77" s="263"/>
      <c r="D77" s="263"/>
      <c r="E77" s="263"/>
      <c r="F77" s="263"/>
      <c r="G77" s="263"/>
      <c r="H77" s="263"/>
      <c r="I77" s="263"/>
      <c r="J77" s="155">
        <f>SUM(J75:J76)</f>
        <v>15593720</v>
      </c>
      <c r="K77" s="155">
        <f>SUM(K75:K76)</f>
        <v>15593720</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f>6752626</f>
        <v>6752626</v>
      </c>
      <c r="K112" s="53"/>
    </row>
    <row r="113" spans="1:12" ht="16.5" customHeight="1" x14ac:dyDescent="0.2">
      <c r="A113" s="234" t="s">
        <v>1697</v>
      </c>
      <c r="B113" s="26"/>
      <c r="C113" s="26" t="s">
        <v>183</v>
      </c>
      <c r="D113" s="20"/>
      <c r="E113" s="53"/>
      <c r="F113" s="53"/>
      <c r="G113" s="53"/>
      <c r="H113" s="53"/>
      <c r="I113" s="53"/>
      <c r="J113" s="53"/>
      <c r="K113" s="196">
        <f>+J112</f>
        <v>6752626</v>
      </c>
    </row>
    <row r="114" spans="1:12" ht="16.5" customHeight="1" x14ac:dyDescent="0.25">
      <c r="A114" s="15"/>
      <c r="B114" s="182" t="s">
        <v>1691</v>
      </c>
      <c r="C114" s="166"/>
      <c r="D114" s="166"/>
      <c r="H114" s="37"/>
      <c r="J114" s="156">
        <f>SUM(J110:J113)</f>
        <v>6752626</v>
      </c>
      <c r="K114" s="156">
        <f>SUM(K110:K113)</f>
        <v>6752626</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423650</v>
      </c>
    </row>
    <row r="123" spans="1:12" ht="16.5" customHeight="1" x14ac:dyDescent="0.25">
      <c r="D123" s="193" t="s">
        <v>1703</v>
      </c>
      <c r="H123" s="37"/>
      <c r="K123" s="238">
        <f>J16+J40-K89-K102+J111</f>
        <v>0</v>
      </c>
    </row>
    <row r="124" spans="1:12" ht="16.5" customHeight="1" x14ac:dyDescent="0.25">
      <c r="D124" s="193" t="s">
        <v>1704</v>
      </c>
      <c r="H124" s="37"/>
      <c r="K124" s="238">
        <f>J17+J41-K90-K103+J112</f>
        <v>103571373</v>
      </c>
    </row>
    <row r="125" spans="1:12" ht="16.5" customHeight="1" x14ac:dyDescent="0.25">
      <c r="D125" s="193" t="s">
        <v>1705</v>
      </c>
      <c r="H125" s="37"/>
      <c r="K125" s="238">
        <f>-K20-K56+J85+J97</f>
        <v>-162399</v>
      </c>
    </row>
    <row r="126" spans="1:12" ht="16.5" customHeight="1" x14ac:dyDescent="0.25">
      <c r="D126" s="193" t="s">
        <v>1706</v>
      </c>
      <c r="H126" s="37"/>
      <c r="K126" s="238">
        <f>-K21-K57+J86+J98</f>
        <v>0</v>
      </c>
    </row>
    <row r="127" spans="1:12" ht="16.5" customHeight="1" x14ac:dyDescent="0.25">
      <c r="D127" s="193" t="s">
        <v>1707</v>
      </c>
      <c r="H127" s="37"/>
      <c r="K127" s="238">
        <f>-K22-K58+J87+J99</f>
        <v>-45538669</v>
      </c>
    </row>
    <row r="128" spans="1:12" ht="16.5" customHeight="1" x14ac:dyDescent="0.25">
      <c r="D128" s="193" t="s">
        <v>1708</v>
      </c>
      <c r="H128" s="37"/>
      <c r="K128" s="238">
        <f>-K23-K48+J68+J75+J96-K113</f>
        <v>-46189182</v>
      </c>
    </row>
    <row r="129" spans="4:11" ht="16.5" customHeight="1" x14ac:dyDescent="0.25">
      <c r="D129" s="193" t="s">
        <v>1709</v>
      </c>
      <c r="H129" s="37"/>
      <c r="K129" s="238">
        <f>-K76</f>
        <v>-15593720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type="textLength" operator="equal" allowBlank="1" showInputMessage="1" showErrorMessage="1" errorTitle="4-Digit Org Code" error="Enter the Org Code/BU as 4 digits." sqref="F5" xr:uid="{815BC809-9875-4DCE-AB72-96D9AE996E4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F286FEB-58EF-45A0-A448-D1295F7C865F}">
      <formula1>0</formula1>
    </dataValidation>
    <dataValidation operator="lessThan" allowBlank="1" showInputMessage="1" showErrorMessage="1" sqref="A3:A8" xr:uid="{FACD7E9D-3364-4185-8400-E60B415D2C26}"/>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65D7783-758B-4F19-9307-063499BC889E}">
          <x14:formula1>
            <xm:f>'Drop Down Menus'!$E$1:$E$3</xm:f>
          </x14:formula1>
          <xm:sqref>F8</xm:sqref>
        </x14:dataValidation>
        <x14:dataValidation type="list" allowBlank="1" showInputMessage="1" showErrorMessage="1" xr:uid="{5B3BACC9-86F1-45F8-A240-8F12EEE649A5}">
          <x14:formula1>
            <xm:f>'Drop Down Menus'!$B$1:$B$2</xm:f>
          </x14:formula1>
          <xm:sqref>F7</xm:sqref>
        </x14:dataValidation>
        <x14:dataValidation type="list" allowBlank="1" showInputMessage="1" showErrorMessage="1" xr:uid="{4B1D8802-D632-4685-95F7-8219953E240B}">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6948E-5D2C-4DA3-8644-FB2D3A9670F8}">
  <sheetPr>
    <tabColor theme="9" tint="0.59999389629810485"/>
    <pageSetUpPr fitToPage="1"/>
  </sheetPr>
  <dimension ref="A1:T193"/>
  <sheetViews>
    <sheetView topLeftCell="A71"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273</v>
      </c>
      <c r="G5" s="266"/>
      <c r="H5" s="266"/>
      <c r="I5" s="266"/>
      <c r="L5" s="39"/>
      <c r="M5" s="39"/>
      <c r="N5" s="39"/>
      <c r="O5" s="39"/>
      <c r="P5" s="39"/>
      <c r="Q5" s="39"/>
    </row>
    <row r="6" spans="1:20" ht="16.5" customHeight="1" x14ac:dyDescent="0.25">
      <c r="A6" s="260" t="s">
        <v>1682</v>
      </c>
      <c r="B6" s="260"/>
      <c r="C6" s="260"/>
      <c r="D6" s="260"/>
      <c r="E6" s="260"/>
      <c r="F6" s="267">
        <v>3085</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131220</v>
      </c>
      <c r="M17" s="196">
        <v>131220</v>
      </c>
      <c r="P17" s="196">
        <v>131220</v>
      </c>
      <c r="Q17" s="224"/>
      <c r="S17" s="223">
        <f t="shared" si="0"/>
        <v>0</v>
      </c>
      <c r="T17" s="251" t="s">
        <v>1760</v>
      </c>
    </row>
    <row r="18" spans="1:20" ht="16.5" customHeight="1" x14ac:dyDescent="0.25">
      <c r="A18" s="99"/>
      <c r="B18" s="26" t="s">
        <v>178</v>
      </c>
      <c r="C18" s="26"/>
      <c r="D18" s="26"/>
      <c r="E18" s="193"/>
      <c r="F18" s="194"/>
      <c r="G18" s="194"/>
      <c r="H18" s="195"/>
      <c r="I18" s="195"/>
      <c r="J18" s="248">
        <f>P18</f>
        <v>2843</v>
      </c>
      <c r="M18" s="196">
        <v>2843</v>
      </c>
      <c r="P18" s="221">
        <f>IF(SUM($Q$20:$Q$23)&gt;SUM($P$15:$P$17),SUM($Q$20:$Q$23)-SUM($P$15:$P$17),0)</f>
        <v>2843</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36198</v>
      </c>
      <c r="N22" s="196">
        <v>36198</v>
      </c>
      <c r="P22" s="224"/>
      <c r="Q22" s="196">
        <v>36198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97865</v>
      </c>
      <c r="N23" s="196">
        <v>97865</v>
      </c>
      <c r="P23" s="224"/>
      <c r="Q23" s="196">
        <v>97865</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134063</v>
      </c>
      <c r="K26" s="155">
        <f>SUM(K15:K25)</f>
        <v>134063</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18099</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18099</v>
      </c>
    </row>
    <row r="59" spans="1:16" ht="16.5" customHeight="1" x14ac:dyDescent="0.25">
      <c r="A59" s="99"/>
      <c r="C59" s="43"/>
      <c r="D59" s="43"/>
      <c r="E59" s="43"/>
      <c r="F59" s="44"/>
      <c r="G59" s="44"/>
      <c r="H59" s="45"/>
      <c r="I59" s="45"/>
      <c r="J59" s="155">
        <f>SUM(J55:J58)</f>
        <v>18099</v>
      </c>
      <c r="K59" s="155">
        <f>SUM(K55:K58)</f>
        <v>18099</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17479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809</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18288</v>
      </c>
    </row>
    <row r="65" spans="1:12" ht="16.5" customHeight="1" x14ac:dyDescent="0.25">
      <c r="A65" s="99"/>
      <c r="C65" s="43"/>
      <c r="D65" s="43"/>
      <c r="E65" s="43"/>
      <c r="F65" s="44"/>
      <c r="G65" s="44"/>
      <c r="H65" s="45"/>
      <c r="I65" s="45"/>
      <c r="J65" s="155">
        <f>SUM(J62:J64)</f>
        <v>18288</v>
      </c>
      <c r="K65" s="155">
        <f>SUM(K62:K64)</f>
        <v>18288</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+J62</f>
        <v>17479</v>
      </c>
      <c r="K68" s="197"/>
    </row>
    <row r="69" spans="1:12" ht="16.5" customHeight="1" x14ac:dyDescent="0.25">
      <c r="A69" s="99"/>
      <c r="B69" s="26"/>
      <c r="C69" s="26" t="s">
        <v>202</v>
      </c>
      <c r="D69" s="193"/>
      <c r="E69" s="193"/>
      <c r="F69" s="194"/>
      <c r="G69" s="194"/>
      <c r="H69" s="195"/>
      <c r="I69" s="195"/>
      <c r="J69" s="197"/>
      <c r="K69" s="196">
        <f>+J68</f>
        <v>17479</v>
      </c>
      <c r="L69" s="37" t="str">
        <f>IF($J$62=$K$69,"","&lt;- Accts 0848 must agree")</f>
        <v/>
      </c>
    </row>
    <row r="70" spans="1:12" ht="16.5" customHeight="1" x14ac:dyDescent="0.25">
      <c r="A70" s="99"/>
      <c r="C70" s="43"/>
      <c r="D70" s="43"/>
      <c r="E70" s="43"/>
      <c r="F70" s="44"/>
      <c r="G70" s="44"/>
      <c r="H70" s="45"/>
      <c r="I70" s="45"/>
      <c r="J70" s="155">
        <f>SUM(J68:J69)</f>
        <v>17479</v>
      </c>
      <c r="K70" s="155">
        <f>SUM(K68:K69)</f>
        <v>17479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18019</v>
      </c>
      <c r="K75" s="197"/>
    </row>
    <row r="76" spans="1:12" ht="16.5" customHeight="1" x14ac:dyDescent="0.25">
      <c r="A76" s="99"/>
      <c r="B76" s="26"/>
      <c r="C76" s="26" t="s">
        <v>210</v>
      </c>
      <c r="D76" s="193"/>
      <c r="E76" s="193"/>
      <c r="F76" s="194"/>
      <c r="G76" s="194"/>
      <c r="H76" s="195"/>
      <c r="I76" s="195"/>
      <c r="J76" s="197"/>
      <c r="K76" s="196">
        <f>+J75</f>
        <v>18019</v>
      </c>
    </row>
    <row r="77" spans="1:12" ht="16.5" customHeight="1" x14ac:dyDescent="0.2">
      <c r="A77" s="99"/>
      <c r="B77" s="263" t="s">
        <v>1737</v>
      </c>
      <c r="C77" s="263"/>
      <c r="D77" s="263"/>
      <c r="E77" s="263"/>
      <c r="F77" s="263"/>
      <c r="G77" s="263"/>
      <c r="H77" s="263"/>
      <c r="I77" s="263"/>
      <c r="J77" s="155">
        <f>SUM(J75:J76)</f>
        <v>18019</v>
      </c>
      <c r="K77" s="155">
        <f>SUM(K75:K76)</f>
        <v>18019</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131220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-54297</v>
      </c>
    </row>
    <row r="128" spans="1:12" ht="16.5" customHeight="1" x14ac:dyDescent="0.25">
      <c r="D128" s="193" t="s">
        <v>1708</v>
      </c>
      <c r="H128" s="37"/>
      <c r="K128" s="238">
        <f>-K23-K48+J68+J75+J96-K113</f>
        <v>-62367</v>
      </c>
    </row>
    <row r="129" spans="4:11" ht="16.5" customHeight="1" x14ac:dyDescent="0.25">
      <c r="D129" s="193" t="s">
        <v>1709</v>
      </c>
      <c r="H129" s="37"/>
      <c r="K129" s="238">
        <f>-K76</f>
        <v>-18019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614B2526-29D5-4243-AF9A-C9E8FF77971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01D53A9-CA55-4D0D-BC54-02495ED65846}">
      <formula1>0</formula1>
    </dataValidation>
    <dataValidation type="textLength" operator="equal" allowBlank="1" showInputMessage="1" showErrorMessage="1" errorTitle="4-Digit Org Code" error="Enter the Org Code/BU as 4 digits." sqref="F5" xr:uid="{B100897A-9AD0-4474-9AFA-8F3BFF64473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750B6AD4-35EC-4AFF-B0D2-F3881165A631}">
          <x14:formula1>
            <xm:f>'Drop Down Menus'!$A$1:$A$101</xm:f>
          </x14:formula1>
          <xm:sqref>F3</xm:sqref>
        </x14:dataValidation>
        <x14:dataValidation type="list" allowBlank="1" showInputMessage="1" showErrorMessage="1" xr:uid="{72C117DF-8642-42DD-92E1-8C14DD5CF418}">
          <x14:formula1>
            <xm:f>'Drop Down Menus'!$B$1:$B$2</xm:f>
          </x14:formula1>
          <xm:sqref>F7</xm:sqref>
        </x14:dataValidation>
        <x14:dataValidation type="list" allowBlank="1" showInputMessage="1" showErrorMessage="1" xr:uid="{685D4769-AD64-42E6-9E75-CEA609DFA42C}">
          <x14:formula1>
            <xm:f>'Drop Down Menus'!$E$1:$E$3</xm:f>
          </x14:formula1>
          <xm:sqref>F8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workbookViewId="0">
      <selection activeCell="D9" sqref="D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250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f>28884249-42172-255838</f>
        <v>28586239</v>
      </c>
      <c r="C13" s="100">
        <f>1030532-3140-1319</f>
        <v>1026073</v>
      </c>
      <c r="D13" s="274" t="s">
        <v>6</v>
      </c>
      <c r="E13" s="275"/>
      <c r="F13" s="275"/>
      <c r="G13" s="57"/>
      <c r="H13" s="57"/>
      <c r="I13" s="57"/>
      <c r="J13" s="57"/>
      <c r="K13" s="57"/>
      <c r="L13" s="57"/>
      <c r="M13" s="57"/>
    </row>
    <row r="14" spans="1:13" x14ac:dyDescent="0.2">
      <c r="A14" s="84" t="str">
        <f>LEFT(A13,4)+1&amp;"–"&amp;RIGHT(A13,4)+1</f>
        <v>2025–2026</v>
      </c>
      <c r="B14" s="100">
        <f>28754090-44575-266645</f>
        <v>28442870</v>
      </c>
      <c r="C14" s="100">
        <f>765925-2101-798</f>
        <v>763026</v>
      </c>
      <c r="D14" s="274"/>
      <c r="E14" s="275"/>
      <c r="F14" s="275"/>
    </row>
    <row r="15" spans="1:13" ht="15.75" x14ac:dyDescent="0.2">
      <c r="A15" s="84" t="str">
        <f>LEFT(A14,4)+1&amp;"–"&amp;RIGHT(A14,4)+1</f>
        <v>2026–2027</v>
      </c>
      <c r="B15" s="100">
        <f>25809213-47068-253861</f>
        <v>25508284</v>
      </c>
      <c r="C15" s="100">
        <f>499531-1004-254</f>
        <v>498273</v>
      </c>
      <c r="D15" s="270" t="s">
        <v>130</v>
      </c>
      <c r="E15" s="270"/>
      <c r="F15" s="270"/>
      <c r="G15" s="58"/>
      <c r="H15" s="58"/>
      <c r="I15" s="58"/>
      <c r="J15" s="58"/>
      <c r="K15" s="58"/>
      <c r="L15" s="58"/>
      <c r="M15" s="58"/>
    </row>
    <row r="16" spans="1:13" x14ac:dyDescent="0.2">
      <c r="A16" s="84" t="str">
        <f>LEFT(A15,4)+1&amp;"–"&amp;RIGHT(A15,4)+1</f>
        <v>2027–2028</v>
      </c>
      <c r="B16" s="100">
        <f>22555174-16099</f>
        <v>22539075</v>
      </c>
      <c r="C16" s="100">
        <f>331986-81</f>
        <v>331905</v>
      </c>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f>8447496</f>
        <v>8447496</v>
      </c>
      <c r="C17" s="100">
        <v>73234</v>
      </c>
      <c r="D17" s="270"/>
      <c r="E17" s="270"/>
      <c r="F17" s="270"/>
      <c r="G17" s="59"/>
      <c r="H17" s="59"/>
      <c r="I17" s="59"/>
      <c r="J17" s="59"/>
      <c r="K17" s="59"/>
    </row>
    <row r="18" spans="1:13" ht="15" customHeight="1" x14ac:dyDescent="0.25">
      <c r="A18" s="84" t="str">
        <f>LEFT(A17,4)+1&amp;"–"&amp;RIGHT(A17,4)+5</f>
        <v>2029–2034</v>
      </c>
      <c r="B18" s="100">
        <f>927891+325656</f>
        <v>1253547</v>
      </c>
      <c r="C18" s="100">
        <v>1740</v>
      </c>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131</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t="s">
        <v>1805</v>
      </c>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250</v>
      </c>
      <c r="C40" s="285"/>
      <c r="E40" s="60"/>
    </row>
    <row r="41" spans="1:13" ht="15.75" x14ac:dyDescent="0.25">
      <c r="A41" s="12" t="s">
        <v>208</v>
      </c>
      <c r="B41" s="269" t="str">
        <f>B10</f>
        <v>Judicial Council of California</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250</v>
      </c>
      <c r="C71" s="285"/>
    </row>
    <row r="72" spans="1:13" ht="15.75" x14ac:dyDescent="0.25">
      <c r="A72" s="12" t="s">
        <v>208</v>
      </c>
      <c r="B72" s="269" t="str">
        <f>B10</f>
        <v>Judicial Council of California</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D1" workbookViewId="0">
      <selection activeCell="T11" sqref="T1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250 - Judicial Council of California</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Entries'!$K$23,0))+(IF('LS-Fund 0159 Journal Entries'!$F$8="Governmental Fund",'LS-Fund 0159 Journal Entries'!$K$23,0))+IF('LS-Fund 0587 Journal Entries'!$F$8="Governmental Fund",'LS-Fund 0587 Journal Entries'!$K$23,0)+IF('LS-Fund 0890 Journal Entries'!$F$8="Governmental Fund",'LS-Fund 0890 Journal Entries'!$K$23,0)+IF('LS-Fund 0932 Journal Entries'!$F$8="Governmental Fund",'LS-Fund 0932 Journal Entries'!$K$23,0)+IF('LS-Fund 3037 Journal Entries'!$F$8="Governmental Fund",'LS-Fund 3037 Journal Entries'!$K$23,0)+IF('LS-Fund 3060 Journal Entries'!$F$8="Governmental Fund",'LS-Fund 3060 Journal Entries'!$K$23,0)+IF('LS-Fund 3066 Journal Entries'!$F$8="Governmental Fund",'LS-Fund 3066 Journal Entries'!$K$23,0)+IF('LS-Fund 3085 Journal Entries'!$F$8="Governmental Fund",'LS-Fund 3085 Journal Entries'!$K$23,0)</f>
        <v>133718520</v>
      </c>
      <c r="G10" s="103"/>
      <c r="H10" s="107">
        <f>IF('LS-Fund 0001 Journal Entries'!$F$8="Governmental Fund",SUM('LS-Fund 0001 Journal Entries'!$K$48,'LS-Fund 0001 Journal Entries'!K113),0)+IF('LS-Fund 0159 Journal Entries'!$F$8="Governmental Fund",SUM('LS-Fund 0159 Journal Entries'!$K$48,'LS-Fund 0159 Journal Entries'!K113),0)+IF('LS-Fund 0587 Journal Entries'!$F$8="Governmental Fund",SUM('LS-Fund 0587 Journal Entries'!$K$48,'LS-Fund 0587 Journal Entries'!K113),0)+IF('LS-Fund 0890 Journal Entries'!$F$8="Governmental Fund",SUM('LS-Fund 0890 Journal Entries'!$K$48,'LS-Fund 0890 Journal Entries'!K113),0)+IF('LS-Fund 0932 Journal Entries'!$F$8="Governmental Fund",SUM('LS-Fund 0932 Journal Entries'!$K$48,'LS-Fund 0932 Journal Entries'!K113),0)+IF('LS-Fund 3037 Journal Entries'!$F$8="Governmental Fund",SUM('LS-Fund 3037 Journal Entries'!$K$48,'LS-Fund 3037 Journal Entries'!K113),0)+IF('LS-Fund 3060 Journal Entries'!$F$8="Governmental Fund",SUM('LS-Fund 3060 Journal Entries'!$K$48,'LS-Fund 3060 Journal Entries'!K113),0)+IF('LS-Fund 3066 Journal Entries'!$F$8="Governmental Fund",SUM('LS-Fund 3066 Journal Entries'!$K$48,'LS-Fund 3066 Journal Entries'!K113),0)+IF('LS-Fund 3085 Journal Entries'!$F$8="Governmental Fund",SUM('LS-Fund 3085 Journal Entries'!$K$48,'LS-Fund 3085 Journal Entries'!K113),0)</f>
        <v>8234859</v>
      </c>
      <c r="I10" s="103"/>
      <c r="J10" s="107">
        <f>IF('LS-Fund 0001 Journal Entries'!$F$8="Governmental Fund",SUM('LS-Fund 0001 Journal Entries'!$J$68,'LS-Fund 0001 Journal Entries'!J96),0)+IF('LS-Fund 0159 Journal Entries'!$F$8="Governmental Fund",SUM('LS-Fund 0159 Journal Entries'!$J$68,'LS-Fund 0159 Journal Entries'!J96),0)+IF('LS-Fund 0587 Journal Entries'!$F$8="Governmental Fund",SUM('LS-Fund 0587 Journal Entries'!$J$68,'LS-Fund 0587 Journal Entries'!J96),0)+IF('LS-Fund 0890 Journal Entries'!$F$8="Governmental Fund",SUM('LS-Fund 0890 Journal Entries'!$J$68,'LS-Fund 0890 Journal Entries'!J96),0)+IF('LS-Fund 0932 Journal Entries'!$F$8="Governmental Fund",SUM('LS-Fund 0932 Journal Entries'!$J$68,'LS-Fund 0932 Journal Entries'!J96),0)+IF('LS-Fund 3037 Journal Entries'!$F$8="Governmental Fund",SUM('LS-Fund 3037 Journal Entries'!$J$68,'LS-Fund 3037 Journal Entries'!J96),0)+IF('LS-Fund 3060 Journal Entries'!$F$8="Governmental Fund",SUM('LS-Fund 3060 Journal Entries'!$J$68,'LS-Fund 3060 Journal Entries'!J96),0)+IF('LS-Fund 3066 Journal Entries'!$F$8="Governmental Fund",SUM('LS-Fund 3066 Journal Entries'!$J$68,'LS-Fund 3066 Journal Entries'!J96),0)+IF('LS-Fund 3085 Journal Entries'!$F$8="Governmental Fund",SUM('LS-Fund 3085 Journal Entries'!$J$68,'LS-Fund 3085 Journal Entries'!J96),0)</f>
        <v>27175868</v>
      </c>
      <c r="K10" s="103"/>
      <c r="L10" s="109">
        <f>SUM(F10+H10-J10)</f>
        <v>114777511</v>
      </c>
      <c r="M10" s="103"/>
      <c r="N10" s="107">
        <f>IF('LS-Fund 0001 Journal Entries'!$F$8="Governmental Fund",'LS-Fund 0001 Journal Entries'!$K$76,0)+IF('LS-Fund 0159 Journal Entries'!$F$8="Governmental Fund",'LS-Fund 0159 Journal Entries'!$K$76,0)+IF('LS-Fund 0587 Journal Entries'!$F$8="Governmental Fund",'LS-Fund 0587 Journal Entries'!$K$76,0)+IF('LS-Fund 0890 Journal Entries'!$F$8="Governmental Fund",'LS-Fund 0890 Journal Entries'!$K$76,0)+IF('LS-Fund 0932 Journal Entries'!$F$8="Governmental Fund",'LS-Fund 0932 Journal Entries'!$K$76,0)+IF('LS-Fund 3037 Journal Entries'!$F$8="Governmental Fund",'LS-Fund 3037 Journal Entries'!$K$76,0)+IF('LS-Fund 3060 Journal Entries'!$F$8="Governmental Fund",'LS-Fund 3060 Journal Entries'!$K$76,0)+IF('LS-Fund 3066 Journal Entries'!$F$8="Governmental Fund",'LS-Fund 3066 Journal Entries'!$K$76,0)+IF('LS-Fund 3085 Journal Entries'!$F$8="Governmental Fund",'LS-Fund 3085 Journal Entries'!$K$76,0)</f>
        <v>28586239</v>
      </c>
      <c r="O10" s="103"/>
      <c r="P10" s="109">
        <f>L10-N10</f>
        <v>86191272</v>
      </c>
      <c r="Q10" s="71"/>
    </row>
    <row r="11" spans="2:17" ht="19.5" thickTop="1" thickBot="1" x14ac:dyDescent="0.3">
      <c r="B11" s="69"/>
      <c r="C11" s="73" t="s">
        <v>21</v>
      </c>
      <c r="F11" s="108">
        <f>SUM(F10:F10)</f>
        <v>133718520</v>
      </c>
      <c r="G11" s="103"/>
      <c r="H11" s="108">
        <f>SUM(H10:H10)</f>
        <v>8234859</v>
      </c>
      <c r="I11" s="103"/>
      <c r="J11" s="108">
        <f>SUM(J10:J10)</f>
        <v>27175868</v>
      </c>
      <c r="K11" s="103"/>
      <c r="L11" s="108">
        <f>SUM(L10:L10)</f>
        <v>114777511</v>
      </c>
      <c r="M11" s="103"/>
      <c r="N11" s="108">
        <f>SUM(N10:N10)</f>
        <v>28586239</v>
      </c>
      <c r="O11" s="103"/>
      <c r="P11" s="108">
        <f>SUM(P10:P10)</f>
        <v>86191272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79998168889431442"/>
    <pageSetUpPr fitToPage="1"/>
  </sheetPr>
  <dimension ref="A1:S577"/>
  <sheetViews>
    <sheetView tabSelected="1" workbookViewId="0">
      <selection activeCell="N42" sqref="N4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Entries'!$K$23,0)+IF('LS-Fund 0159 Journal Entries'!$F$8="Governmental Fund",'LS-Fund 0159 Journal Entries'!$K$23,0)+IF('LS-Fund 0587 Journal Entries'!$F$8="Governmental Fund",'LS-Fund 0587 Journal Entries'!$K$23,0)+IF('LS-Fund 0890 Journal Entries'!$F$8="Governmental Fund",'LS-Fund 0890 Journal Entries'!$K$23,0)+IF('LS-Fund 0932 Journal Entries'!$F$8="Governmental Fund",'LS-Fund 0932 Journal Entries'!$K$23,0)+IF('LS-Fund 3037 Journal Entries'!$F$8="Governmental Fund",'LS-Fund 3037 Journal Entries'!$K$23,0)+IF('LS-Fund 3060 Journal Entries'!$F$8="Governmental Fund",'LS-Fund 3060 Journal Entries'!$K$23,0)+IF('LS-Fund 3066 Journal Entries'!$F$8="Governmental Fund",'LS-Fund 3066 Journal Entries'!$K$23,0)+IF('LS-Fund 3085 Journal Entries'!$F$8="Governmental Fund",'LS-Fund 3085 Journal Entries'!$K$23,0)</f>
        <v>133718520</v>
      </c>
      <c r="C16" s="168" t="s">
        <v>155</v>
      </c>
      <c r="D16" s="130">
        <f>IF('LS-Fund 0001 Journal Entries'!$F$8="Governmental Fund",'LS-Fund 0001 Journal Entries'!$K$48,0)+IF('LS-Fund 0159 Journal Entries'!$F$8="Governmental Fund",'LS-Fund 0159 Journal Entries'!$K$48,0)+IF('LS-Fund 0587 Journal Entries'!$F$8="Governmental Fund",'LS-Fund 0587 Journal Entries'!$K$48,0)+IF('LS-Fund 0890 Journal Entries'!$F$8="Governmental Fund",'LS-Fund 0890 Journal Entries'!$K$48,0)+IF('LS-Fund 0932 Journal Entries'!$F$8="Governmental Fund",'LS-Fund 0932 Journal Entries'!$K$48,0)+IF('LS-Fund 3037 Journal Entries'!$F$8="Governmental Fund",'LS-Fund 3037 Journal Entries'!$K$48,0)+IF('LS-Fund 3060 Journal Entries'!$F$8="Governmental Fund",'LS-Fund 3060 Journal Entries'!$K$48,0)+IF('LS-Fund 3066 Journal Entries'!$F$8="Governmental Fund",'LS-Fund 3066 Journal Entries'!$K$48,0)+IF('LS-Fund 3085 Journal Entries'!$F$8="Governmental Fund",'LS-Fund 3085 Journal Entries'!$K$48,0)</f>
        <v>1317542</v>
      </c>
      <c r="E16" s="170" t="s">
        <v>156</v>
      </c>
      <c r="F16" s="130">
        <f>IF('LS-Fund 0001 Journal Entries'!$F$8="Governmental Fund",'LS-Fund 0001 Journal Entries'!$J$68,0)+IF('LS-Fund 0159 Journal Entries'!$F$8="Governmental Fund",'LS-Fund 0159 Journal Entries'!$J$68,0)+IF('LS-Fund 0587 Journal Entries'!$F$8="Governmental Fund",'LS-Fund 0587 Journal Entries'!$J$68,0)+IF('LS-Fund 0890 Journal Entries'!$F$8="Governmental Fund",'LS-Fund 0890 Journal Entries'!$J$68,0)+IF('LS-Fund 0932 Journal Entries'!$F$8="Governmental Fund",'LS-Fund 0932 Journal Entries'!$J$68,0)+IF('LS-Fund 3037 Journal Entries'!$F$8="Governmental Fund",'LS-Fund 3037 Journal Entries'!$J$68,0)+IF('LS-Fund 3060 Journal Entries'!$F$8="Governmental Fund",'LS-Fund 3060 Journal Entries'!$J$68,0)+IF('LS-Fund 3066 Journal Entries'!$F$8="Governmental Fund",'LS-Fund 3066 Journal Entries'!$J$68,0)+IF('LS-Fund 3085 Journal Entries'!$F$8="Governmental Fund",'LS-Fund 3085 Journal Entries'!$J$68,0)</f>
        <v>27053167</v>
      </c>
      <c r="G16" s="169" t="s">
        <v>156</v>
      </c>
      <c r="H16" s="130">
        <f>IF('LS-Fund 0001 Journal Entries'!$F$8="Governmental Fund",'LS-Fund 0001 Journal Entries'!$J$96,0)+IF('LS-Fund 0932 Journal Entries'!$F$8="Governmental Fund",'LS-Fund 0932 Journal Entries'!$J$96,0)</f>
        <v>122701</v>
      </c>
      <c r="I16" s="169" t="s">
        <v>155</v>
      </c>
      <c r="J16" s="130">
        <f>IF('LS-Fund 0932 Journal Entries'!$F$8="Governmental Fund",'LS-Fund 0932 Journal Entries'!$K$113,0)+IF('LS-Fund 3066 Journal Entries'!$F$8="Governmental Fund",'LS-Fund 3066 Journal Entries'!$K$113,0)</f>
        <v>6917317</v>
      </c>
      <c r="K16" s="170" t="s">
        <v>159</v>
      </c>
      <c r="L16" s="133">
        <f>+B16+D16-F16-H16+J16</f>
        <v>114777511</v>
      </c>
      <c r="M16" s="132"/>
      <c r="N16" s="134">
        <f>SUM('LS-Department Note Disclosure'!B13:B36)</f>
        <v>114777511</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Entries'!$K$76,0)+IF('LS-Fund 0159 Journal Entries'!$F$8="Governmental Fund",'LS-Fund 0159 Journal Entries'!$K$76,0)+IF('LS-Fund 0587 Journal Entries'!$F$8="Governmental Fund",'LS-Fund 0587 Journal Entries'!$K$76,0)+IF('LS-Fund 0890 Journal Entries'!$F$8="Governmental Fund",'LS-Fund 0890 Journal Entries'!$K$76,0)+IF('LS-Fund 0932 Journal Entries'!$F$8="Governmental Fund",'LS-Fund 0932 Journal Entries'!$K$76,0)+IF('LS-Fund 3037 Journal Entries'!$F$8="Governmental Fund",'LS-Fund 3037 Journal Entries'!$K$76,0)+IF('LS-Fund 3060 Journal Entries'!$F$8="Governmental Fund",'LS-Fund 3060 Journal Entries'!$K$76,0)+IF('LS-Fund 3066 Journal Entries'!$F$8="Governmental Fund",'LS-Fund 3066 Journal Entries'!$K$76,0)+IF('LS-Fund 3085 Journal Entries'!$F$8="Governmental Fund",'LS-Fund 3085 Journal Entries'!$K$76,0)</f>
        <v>28586239</v>
      </c>
      <c r="C42" s="138"/>
      <c r="E42" s="138"/>
      <c r="G42" s="167"/>
      <c r="H42" s="167"/>
      <c r="I42" s="167"/>
      <c r="J42" s="167"/>
      <c r="K42" s="138"/>
      <c r="L42" s="138"/>
      <c r="M42" s="139"/>
      <c r="N42" s="134">
        <f>'LS-Department Note Disclosure'!B13</f>
        <v>28586239</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133718520</v>
      </c>
      <c r="J66" s="143">
        <f>SUM(D66)</f>
        <v>133718520</v>
      </c>
      <c r="L66" s="144" t="str">
        <f>CONCATENATE("Balance July 1, ",LEFT('LS-Department Note Disclosure'!$B$8,4))</f>
        <v>Balance July 1, 2023</v>
      </c>
      <c r="N66" s="143">
        <f>'LS-Lease Liabilities'!F10</f>
        <v>133718520</v>
      </c>
      <c r="P66" s="135">
        <f>J66-N66</f>
        <v>0</v>
      </c>
    </row>
    <row r="67" spans="1:17" x14ac:dyDescent="0.25">
      <c r="B67" s="125" t="s">
        <v>166</v>
      </c>
      <c r="D67" s="143">
        <f>$D$16</f>
        <v>1317542</v>
      </c>
      <c r="E67" s="171" t="s">
        <v>155</v>
      </c>
      <c r="F67" s="125" t="s">
        <v>1753</v>
      </c>
      <c r="H67" s="143">
        <f>$J$16</f>
        <v>6917317</v>
      </c>
      <c r="J67" s="143">
        <f>SUM(D67,H67)</f>
        <v>8234859</v>
      </c>
      <c r="L67" s="144" t="s">
        <v>14</v>
      </c>
      <c r="N67" s="143">
        <f>'LS-Lease Liabilities'!H10</f>
        <v>8234859</v>
      </c>
      <c r="P67" s="135">
        <f t="shared" ref="P67:P69" si="0">J67-N67</f>
        <v>0</v>
      </c>
    </row>
    <row r="68" spans="1:17" x14ac:dyDescent="0.25">
      <c r="B68" s="125" t="s">
        <v>161</v>
      </c>
      <c r="D68" s="143">
        <f>$F$16</f>
        <v>27053167</v>
      </c>
      <c r="E68" s="171" t="s">
        <v>155</v>
      </c>
      <c r="F68" s="125" t="s">
        <v>1750</v>
      </c>
      <c r="H68" s="143">
        <f>$H$16</f>
        <v>122701</v>
      </c>
      <c r="J68" s="143">
        <f>SUM(D68,H68)</f>
        <v>27175868</v>
      </c>
      <c r="L68" s="144" t="s">
        <v>15</v>
      </c>
      <c r="N68" s="143">
        <f>'LS-Lease Liabilities'!J10</f>
        <v>27175868</v>
      </c>
      <c r="P68" s="135">
        <f t="shared" si="0"/>
        <v>0</v>
      </c>
    </row>
    <row r="69" spans="1:17" x14ac:dyDescent="0.25">
      <c r="B69" s="125" t="s">
        <v>165</v>
      </c>
      <c r="D69" s="143">
        <f>$B$42</f>
        <v>28586239</v>
      </c>
      <c r="J69" s="143">
        <f>SUM(D69)</f>
        <v>28586239</v>
      </c>
      <c r="L69" s="144" t="s">
        <v>16</v>
      </c>
      <c r="N69" s="143">
        <f>'LS-Lease Liabilities'!N10</f>
        <v>28586239</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t="s">
        <v>1803</v>
      </c>
      <c r="H4" s="7"/>
      <c r="I4" s="7"/>
      <c r="J4" s="7"/>
      <c r="K4" s="7"/>
      <c r="L4" s="7"/>
      <c r="M4" s="7"/>
      <c r="N4" s="7"/>
      <c r="O4" s="7"/>
      <c r="P4" s="7"/>
      <c r="Q4" s="7"/>
      <c r="R4" s="7"/>
    </row>
    <row r="5" spans="1:20" ht="17.45" customHeight="1" x14ac:dyDescent="0.25">
      <c r="A5" s="290" t="s">
        <v>1683</v>
      </c>
      <c r="B5" s="290"/>
      <c r="C5" s="290"/>
      <c r="D5" s="290"/>
      <c r="E5" s="161" t="s">
        <v>273</v>
      </c>
      <c r="H5" s="7"/>
      <c r="I5" s="7"/>
      <c r="J5" s="8"/>
      <c r="K5" s="8"/>
      <c r="L5" s="8"/>
      <c r="M5" s="8"/>
      <c r="N5" s="8"/>
      <c r="O5" s="8"/>
      <c r="P5" s="8"/>
      <c r="Q5" s="7"/>
      <c r="R5" s="7"/>
    </row>
    <row r="6" spans="1:20" ht="17.45" customHeight="1" x14ac:dyDescent="0.25">
      <c r="A6" s="290" t="s">
        <v>1684</v>
      </c>
      <c r="B6" s="290"/>
      <c r="C6" s="290"/>
      <c r="D6" s="290"/>
      <c r="E6" s="97">
        <v>3066</v>
      </c>
      <c r="G6" s="8"/>
      <c r="H6" s="8"/>
      <c r="I6" s="8"/>
      <c r="J6" s="8"/>
      <c r="K6" s="8"/>
      <c r="L6" s="8"/>
      <c r="M6" s="8"/>
      <c r="N6" s="8"/>
      <c r="O6" s="8"/>
      <c r="P6" s="8"/>
      <c r="Q6" s="7"/>
      <c r="R6" s="7"/>
    </row>
    <row r="7" spans="1:20" ht="17.45" customHeight="1" x14ac:dyDescent="0.25">
      <c r="A7" s="290" t="s">
        <v>3</v>
      </c>
      <c r="B7" s="290"/>
      <c r="C7" s="290"/>
      <c r="D7" s="290"/>
      <c r="E7" s="35" t="s">
        <v>123</v>
      </c>
      <c r="G7" s="8"/>
      <c r="H7" s="8"/>
      <c r="I7" s="8"/>
      <c r="J7" s="8"/>
      <c r="K7" s="8"/>
      <c r="L7" s="8"/>
      <c r="M7" s="8"/>
      <c r="N7" s="8"/>
      <c r="O7" s="8"/>
      <c r="P7" s="8"/>
      <c r="Q7" s="7"/>
      <c r="R7" s="7"/>
    </row>
    <row r="8" spans="1:20" ht="17.45" customHeight="1" x14ac:dyDescent="0.25">
      <c r="A8" s="290" t="s">
        <v>1640</v>
      </c>
      <c r="B8" s="290"/>
      <c r="C8" s="290"/>
      <c r="D8" s="290"/>
      <c r="E8" s="35" t="s">
        <v>164</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1946145</v>
      </c>
      <c r="K14" s="37"/>
      <c r="L14" s="37"/>
      <c r="M14" s="196">
        <v>1946145</v>
      </c>
      <c r="N14" s="37"/>
      <c r="O14" s="37"/>
      <c r="P14" s="196">
        <v>1946145</v>
      </c>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1898205</v>
      </c>
      <c r="L17" s="37"/>
      <c r="M17" s="37"/>
      <c r="N17" s="196">
        <v>1898205</v>
      </c>
      <c r="O17" s="37"/>
      <c r="P17" s="224"/>
      <c r="Q17" s="196">
        <v>1898205</v>
      </c>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47940</v>
      </c>
      <c r="L18" s="37"/>
      <c r="M18" s="37"/>
      <c r="N18" s="196">
        <v>47940</v>
      </c>
      <c r="O18" s="37"/>
      <c r="P18" s="224"/>
      <c r="Q18" s="221">
        <f>IF(SUM($Q$17)&lt;SUM($P$14),-SUM($Q$17)+SUM($P$14),0)</f>
        <v>47940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1946145</v>
      </c>
      <c r="K20" s="155">
        <f>SUM(K14:K19)</f>
        <v>1946145</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0775 - OTHER INCOME</v>
      </c>
      <c r="C30" s="293"/>
      <c r="D30" s="293"/>
      <c r="E30" s="293"/>
      <c r="F30" s="293"/>
      <c r="G30" s="293"/>
      <c r="H30" s="293"/>
      <c r="I30" s="293"/>
      <c r="J30" s="196">
        <v>534729</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v>521558</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13171</v>
      </c>
      <c r="N32" s="22"/>
      <c r="O32" s="23"/>
    </row>
    <row r="33" spans="1:22" ht="17.45" customHeight="1" x14ac:dyDescent="0.3">
      <c r="A33" s="15"/>
      <c r="C33" s="183"/>
      <c r="D33" s="183"/>
      <c r="E33" s="183"/>
      <c r="F33" s="183"/>
      <c r="G33" s="183"/>
      <c r="H33" s="183"/>
      <c r="I33" s="183"/>
      <c r="J33" s="156">
        <f>J30</f>
        <v>534729</v>
      </c>
      <c r="K33" s="253">
        <f>SUM(K31:K32)</f>
        <v>534729</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v>516363</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516363</v>
      </c>
      <c r="R37" s="9"/>
      <c r="S37" s="9"/>
      <c r="T37" s="9"/>
      <c r="U37" s="9"/>
      <c r="V37" s="9"/>
    </row>
    <row r="38" spans="1:22" ht="17.45" customHeight="1" x14ac:dyDescent="0.2">
      <c r="A38" s="15"/>
      <c r="C38" s="14"/>
      <c r="D38" s="9"/>
      <c r="E38" s="9"/>
      <c r="F38" s="9"/>
      <c r="G38" s="9"/>
      <c r="H38" s="9"/>
      <c r="I38" s="1"/>
      <c r="J38" s="253">
        <f>J36</f>
        <v>516363</v>
      </c>
      <c r="K38" s="156">
        <f>K37</f>
        <v>516363</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v>352464</v>
      </c>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v>352464</v>
      </c>
      <c r="O42" s="9"/>
      <c r="P42" s="9"/>
      <c r="Q42" s="9"/>
      <c r="R42" s="9"/>
      <c r="S42" s="9"/>
      <c r="T42" s="9"/>
      <c r="U42" s="9"/>
      <c r="V42" s="9"/>
    </row>
    <row r="43" spans="1:22" ht="17.45" customHeight="1" x14ac:dyDescent="0.2">
      <c r="A43" s="15"/>
      <c r="B43" s="294" t="s">
        <v>1738</v>
      </c>
      <c r="C43" s="294"/>
      <c r="D43" s="294"/>
      <c r="E43" s="294"/>
      <c r="F43" s="294"/>
      <c r="G43" s="294"/>
      <c r="H43" s="294"/>
      <c r="I43" s="294"/>
      <c r="J43" s="253">
        <f>J41</f>
        <v>352464</v>
      </c>
      <c r="K43" s="156">
        <f>K42</f>
        <v>352464</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1072123</v>
      </c>
    </row>
    <row r="68" spans="2:11" ht="17.45" customHeight="1" x14ac:dyDescent="0.25">
      <c r="D68" s="193" t="s">
        <v>1714</v>
      </c>
      <c r="E68" s="37"/>
      <c r="F68" s="37"/>
      <c r="G68" s="37"/>
      <c r="H68" s="37"/>
      <c r="I68" s="37"/>
      <c r="J68" s="37"/>
      <c r="K68" s="238">
        <f>J41</f>
        <v>352464</v>
      </c>
    </row>
    <row r="69" spans="2:11" ht="17.45" customHeight="1" x14ac:dyDescent="0.25">
      <c r="D69" s="193" t="s">
        <v>1715</v>
      </c>
      <c r="E69" s="37"/>
      <c r="F69" s="37"/>
      <c r="G69" s="37"/>
      <c r="H69" s="37"/>
      <c r="I69" s="37"/>
      <c r="J69" s="37"/>
      <c r="K69" s="238">
        <f>-K17-K25+J36+J49-K59</f>
        <v>-1381842</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v>250</v>
      </c>
      <c r="C10" s="296"/>
      <c r="D10" s="82"/>
      <c r="F10" s="38"/>
      <c r="G10" s="38"/>
      <c r="H10" s="38"/>
      <c r="I10" s="38"/>
      <c r="J10" s="38"/>
      <c r="K10" s="38"/>
      <c r="L10" s="38"/>
      <c r="M10" s="38"/>
      <c r="N10" s="38"/>
      <c r="O10" s="38"/>
      <c r="P10" s="6"/>
      <c r="Q10" s="6"/>
      <c r="R10" s="6"/>
      <c r="S10" s="6"/>
    </row>
    <row r="11" spans="1:19" ht="15.75" x14ac:dyDescent="0.25">
      <c r="A11" s="12" t="s">
        <v>208</v>
      </c>
      <c r="B11" s="295" t="s">
        <v>1803</v>
      </c>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v>352464</v>
      </c>
      <c r="C14" s="2">
        <v>10529</v>
      </c>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v>337284</v>
      </c>
      <c r="C15" s="2">
        <v>8018</v>
      </c>
      <c r="D15" s="62"/>
      <c r="E15" s="273"/>
      <c r="F15" s="5"/>
      <c r="G15" s="5"/>
      <c r="H15" s="5"/>
      <c r="I15" s="5"/>
      <c r="J15" s="5"/>
      <c r="K15" s="5"/>
      <c r="L15" s="5"/>
      <c r="M15" s="5"/>
      <c r="N15" s="5"/>
      <c r="O15" s="5"/>
      <c r="P15" s="5"/>
      <c r="Q15" s="5"/>
      <c r="R15" s="5"/>
      <c r="S15" s="5"/>
    </row>
    <row r="16" spans="1:19" ht="15.75" x14ac:dyDescent="0.25">
      <c r="A16" s="84" t="str">
        <f>LEFT(A15,4)+1&amp;"–"&amp;RIGHT(A15,4)+1</f>
        <v>2026–2027</v>
      </c>
      <c r="B16" s="2">
        <v>284030</v>
      </c>
      <c r="C16" s="2">
        <v>5456</v>
      </c>
      <c r="D16" s="62"/>
      <c r="E16" s="273"/>
      <c r="F16" s="5"/>
      <c r="G16" s="5"/>
      <c r="H16" s="5"/>
      <c r="I16" s="5"/>
      <c r="J16" s="5"/>
      <c r="K16" s="5"/>
      <c r="L16" s="5"/>
      <c r="M16" s="5"/>
      <c r="N16" s="5"/>
      <c r="O16" s="5"/>
      <c r="P16" s="5"/>
      <c r="Q16" s="5"/>
      <c r="R16" s="5"/>
      <c r="S16" s="5"/>
    </row>
    <row r="17" spans="1:19" ht="15.75" x14ac:dyDescent="0.25">
      <c r="A17" s="84" t="str">
        <f>LEFT(A16,4)+1&amp;"–"&amp;RIGHT(A16,4)+1</f>
        <v>2027–2028</v>
      </c>
      <c r="B17" s="2">
        <v>298224</v>
      </c>
      <c r="C17" s="2">
        <v>2842</v>
      </c>
      <c r="D17" s="62"/>
      <c r="E17" s="273"/>
      <c r="F17" s="5"/>
      <c r="G17" s="5"/>
      <c r="H17" s="5"/>
      <c r="I17" s="5"/>
      <c r="J17" s="5"/>
      <c r="K17" s="5"/>
      <c r="L17" s="5"/>
      <c r="M17" s="5"/>
      <c r="N17" s="5"/>
      <c r="O17" s="5"/>
      <c r="P17" s="5"/>
      <c r="Q17" s="5"/>
      <c r="R17" s="5"/>
      <c r="S17" s="5"/>
    </row>
    <row r="18" spans="1:19" ht="15.75" x14ac:dyDescent="0.25">
      <c r="A18" s="84" t="str">
        <f>LEFT(A17,4)+1&amp;"–"&amp;RIGHT(A17,4)+1</f>
        <v>2028–2029</v>
      </c>
      <c r="B18" s="2">
        <v>152585</v>
      </c>
      <c r="C18" s="2">
        <v>401</v>
      </c>
      <c r="D18" s="62"/>
      <c r="E18" s="98" t="s">
        <v>131</v>
      </c>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t="s">
        <v>1804</v>
      </c>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250</v>
      </c>
      <c r="C41" s="285"/>
      <c r="D41" s="91"/>
    </row>
    <row r="42" spans="1:19" ht="15.75" x14ac:dyDescent="0.25">
      <c r="A42" s="12" t="s">
        <v>208</v>
      </c>
      <c r="B42" s="269" t="str">
        <f>B11</f>
        <v>Judicial Council of California</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250</v>
      </c>
      <c r="C72" s="285"/>
      <c r="D72" s="91"/>
    </row>
    <row r="73" spans="1:19" ht="15.75" x14ac:dyDescent="0.25">
      <c r="A73" s="12" t="s">
        <v>208</v>
      </c>
      <c r="B73" s="269" t="str">
        <f>B42</f>
        <v>Judicial Council of California</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3066 Journal Entries'!$E$8="Governmental Fund",'LR-Fund 3066 Journal Entries'!$J$14,0)</f>
        <v>1946145</v>
      </c>
      <c r="C16" s="168" t="s">
        <v>155</v>
      </c>
      <c r="D16" s="130">
        <f>IF('LR-Fund 3066 Journal Entries'!$E$8="Governmental Fund",'LR-Fund 3066 Journal Entries'!$J$24,0)</f>
        <v>0</v>
      </c>
      <c r="E16" s="170" t="s">
        <v>156</v>
      </c>
      <c r="F16" s="130">
        <f>IF('LR-Fund 3066 Journal Entries'!$E$8="Governmental Fund",'LR-Fund 3066 Journal Entries'!$K$31,0)</f>
        <v>521558</v>
      </c>
      <c r="G16" s="169" t="s">
        <v>156</v>
      </c>
      <c r="H16" s="130">
        <f>IF('LR-Fund 3066 Journal Entries'!$E$8="Governmental Fund",'LR-Fund 3066 Journal Entries'!$K$52,0)</f>
        <v>0</v>
      </c>
      <c r="I16" s="169" t="s">
        <v>155</v>
      </c>
      <c r="J16" s="130">
        <f>IF('LR-Fund 3066 Journal Entries'!$E$8="Governmental Fund",'LR-Fund 3066 Journal Entries'!$J$58,0)</f>
        <v>0</v>
      </c>
      <c r="K16" s="170" t="s">
        <v>159</v>
      </c>
      <c r="L16" s="133">
        <f>+B16+D16-F16-H16+J16</f>
        <v>1424587</v>
      </c>
      <c r="M16" s="132"/>
      <c r="N16" s="134">
        <f>SUM('LR-Department Note Disclosure'!B14:B37)</f>
        <v>1424587</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3066 Journal Entries'!$E$8="Proprietary - Internal Service Fund",'LR-Fund 3066 Journal Entries'!$J$14,0)</f>
        <v>0</v>
      </c>
      <c r="C24" s="168" t="s">
        <v>155</v>
      </c>
      <c r="D24" s="130">
        <f>IF('LR-Fund 3066 Journal Entries'!$E$8="Proprietary - Internal Service Fund",'LR-Fund 3066 Journal Entries'!$J$24,0)</f>
        <v>0</v>
      </c>
      <c r="E24" s="170" t="s">
        <v>156</v>
      </c>
      <c r="F24" s="130">
        <f>IF('LR-Fund 3066 Journal Entries'!$E$8="Proprietary - Internal Service Fund",'LR-Fund 3066 Journal Entries'!$K$31,0)</f>
        <v>0</v>
      </c>
      <c r="G24" s="169" t="s">
        <v>156</v>
      </c>
      <c r="H24" s="130">
        <f>IF('LR-Fund 3066 Journal Entries'!$E$8="Proprietary - Internal Service Fund",'LR-Fund 3066 Journal Entries'!$K$52,0)</f>
        <v>0</v>
      </c>
      <c r="I24" s="169" t="s">
        <v>155</v>
      </c>
      <c r="J24" s="130">
        <f>IF('LR-Fund 3066 Journal Entries'!$E$8="Proprietary - Internal Service Fund",'LR-Fund 3066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3066 Journal Entries'!$E$8="Proprietary - Enterprise Fund",'LR-Fund 3066 Journal Entries'!$J$14,0)</f>
        <v>0</v>
      </c>
      <c r="C33" s="168" t="s">
        <v>155</v>
      </c>
      <c r="D33" s="130">
        <f>IF('LR-Fund 3066 Journal Entries'!$E$8="Proprietary - Enterprise Fund",'LR-Fund 3066 Journal Entries'!$J$24,0)</f>
        <v>0</v>
      </c>
      <c r="E33" s="170" t="s">
        <v>156</v>
      </c>
      <c r="F33" s="130">
        <f>IF('LR-Fund 3066 Journal Entries'!$E$8="Proprietary - Enterprise Fund",'LR-Fund 3066 Journal Entries'!$K$31,0)</f>
        <v>0</v>
      </c>
      <c r="G33" s="169" t="s">
        <v>156</v>
      </c>
      <c r="H33" s="130">
        <f>IF('LR-Fund 3066 Journal Entries'!$E$8="Proprietary - Enterprise Fund",'LR-Fund 3066 Journal Entries'!$K$52,0)</f>
        <v>0</v>
      </c>
      <c r="I33" s="169" t="s">
        <v>155</v>
      </c>
      <c r="J33" s="130">
        <f>IF('LR-Fund 3066 Journal Entries'!$E$8="Proprietary - Enterprise Fund",'LR-Fund 3066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3066 Journal Entries'!$E$8="Governmental Fund",'LR-Fund 3066 Journal Entries'!$J$41,0)</f>
        <v>352464</v>
      </c>
      <c r="C42" s="138"/>
      <c r="E42" s="138"/>
      <c r="G42" s="167"/>
      <c r="H42" s="167"/>
      <c r="I42" s="167"/>
      <c r="J42" s="167"/>
      <c r="K42" s="138"/>
      <c r="L42" s="138"/>
      <c r="M42" s="139"/>
      <c r="N42" s="134">
        <f>'LR-Department Note Disclosure'!B14</f>
        <v>352464</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3066 Journal Entries'!$E$8="Proprietary - Internal Service Fund",'LR-Fund 3066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3066 Journal Entries'!$E$8="Proprietary - Enterprise Fund",'LR-Fund 3066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16</vt:i4>
      </vt:variant>
    </vt:vector>
  </HeadingPairs>
  <TitlesOfParts>
    <vt:vector size="38" baseType="lpstr">
      <vt:lpstr>Drop Down Menus</vt:lpstr>
      <vt:lpstr>qryIndex02a</vt:lpstr>
      <vt:lpstr>LS-Version Changes</vt:lpstr>
      <vt:lpstr>LS-Fund 0001 Journal Entries</vt:lpstr>
      <vt:lpstr>LS-Fund 0159 Journal Entries</vt:lpstr>
      <vt:lpstr>LS-Fund 0587 Journal Entries</vt:lpstr>
      <vt:lpstr>LS-Fund 0890 Journal Entries</vt:lpstr>
      <vt:lpstr>LS-Fund 0932 Journal Entries</vt:lpstr>
      <vt:lpstr>LS-Fund 3037 Journal Entries</vt:lpstr>
      <vt:lpstr>LS-Fund 3060 Journal Entries</vt:lpstr>
      <vt:lpstr>LS-Fund 3066 Journal Entries</vt:lpstr>
      <vt:lpstr>LS-Fund 3085 Journal Entries</vt:lpstr>
      <vt:lpstr>LS-Department Note Disclosure</vt:lpstr>
      <vt:lpstr>LS-Lease Liabilities</vt:lpstr>
      <vt:lpstr>LS-Check Figures  </vt:lpstr>
      <vt:lpstr>LR-Version Changes</vt:lpstr>
      <vt:lpstr>LR-Fund 3066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3066 Journal Entries'!Print_Area</vt:lpstr>
      <vt:lpstr>'LS-Department Note Disclosure'!Print_Area</vt:lpstr>
      <vt:lpstr>'LS-Fund 0001 Journal Entries'!Print_Area</vt:lpstr>
      <vt:lpstr>'LS-Fund 0159 Journal Entries'!Print_Area</vt:lpstr>
      <vt:lpstr>'LS-Fund 0587 Journal Entries'!Print_Area</vt:lpstr>
      <vt:lpstr>'LS-Fund 0890 Journal Entries'!Print_Area</vt:lpstr>
      <vt:lpstr>'LS-Fund 0932 Journal Entries'!Print_Area</vt:lpstr>
      <vt:lpstr>'LS-Fund 3037 Journal Entries'!Print_Area</vt:lpstr>
      <vt:lpstr>'LS-Fund 3060 Journal Entries'!Print_Area</vt:lpstr>
      <vt:lpstr>'LS-Fund 3066 Journal Entries'!Print_Area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2025-03-13T23:02:06Z</dcterms:modified>
</cp:coreProperties>
</file>