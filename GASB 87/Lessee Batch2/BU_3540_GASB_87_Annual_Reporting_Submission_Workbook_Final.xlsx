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480C6443-5AC6-4BFB-A910-BFB1A566D528}"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Fund 0001 Journal Entries" sheetId="2" r:id="rId3"/>
    <sheet name="LS-Fund 0209 Journal Entries" sheetId="16" r:id="rId4"/>
    <sheet name="LS-Fund 3228 Journal Entries" sheetId="17" r:id="rId5"/>
    <sheet name="LS-Department Note Disclosure" sheetId="3" r:id="rId6"/>
    <sheet name="LS-Lease Liabilities" sheetId="4"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Disclosure'!$A$1:$F$96</definedName>
    <definedName name="_xlnm.Print_Area" localSheetId="2">'LS-Fund 0001 Journal Entries'!$A$1:$R$130</definedName>
    <definedName name="_xlnm.Print_Area" localSheetId="3">'LS-Fund 0209 Journal Entries'!$A$1:$R$130</definedName>
    <definedName name="_xlnm.Print_Area" localSheetId="4">'LS-Fund 3228 Journal Entries'!$A$1:$R$130</definedName>
    <definedName name="_xlnm.Print_Area" localSheetId="6">'LS-Lease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F10" i="4"/>
  <c r="B42" i="7" l="1"/>
  <c r="F16" i="7"/>
  <c r="B16" i="7"/>
  <c r="N10" i="4"/>
  <c r="J10" i="4"/>
  <c r="N23" i="2" l="1"/>
  <c r="N22" i="2"/>
  <c r="N20" i="2"/>
  <c r="S20" i="2" s="1"/>
  <c r="K129" i="17"/>
  <c r="K114" i="17"/>
  <c r="J114" i="17"/>
  <c r="L114" i="17" s="1"/>
  <c r="L105" i="17"/>
  <c r="K105" i="17"/>
  <c r="J105" i="17"/>
  <c r="K91" i="17"/>
  <c r="J91" i="17"/>
  <c r="L91" i="17" s="1"/>
  <c r="K77" i="17"/>
  <c r="J77" i="17"/>
  <c r="L77" i="17" s="1"/>
  <c r="K70" i="17"/>
  <c r="J70" i="17"/>
  <c r="L69" i="17"/>
  <c r="K65" i="17"/>
  <c r="J65" i="17"/>
  <c r="L65" i="17" s="1"/>
  <c r="B63" i="17"/>
  <c r="L62" i="17"/>
  <c r="K59" i="17"/>
  <c r="J59" i="17"/>
  <c r="L59" i="17" s="1"/>
  <c r="K49" i="17"/>
  <c r="J49" i="17"/>
  <c r="L49" i="17" s="1"/>
  <c r="K43" i="17"/>
  <c r="L43" i="17" s="1"/>
  <c r="J43" i="17"/>
  <c r="K36" i="17"/>
  <c r="L36" i="17" s="1"/>
  <c r="J36" i="17"/>
  <c r="S25" i="17"/>
  <c r="Q24" i="17"/>
  <c r="S24" i="17" s="1"/>
  <c r="S23" i="17"/>
  <c r="K23" i="17"/>
  <c r="K128" i="17" s="1"/>
  <c r="S22" i="17"/>
  <c r="K22" i="17"/>
  <c r="K127" i="17" s="1"/>
  <c r="S21" i="17"/>
  <c r="K21" i="17"/>
  <c r="S20" i="17"/>
  <c r="K20" i="17"/>
  <c r="K125" i="17" s="1"/>
  <c r="S19" i="17"/>
  <c r="P18" i="17"/>
  <c r="S18" i="17" s="1"/>
  <c r="S17" i="17"/>
  <c r="J17" i="17"/>
  <c r="K124" i="17" s="1"/>
  <c r="S16" i="17"/>
  <c r="J16" i="17"/>
  <c r="K123" i="17" s="1"/>
  <c r="S15" i="17"/>
  <c r="J15" i="17"/>
  <c r="K122" i="17" s="1"/>
  <c r="F9" i="17"/>
  <c r="B100" i="17" s="1"/>
  <c r="K129" i="16"/>
  <c r="K114" i="16"/>
  <c r="J114" i="16"/>
  <c r="L114" i="16" s="1"/>
  <c r="K105" i="16"/>
  <c r="J105" i="16"/>
  <c r="L105" i="16" s="1"/>
  <c r="K91" i="16"/>
  <c r="J91" i="16"/>
  <c r="L91" i="16" s="1"/>
  <c r="K77" i="16"/>
  <c r="J77" i="16"/>
  <c r="L77" i="16" s="1"/>
  <c r="K70" i="16"/>
  <c r="L70" i="16" s="1"/>
  <c r="J70" i="16"/>
  <c r="L69" i="16"/>
  <c r="K65" i="16"/>
  <c r="J65" i="16"/>
  <c r="B63" i="16"/>
  <c r="L62" i="16"/>
  <c r="K59" i="16"/>
  <c r="J59" i="16"/>
  <c r="K49" i="16"/>
  <c r="J49" i="16"/>
  <c r="L49" i="16" s="1"/>
  <c r="K43" i="16"/>
  <c r="J43" i="16"/>
  <c r="L43" i="16" s="1"/>
  <c r="L36" i="16"/>
  <c r="K36" i="16"/>
  <c r="J36" i="16"/>
  <c r="S25" i="16"/>
  <c r="Q24" i="16"/>
  <c r="S24" i="16" s="1"/>
  <c r="S23" i="16"/>
  <c r="K23" i="16"/>
  <c r="K128" i="16" s="1"/>
  <c r="S22" i="16"/>
  <c r="K22" i="16"/>
  <c r="K127" i="16" s="1"/>
  <c r="S21" i="16"/>
  <c r="K21" i="16"/>
  <c r="K126" i="16" s="1"/>
  <c r="S20" i="16"/>
  <c r="K20" i="16"/>
  <c r="S19" i="16"/>
  <c r="P18" i="16"/>
  <c r="S18" i="16" s="1"/>
  <c r="S17" i="16"/>
  <c r="J17" i="16"/>
  <c r="K124" i="16" s="1"/>
  <c r="S16" i="16"/>
  <c r="J16" i="16"/>
  <c r="K123" i="16" s="1"/>
  <c r="S15" i="16"/>
  <c r="J15" i="16"/>
  <c r="K122" i="16" s="1"/>
  <c r="F9" i="16"/>
  <c r="C104" i="16" s="1"/>
  <c r="B63" i="2"/>
  <c r="J18" i="4"/>
  <c r="J14" i="4"/>
  <c r="H18" i="4"/>
  <c r="H14" i="4"/>
  <c r="H10" i="4"/>
  <c r="N18" i="4"/>
  <c r="N14" i="4"/>
  <c r="F18" i="4"/>
  <c r="F14" i="4"/>
  <c r="L69" i="2"/>
  <c r="L62" i="2"/>
  <c r="Q24" i="2"/>
  <c r="P18" i="2"/>
  <c r="L70" i="17" l="1"/>
  <c r="L65" i="16"/>
  <c r="K24" i="17"/>
  <c r="J18" i="16"/>
  <c r="L59" i="16"/>
  <c r="K24" i="16"/>
  <c r="K25" i="16" s="1"/>
  <c r="C104" i="17"/>
  <c r="C64" i="17"/>
  <c r="J18" i="17"/>
  <c r="C35" i="17"/>
  <c r="K126" i="17"/>
  <c r="C64" i="16"/>
  <c r="B100" i="16"/>
  <c r="C35" i="16"/>
  <c r="K125" i="16"/>
  <c r="K25" i="17" l="1"/>
  <c r="K26" i="17" s="1"/>
  <c r="J19" i="16"/>
  <c r="J26" i="16" s="1"/>
  <c r="K26" i="16"/>
  <c r="J19" i="17"/>
  <c r="J26" i="17" s="1"/>
  <c r="L26" i="17" l="1"/>
  <c r="L26" i="16"/>
  <c r="K129" i="2"/>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<sst xmlns="http://schemas.openxmlformats.org/spreadsheetml/2006/main" count="7936" uniqueCount="1676">
  <si>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</si>
  <si>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</si>
  <si>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</si>
  <si>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</si>
  <si>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</si>
  <si>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</si>
  <si>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</si>
  <si>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</si>
  <si>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</si>
  <si>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</si>
  <si>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</si>
  <si>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</si>
  <si>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</si>
  <si>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</si>
  <si>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</si>
  <si>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</si>
  <si>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</si>
  <si>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</si>
  <si>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</si>
  <si>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</si>
  <si>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</si>
  <si>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</si>
  <si>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</si>
  <si>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</si>
  <si>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</si>
  <si>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</si>
  <si>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</si>
  <si>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</si>
  <si>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</si>
  <si>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</si>
  <si>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</si>
  <si>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</si>
  <si>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</si>
  <si>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</si>
  <si>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</si>
  <si>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</si>
  <si>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</si>
  <si>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</si>
  <si>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</si>
  <si>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</si>
  <si>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</si>
  <si>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</si>
  <si>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</si>
  <si>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</si>
  <si>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</si>
  <si>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</si>
  <si>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</si>
  <si>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</si>
  <si>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</si>
  <si>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</si>
  <si>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</si>
  <si>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</si>
  <si>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</si>
  <si>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</si>
  <si>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</si>
  <si>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</si>
  <si>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</si>
  <si>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</si>
  <si>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</si>
  <si>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</si>
  <si>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</si>
  <si>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</si>
  <si>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</si>
  <si>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</si>
  <si>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</si>
  <si>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</si>
  <si>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</si>
  <si>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</si>
  <si>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</si>
  <si>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</si>
  <si>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</si>
  <si>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</si>
  <si>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</si>
  <si>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</si>
  <si>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</si>
  <si>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</si>
  <si>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</si>
  <si>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</si>
  <si>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</si>
  <si>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</si>
  <si>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</si>
  <si>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</si>
  <si>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</si>
  <si>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</si>
  <si>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</si>
  <si>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</si>
  <si>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</si>
  <si>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</si>
  <si>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</si>
  <si>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</si>
  <si>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</si>
  <si>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</si>
  <si>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</si>
  <si>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</si>
  <si>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</si>
  <si>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</si>
  <si>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</si>
  <si>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</si>
  <si>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</si>
  <si>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</si>
  <si>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</si>
  <si>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</si>
  <si>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</si>
  <si>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</si>
  <si>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</si>
  <si>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</si>
  <si>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</si>
  <si>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</si>
  <si>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</si>
  <si>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</si>
  <si>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</si>
  <si>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</si>
  <si>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</si>
  <si>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</si>
  <si>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</si>
  <si>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</si>
  <si>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</si>
  <si>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</si>
  <si>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</si>
  <si>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</si>
  <si>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</si>
  <si>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</si>
  <si>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</si>
  <si>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</si>
  <si>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</si>
  <si>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</si>
  <si>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</si>
  <si>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</si>
  <si>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</si>
  <si>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</si>
  <si>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</si>
  <si>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</si>
  <si>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</si>
  <si>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</si>
  <si>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</si>
  <si>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</si>
  <si>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</si>
  <si>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</si>
  <si>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</si>
  <si>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</si>
  <si>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</si>
  <si>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</si>
  <si>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</si>
  <si>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</si>
  <si>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</si>
  <si>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</si>
  <si>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</si>
  <si>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</si>
  <si>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</si>
  <si>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</si>
  <si>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</si>
  <si>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</si>
  <si>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</si>
  <si>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</si>
  <si>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</si>
  <si>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</si>
  <si>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</si>
  <si>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</si>
  <si>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</si>
  <si>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</si>
  <si>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</si>
  <si>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</si>
  <si>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</si>
  <si>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</si>
  <si>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</si>
  <si>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</si>
  <si>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</si>
  <si>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</si>
  <si>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</si>
  <si>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</si>
  <si>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</si>
  <si>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</si>
  <si>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</si>
  <si>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</si>
  <si>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</si>
  <si>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</si>
  <si>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</si>
  <si>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</si>
  <si>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</si>
  <si>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</si>
  <si>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</si>
  <si>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</si>
  <si>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</si>
  <si>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</si>
  <si>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</si>
  <si>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</si>
  <si>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</si>
  <si>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</si>
  <si>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</si>
  <si>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</si>
  <si>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</si>
  <si>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</si>
  <si>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</si>
  <si>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</si>
  <si>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</si>
  <si>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</si>
  <si>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</si>
  <si>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</si>
  <si>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</si>
  <si>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</si>
  <si>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</si>
  <si>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</si>
  <si>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</si>
  <si>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</si>
  <si>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</si>
  <si>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</si>
  <si>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</si>
  <si>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</si>
  <si>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</si>
  <si>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</si>
  <si>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</si>
  <si>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</si>
  <si>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</si>
  <si>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</si>
  <si>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</si>
  <si>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</si>
  <si>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</si>
  <si>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</si>
  <si>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</si>
  <si>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</si>
  <si>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</si>
  <si>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</si>
  <si>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</si>
  <si>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</si>
  <si>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</si>
  <si>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</si>
  <si>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</si>
  <si>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</si>
  <si>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</si>
  <si>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</si>
  <si>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</si>
  <si>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</si>
  <si>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</si>
  <si>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</si>
  <si>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</si>
  <si>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</si>
  <si>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</si>
  <si>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</si>
  <si>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</si>
  <si>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</si>
  <si>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</si>
  <si>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</si>
  <si>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</si>
  <si>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</si>
  <si>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</si>
  <si>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</si>
  <si>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</si>
  <si>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</si>
  <si>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</si>
  <si>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</si>
  <si>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</si>
  <si>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</si>
  <si>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</si>
  <si>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</si>
  <si>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</si>
  <si>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</si>
  <si>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</si>
  <si>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</si>
  <si>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</si>
  <si>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</si>
  <si>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</si>
  <si>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</si>
  <si>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</si>
  <si>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</si>
  <si>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</si>
  <si>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</si>
  <si>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</si>
  <si>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</si>
  <si>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</si>
  <si>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</si>
  <si>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</si>
  <si>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</si>
  <si>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</si>
  <si>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</si>
  <si>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</si>
  <si>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</si>
  <si>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</si>
  <si>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</si>
  <si>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</si>
  <si>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</si>
  <si>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</si>
  <si>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</si>
  <si>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</si>
  <si>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</si>
  <si>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</si>
  <si>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</si>
  <si>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</si>
  <si>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</si>
  <si>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</si>
  <si>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</si>
  <si>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</si>
  <si>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</si>
  <si>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</si>
  <si>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</si>
  <si>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</si>
  <si>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</si>
  <si>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</si>
  <si>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</si>
  <si>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</si>
  <si>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</si>
  <si>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</si>
  <si>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</si>
  <si>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</si>
  <si>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</si>
  <si>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</si>
  <si>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</si>
  <si>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</si>
  <si>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</si>
  <si>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</si>
  <si>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</si>
  <si>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</si>
  <si>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</si>
  <si>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</si>
  <si>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</si>
  <si>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</si>
  <si>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</si>
  <si>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</si>
  <si>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</si>
  <si>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</si>
  <si>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</si>
  <si>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</si>
  <si>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</si>
  <si>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</si>
  <si>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</si>
  <si>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</si>
  <si>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</si>
  <si>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</si>
  <si>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</si>
  <si>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</si>
  <si>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</si>
  <si>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</si>
  <si>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</si>
  <si>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</si>
  <si>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</si>
  <si>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</si>
  <si>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</si>
  <si>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</si>
  <si>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</si>
  <si>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</si>
  <si>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</si>
  <si>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</si>
  <si>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</si>
  <si>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</si>
  <si>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</si>
  <si>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</si>
  <si>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</si>
  <si>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</si>
  <si>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</si>
  <si>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</si>
  <si>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</si>
  <si>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</si>
  <si>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</si>
  <si>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</si>
  <si>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</si>
  <si>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</si>
  <si>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</si>
  <si>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</si>
  <si>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</si>
  <si>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</si>
  <si>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</si>
  <si>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</si>
  <si>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</si>
  <si>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</si>
  <si>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</si>
  <si>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</si>
  <si>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</si>
  <si>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</si>
  <si>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</si>
  <si>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</si>
  <si>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</si>
  <si>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</si>
  <si>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</si>
  <si>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</si>
  <si>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</si>
  <si>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</si>
  <si>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</si>
  <si>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</si>
  <si>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</si>
  <si>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</si>
  <si>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</si>
  <si>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</si>
  <si>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</si>
  <si>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</si>
  <si>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</si>
  <si>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</si>
  <si>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</si>
  <si>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</si>
  <si>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</si>
  <si>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</si>
  <si>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</si>
  <si>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</si>
  <si>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</si>
  <si>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</si>
  <si>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</si>
  <si>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</si>
  <si>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</si>
  <si>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</si>
  <si>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</si>
  <si>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</si>
  <si>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</si>
  <si>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</si>
  <si>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</si>
  <si>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</si>
  <si>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</si>
  <si>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</si>
  <si>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</si>
  <si>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</si>
  <si>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</si>
  <si>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</si>
  <si>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</si>
  <si>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</si>
  <si>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</si>
  <si>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</si>
  <si>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</si>
  <si>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</si>
  <si>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</si>
  <si>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</si>
  <si>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</si>
  <si>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</si>
  <si>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</si>
  <si>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</si>
  <si>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</si>
  <si>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</si>
  <si>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</si>
  <si>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</si>
  <si>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</si>
  <si>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</si>
  <si>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</si>
  <si>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</si>
  <si>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</si>
  <si>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</si>
  <si>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</si>
  <si>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</si>
  <si>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</si>
  <si>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</si>
  <si>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</si>
  <si>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</si>
  <si>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</si>
  <si>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</si>
  <si>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</si>
  <si>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</si>
  <si>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</si>
  <si>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</si>
  <si>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</si>
  <si>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</si>
  <si>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</si>
  <si>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</si>
  <si>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</si>
  <si>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</si>
  <si>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</si>
  <si>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</si>
  <si>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</si>
  <si>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</si>
  <si>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</si>
  <si>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</si>
  <si>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</si>
  <si>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</si>
  <si>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</si>
  <si>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</si>
  <si>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</si>
  <si>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</si>
  <si>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</si>
  <si>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</si>
  <si>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</si>
  <si>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</si>
  <si>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</si>
  <si>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</si>
  <si>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</si>
  <si>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</si>
  <si>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</si>
  <si>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</si>
  <si>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</si>
  <si>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</si>
  <si>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</si>
  <si>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</si>
  <si>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</si>
  <si>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</si>
  <si>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</si>
  <si>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</si>
  <si>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</si>
  <si>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</si>
  <si>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</si>
  <si>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</si>
  <si>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</si>
  <si>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</si>
  <si>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</si>
  <si>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</si>
  <si>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</si>
  <si>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</si>
  <si>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</si>
  <si>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</si>
  <si>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</si>
  <si>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</si>
  <si>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</si>
  <si>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</si>
  <si>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</si>
  <si>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</si>
  <si>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</si>
  <si>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</si>
  <si>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</si>
  <si>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</si>
  <si>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</si>
  <si>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</si>
  <si>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</si>
  <si>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</si>
  <si>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</si>
  <si>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</si>
  <si>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</si>
  <si>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</si>
  <si>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</si>
  <si>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</si>
  <si>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</si>
  <si>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</si>
  <si>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</si>
  <si>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</si>
  <si>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</si>
  <si>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</si>
  <si>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</si>
  <si>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</si>
  <si>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</si>
  <si>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</si>
  <si>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</si>
  <si>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</si>
  <si>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</si>
  <si>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</si>
  <si>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</si>
  <si>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</si>
  <si>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</si>
  <si>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</si>
  <si>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</si>
  <si>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</si>
  <si>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</si>
  <si>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</si>
  <si>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</si>
  <si>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</si>
  <si>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</si>
  <si>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</si>
  <si>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</si>
  <si>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</si>
  <si>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</si>
  <si>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</si>
  <si>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</si>
  <si>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</si>
  <si>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</si>
  <si>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</si>
  <si>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</si>
  <si>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</si>
  <si>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</si>
  <si>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</si>
  <si>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</si>
  <si>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</si>
  <si>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</si>
  <si>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</si>
  <si>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</si>
  <si>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</si>
  <si>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</si>
  <si>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</si>
  <si>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</si>
  <si>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</si>
  <si>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</si>
  <si>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</si>
  <si>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</si>
  <si>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</si>
  <si>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</si>
  <si>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</si>
  <si>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</si>
  <si>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</si>
  <si>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</si>
  <si>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</si>
  <si>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</si>
  <si>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</si>
  <si>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</si>
  <si>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</si>
  <si>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</si>
  <si>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</si>
  <si>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</si>
  <si>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</si>
  <si>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</si>
  <si>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</si>
  <si>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</si>
  <si>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</si>
  <si>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</si>
  <si>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</si>
  <si>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</si>
  <si>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</si>
  <si>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</si>
  <si>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</si>
  <si>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</si>
  <si>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</si>
  <si>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</si>
  <si>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</si>
  <si>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</si>
  <si>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</si>
  <si>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</si>
  <si>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</si>
  <si>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</si>
  <si>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</si>
  <si>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</si>
  <si>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</si>
  <si>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</si>
  <si>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</si>
  <si>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</si>
  <si>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</si>
  <si>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</si>
  <si>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</si>
  <si>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</si>
  <si>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</si>
  <si>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</si>
  <si>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</si>
  <si>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</si>
  <si>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</si>
  <si>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</si>
  <si>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</si>
  <si>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</si>
  <si>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</si>
  <si>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</si>
  <si>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</si>
  <si>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</si>
  <si>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</si>
  <si>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</si>
  <si>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</si>
  <si>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</si>
  <si>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</si>
  <si>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</si>
  <si>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</si>
  <si>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</si>
  <si>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</si>
  <si>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</si>
  <si>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</si>
  <si>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</si>
  <si>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</si>
  <si>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</si>
  <si>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</si>
  <si>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</si>
  <si>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</si>
  <si>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</si>
  <si>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</si>
  <si>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</si>
  <si>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</si>
  <si>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</si>
  <si>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</si>
  <si>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</si>
  <si>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</si>
  <si>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</si>
  <si>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</si>
  <si>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</si>
  <si>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</si>
  <si>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</si>
  <si>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</si>
  <si>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</si>
  <si>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</si>
  <si>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</si>
  <si>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</si>
  <si>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</si>
  <si>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</si>
  <si>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</si>
  <si>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</si>
  <si>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</si>
  <si>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</si>
  <si>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</si>
  <si>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</si>
  <si>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</si>
  <si>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</si>
  <si>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</si>
  <si>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</si>
  <si>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</si>
  <si>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</si>
  <si>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</si>
  <si>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</si>
  <si>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</si>
  <si>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</si>
  <si>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</si>
  <si>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</si>
  <si>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</si>
  <si>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</si>
  <si>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</si>
  <si>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</si>
  <si>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</si>
  <si>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</si>
  <si>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</si>
  <si>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</si>
  <si>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</si>
  <si>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</si>
  <si>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</si>
  <si>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</si>
  <si>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</si>
  <si>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</si>
  <si>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</si>
  <si>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</si>
  <si>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</si>
  <si>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</si>
  <si>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</si>
  <si>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</si>
  <si>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</si>
  <si>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</si>
  <si>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</si>
  <si>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</si>
  <si>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</si>
  <si>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</si>
  <si>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</si>
  <si>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</si>
  <si>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</si>
  <si>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</si>
  <si>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</si>
  <si>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</si>
  <si>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</si>
  <si>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</si>
  <si>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</si>
  <si>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</si>
  <si>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</si>
  <si>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</si>
  <si>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</si>
  <si>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</si>
  <si>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</si>
  <si>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</si>
  <si>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</si>
  <si>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</si>
  <si>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</si>
  <si>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</si>
  <si>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</si>
  <si>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</si>
  <si>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</si>
  <si>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</si>
  <si>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</si>
  <si>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</si>
  <si>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</si>
  <si>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</si>
  <si>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</si>
  <si>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</si>
  <si>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</si>
  <si>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</si>
  <si>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</si>
  <si>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</si>
  <si>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</si>
  <si>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</si>
  <si>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</si>
  <si>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</si>
  <si>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</si>
  <si>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</si>
  <si>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</si>
  <si>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</si>
  <si>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</si>
  <si>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</si>
  <si>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</si>
  <si>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</si>
  <si>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</si>
  <si>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</si>
  <si>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</si>
  <si>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</si>
  <si>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</si>
  <si>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</si>
  <si>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</si>
  <si>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</si>
  <si>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</si>
  <si>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</si>
  <si>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</si>
  <si>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</si>
  <si>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</si>
  <si>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</si>
  <si>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</si>
  <si>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</si>
  <si>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</si>
  <si>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</si>
  <si>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</si>
  <si>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</si>
  <si>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</si>
  <si>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</si>
  <si>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</si>
  <si>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</si>
  <si>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</si>
  <si>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</si>
  <si>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</si>
  <si>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</si>
  <si>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</si>
  <si>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</si>
  <si>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</si>
  <si>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</si>
  <si>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</si>
  <si>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</si>
  <si>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</si>
  <si>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</si>
  <si>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</si>
  <si>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</si>
  <si>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</si>
  <si>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</si>
  <si>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</si>
  <si>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</si>
  <si>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</si>
  <si>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</si>
  <si>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</si>
  <si>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</si>
  <si>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</si>
  <si>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</si>
  <si>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</si>
  <si>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</si>
  <si>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</si>
  <si>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</si>
  <si>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</si>
  <si>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</si>
  <si>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</si>
  <si>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</si>
  <si>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</si>
  <si>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</si>
  <si>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</si>
  <si>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</si>
  <si>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</si>
  <si>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</si>
  <si>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</si>
  <si>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</si>
  <si>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</si>
  <si>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</si>
  <si>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</si>
  <si>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</si>
  <si>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</si>
  <si>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</si>
  <si>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</si>
  <si>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</si>
  <si>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</si>
  <si>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</si>
  <si>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</si>
  <si>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</si>
  <si>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</si>
  <si>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</si>
  <si>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</si>
  <si>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</si>
  <si>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</si>
  <si>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</si>
  <si>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</si>
  <si>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</si>
  <si>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</si>
  <si>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</si>
  <si>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</si>
  <si>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</si>
  <si>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</si>
  <si>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</si>
  <si>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</si>
  <si>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</si>
  <si>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</si>
  <si>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</si>
  <si>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</si>
  <si>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</si>
  <si>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</si>
  <si>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</si>
  <si>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</si>
  <si>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</si>
  <si>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</si>
  <si>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</si>
  <si>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</si>
  <si>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</si>
  <si>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</si>
  <si>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</si>
  <si>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</si>
  <si>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</si>
  <si>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</si>
  <si>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</si>
  <si>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</si>
  <si>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</si>
  <si>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</si>
  <si>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</si>
  <si>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</si>
  <si>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</si>
  <si>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</si>
  <si>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</si>
  <si>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</si>
  <si>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</si>
  <si>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</si>
  <si>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</si>
  <si>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</si>
  <si>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</si>
  <si>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</si>
  <si>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</si>
  <si>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</si>
  <si>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</si>
  <si>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</si>
  <si>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</si>
  <si>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</si>
  <si>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</si>
  <si>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</si>
  <si>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</si>
  <si>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</si>
  <si>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</si>
  <si>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</si>
  <si>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</si>
  <si>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</si>
  <si>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</si>
  <si>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</si>
  <si>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</si>
  <si>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</si>
  <si>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</si>
  <si>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</si>
  <si>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</si>
  <si>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</si>
  <si>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</si>
  <si>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</si>
  <si>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</si>
  <si>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</si>
  <si>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</si>
  <si>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</si>
  <si>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</si>
  <si>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</si>
  <si>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</si>
  <si>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</si>
  <si>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</si>
  <si>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</si>
  <si>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</si>
  <si>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</si>
  <si>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</si>
  <si>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</si>
  <si>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</si>
  <si>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</si>
  <si>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</si>
  <si>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</si>
  <si>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</si>
  <si>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</si>
  <si>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</si>
  <si>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</si>
  <si>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</si>
  <si>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</si>
  <si>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</si>
  <si>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</si>
  <si>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</si>
  <si>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</si>
  <si>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</si>
  <si>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</si>
  <si>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</si>
  <si>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</si>
  <si>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</si>
  <si>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</si>
  <si>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</si>
  <si>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</si>
  <si>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</si>
  <si>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</si>
  <si>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</si>
  <si>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</si>
  <si>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</si>
  <si>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</si>
  <si>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</si>
  <si>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</si>
  <si>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</si>
  <si>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</si>
  <si>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</si>
  <si>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</si>
  <si>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</si>
  <si>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</si>
  <si>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</si>
  <si>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</si>
  <si>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</si>
  <si>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</si>
  <si>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</si>
  <si>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</si>
  <si>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</si>
  <si>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</si>
  <si>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</si>
  <si>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</si>
  <si>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</si>
  <si>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</si>
  <si>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</si>
  <si>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</si>
  <si>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</si>
  <si>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</si>
  <si>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</si>
  <si>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</si>
  <si>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</si>
  <si>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</si>
  <si>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</si>
  <si>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</si>
  <si>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</si>
  <si>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</si>
  <si>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</si>
  <si>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</si>
  <si>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</si>
  <si>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</si>
  <si>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</si>
  <si>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</si>
  <si>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</si>
  <si>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</si>
  <si>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</si>
  <si>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</si>
  <si>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</si>
  <si>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</si>
  <si>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</si>
  <si>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</si>
  <si>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</si>
  <si>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</si>
  <si>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</si>
  <si>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</si>
  <si>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</si>
  <si>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</si>
  <si>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</si>
  <si>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</si>
  <si>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</si>
  <si>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</si>
  <si>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</si>
  <si>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</si>
  <si>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</si>
  <si>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</si>
  <si>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</si>
  <si>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</si>
  <si>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</si>
  <si>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</si>
  <si>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</si>
  <si>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</si>
  <si>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</si>
  <si>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</si>
  <si>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</si>
  <si>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</si>
  <si>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</si>
  <si>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</si>
  <si>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</si>
  <si>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</si>
  <si>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</si>
  <si>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</si>
  <si>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</si>
  <si>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</si>
  <si>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</si>
  <si>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</si>
  <si>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</si>
  <si>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</si>
  <si>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</si>
  <si>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</si>
  <si>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</si>
  <si>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</si>
  <si>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</si>
  <si>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</si>
  <si>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</si>
  <si>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</si>
  <si>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</si>
  <si>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</si>
  <si>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</si>
  <si>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</si>
  <si>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</si>
  <si>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</si>
  <si>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</si>
  <si>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</si>
  <si>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</si>
  <si>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</si>
  <si>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</si>
  <si>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</si>
  <si>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</si>
  <si>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</si>
  <si>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</si>
  <si>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</si>
  <si>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</si>
  <si>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</si>
  <si>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</si>
  <si>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</si>
  <si>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</si>
  <si>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</si>
  <si>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</si>
  <si>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</si>
  <si>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</si>
  <si>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</si>
  <si>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</si>
  <si>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</si>
  <si>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</si>
  <si>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</si>
  <si>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</si>
  <si>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</si>
  <si>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</si>
  <si>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</si>
  <si>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</si>
  <si>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</si>
  <si>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</si>
  <si>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</si>
  <si>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</si>
  <si>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</si>
  <si>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</si>
  <si>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</si>
  <si>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</si>
  <si>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</si>
  <si>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</si>
  <si>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</si>
  <si>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</si>
  <si>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</si>
  <si>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</si>
  <si>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</si>
  <si>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</si>
  <si>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</si>
  <si>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</si>
  <si>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</si>
  <si>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</si>
  <si>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</si>
  <si>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</si>
  <si>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</si>
  <si>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</si>
  <si>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</si>
  <si>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</si>
  <si>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</si>
  <si>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</si>
  <si>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</si>
  <si>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</si>
  <si>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</si>
  <si>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</si>
  <si>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</si>
  <si>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</si>
  <si>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</si>
  <si>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</si>
  <si>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</si>
  <si>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</si>
  <si>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</si>
  <si>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</si>
  <si>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</si>
  <si>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</si>
  <si>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</si>
  <si>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</si>
  <si>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</si>
  <si>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</si>
  <si>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</si>
  <si>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</si>
  <si>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</si>
  <si>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</si>
  <si>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</si>
  <si>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</si>
  <si>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</si>
  <si>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</si>
  <si>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</si>
  <si>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</si>
  <si>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</si>
  <si>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</si>
  <si>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</si>
  <si>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</si>
  <si>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</si>
  <si>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</si>
  <si>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</si>
  <si>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</si>
  <si>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</si>
  <si>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</si>
  <si>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</si>
  <si>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</si>
  <si>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</si>
  <si>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</si>
  <si>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</si>
  <si>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</si>
  <si>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</si>
  <si>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</si>
  <si>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</si>
  <si>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</si>
  <si>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</si>
  <si>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</si>
  <si>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</si>
  <si>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</si>
  <si>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</si>
  <si>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</si>
  <si>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</si>
  <si>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</si>
  <si>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</si>
  <si>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</si>
  <si>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</si>
  <si>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</si>
  <si>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</si>
  <si>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</si>
  <si>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</si>
  <si>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</si>
  <si>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</si>
  <si>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</si>
  <si>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</si>
  <si>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</si>
  <si>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</si>
  <si>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</si>
  <si>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</si>
  <si>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</si>
  <si>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</si>
  <si>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</si>
  <si>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</si>
  <si>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</si>
  <si>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</si>
  <si>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</si>
  <si>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</si>
  <si>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</si>
  <si>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</si>
  <si>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</si>
  <si>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</si>
  <si>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</si>
  <si>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</si>
  <si>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</si>
  <si>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</si>
  <si>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</si>
  <si>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</si>
  <si>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</si>
  <si>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</si>
  <si>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</si>
  <si>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</si>
  <si>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</si>
  <si>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</si>
  <si>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</si>
  <si>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</si>
  <si>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</si>
  <si>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</si>
  <si>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</si>
  <si>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</si>
  <si>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</si>
  <si>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</si>
  <si>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</si>
  <si>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</si>
  <si>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</si>
  <si>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</si>
  <si>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</si>
  <si>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</si>
  <si>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</si>
  <si>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</si>
  <si>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</si>
  <si>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</si>
  <si>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</si>
  <si>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</si>
  <si>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</si>
  <si>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</si>
  <si>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</si>
  <si>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</si>
  <si>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</si>
  <si>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</si>
  <si>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</si>
  <si>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</si>
  <si>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</si>
  <si>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</si>
  <si>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</si>
  <si>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</si>
  <si>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</si>
  <si>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</si>
  <si>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</si>
  <si>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</si>
  <si>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</si>
  <si>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</si>
  <si>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</si>
  <si>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</si>
  <si>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</si>
  <si>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</si>
  <si>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</si>
  <si>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</si>
  <si>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</si>
  <si>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</si>
  <si>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</si>
  <si>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</si>
  <si>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</si>
  <si>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</si>
  <si>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</si>
  <si>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</si>
  <si>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</si>
  <si>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</si>
  <si>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</si>
  <si>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</si>
  <si>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</si>
  <si>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</si>
  <si>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</si>
  <si>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</si>
  <si>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</si>
  <si>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</si>
  <si>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</si>
  <si>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</si>
  <si>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</si>
  <si>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</si>
  <si>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</si>
  <si>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</si>
  <si>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</si>
  <si>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</si>
  <si>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</si>
  <si>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</si>
  <si>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</si>
  <si>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</si>
  <si>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</si>
  <si>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</si>
  <si>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</si>
  <si>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</si>
  <si>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</si>
  <si>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</si>
  <si>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</si>
  <si>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</si>
  <si>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</si>
  <si>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</si>
  <si>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</si>
  <si>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</si>
  <si>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</si>
  <si>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</si>
  <si>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</si>
  <si>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</si>
  <si>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</si>
  <si>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</si>
  <si>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</si>
  <si>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</si>
  <si>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</si>
  <si>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</si>
  <si>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</si>
  <si>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</si>
  <si>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</si>
  <si>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</si>
  <si>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</si>
  <si>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</si>
  <si>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</si>
  <si>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</si>
  <si>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</si>
  <si>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</si>
  <si>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</si>
  <si>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</si>
  <si>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</si>
  <si>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</si>
  <si>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</si>
  <si>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</si>
  <si>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</si>
  <si>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</si>
  <si>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</si>
  <si>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</si>
  <si>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</si>
  <si>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</si>
  <si>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</si>
  <si>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</si>
  <si>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</si>
  <si>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</si>
  <si>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</si>
  <si>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</si>
  <si>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</si>
  <si>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</si>
  <si>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</si>
  <si>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</si>
  <si>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</si>
  <si>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</si>
  <si>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</si>
  <si>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</si>
  <si>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</si>
  <si>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</si>
  <si>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</si>
  <si>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</si>
  <si>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</si>
  <si>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</si>
  <si>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</si>
  <si>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</si>
  <si>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</si>
  <si>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</si>
  <si>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</si>
  <si>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</si>
  <si>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</si>
  <si>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</si>
  <si>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</si>
  <si>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</si>
  <si>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</si>
  <si>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</si>
  <si>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</si>
  <si>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</si>
  <si>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</si>
  <si>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</si>
  <si>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</si>
  <si>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</si>
  <si>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</si>
  <si>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</si>
  <si>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</si>
  <si>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</si>
  <si>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</si>
  <si>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</si>
  <si>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</si>
  <si>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</si>
  <si>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</si>
  <si>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</si>
  <si>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</si>
  <si>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</si>
  <si>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</si>
  <si>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</si>
  <si>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</si>
  <si>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</si>
  <si>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</si>
  <si>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</si>
  <si>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</si>
  <si>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</si>
  <si>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</si>
  <si>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</si>
  <si>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</si>
  <si>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</si>
  <si>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</si>
  <si>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</si>
  <si>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</si>
  <si>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</si>
  <si>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</si>
  <si>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</si>
  <si>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</si>
  <si>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</si>
  <si>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</si>
  <si>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</si>
  <si>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</si>
  <si>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</si>
  <si>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</si>
  <si>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</si>
  <si>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</si>
  <si>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</si>
  <si>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</si>
  <si>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</si>
  <si>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</si>
  <si>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</si>
  <si>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</si>
  <si>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</si>
  <si>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</si>
  <si>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</si>
  <si>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</si>
  <si>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</si>
  <si>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</si>
  <si>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</si>
  <si>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</si>
  <si>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</si>
  <si>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</si>
  <si>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</si>
  <si>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</si>
  <si>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</si>
  <si>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</si>
  <si>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</si>
  <si>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</si>
  <si>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</si>
  <si>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</si>
  <si>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</si>
  <si>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</si>
  <si>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</si>
  <si>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</si>
  <si>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</si>
  <si>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</si>
  <si>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</si>
  <si>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</si>
  <si>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</si>
  <si>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</si>
  <si>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</si>
  <si>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</si>
  <si>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</si>
  <si>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</si>
  <si>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</si>
  <si>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</si>
  <si>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</si>
  <si>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</si>
  <si>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</si>
  <si>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</si>
  <si>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</si>
  <si>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</si>
  <si>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</si>
  <si>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</si>
  <si>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</si>
  <si>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</si>
  <si>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</si>
  <si>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</si>
  <si>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</si>
  <si>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</si>
  <si>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</si>
  <si>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</si>
  <si>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</si>
  <si>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</si>
  <si>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</si>
  <si>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</si>
  <si>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</si>
  <si>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</si>
  <si>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</si>
  <si>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</si>
  <si>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</si>
  <si>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</si>
  <si>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</si>
  <si>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</si>
  <si>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</si>
  <si>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</si>
  <si>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</si>
  <si>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</si>
  <si>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</si>
  <si>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</si>
  <si>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</si>
  <si>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</si>
  <si>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</si>
  <si>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</si>
  <si>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</si>
  <si>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</si>
  <si>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</si>
  <si>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</si>
  <si>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</si>
  <si>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</si>
  <si>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</si>
  <si>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</si>
  <si>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</si>
  <si>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</si>
  <si>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</si>
  <si>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</si>
  <si>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</si>
  <si>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</si>
  <si>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</si>
  <si>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</si>
  <si>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</si>
  <si>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</si>
  <si>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</si>
  <si>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</si>
  <si>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</si>
  <si>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</si>
  <si>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</si>
  <si>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</si>
  <si>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</si>
  <si>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</si>
  <si>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</si>
  <si>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</si>
  <si>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</si>
  <si>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</si>
  <si>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</si>
  <si>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</si>
  <si>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</si>
  <si>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</si>
  <si>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</si>
  <si>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</si>
  <si>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</si>
  <si>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</si>
  <si>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</si>
  <si>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</si>
  <si>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</si>
  <si>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</si>
  <si>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</si>
  <si>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</si>
  <si>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</si>
  <si>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</si>
  <si>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</si>
  <si>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</si>
  <si>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</si>
  <si>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</si>
  <si>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</si>
  <si>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</si>
  <si>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</si>
  <si>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</si>
  <si>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</si>
  <si>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</si>
  <si>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</si>
  <si>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</si>
  <si>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</si>
  <si>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</si>
  <si>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</si>
  <si>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</si>
  <si>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</si>
  <si>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</si>
  <si>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</si>
  <si>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</si>
  <si>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</si>
  <si>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</si>
  <si>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</si>
  <si>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</si>
  <si>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</si>
  <si>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</si>
  <si>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</si>
  <si>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</si>
  <si>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</si>
  <si>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</si>
  <si>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</si>
  <si>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</si>
  <si>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</si>
  <si>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</si>
  <si>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</si>
  <si>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</si>
  <si>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</si>
  <si>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</si>
  <si>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</si>
  <si>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</si>
  <si>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</si>
  <si>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</si>
  <si>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</si>
  <si>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</si>
  <si>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</si>
  <si>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</si>
  <si>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</si>
  <si>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</si>
  <si>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</si>
  <si>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</si>
  <si>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</si>
  <si>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</si>
  <si>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</si>
  <si>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</si>
  <si>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</si>
  <si>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</si>
  <si>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</si>
  <si>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</si>
  <si>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</si>
  <si>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</si>
  <si>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</si>
  <si>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</si>
  <si>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</si>
  <si>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</si>
  <si>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</si>
  <si>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</si>
  <si>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</si>
  <si>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</si>
  <si>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</si>
  <si>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</si>
  <si>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</si>
  <si>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</si>
  <si>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</si>
  <si>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</si>
  <si>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</si>
  <si>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</si>
  <si>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</si>
  <si>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</si>
  <si>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</si>
  <si>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</si>
  <si>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</si>
  <si>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</si>
  <si>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</si>
  <si>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</si>
  <si>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</si>
  <si>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</si>
  <si>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</si>
  <si>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</si>
  <si>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</si>
  <si>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</si>
  <si>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</si>
  <si>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</si>
  <si>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</si>
  <si>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</si>
  <si>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</si>
  <si>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</si>
  <si>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</si>
  <si>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</si>
  <si>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</si>
  <si>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</si>
  <si>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</si>
  <si>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</si>
  <si>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</si>
  <si>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</si>
  <si>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</si>
  <si>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</si>
  <si>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</si>
  <si>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</si>
  <si>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</si>
  <si>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</si>
  <si>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</si>
  <si>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</si>
  <si>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</si>
  <si>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</si>
  <si>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</si>
  <si>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</si>
  <si>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</si>
  <si>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</si>
  <si>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</si>
  <si>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</si>
  <si>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</si>
  <si>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</si>
  <si>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</si>
  <si>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</si>
  <si>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</si>
  <si>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</si>
  <si>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</si>
  <si>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</si>
  <si>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</si>
  <si>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</si>
  <si>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</si>
  <si>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</si>
  <si>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</si>
  <si>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</si>
  <si>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</si>
  <si>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</si>
  <si>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</si>
  <si>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</si>
  <si>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</si>
  <si>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</si>
  <si>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</si>
  <si>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</si>
  <si>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</si>
  <si>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</si>
  <si>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</si>
  <si>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</si>
  <si>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</si>
  <si>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</si>
  <si>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</si>
  <si>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</si>
  <si>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</si>
  <si>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</si>
  <si>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</si>
  <si>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</si>
  <si>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</si>
  <si>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</si>
  <si>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</si>
  <si>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No action required.</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</si>
  <si>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</si>
  <si>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</si>
  <si>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</si>
  <si>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</si>
  <si>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</si>
  <si>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</si>
  <si>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</si>
  <si>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</si>
  <si>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</si>
  <si>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</si>
  <si>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</si>
  <si>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</si>
  <si>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</si>
  <si>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</si>
  <si>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Department of Forestry and Fire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</si>
</sst>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b/>
      <i/>
      <sz val="12"/>
      <color rgb="FFFF0000"/>
      <name val="Arial"/>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46" fillId="3" borderId="0" xfId="0" applyFont="1" applyFill="1"/>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J75" sqref="J75"/>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8" t="s">
        <v>1629</v>
      </c>
      <c r="B1" s="178"/>
      <c r="C1" s="178"/>
      <c r="D1" s="178"/>
      <c r="E1" s="178"/>
      <c r="F1" s="178"/>
      <c r="G1" s="178"/>
      <c r="H1" s="178"/>
      <c r="I1" s="178"/>
      <c r="J1" s="178"/>
      <c r="K1" s="17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9" t="s">
        <v>10</v>
      </c>
      <c r="B3" s="179"/>
      <c r="C3" s="179"/>
      <c r="D3" s="179"/>
      <c r="E3" s="179"/>
      <c r="F3" s="180" t="s">
        <v>21</v>
      </c>
      <c r="G3" s="180"/>
      <c r="H3" s="180"/>
      <c r="I3" s="180"/>
    </row>
    <row r="4" spans="1:20" ht="16.5" customHeight="1" x14ac:dyDescent="0.2">
      <c r="A4" s="179" t="s">
        <v>191</v>
      </c>
      <c r="B4" s="179"/>
      <c r="C4" s="179"/>
      <c r="D4" s="179"/>
      <c r="E4" s="179"/>
      <c r="F4" s="181" t="s">
        <v>1675</v>
      </c>
      <c r="G4" s="181"/>
      <c r="H4" s="181"/>
      <c r="I4" s="181"/>
    </row>
    <row r="5" spans="1:20" ht="16.5" customHeight="1" x14ac:dyDescent="0.2">
      <c r="A5" s="179" t="s">
        <v>1615</v>
      </c>
      <c r="B5" s="179"/>
      <c r="C5" s="179"/>
      <c r="D5" s="179"/>
      <c r="E5" s="179"/>
      <c r="F5" s="181" t="s">
        <v>739</v>
      </c>
      <c r="G5" s="181"/>
      <c r="H5" s="181"/>
      <c r="I5" s="181"/>
      <c r="L5" s="12"/>
      <c r="M5" s="12"/>
      <c r="N5" s="12"/>
      <c r="O5" s="12"/>
      <c r="P5" s="12"/>
      <c r="Q5" s="12"/>
    </row>
    <row r="6" spans="1:20" ht="16.5" customHeight="1" x14ac:dyDescent="0.25">
      <c r="A6" s="179" t="s">
        <v>1634</v>
      </c>
      <c r="B6" s="179"/>
      <c r="C6" s="179"/>
      <c r="D6" s="179"/>
      <c r="E6" s="179"/>
      <c r="F6" s="182">
        <v>1</v>
      </c>
      <c r="G6" s="182"/>
      <c r="H6" s="182"/>
      <c r="I6" s="182"/>
      <c r="L6" s="13"/>
      <c r="M6" s="13"/>
      <c r="N6" s="13"/>
      <c r="O6" s="13"/>
      <c r="P6" s="12"/>
      <c r="Q6" s="12"/>
    </row>
    <row r="7" spans="1:20" ht="16.5" customHeight="1" x14ac:dyDescent="0.25">
      <c r="A7" s="179" t="s">
        <v>1</v>
      </c>
      <c r="B7" s="179"/>
      <c r="C7" s="179"/>
      <c r="D7" s="179"/>
      <c r="E7" s="179"/>
      <c r="F7" s="182" t="s">
        <v>120</v>
      </c>
      <c r="G7" s="182"/>
      <c r="H7" s="182"/>
      <c r="I7" s="182"/>
      <c r="K7" s="53"/>
      <c r="L7" s="13"/>
      <c r="M7" s="13"/>
      <c r="N7" s="13"/>
      <c r="O7" s="13"/>
      <c r="P7" s="12"/>
      <c r="Q7" s="12"/>
    </row>
    <row r="8" spans="1:20" ht="16.5" customHeight="1" x14ac:dyDescent="0.25">
      <c r="A8" s="179" t="s">
        <v>1616</v>
      </c>
      <c r="B8" s="179"/>
      <c r="C8" s="179"/>
      <c r="D8" s="179"/>
      <c r="E8" s="179"/>
      <c r="F8" s="182" t="s">
        <v>154</v>
      </c>
      <c r="G8" s="182"/>
      <c r="H8" s="182"/>
      <c r="I8" s="182"/>
      <c r="K8" s="53"/>
      <c r="L8" s="13"/>
      <c r="M8" s="13"/>
      <c r="N8" s="13"/>
      <c r="O8" s="13"/>
      <c r="P8" s="12"/>
      <c r="Q8" s="12"/>
    </row>
    <row r="9" spans="1:20" ht="16.5" customHeight="1" x14ac:dyDescent="0.25">
      <c r="A9" s="179" t="s">
        <v>1614</v>
      </c>
      <c r="B9" s="179"/>
      <c r="C9" s="179"/>
      <c r="D9" s="179"/>
      <c r="E9" s="179"/>
      <c r="F9" s="183" t="str">
        <f>IFERROR(IF(F7="Proprietary","Proprietary Fund",VLOOKUP(F5,qryIndex02a!$A$2:$K$654,4,FALSE)),"Unidentified")</f>
        <v>RESOURCES</v>
      </c>
      <c r="G9" s="183"/>
      <c r="H9" s="183"/>
      <c r="I9" s="18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75" t="s">
        <v>1633</v>
      </c>
      <c r="N14" s="176"/>
      <c r="O14" s="135"/>
      <c r="P14" s="175" t="s">
        <v>1630</v>
      </c>
      <c r="Q14" s="176"/>
      <c r="R14" s="135"/>
      <c r="S14" s="153" t="s">
        <v>1631</v>
      </c>
    </row>
    <row r="15" spans="1:20" ht="16.5" customHeight="1" x14ac:dyDescent="0.25">
      <c r="A15" s="159" t="s">
        <v>1637</v>
      </c>
      <c r="B15" s="9" t="s">
        <v>170</v>
      </c>
      <c r="C15" s="9"/>
      <c r="D15" s="9"/>
      <c r="E15" s="140"/>
      <c r="F15" s="141"/>
      <c r="G15" s="141"/>
      <c r="H15" s="142"/>
      <c r="I15" s="142"/>
      <c r="J15" s="171">
        <f>M15</f>
        <v>11933830</v>
      </c>
      <c r="M15" s="143">
        <v>11933830</v>
      </c>
      <c r="P15" s="143">
        <v>11933830</v>
      </c>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25258602</v>
      </c>
      <c r="M17" s="143">
        <v>25258602</v>
      </c>
      <c r="P17" s="143">
        <v>25258602</v>
      </c>
      <c r="Q17" s="155"/>
      <c r="S17" s="154">
        <f t="shared" si="0"/>
        <v>0</v>
      </c>
      <c r="T17" s="173" t="s">
        <v>1672</v>
      </c>
    </row>
    <row r="18" spans="1:20" ht="16.5" customHeight="1" x14ac:dyDescent="0.25">
      <c r="A18" s="54"/>
      <c r="B18" s="9" t="s">
        <v>168</v>
      </c>
      <c r="C18" s="9"/>
      <c r="D18" s="9"/>
      <c r="E18" s="140"/>
      <c r="F18" s="141"/>
      <c r="G18" s="141"/>
      <c r="H18" s="142"/>
      <c r="I18" s="142"/>
      <c r="J18" s="171">
        <f>P18</f>
        <v>1073771</v>
      </c>
      <c r="M18" s="143"/>
      <c r="P18" s="152">
        <f>IF(SUM($Q$20:$Q$23)&gt;SUM($P$15:$P$17),SUM($Q$20:$Q$23)-SUM($P$15:$P$17),0)</f>
        <v>1073771</v>
      </c>
      <c r="Q18" s="155"/>
      <c r="S18" s="154">
        <f t="shared" si="0"/>
        <v>1073771</v>
      </c>
      <c r="T18" s="172" t="s">
        <v>1660</v>
      </c>
    </row>
    <row r="19" spans="1:20" ht="16.5" customHeight="1" x14ac:dyDescent="0.25">
      <c r="A19" s="54"/>
      <c r="B19" s="9" t="s">
        <v>169</v>
      </c>
      <c r="C19" s="9"/>
      <c r="D19" s="9"/>
      <c r="E19" s="140"/>
      <c r="F19" s="141"/>
      <c r="G19" s="141"/>
      <c r="H19" s="142"/>
      <c r="I19" s="142"/>
      <c r="J19" s="171">
        <f>IF(SUM($K$20:$K$24)&gt;SUM($J$15:$J$18),SUM($K$20:$K$24)-SUM($J$15:$J$18),0)</f>
        <v>0</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1653022</v>
      </c>
      <c r="N20" s="143">
        <f>760190+892832</f>
        <v>1653022</v>
      </c>
      <c r="P20" s="155"/>
      <c r="Q20" s="143">
        <v>1653022</v>
      </c>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9680120</v>
      </c>
      <c r="N22" s="143">
        <f>4805361+4874759</f>
        <v>9680120</v>
      </c>
      <c r="P22" s="155"/>
      <c r="Q22" s="143">
        <v>9680120</v>
      </c>
      <c r="S22" s="154">
        <f t="shared" ref="S22:S25" si="1">Q22-N22</f>
        <v>0</v>
      </c>
      <c r="T22" s="172" t="s">
        <v>1660</v>
      </c>
    </row>
    <row r="23" spans="1:20" ht="16.5" customHeight="1" x14ac:dyDescent="0.25">
      <c r="A23" s="165" t="s">
        <v>1645</v>
      </c>
      <c r="B23" s="9"/>
      <c r="C23" s="9" t="s">
        <v>173</v>
      </c>
      <c r="D23" s="9"/>
      <c r="E23" s="140"/>
      <c r="F23" s="141"/>
      <c r="G23" s="141"/>
      <c r="H23" s="142"/>
      <c r="I23" s="142"/>
      <c r="J23" s="150"/>
      <c r="K23" s="171">
        <f>N23</f>
        <v>26933061</v>
      </c>
      <c r="N23" s="143">
        <f>32164727-5231666</f>
        <v>26933061</v>
      </c>
      <c r="P23" s="155"/>
      <c r="Q23" s="143">
        <v>26933061</v>
      </c>
      <c r="S23" s="154">
        <f t="shared" si="1"/>
        <v>0</v>
      </c>
      <c r="T23" s="172" t="s">
        <v>1660</v>
      </c>
    </row>
    <row r="24" spans="1:20" ht="16.5" customHeight="1" x14ac:dyDescent="0.25">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38266203</v>
      </c>
      <c r="K26" s="107">
        <f>SUM(K15:K25)</f>
        <v>38266203</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5008055</v>
      </c>
      <c r="K55" s="144"/>
    </row>
    <row r="56" spans="1:16" ht="16.5" customHeight="1" x14ac:dyDescent="0.25">
      <c r="A56" s="54"/>
      <c r="B56" s="25"/>
      <c r="C56" s="9" t="s">
        <v>177</v>
      </c>
      <c r="D56" s="140"/>
      <c r="E56" s="140"/>
      <c r="F56" s="141"/>
      <c r="G56" s="141"/>
      <c r="H56" s="142"/>
      <c r="I56" s="142"/>
      <c r="J56" s="145"/>
      <c r="K56" s="143">
        <v>892832</v>
      </c>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4115223</v>
      </c>
    </row>
    <row r="59" spans="1:16" ht="16.5" customHeight="1" x14ac:dyDescent="0.25">
      <c r="A59" s="54"/>
      <c r="C59" s="16"/>
      <c r="D59" s="16"/>
      <c r="E59" s="16"/>
      <c r="F59" s="17"/>
      <c r="G59" s="17"/>
      <c r="H59" s="18"/>
      <c r="I59" s="18"/>
      <c r="J59" s="107">
        <f>SUM(J55:J58)</f>
        <v>5008055</v>
      </c>
      <c r="K59" s="107">
        <f>SUM(K55:K58)</f>
        <v>5008055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4576489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268152</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4844641</v>
      </c>
    </row>
    <row r="65" spans="1:12" ht="16.5" customHeight="1" x14ac:dyDescent="0.25">
      <c r="A65" s="54"/>
      <c r="C65" s="16"/>
      <c r="D65" s="16"/>
      <c r="E65" s="16"/>
      <c r="F65" s="17"/>
      <c r="G65" s="17"/>
      <c r="H65" s="18"/>
      <c r="I65" s="18"/>
      <c r="J65" s="107">
        <f>SUM(J62:J64)</f>
        <v>4844641</v>
      </c>
      <c r="K65" s="107">
        <f>SUM(K62:K64)</f>
        <v>4844641</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4576489</v>
      </c>
      <c r="K68" s="144"/>
    </row>
    <row r="69" spans="1:12" ht="16.5" customHeight="1" x14ac:dyDescent="0.25">
      <c r="A69" s="54"/>
      <c r="B69" s="9"/>
      <c r="C69" s="9" t="s">
        <v>185</v>
      </c>
      <c r="D69" s="140"/>
      <c r="E69" s="140"/>
      <c r="F69" s="141"/>
      <c r="G69" s="141"/>
      <c r="H69" s="142"/>
      <c r="I69" s="142"/>
      <c r="J69" s="144"/>
      <c r="K69" s="143">
        <v>4576489</v>
      </c>
      <c r="L69" s="10" t="str">
        <f>IF($J$62=$K$69,"","&lt;- Accts 0848 must agree")</f>
        <v/>
      </c>
    </row>
    <row r="70" spans="1:12" ht="16.5" customHeight="1" x14ac:dyDescent="0.25">
      <c r="A70" s="54"/>
      <c r="C70" s="16"/>
      <c r="D70" s="16"/>
      <c r="E70" s="16"/>
      <c r="F70" s="17"/>
      <c r="G70" s="17"/>
      <c r="H70" s="18"/>
      <c r="I70" s="18"/>
      <c r="J70" s="107">
        <f>SUM(J68:J69)</f>
        <v>4576489</v>
      </c>
      <c r="K70" s="107">
        <f>SUM(K68:K69)</f>
        <v>4576489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3497317</v>
      </c>
      <c r="K75" s="144"/>
    </row>
    <row r="76" spans="1:12" ht="16.5" customHeight="1" x14ac:dyDescent="0.25">
      <c r="A76" s="54"/>
      <c r="B76" s="9"/>
      <c r="C76" s="9" t="s">
        <v>193</v>
      </c>
      <c r="D76" s="140"/>
      <c r="E76" s="140"/>
      <c r="F76" s="141"/>
      <c r="G76" s="141"/>
      <c r="H76" s="142"/>
      <c r="I76" s="142"/>
      <c r="J76" s="144"/>
      <c r="K76" s="143">
        <v>3497317</v>
      </c>
    </row>
    <row r="77" spans="1:12" ht="16.5" customHeight="1" x14ac:dyDescent="0.2">
      <c r="A77" s="54"/>
      <c r="B77" s="177" t="s">
        <v>1661</v>
      </c>
      <c r="C77" s="177"/>
      <c r="D77" s="177"/>
      <c r="E77" s="177"/>
      <c r="F77" s="177"/>
      <c r="G77" s="177"/>
      <c r="H77" s="177"/>
      <c r="I77" s="177"/>
      <c r="J77" s="107">
        <f>SUM(J75:J76)</f>
        <v>3497317</v>
      </c>
      <c r="K77" s="107">
        <f>SUM(K75:K76)</f>
        <v>3497317</v>
      </c>
      <c r="L77" s="25" t="str">
        <f>IF(J77=K77,"&lt;- Debits and Credits equal each other.","&lt;- Debits and Credits do not equal each other.")</f>
        <v>&lt;- Debits and Credits equal each other.</v>
      </c>
    </row>
    <row r="78" spans="1:12" ht="16.5" customHeight="1" x14ac:dyDescent="0.2">
      <c r="A78" s="54"/>
      <c r="B78" s="177"/>
      <c r="C78" s="177"/>
      <c r="D78" s="177"/>
      <c r="E78" s="177"/>
      <c r="F78" s="177"/>
      <c r="G78" s="177"/>
      <c r="H78" s="177"/>
      <c r="I78" s="177"/>
      <c r="J78" s="107"/>
      <c r="K78" s="107"/>
      <c r="L78" s="8"/>
    </row>
    <row r="79" spans="1:12" ht="24.6" customHeight="1" x14ac:dyDescent="0.2">
      <c r="A79" s="54"/>
      <c r="B79" s="177"/>
      <c r="C79" s="177"/>
      <c r="D79" s="177"/>
      <c r="E79" s="177"/>
      <c r="F79" s="177"/>
      <c r="G79" s="177"/>
      <c r="H79" s="177"/>
      <c r="I79" s="177"/>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11933830</v>
      </c>
    </row>
    <row r="123" spans="1:12" ht="16.5" customHeight="1" x14ac:dyDescent="0.25">
      <c r="D123" s="140" t="s">
        <v>1651</v>
      </c>
      <c r="H123" s="10"/>
      <c r="K123" s="169">
        <f>J16+J40-K89-K102+J111</f>
        <v>0</v>
      </c>
    </row>
    <row r="124" spans="1:12" ht="16.5" customHeight="1" x14ac:dyDescent="0.25">
      <c r="D124" s="140" t="s">
        <v>1652</v>
      </c>
      <c r="H124" s="10"/>
      <c r="K124" s="169">
        <f>J17+J41-K90-K103+J112</f>
        <v>25258602</v>
      </c>
    </row>
    <row r="125" spans="1:12" ht="16.5" customHeight="1" x14ac:dyDescent="0.25">
      <c r="D125" s="140" t="s">
        <v>1653</v>
      </c>
      <c r="H125" s="10"/>
      <c r="K125" s="169">
        <f>-K20-K56+J85+J97</f>
        <v>-2545854</v>
      </c>
    </row>
    <row r="126" spans="1:12" ht="16.5" customHeight="1" x14ac:dyDescent="0.25">
      <c r="D126" s="140" t="s">
        <v>1654</v>
      </c>
      <c r="H126" s="10"/>
      <c r="K126" s="169">
        <f>-K21-K57+J86+J98</f>
        <v>0</v>
      </c>
    </row>
    <row r="127" spans="1:12" ht="16.5" customHeight="1" x14ac:dyDescent="0.25">
      <c r="D127" s="140" t="s">
        <v>1655</v>
      </c>
      <c r="H127" s="10"/>
      <c r="K127" s="169">
        <f>-K22-K58+J87+J99</f>
        <v>-13795343</v>
      </c>
    </row>
    <row r="128" spans="1:12" ht="16.5" customHeight="1" x14ac:dyDescent="0.25">
      <c r="D128" s="140" t="s">
        <v>1656</v>
      </c>
      <c r="H128" s="10"/>
      <c r="K128" s="169">
        <f>-K23-K48+J68+J75+J96-K113</f>
        <v>-18859255</v>
      </c>
    </row>
    <row r="129" spans="4:11" ht="16.5" customHeight="1" x14ac:dyDescent="0.25">
      <c r="D129" s="140" t="s">
        <v>1657</v>
      </c>
      <c r="H129" s="10"/>
      <c r="K129" s="169">
        <f>-K76</f>
        <v>-3497317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AEE00-AC08-43D5-A944-967B4D93F281}">
  <sheetPr>
    <tabColor theme="9" tint="0.59999389629810485"/>
    <pageSetUpPr fitToPage="1"/>
  </sheetPr>
  <dimension ref="A1:T193"/>
  <sheetViews>
    <sheetView tabSelected="1" zoomScale="70" zoomScaleNormal="70" workbookViewId="0">
      <selection activeCell="K7" sqref="K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8" t="s">
        <v>1629</v>
      </c>
      <c r="B1" s="178"/>
      <c r="C1" s="178"/>
      <c r="D1" s="178"/>
      <c r="E1" s="178"/>
      <c r="F1" s="178"/>
      <c r="G1" s="178"/>
      <c r="H1" s="178"/>
      <c r="I1" s="178"/>
      <c r="J1" s="178"/>
      <c r="K1" s="17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9" t="s">
        <v>10</v>
      </c>
      <c r="B3" s="179"/>
      <c r="C3" s="179"/>
      <c r="D3" s="179"/>
      <c r="E3" s="179"/>
      <c r="F3" s="180" t="s">
        <v>21</v>
      </c>
      <c r="G3" s="180"/>
      <c r="H3" s="180"/>
      <c r="I3" s="180"/>
    </row>
    <row r="4" spans="1:20" ht="16.5" customHeight="1" x14ac:dyDescent="0.2">
      <c r="A4" s="179" t="s">
        <v>191</v>
      </c>
      <c r="B4" s="179"/>
      <c r="C4" s="179"/>
      <c r="D4" s="179"/>
      <c r="E4" s="179"/>
      <c r="F4" s="181" t="s">
        <v>1675</v>
      </c>
      <c r="G4" s="181"/>
      <c r="H4" s="181"/>
      <c r="I4" s="181"/>
    </row>
    <row r="5" spans="1:20" ht="16.5" customHeight="1" x14ac:dyDescent="0.2">
      <c r="A5" s="179" t="s">
        <v>1615</v>
      </c>
      <c r="B5" s="179"/>
      <c r="C5" s="179"/>
      <c r="D5" s="179"/>
      <c r="E5" s="179"/>
      <c r="F5" s="181" t="s">
        <v>739</v>
      </c>
      <c r="G5" s="181"/>
      <c r="H5" s="181"/>
      <c r="I5" s="181"/>
      <c r="L5" s="12"/>
      <c r="M5" s="12"/>
      <c r="N5" s="12"/>
      <c r="O5" s="12"/>
      <c r="P5" s="12"/>
      <c r="Q5" s="12"/>
    </row>
    <row r="6" spans="1:20" ht="16.5" customHeight="1" x14ac:dyDescent="0.25">
      <c r="A6" s="179" t="s">
        <v>1634</v>
      </c>
      <c r="B6" s="179"/>
      <c r="C6" s="179"/>
      <c r="D6" s="179"/>
      <c r="E6" s="179"/>
      <c r="F6" s="182">
        <v>209</v>
      </c>
      <c r="G6" s="182"/>
      <c r="H6" s="182"/>
      <c r="I6" s="182"/>
      <c r="L6" s="13"/>
      <c r="M6" s="13"/>
      <c r="N6" s="13"/>
      <c r="O6" s="13"/>
      <c r="P6" s="12"/>
      <c r="Q6" s="12"/>
    </row>
    <row r="7" spans="1:20" ht="16.5" customHeight="1" x14ac:dyDescent="0.25">
      <c r="A7" s="179" t="s">
        <v>1</v>
      </c>
      <c r="B7" s="179"/>
      <c r="C7" s="179"/>
      <c r="D7" s="179"/>
      <c r="E7" s="179"/>
      <c r="F7" s="182" t="s">
        <v>120</v>
      </c>
      <c r="G7" s="182"/>
      <c r="H7" s="182"/>
      <c r="I7" s="182"/>
      <c r="K7" s="53"/>
      <c r="L7" s="13"/>
      <c r="M7" s="13"/>
      <c r="N7" s="13"/>
      <c r="O7" s="13"/>
      <c r="P7" s="12"/>
      <c r="Q7" s="12"/>
    </row>
    <row r="8" spans="1:20" ht="16.5" customHeight="1" x14ac:dyDescent="0.25">
      <c r="A8" s="179" t="s">
        <v>1616</v>
      </c>
      <c r="B8" s="179"/>
      <c r="C8" s="179"/>
      <c r="D8" s="179"/>
      <c r="E8" s="179"/>
      <c r="F8" s="182" t="s">
        <v>154</v>
      </c>
      <c r="G8" s="182"/>
      <c r="H8" s="182"/>
      <c r="I8" s="182"/>
      <c r="K8" s="53"/>
      <c r="L8" s="13"/>
      <c r="M8" s="13"/>
      <c r="N8" s="13"/>
      <c r="O8" s="13"/>
      <c r="P8" s="12"/>
      <c r="Q8" s="12"/>
    </row>
    <row r="9" spans="1:20" ht="16.5" customHeight="1" x14ac:dyDescent="0.25">
      <c r="A9" s="179" t="s">
        <v>1614</v>
      </c>
      <c r="B9" s="179"/>
      <c r="C9" s="179"/>
      <c r="D9" s="179"/>
      <c r="E9" s="179"/>
      <c r="F9" s="183" t="str">
        <f>IFERROR(IF(F7="Proprietary","Proprietary Fund",VLOOKUP(F5,qryIndex02a!$A$2:$K$654,4,FALSE)),"Unidentified")</f>
        <v>RESOURCES</v>
      </c>
      <c r="G9" s="183"/>
      <c r="H9" s="183"/>
      <c r="I9" s="18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75" t="s">
        <v>1633</v>
      </c>
      <c r="N14" s="176"/>
      <c r="O14" s="135"/>
      <c r="P14" s="175" t="s">
        <v>1630</v>
      </c>
      <c r="Q14" s="176"/>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2105422</v>
      </c>
      <c r="M17" s="143">
        <v>2105422</v>
      </c>
      <c r="P17" s="143">
        <v>2105422</v>
      </c>
      <c r="Q17" s="155"/>
      <c r="S17" s="154">
        <f t="shared" si="0"/>
        <v>0</v>
      </c>
      <c r="T17" s="173" t="s">
        <v>1672</v>
      </c>
    </row>
    <row r="18" spans="1:20" ht="16.5" customHeight="1" x14ac:dyDescent="0.25">
      <c r="A18" s="54"/>
      <c r="B18" s="9" t="s">
        <v>168</v>
      </c>
      <c r="C18" s="9"/>
      <c r="D18" s="9"/>
      <c r="E18" s="140"/>
      <c r="F18" s="141"/>
      <c r="G18" s="141"/>
      <c r="H18" s="142"/>
      <c r="I18" s="142"/>
      <c r="J18" s="171">
        <f>P18</f>
        <v>0</v>
      </c>
      <c r="M18" s="143"/>
      <c r="P18" s="152">
        <f>IF(SUM($Q$20:$Q$23)&gt;SUM($P$15:$P$17),SUM($Q$20:$Q$23)-SUM($P$15:$P$17),0)</f>
        <v>0</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0</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743090</v>
      </c>
      <c r="N22" s="143">
        <v>743090</v>
      </c>
      <c r="P22" s="155"/>
      <c r="Q22" s="143">
        <v>743090</v>
      </c>
      <c r="S22" s="154">
        <f t="shared" ref="S22:S25" si="1">Q22-N22</f>
        <v>0</v>
      </c>
      <c r="T22" s="172" t="s">
        <v>1660</v>
      </c>
    </row>
    <row r="23" spans="1:20" ht="16.5" customHeight="1" x14ac:dyDescent="0.25">
      <c r="A23" s="165" t="s">
        <v>1645</v>
      </c>
      <c r="B23" s="9"/>
      <c r="C23" s="9" t="s">
        <v>173</v>
      </c>
      <c r="D23" s="9"/>
      <c r="E23" s="140"/>
      <c r="F23" s="141"/>
      <c r="G23" s="141"/>
      <c r="H23" s="142"/>
      <c r="I23" s="142"/>
      <c r="J23" s="150"/>
      <c r="K23" s="171">
        <f>N23</f>
        <v>1263505</v>
      </c>
      <c r="N23" s="143">
        <v>1263505</v>
      </c>
      <c r="P23" s="155"/>
      <c r="Q23" s="143">
        <v>1263505</v>
      </c>
      <c r="S23" s="154">
        <f t="shared" si="1"/>
        <v>0</v>
      </c>
      <c r="T23" s="172" t="s">
        <v>1660</v>
      </c>
    </row>
    <row r="24" spans="1:20" ht="16.5" customHeight="1" x14ac:dyDescent="0.25">
      <c r="A24" s="54"/>
      <c r="B24" s="9"/>
      <c r="C24" s="9" t="s">
        <v>175</v>
      </c>
      <c r="D24" s="9"/>
      <c r="E24" s="140"/>
      <c r="F24" s="141"/>
      <c r="G24" s="141"/>
      <c r="H24" s="142"/>
      <c r="I24" s="142"/>
      <c r="J24" s="150"/>
      <c r="K24" s="171">
        <f>Q24</f>
        <v>98827</v>
      </c>
      <c r="N24" s="143"/>
      <c r="P24" s="155"/>
      <c r="Q24" s="152">
        <f>IF(SUM($Q$20:$Q$23)&lt;SUM($P$15:$P$17),-SUM($Q$20:$Q$23)+SUM($P$15:$P$17),0)</f>
        <v>98827</v>
      </c>
      <c r="S24" s="154">
        <f t="shared" si="1"/>
        <v>98827</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2105422</v>
      </c>
      <c r="K26" s="107">
        <f>SUM(K15:K25)</f>
        <v>2105422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371545</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371545</v>
      </c>
    </row>
    <row r="59" spans="1:16" ht="16.5" customHeight="1" x14ac:dyDescent="0.25">
      <c r="A59" s="54"/>
      <c r="C59" s="16"/>
      <c r="D59" s="16"/>
      <c r="E59" s="16"/>
      <c r="F59" s="17"/>
      <c r="G59" s="17"/>
      <c r="H59" s="18"/>
      <c r="I59" s="18"/>
      <c r="J59" s="107">
        <f>SUM(J55:J58)</f>
        <v>371545</v>
      </c>
      <c r="K59" s="107">
        <f>SUM(K55:K58)</f>
        <v>371545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327126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10034</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337160</v>
      </c>
    </row>
    <row r="65" spans="1:12" ht="16.5" customHeight="1" x14ac:dyDescent="0.25">
      <c r="A65" s="54"/>
      <c r="C65" s="16"/>
      <c r="D65" s="16"/>
      <c r="E65" s="16"/>
      <c r="F65" s="17"/>
      <c r="G65" s="17"/>
      <c r="H65" s="18"/>
      <c r="I65" s="18"/>
      <c r="J65" s="107">
        <f>SUM(J62:J64)</f>
        <v>337160</v>
      </c>
      <c r="K65" s="107">
        <f>SUM(K62:K64)</f>
        <v>337160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327126</v>
      </c>
      <c r="K68" s="144"/>
    </row>
    <row r="69" spans="1:12" ht="16.5" customHeight="1" x14ac:dyDescent="0.25">
      <c r="A69" s="54"/>
      <c r="B69" s="9"/>
      <c r="C69" s="9" t="s">
        <v>185</v>
      </c>
      <c r="D69" s="140"/>
      <c r="E69" s="140"/>
      <c r="F69" s="141"/>
      <c r="G69" s="141"/>
      <c r="H69" s="142"/>
      <c r="I69" s="142"/>
      <c r="J69" s="144"/>
      <c r="K69" s="143">
        <v>327126</v>
      </c>
      <c r="L69" s="10" t="str">
        <f>IF($J$62=$K$69,"","&lt;- Accts 0848 must agree")</f>
        <v/>
      </c>
    </row>
    <row r="70" spans="1:12" ht="16.5" customHeight="1" x14ac:dyDescent="0.25">
      <c r="A70" s="54"/>
      <c r="C70" s="16"/>
      <c r="D70" s="16"/>
      <c r="E70" s="16"/>
      <c r="F70" s="17"/>
      <c r="G70" s="17"/>
      <c r="H70" s="18"/>
      <c r="I70" s="18"/>
      <c r="J70" s="107">
        <f>SUM(J68:J69)</f>
        <v>327126</v>
      </c>
      <c r="K70" s="107">
        <f>SUM(K68:K69)</f>
        <v>327126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340239</v>
      </c>
      <c r="K75" s="144"/>
    </row>
    <row r="76" spans="1:12" ht="16.5" customHeight="1" x14ac:dyDescent="0.25">
      <c r="A76" s="54"/>
      <c r="B76" s="9"/>
      <c r="C76" s="9" t="s">
        <v>193</v>
      </c>
      <c r="D76" s="140"/>
      <c r="E76" s="140"/>
      <c r="F76" s="141"/>
      <c r="G76" s="141"/>
      <c r="H76" s="142"/>
      <c r="I76" s="142"/>
      <c r="J76" s="144"/>
      <c r="K76" s="143">
        <v>340239</v>
      </c>
    </row>
    <row r="77" spans="1:12" ht="16.5" customHeight="1" x14ac:dyDescent="0.2">
      <c r="A77" s="54"/>
      <c r="B77" s="177" t="s">
        <v>1661</v>
      </c>
      <c r="C77" s="177"/>
      <c r="D77" s="177"/>
      <c r="E77" s="177"/>
      <c r="F77" s="177"/>
      <c r="G77" s="177"/>
      <c r="H77" s="177"/>
      <c r="I77" s="177"/>
      <c r="J77" s="107">
        <f>SUM(J75:J76)</f>
        <v>340239</v>
      </c>
      <c r="K77" s="107">
        <f>SUM(K75:K76)</f>
        <v>340239</v>
      </c>
      <c r="L77" s="25" t="str">
        <f>IF(J77=K77,"&lt;- Debits and Credits equal each other.","&lt;- Debits and Credits do not equal each other.")</f>
        <v>&lt;- Debits and Credits equal each other.</v>
      </c>
    </row>
    <row r="78" spans="1:12" ht="16.5" customHeight="1" x14ac:dyDescent="0.2">
      <c r="A78" s="54"/>
      <c r="B78" s="177"/>
      <c r="C78" s="177"/>
      <c r="D78" s="177"/>
      <c r="E78" s="177"/>
      <c r="F78" s="177"/>
      <c r="G78" s="177"/>
      <c r="H78" s="177"/>
      <c r="I78" s="177"/>
      <c r="J78" s="107"/>
      <c r="K78" s="107"/>
      <c r="L78" s="8"/>
    </row>
    <row r="79" spans="1:12" ht="24.6" customHeight="1" x14ac:dyDescent="0.2">
      <c r="A79" s="54"/>
      <c r="B79" s="177"/>
      <c r="C79" s="177"/>
      <c r="D79" s="177"/>
      <c r="E79" s="177"/>
      <c r="F79" s="177"/>
      <c r="G79" s="177"/>
      <c r="H79" s="177"/>
      <c r="I79" s="177"/>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2105422</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-1114635</v>
      </c>
    </row>
    <row r="128" spans="1:12" ht="16.5" customHeight="1" x14ac:dyDescent="0.25">
      <c r="D128" s="140" t="s">
        <v>1656</v>
      </c>
      <c r="H128" s="10"/>
      <c r="K128" s="169">
        <f>-K23-K48+J68+J75+J96-K113</f>
        <v>-596140</v>
      </c>
    </row>
    <row r="129" spans="4:11" ht="16.5" customHeight="1" x14ac:dyDescent="0.25">
      <c r="D129" s="140" t="s">
        <v>1657</v>
      </c>
      <c r="H129" s="10"/>
      <c r="K129" s="169">
        <f>-K76</f>
        <v>-340239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92669D1C-4A56-4047-8157-BA35BF6D9C35}">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C6FA51B-65AC-4691-96C4-B4B5BA48BAAA}">
      <formula1>0</formula1>
    </dataValidation>
    <dataValidation operator="lessThan" allowBlank="1" showInputMessage="1" showErrorMessage="1" sqref="A3:A8" xr:uid="{D0B32EEF-692E-4D24-BA9E-D34A5304B1E4}"/>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B889EFFE-3E25-403A-A672-DE810F0A7C52}">
          <x14:formula1>
            <xm:f>'Drop Down Menus'!$E$1:$E$3</xm:f>
          </x14:formula1>
          <xm:sqref>F8</xm:sqref>
        </x14:dataValidation>
        <x14:dataValidation type="list" allowBlank="1" showInputMessage="1" showErrorMessage="1" xr:uid="{7B5DDC0B-9725-46A8-B779-2C451A520C71}">
          <x14:formula1>
            <xm:f>'Drop Down Menus'!$B$1:$B$2</xm:f>
          </x14:formula1>
          <xm:sqref>F7</xm:sqref>
        </x14:dataValidation>
        <x14:dataValidation type="list" allowBlank="1" showInputMessage="1" showErrorMessage="1" xr:uid="{3B4545DA-E813-4F57-9E7C-D66AD6D55C89}">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0C2E4-42FB-437D-95E5-CEA151D7CB73}">
  <sheetPr>
    <tabColor theme="9" tint="0.59999389629810485"/>
    <pageSetUpPr fitToPage="1"/>
  </sheetPr>
  <dimension ref="A1:T193"/>
  <sheetViews>
    <sheetView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8" t="s">
        <v>1629</v>
      </c>
      <c r="B1" s="178"/>
      <c r="C1" s="178"/>
      <c r="D1" s="178"/>
      <c r="E1" s="178"/>
      <c r="F1" s="178"/>
      <c r="G1" s="178"/>
      <c r="H1" s="178"/>
      <c r="I1" s="178"/>
      <c r="J1" s="178"/>
      <c r="K1" s="17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9" t="s">
        <v>10</v>
      </c>
      <c r="B3" s="179"/>
      <c r="C3" s="179"/>
      <c r="D3" s="179"/>
      <c r="E3" s="179"/>
      <c r="F3" s="180" t="s">
        <v>21</v>
      </c>
      <c r="G3" s="180"/>
      <c r="H3" s="180"/>
      <c r="I3" s="180"/>
    </row>
    <row r="4" spans="1:20" ht="16.5" customHeight="1" x14ac:dyDescent="0.2">
      <c r="A4" s="179" t="s">
        <v>191</v>
      </c>
      <c r="B4" s="179"/>
      <c r="C4" s="179"/>
      <c r="D4" s="179"/>
      <c r="E4" s="179"/>
      <c r="F4" s="181" t="s">
        <v>1675</v>
      </c>
      <c r="G4" s="181"/>
      <c r="H4" s="181"/>
      <c r="I4" s="181"/>
    </row>
    <row r="5" spans="1:20" ht="16.5" customHeight="1" x14ac:dyDescent="0.2">
      <c r="A5" s="179" t="s">
        <v>1615</v>
      </c>
      <c r="B5" s="179"/>
      <c r="C5" s="179"/>
      <c r="D5" s="179"/>
      <c r="E5" s="179"/>
      <c r="F5" s="181" t="s">
        <v>739</v>
      </c>
      <c r="G5" s="181"/>
      <c r="H5" s="181"/>
      <c r="I5" s="181"/>
      <c r="L5" s="12"/>
      <c r="M5" s="12"/>
      <c r="N5" s="12"/>
      <c r="O5" s="12"/>
      <c r="P5" s="12"/>
      <c r="Q5" s="12"/>
    </row>
    <row r="6" spans="1:20" ht="16.5" customHeight="1" x14ac:dyDescent="0.25">
      <c r="A6" s="179" t="s">
        <v>1634</v>
      </c>
      <c r="B6" s="179"/>
      <c r="C6" s="179"/>
      <c r="D6" s="179"/>
      <c r="E6" s="179"/>
      <c r="F6" s="182">
        <v>3228</v>
      </c>
      <c r="G6" s="182"/>
      <c r="H6" s="182"/>
      <c r="I6" s="182"/>
      <c r="L6" s="13"/>
      <c r="M6" s="13"/>
      <c r="N6" s="13"/>
      <c r="O6" s="13"/>
      <c r="P6" s="12"/>
      <c r="Q6" s="12"/>
    </row>
    <row r="7" spans="1:20" ht="16.5" customHeight="1" x14ac:dyDescent="0.25">
      <c r="A7" s="179" t="s">
        <v>1</v>
      </c>
      <c r="B7" s="179"/>
      <c r="C7" s="179"/>
      <c r="D7" s="179"/>
      <c r="E7" s="179"/>
      <c r="F7" s="182" t="s">
        <v>120</v>
      </c>
      <c r="G7" s="182"/>
      <c r="H7" s="182"/>
      <c r="I7" s="182"/>
      <c r="K7" s="53"/>
      <c r="L7" s="13"/>
      <c r="M7" s="13"/>
      <c r="N7" s="13"/>
      <c r="O7" s="13"/>
      <c r="P7" s="12"/>
      <c r="Q7" s="12"/>
    </row>
    <row r="8" spans="1:20" ht="16.5" customHeight="1" x14ac:dyDescent="0.25">
      <c r="A8" s="179" t="s">
        <v>1616</v>
      </c>
      <c r="B8" s="179"/>
      <c r="C8" s="179"/>
      <c r="D8" s="179"/>
      <c r="E8" s="179"/>
      <c r="F8" s="182" t="s">
        <v>154</v>
      </c>
      <c r="G8" s="182"/>
      <c r="H8" s="182"/>
      <c r="I8" s="182"/>
      <c r="K8" s="53"/>
      <c r="L8" s="13"/>
      <c r="M8" s="13"/>
      <c r="N8" s="13"/>
      <c r="O8" s="13"/>
      <c r="P8" s="12"/>
      <c r="Q8" s="12"/>
    </row>
    <row r="9" spans="1:20" ht="16.5" customHeight="1" x14ac:dyDescent="0.25">
      <c r="A9" s="179" t="s">
        <v>1614</v>
      </c>
      <c r="B9" s="179"/>
      <c r="C9" s="179"/>
      <c r="D9" s="179"/>
      <c r="E9" s="179"/>
      <c r="F9" s="183" t="str">
        <f>IFERROR(IF(F7="Proprietary","Proprietary Fund",VLOOKUP(F5,qryIndex02a!$A$2:$K$654,4,FALSE)),"Unidentified")</f>
        <v>RESOURCES</v>
      </c>
      <c r="G9" s="183"/>
      <c r="H9" s="183"/>
      <c r="I9" s="18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75" t="s">
        <v>1633</v>
      </c>
      <c r="N14" s="176"/>
      <c r="O14" s="135"/>
      <c r="P14" s="175" t="s">
        <v>1630</v>
      </c>
      <c r="Q14" s="176"/>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415540</v>
      </c>
      <c r="M17" s="143">
        <v>415540</v>
      </c>
      <c r="P17" s="143">
        <v>415540</v>
      </c>
      <c r="Q17" s="155"/>
      <c r="S17" s="154">
        <f t="shared" si="0"/>
        <v>0</v>
      </c>
      <c r="T17" s="173" t="s">
        <v>1672</v>
      </c>
    </row>
    <row r="18" spans="1:20" ht="16.5" customHeight="1" x14ac:dyDescent="0.25">
      <c r="A18" s="54"/>
      <c r="B18" s="9" t="s">
        <v>168</v>
      </c>
      <c r="C18" s="9"/>
      <c r="D18" s="9"/>
      <c r="E18" s="140"/>
      <c r="F18" s="141"/>
      <c r="G18" s="141"/>
      <c r="H18" s="142"/>
      <c r="I18" s="142"/>
      <c r="J18" s="171">
        <f>P18</f>
        <v>5377</v>
      </c>
      <c r="M18" s="143"/>
      <c r="P18" s="152">
        <f>IF(SUM($Q$20:$Q$23)&gt;SUM($P$15:$P$17),SUM($Q$20:$Q$23)-SUM($P$15:$P$17),0)</f>
        <v>5377</v>
      </c>
      <c r="Q18" s="155"/>
      <c r="S18" s="154">
        <f t="shared" si="0"/>
        <v>5377</v>
      </c>
      <c r="T18" s="172" t="s">
        <v>1660</v>
      </c>
    </row>
    <row r="19" spans="1:20" ht="16.5" customHeight="1" x14ac:dyDescent="0.25">
      <c r="A19" s="54"/>
      <c r="B19" s="9" t="s">
        <v>169</v>
      </c>
      <c r="C19" s="9"/>
      <c r="D19" s="9"/>
      <c r="E19" s="140"/>
      <c r="F19" s="141"/>
      <c r="G19" s="141"/>
      <c r="H19" s="142"/>
      <c r="I19" s="142"/>
      <c r="J19" s="171">
        <f>IF(SUM($K$20:$K$24)&gt;SUM($J$15:$J$18),SUM($K$20:$K$24)-SUM($J$15:$J$18),0)</f>
        <v>0</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130668</v>
      </c>
      <c r="N22" s="143">
        <v>130668</v>
      </c>
      <c r="P22" s="155"/>
      <c r="Q22" s="143">
        <v>130668</v>
      </c>
      <c r="S22" s="154">
        <f t="shared" ref="S22:S25" si="1">Q22-N22</f>
        <v>0</v>
      </c>
      <c r="T22" s="172" t="s">
        <v>1660</v>
      </c>
    </row>
    <row r="23" spans="1:20" ht="16.5" customHeight="1" x14ac:dyDescent="0.25">
      <c r="A23" s="165" t="s">
        <v>1645</v>
      </c>
      <c r="B23" s="9"/>
      <c r="C23" s="9" t="s">
        <v>173</v>
      </c>
      <c r="D23" s="9"/>
      <c r="E23" s="140"/>
      <c r="F23" s="141"/>
      <c r="G23" s="141"/>
      <c r="H23" s="142"/>
      <c r="I23" s="142"/>
      <c r="J23" s="150"/>
      <c r="K23" s="171">
        <f>N23</f>
        <v>290249</v>
      </c>
      <c r="N23" s="143">
        <v>290249</v>
      </c>
      <c r="P23" s="155"/>
      <c r="Q23" s="143">
        <v>290249</v>
      </c>
      <c r="S23" s="154">
        <f t="shared" si="1"/>
        <v>0</v>
      </c>
      <c r="T23" s="172" t="s">
        <v>1660</v>
      </c>
    </row>
    <row r="24" spans="1:20" ht="16.5" customHeight="1" x14ac:dyDescent="0.25">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420917</v>
      </c>
      <c r="K26" s="107">
        <f>SUM(K15:K25)</f>
        <v>420917</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65334</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65334</v>
      </c>
    </row>
    <row r="59" spans="1:16" ht="16.5" customHeight="1" x14ac:dyDescent="0.25">
      <c r="A59" s="54"/>
      <c r="C59" s="16"/>
      <c r="D59" s="16"/>
      <c r="E59" s="16"/>
      <c r="F59" s="17"/>
      <c r="G59" s="17"/>
      <c r="H59" s="18"/>
      <c r="I59" s="18"/>
      <c r="J59" s="107">
        <f>SUM(J55:J58)</f>
        <v>65334</v>
      </c>
      <c r="K59" s="107">
        <f>SUM(K55:K58)</f>
        <v>65334</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64493</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2348</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66841</v>
      </c>
    </row>
    <row r="65" spans="1:12" ht="16.5" customHeight="1" x14ac:dyDescent="0.25">
      <c r="A65" s="54"/>
      <c r="C65" s="16"/>
      <c r="D65" s="16"/>
      <c r="E65" s="16"/>
      <c r="F65" s="17"/>
      <c r="G65" s="17"/>
      <c r="H65" s="18"/>
      <c r="I65" s="18"/>
      <c r="J65" s="107">
        <f>SUM(J62:J64)</f>
        <v>66841</v>
      </c>
      <c r="K65" s="107">
        <f>SUM(K62:K64)</f>
        <v>66841</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64493</v>
      </c>
      <c r="K68" s="144"/>
    </row>
    <row r="69" spans="1:12" ht="16.5" customHeight="1" x14ac:dyDescent="0.25">
      <c r="A69" s="54"/>
      <c r="B69" s="9"/>
      <c r="C69" s="9" t="s">
        <v>185</v>
      </c>
      <c r="D69" s="140"/>
      <c r="E69" s="140"/>
      <c r="F69" s="141"/>
      <c r="G69" s="141"/>
      <c r="H69" s="142"/>
      <c r="I69" s="142"/>
      <c r="J69" s="144"/>
      <c r="K69" s="143">
        <v>64493</v>
      </c>
      <c r="L69" s="10" t="str">
        <f>IF($J$62=$K$69,"","&lt;- Accts 0848 must agree")</f>
        <v/>
      </c>
    </row>
    <row r="70" spans="1:12" ht="16.5" customHeight="1" x14ac:dyDescent="0.25">
      <c r="A70" s="54"/>
      <c r="C70" s="16"/>
      <c r="D70" s="16"/>
      <c r="E70" s="16"/>
      <c r="F70" s="17"/>
      <c r="G70" s="17"/>
      <c r="H70" s="18"/>
      <c r="I70" s="18"/>
      <c r="J70" s="107">
        <f>SUM(J68:J69)</f>
        <v>64493</v>
      </c>
      <c r="K70" s="107">
        <f>SUM(K68:K69)</f>
        <v>64493</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65744</v>
      </c>
      <c r="K75" s="144"/>
    </row>
    <row r="76" spans="1:12" ht="16.5" customHeight="1" x14ac:dyDescent="0.25">
      <c r="A76" s="54"/>
      <c r="B76" s="9"/>
      <c r="C76" s="9" t="s">
        <v>193</v>
      </c>
      <c r="D76" s="140"/>
      <c r="E76" s="140"/>
      <c r="F76" s="141"/>
      <c r="G76" s="141"/>
      <c r="H76" s="142"/>
      <c r="I76" s="142"/>
      <c r="J76" s="144"/>
      <c r="K76" s="143">
        <v>65744</v>
      </c>
    </row>
    <row r="77" spans="1:12" ht="16.5" customHeight="1" x14ac:dyDescent="0.2">
      <c r="A77" s="54"/>
      <c r="B77" s="177" t="s">
        <v>1661</v>
      </c>
      <c r="C77" s="177"/>
      <c r="D77" s="177"/>
      <c r="E77" s="177"/>
      <c r="F77" s="177"/>
      <c r="G77" s="177"/>
      <c r="H77" s="177"/>
      <c r="I77" s="177"/>
      <c r="J77" s="107">
        <f>SUM(J75:J76)</f>
        <v>65744</v>
      </c>
      <c r="K77" s="107">
        <f>SUM(K75:K76)</f>
        <v>65744</v>
      </c>
      <c r="L77" s="25" t="str">
        <f>IF(J77=K77,"&lt;- Debits and Credits equal each other.","&lt;- Debits and Credits do not equal each other.")</f>
        <v>&lt;- Debits and Credits equal each other.</v>
      </c>
    </row>
    <row r="78" spans="1:12" ht="16.5" customHeight="1" x14ac:dyDescent="0.2">
      <c r="A78" s="54"/>
      <c r="B78" s="177"/>
      <c r="C78" s="177"/>
      <c r="D78" s="177"/>
      <c r="E78" s="177"/>
      <c r="F78" s="177"/>
      <c r="G78" s="177"/>
      <c r="H78" s="177"/>
      <c r="I78" s="177"/>
      <c r="J78" s="107"/>
      <c r="K78" s="107"/>
      <c r="L78" s="8"/>
    </row>
    <row r="79" spans="1:12" ht="24.6" customHeight="1" x14ac:dyDescent="0.2">
      <c r="A79" s="54"/>
      <c r="B79" s="177"/>
      <c r="C79" s="177"/>
      <c r="D79" s="177"/>
      <c r="E79" s="177"/>
      <c r="F79" s="177"/>
      <c r="G79" s="177"/>
      <c r="H79" s="177"/>
      <c r="I79" s="177"/>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415540</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-196002</v>
      </c>
    </row>
    <row r="128" spans="1:12" ht="16.5" customHeight="1" x14ac:dyDescent="0.25">
      <c r="D128" s="140" t="s">
        <v>1656</v>
      </c>
      <c r="H128" s="10"/>
      <c r="K128" s="169">
        <f>-K23-K48+J68+J75+J96-K113</f>
        <v>-160012</v>
      </c>
    </row>
    <row r="129" spans="4:11" ht="16.5" customHeight="1" x14ac:dyDescent="0.25">
      <c r="D129" s="140" t="s">
        <v>1657</v>
      </c>
      <c r="H129" s="10"/>
      <c r="K129" s="169">
        <f>-K76</f>
        <v>-65744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165C881E-8413-473C-8052-DD7FB3A59772}"/>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9D419D01-AF30-405D-8EF4-2DA55A882551}">
      <formula1>0</formula1>
    </dataValidation>
    <dataValidation type="textLength" operator="equal" allowBlank="1" showInputMessage="1" showErrorMessage="1" errorTitle="4-Digit Org Code" error="Enter the Org Code/BU as 4 digits." sqref="F5" xr:uid="{EE09D1FC-5CED-4AEC-85C8-CEB4E147D6AE}">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2B21D919-2F2C-459F-A3FE-CA80C2CB1424}">
          <x14:formula1>
            <xm:f>'Drop Down Menus'!$A$1:$A$101</xm:f>
          </x14:formula1>
          <xm:sqref>F3</xm:sqref>
        </x14:dataValidation>
        <x14:dataValidation type="list" allowBlank="1" showInputMessage="1" showErrorMessage="1" xr:uid="{1B9AD5B7-E93A-4B5B-9C33-49A384BC97F2}">
          <x14:formula1>
            <xm:f>'Drop Down Menus'!$B$1:$B$2</xm:f>
          </x14:formula1>
          <xm:sqref>F7</xm:sqref>
        </x14:dataValidation>
        <x14:dataValidation type="list" allowBlank="1" showInputMessage="1" showErrorMessage="1" xr:uid="{10F84389-A4C0-4CAA-A18D-2735BEF60D9D}">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4" zoomScale="70" zoomScaleNormal="70" workbookViewId="0">
      <selection activeCell="B13" sqref="B13:B2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195" t="s">
        <v>139</v>
      </c>
      <c r="B1" s="195"/>
      <c r="C1" s="195"/>
      <c r="D1" s="195"/>
      <c r="E1" s="195"/>
      <c r="F1" s="195"/>
      <c r="G1" s="3"/>
      <c r="H1" s="3"/>
      <c r="I1" s="3"/>
      <c r="J1" s="3"/>
      <c r="K1" s="3"/>
      <c r="L1" s="3"/>
      <c r="M1" s="3"/>
    </row>
    <row r="2" spans="1:13" ht="64.150000000000006" customHeight="1" x14ac:dyDescent="0.25">
      <c r="A2" s="194" t="s">
        <v>137</v>
      </c>
      <c r="B2" s="194"/>
      <c r="C2" s="194"/>
      <c r="D2" s="194"/>
      <c r="E2" s="194"/>
      <c r="F2" s="194"/>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196" t="s">
        <v>21</v>
      </c>
      <c r="C8" s="196"/>
      <c r="D8" s="3"/>
      <c r="E8" s="3"/>
      <c r="F8" s="3"/>
    </row>
    <row r="9" spans="1:13" ht="15.75" x14ac:dyDescent="0.25">
      <c r="A9" s="5" t="s">
        <v>192</v>
      </c>
      <c r="B9" s="197">
        <v>3540</v>
      </c>
      <c r="C9" s="197"/>
      <c r="D9" s="3"/>
      <c r="E9" s="3"/>
      <c r="F9" s="3"/>
    </row>
    <row r="10" spans="1:13" ht="15.75" x14ac:dyDescent="0.25">
      <c r="A10" s="5" t="s">
        <v>191</v>
      </c>
      <c r="B10" s="198" t="s">
        <v>1675</v>
      </c>
      <c r="C10" s="198"/>
      <c r="D10" s="3"/>
      <c r="E10" s="3"/>
      <c r="F10" s="3"/>
      <c r="G10" s="27"/>
      <c r="H10" s="27"/>
      <c r="I10" s="27"/>
      <c r="J10" s="27"/>
      <c r="K10" s="27"/>
      <c r="L10" s="27"/>
      <c r="M10" s="27"/>
    </row>
    <row r="11" spans="1:13" ht="32.25" customHeight="1" x14ac:dyDescent="0.25">
      <c r="A11" s="189" t="s">
        <v>1673</v>
      </c>
      <c r="B11" s="190"/>
      <c r="C11" s="190"/>
      <c r="D11" s="3"/>
      <c r="E11" s="3"/>
      <c r="F11" s="3"/>
      <c r="G11" s="29"/>
      <c r="H11" s="29"/>
      <c r="I11" s="29"/>
      <c r="J11" s="29"/>
      <c r="K11" s="29"/>
      <c r="L11" s="29"/>
      <c r="M11" s="29"/>
    </row>
    <row r="12" spans="1:13" ht="15" customHeight="1" x14ac:dyDescent="0.25">
      <c r="A12" s="51"/>
      <c r="B12" s="52" t="s">
        <v>8</v>
      </c>
      <c r="C12" s="52" t="s">
        <v>9</v>
      </c>
      <c r="D12" s="192" t="str">
        <f>"All of the below questions are for Fiscal Year "&amp;$B$8&amp;":"</f>
        <v>All of the below questions are for Fiscal Year 2023–2024:</v>
      </c>
      <c r="E12" s="192"/>
      <c r="F12" s="192"/>
      <c r="G12" s="29"/>
      <c r="H12" s="29"/>
      <c r="I12" s="29"/>
      <c r="J12" s="29"/>
      <c r="K12" s="29"/>
      <c r="L12" s="29"/>
      <c r="M12" s="29"/>
    </row>
    <row r="13" spans="1:13" ht="15.6" customHeight="1" x14ac:dyDescent="0.25">
      <c r="A13" s="51" t="str">
        <f>RIGHT(B8,4)&amp;"–"&amp;RIGHT(B8,4)+1</f>
        <v>2024–2025</v>
      </c>
      <c r="B13" s="55">
        <v>3903300</v>
      </c>
      <c r="C13" s="55">
        <v>247650.39999999973</v>
      </c>
      <c r="D13" s="187" t="s">
        <v>4</v>
      </c>
      <c r="E13" s="188"/>
      <c r="F13" s="188"/>
      <c r="G13" s="29"/>
      <c r="H13" s="29"/>
      <c r="I13" s="29"/>
      <c r="J13" s="29"/>
      <c r="K13" s="29"/>
      <c r="L13" s="29"/>
      <c r="M13" s="29"/>
    </row>
    <row r="14" spans="1:13" x14ac:dyDescent="0.2">
      <c r="A14" s="51" t="str">
        <f>LEFT(A13,4)+1&amp;"–"&amp;RIGHT(A13,4)+1</f>
        <v>2025–2026</v>
      </c>
      <c r="B14" s="55">
        <v>3638116</v>
      </c>
      <c r="C14" s="55">
        <v>214970.15000000011</v>
      </c>
      <c r="D14" s="187"/>
      <c r="E14" s="188"/>
      <c r="F14" s="188"/>
    </row>
    <row r="15" spans="1:13" ht="15.75" x14ac:dyDescent="0.2">
      <c r="A15" s="51" t="str">
        <f>LEFT(A14,4)+1&amp;"–"&amp;RIGHT(A14,4)+1</f>
        <v>2026–2027</v>
      </c>
      <c r="B15" s="55">
        <v>3198360</v>
      </c>
      <c r="C15" s="55">
        <v>182864.01</v>
      </c>
      <c r="D15" s="184" t="s">
        <v>124</v>
      </c>
      <c r="E15" s="184"/>
      <c r="F15" s="184"/>
      <c r="G15" s="30"/>
      <c r="H15" s="30"/>
      <c r="I15" s="30"/>
      <c r="J15" s="30"/>
      <c r="K15" s="30"/>
      <c r="L15" s="30"/>
      <c r="M15" s="30"/>
    </row>
    <row r="16" spans="1:13" x14ac:dyDescent="0.2">
      <c r="A16" s="51" t="str">
        <f>LEFT(A15,4)+1&amp;"–"&amp;RIGHT(A15,4)+1</f>
        <v>2027–2028</v>
      </c>
      <c r="B16" s="55">
        <v>2846882</v>
      </c>
      <c r="C16" s="55">
        <v>154898.25000000015</v>
      </c>
      <c r="D16" s="186" t="str">
        <f>"If yes, record the dollar amount of variable payments below for fiscal year "&amp;$B$8&amp;":"</f>
        <v>If yes, record the dollar amount of variable payments below for fiscal year 2023–2024:</v>
      </c>
      <c r="E16" s="186"/>
      <c r="F16" s="186"/>
      <c r="G16" s="31"/>
      <c r="H16" s="31"/>
      <c r="I16" s="31"/>
      <c r="J16" s="31"/>
      <c r="K16" s="31"/>
    </row>
    <row r="17" spans="1:13" ht="15" customHeight="1" x14ac:dyDescent="0.2">
      <c r="A17" s="51" t="str">
        <f>LEFT(A16,4)+1&amp;"–"&amp;RIGHT(A16,4)+1</f>
        <v>2028–2029</v>
      </c>
      <c r="B17" s="55">
        <v>1715342</v>
      </c>
      <c r="C17" s="55">
        <v>130432.51999999993</v>
      </c>
      <c r="D17" s="184">
        <v>0</v>
      </c>
      <c r="E17" s="184"/>
      <c r="F17" s="184"/>
      <c r="G17" s="31"/>
      <c r="H17" s="31"/>
      <c r="I17" s="31"/>
      <c r="J17" s="31"/>
      <c r="K17" s="31"/>
    </row>
    <row r="18" spans="1:13" ht="15" customHeight="1" x14ac:dyDescent="0.25">
      <c r="A18" s="51" t="str">
        <f>LEFT(A17,4)+1&amp;"–"&amp;RIGHT(A17,4)+5</f>
        <v>2029–2034</v>
      </c>
      <c r="B18" s="55">
        <v>1474516</v>
      </c>
      <c r="C18" s="55">
        <v>564835.83999999939</v>
      </c>
      <c r="D18" s="187" t="s">
        <v>6</v>
      </c>
      <c r="E18" s="188"/>
      <c r="F18" s="188"/>
      <c r="G18" s="29"/>
      <c r="H18" s="29"/>
      <c r="I18" s="29"/>
      <c r="J18" s="29"/>
      <c r="K18" s="29"/>
      <c r="L18" s="29"/>
      <c r="M18" s="29"/>
    </row>
    <row r="19" spans="1:13" x14ac:dyDescent="0.2">
      <c r="A19" s="51" t="str">
        <f t="shared" ref="A19:A32" si="0">LEFT(A18,4)+5&amp;"–"&amp;RIGHT(A18,4)+5</f>
        <v>2034–2039</v>
      </c>
      <c r="B19" s="55">
        <v>1473361</v>
      </c>
      <c r="C19" s="55">
        <v>449957.90000000014</v>
      </c>
      <c r="D19" s="187"/>
      <c r="E19" s="188"/>
      <c r="F19" s="188"/>
    </row>
    <row r="20" spans="1:13" ht="15.75" x14ac:dyDescent="0.2">
      <c r="A20" s="51" t="str">
        <f t="shared" si="0"/>
        <v>2039–2044</v>
      </c>
      <c r="B20" s="55">
        <v>1068595</v>
      </c>
      <c r="C20" s="55">
        <v>361983.83000000037</v>
      </c>
      <c r="D20" s="184" t="s">
        <v>124</v>
      </c>
      <c r="E20" s="184"/>
      <c r="F20" s="184"/>
      <c r="G20" s="30"/>
      <c r="H20" s="30"/>
      <c r="I20" s="30"/>
      <c r="J20" s="30"/>
      <c r="K20" s="30"/>
      <c r="L20" s="30"/>
      <c r="M20" s="30"/>
    </row>
    <row r="21" spans="1:13" ht="15" customHeight="1" x14ac:dyDescent="0.2">
      <c r="A21" s="51" t="str">
        <f t="shared" si="0"/>
        <v>2044–2049</v>
      </c>
      <c r="B21" s="55">
        <v>1220342</v>
      </c>
      <c r="C21" s="55">
        <v>278430.90000000026</v>
      </c>
      <c r="D21" s="185" t="str">
        <f>"If yes, record the dollar amount of any payments made for residual value guarantees below for fiscal year "&amp;$B$8&amp;":"</f>
        <v>If yes, record the dollar amount of any payments made for residual value guarantees below for fiscal year 2023–2024:</v>
      </c>
      <c r="E21" s="186"/>
      <c r="F21" s="186"/>
    </row>
    <row r="22" spans="1:13" x14ac:dyDescent="0.2">
      <c r="A22" s="51" t="str">
        <f t="shared" si="0"/>
        <v>2049–2054</v>
      </c>
      <c r="B22" s="55">
        <v>1328684</v>
      </c>
      <c r="C22" s="55">
        <v>178668.86999999994</v>
      </c>
      <c r="D22" s="185"/>
      <c r="E22" s="186"/>
      <c r="F22" s="186"/>
    </row>
    <row r="23" spans="1:13" x14ac:dyDescent="0.2">
      <c r="A23" s="51" t="str">
        <f t="shared" si="0"/>
        <v>2054–2059</v>
      </c>
      <c r="B23" s="55">
        <v>486801</v>
      </c>
      <c r="C23" s="55">
        <v>107148.68000000001</v>
      </c>
      <c r="D23" s="184">
        <v>0</v>
      </c>
      <c r="E23" s="184"/>
      <c r="F23" s="184"/>
    </row>
    <row r="24" spans="1:13" x14ac:dyDescent="0.2">
      <c r="A24" s="51" t="str">
        <f t="shared" si="0"/>
        <v>2059–2064</v>
      </c>
      <c r="B24" s="55">
        <v>456532</v>
      </c>
      <c r="C24" s="55">
        <v>73838.44</v>
      </c>
      <c r="D24"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86"/>
      <c r="F24" s="186"/>
    </row>
    <row r="25" spans="1:13" ht="15" customHeight="1" x14ac:dyDescent="0.2">
      <c r="A25" s="51" t="str">
        <f t="shared" si="0"/>
        <v>2064–2069</v>
      </c>
      <c r="B25" s="55">
        <v>491815</v>
      </c>
      <c r="C25" s="55">
        <v>38555.840000000004</v>
      </c>
      <c r="D25" s="185"/>
      <c r="E25" s="186"/>
      <c r="F25" s="186"/>
    </row>
    <row r="26" spans="1:13" x14ac:dyDescent="0.2">
      <c r="A26" s="51" t="str">
        <f t="shared" si="0"/>
        <v>2069–2074</v>
      </c>
      <c r="B26" s="55">
        <f>216060+1</f>
        <v>216061</v>
      </c>
      <c r="C26" s="55">
        <v>5072.12</v>
      </c>
      <c r="D26" s="184">
        <v>0</v>
      </c>
      <c r="E26" s="184"/>
      <c r="F26" s="184"/>
    </row>
    <row r="27" spans="1:13" ht="15" customHeight="1" x14ac:dyDescent="0.2">
      <c r="A27" s="51" t="str">
        <f t="shared" si="0"/>
        <v>2074–2079</v>
      </c>
      <c r="B27" s="55"/>
      <c r="C27" s="55"/>
      <c r="D27"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188"/>
      <c r="F27" s="188"/>
    </row>
    <row r="28" spans="1:13" ht="15.75" x14ac:dyDescent="0.2">
      <c r="A28" s="51" t="str">
        <f t="shared" si="0"/>
        <v>2079–2084</v>
      </c>
      <c r="B28" s="55"/>
      <c r="C28" s="55"/>
      <c r="D28" s="187"/>
      <c r="E28" s="188"/>
      <c r="F28" s="188"/>
      <c r="G28" s="33"/>
      <c r="H28" s="33"/>
      <c r="I28" s="33"/>
      <c r="J28" s="33"/>
      <c r="K28" s="33"/>
      <c r="L28" s="33"/>
      <c r="M28" s="33"/>
    </row>
    <row r="29" spans="1:13" ht="15.75" x14ac:dyDescent="0.2">
      <c r="A29" s="51" t="str">
        <f t="shared" si="0"/>
        <v>2084–2089</v>
      </c>
      <c r="B29" s="55"/>
      <c r="C29" s="55"/>
      <c r="D29" s="184" t="s">
        <v>124</v>
      </c>
      <c r="E29" s="184"/>
      <c r="F29" s="184"/>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84" t="s">
        <v>124</v>
      </c>
      <c r="E31" s="184"/>
      <c r="F31" s="184"/>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84">
        <v>0</v>
      </c>
      <c r="E33" s="184"/>
      <c r="F33" s="184"/>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1" t="str">
        <f>B8</f>
        <v>2023–2024</v>
      </c>
      <c r="C39" s="191"/>
      <c r="E39" s="32"/>
    </row>
    <row r="40" spans="1:13" ht="15.6" customHeight="1" x14ac:dyDescent="0.25">
      <c r="A40" s="5" t="s">
        <v>192</v>
      </c>
      <c r="B40" s="193">
        <f>B9</f>
        <v>3540</v>
      </c>
      <c r="C40" s="193"/>
      <c r="E40" s="32"/>
    </row>
    <row r="41" spans="1:13" ht="15.75" x14ac:dyDescent="0.25">
      <c r="A41" s="5" t="s">
        <v>191</v>
      </c>
      <c r="B41" s="191" t="str">
        <f>B10</f>
        <v>Department of Forestry and Fire Protection</v>
      </c>
      <c r="C41" s="191"/>
      <c r="E41" s="32"/>
    </row>
    <row r="42" spans="1:13" ht="32.25" customHeight="1" x14ac:dyDescent="0.25">
      <c r="A42" s="189" t="s">
        <v>1673</v>
      </c>
      <c r="B42" s="190"/>
      <c r="C42" s="190"/>
      <c r="D42" s="3"/>
      <c r="E42" s="3"/>
      <c r="F42" s="3"/>
      <c r="G42" s="29"/>
      <c r="H42" s="29"/>
      <c r="I42" s="29"/>
      <c r="J42" s="29"/>
      <c r="K42" s="29"/>
      <c r="L42" s="29"/>
      <c r="M42" s="29"/>
    </row>
    <row r="43" spans="1:13" ht="15" customHeight="1" x14ac:dyDescent="0.25">
      <c r="A43" s="51"/>
      <c r="B43" s="52" t="s">
        <v>8</v>
      </c>
      <c r="C43" s="52" t="s">
        <v>9</v>
      </c>
      <c r="D43" s="192" t="str">
        <f>"All of the below questions are for Fiscal Year "&amp;$B$8&amp;":"</f>
        <v>All of the below questions are for Fiscal Year 2023–2024:</v>
      </c>
      <c r="E43" s="192"/>
      <c r="F43" s="192"/>
    </row>
    <row r="44" spans="1:13" ht="15" customHeight="1" x14ac:dyDescent="0.2">
      <c r="A44" s="51" t="str">
        <f>RIGHT(B39,4)&amp;"–"&amp;RIGHT(B39,4)+1</f>
        <v>2024–2025</v>
      </c>
      <c r="B44" s="55"/>
      <c r="C44" s="55"/>
      <c r="D44" s="187" t="s">
        <v>4</v>
      </c>
      <c r="E44" s="188"/>
      <c r="F44" s="188"/>
    </row>
    <row r="45" spans="1:13" ht="15" customHeight="1" x14ac:dyDescent="0.2">
      <c r="A45" s="51" t="str">
        <f>LEFT(A44,4)+1&amp;"–"&amp;RIGHT(A44,4)+1</f>
        <v>2025–2026</v>
      </c>
      <c r="B45" s="55"/>
      <c r="C45" s="55"/>
      <c r="D45" s="187"/>
      <c r="E45" s="188"/>
      <c r="F45" s="188"/>
    </row>
    <row r="46" spans="1:13" x14ac:dyDescent="0.2">
      <c r="A46" s="51" t="str">
        <f>LEFT(A45,4)+1&amp;"–"&amp;RIGHT(A45,4)+1</f>
        <v>2026–2027</v>
      </c>
      <c r="B46" s="55"/>
      <c r="C46" s="55"/>
      <c r="D46" s="184"/>
      <c r="E46" s="184"/>
      <c r="F46" s="184"/>
    </row>
    <row r="47" spans="1:13" ht="15" customHeight="1" x14ac:dyDescent="0.2">
      <c r="A47" s="51" t="str">
        <f>LEFT(A46,4)+1&amp;"–"&amp;RIGHT(A46,4)+1</f>
        <v>2027–2028</v>
      </c>
      <c r="B47" s="55"/>
      <c r="C47" s="55"/>
      <c r="D47" s="186" t="str">
        <f>"If yes, record the dollar amount of variable payments below for fiscal year "&amp;$B$8&amp;":"</f>
        <v>If yes, record the dollar amount of variable payments below for fiscal year 2023–2024:</v>
      </c>
      <c r="E47" s="186"/>
      <c r="F47" s="186"/>
    </row>
    <row r="48" spans="1:13" ht="15" customHeight="1" x14ac:dyDescent="0.2">
      <c r="A48" s="51" t="str">
        <f>LEFT(A47,4)+1&amp;"–"&amp;RIGHT(A47,4)+1</f>
        <v>2028–2029</v>
      </c>
      <c r="B48" s="55"/>
      <c r="C48" s="55"/>
      <c r="D48" s="184"/>
      <c r="E48" s="184"/>
      <c r="F48" s="184"/>
    </row>
    <row r="49" spans="1:6" ht="15" customHeight="1" x14ac:dyDescent="0.2">
      <c r="A49" s="51" t="str">
        <f>LEFT(A48,4)+1&amp;"–"&amp;RIGHT(A48,4)+5</f>
        <v>2029–2034</v>
      </c>
      <c r="B49" s="55"/>
      <c r="C49" s="55"/>
      <c r="D49" s="187" t="s">
        <v>6</v>
      </c>
      <c r="E49" s="188"/>
      <c r="F49" s="188"/>
    </row>
    <row r="50" spans="1:6" x14ac:dyDescent="0.2">
      <c r="A50" s="51" t="str">
        <f t="shared" ref="A50:A63" si="1">LEFT(A49,4)+5&amp;"–"&amp;RIGHT(A49,4)+5</f>
        <v>2034–2039</v>
      </c>
      <c r="B50" s="55"/>
      <c r="C50" s="55"/>
      <c r="D50" s="187"/>
      <c r="E50" s="188"/>
      <c r="F50" s="188"/>
    </row>
    <row r="51" spans="1:6" ht="15" customHeight="1" x14ac:dyDescent="0.2">
      <c r="A51" s="51" t="str">
        <f t="shared" si="1"/>
        <v>2039–2044</v>
      </c>
      <c r="B51" s="55"/>
      <c r="C51" s="55"/>
      <c r="D51" s="184"/>
      <c r="E51" s="184"/>
      <c r="F51" s="184"/>
    </row>
    <row r="52" spans="1:6" ht="15" customHeight="1" x14ac:dyDescent="0.2">
      <c r="A52" s="51" t="str">
        <f t="shared" si="1"/>
        <v>2044–2049</v>
      </c>
      <c r="B52" s="55"/>
      <c r="C52" s="55"/>
      <c r="D52" s="185" t="str">
        <f>"If yes, record the dollar amount of any payments made for residual value guarantees below for fiscal year "&amp;$B$8&amp;":"</f>
        <v>If yes, record the dollar amount of any payments made for residual value guarantees below for fiscal year 2023–2024:</v>
      </c>
      <c r="E52" s="186"/>
      <c r="F52" s="186"/>
    </row>
    <row r="53" spans="1:6" x14ac:dyDescent="0.2">
      <c r="A53" s="51" t="str">
        <f t="shared" si="1"/>
        <v>2049–2054</v>
      </c>
      <c r="B53" s="55"/>
      <c r="C53" s="55"/>
      <c r="D53" s="185"/>
      <c r="E53" s="186"/>
      <c r="F53" s="186"/>
    </row>
    <row r="54" spans="1:6" x14ac:dyDescent="0.2">
      <c r="A54" s="51" t="str">
        <f t="shared" si="1"/>
        <v>2054–2059</v>
      </c>
      <c r="B54" s="55"/>
      <c r="C54" s="55"/>
      <c r="D54" s="184"/>
      <c r="E54" s="184"/>
      <c r="F54" s="184"/>
    </row>
    <row r="55" spans="1:6" ht="15" customHeight="1" x14ac:dyDescent="0.2">
      <c r="A55" s="51" t="str">
        <f t="shared" si="1"/>
        <v>2059–2064</v>
      </c>
      <c r="B55" s="55"/>
      <c r="C55" s="55"/>
      <c r="D55"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86"/>
      <c r="F55" s="186"/>
    </row>
    <row r="56" spans="1:6" ht="15" customHeight="1" x14ac:dyDescent="0.2">
      <c r="A56" s="51" t="str">
        <f t="shared" si="1"/>
        <v>2064–2069</v>
      </c>
      <c r="B56" s="55"/>
      <c r="C56" s="55"/>
      <c r="D56" s="185"/>
      <c r="E56" s="186"/>
      <c r="F56" s="186"/>
    </row>
    <row r="57" spans="1:6" x14ac:dyDescent="0.2">
      <c r="A57" s="51" t="str">
        <f t="shared" si="1"/>
        <v>2069–2074</v>
      </c>
      <c r="B57" s="55"/>
      <c r="C57" s="55"/>
      <c r="D57" s="184"/>
      <c r="E57" s="184"/>
      <c r="F57" s="184"/>
    </row>
    <row r="58" spans="1:6" x14ac:dyDescent="0.2">
      <c r="A58" s="51" t="str">
        <f t="shared" si="1"/>
        <v>2074–2079</v>
      </c>
      <c r="B58" s="55"/>
      <c r="C58" s="55"/>
      <c r="D58"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188"/>
      <c r="F58" s="188"/>
    </row>
    <row r="59" spans="1:6" x14ac:dyDescent="0.2">
      <c r="A59" s="51" t="str">
        <f t="shared" si="1"/>
        <v>2079–2084</v>
      </c>
      <c r="B59" s="55"/>
      <c r="C59" s="55"/>
      <c r="D59" s="187"/>
      <c r="E59" s="188"/>
      <c r="F59" s="188"/>
    </row>
    <row r="60" spans="1:6" ht="15" customHeight="1" x14ac:dyDescent="0.2">
      <c r="A60" s="51" t="str">
        <f t="shared" si="1"/>
        <v>2084–2089</v>
      </c>
      <c r="B60" s="55"/>
      <c r="C60" s="55"/>
      <c r="D60" s="184"/>
      <c r="E60" s="184"/>
      <c r="F60" s="184"/>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84"/>
      <c r="E62" s="184"/>
      <c r="F62" s="184"/>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84"/>
      <c r="E64" s="184"/>
      <c r="F64" s="184"/>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1" t="str">
        <f>B8</f>
        <v>2023–2024</v>
      </c>
      <c r="C70" s="191"/>
    </row>
    <row r="71" spans="1:13" ht="15.75" x14ac:dyDescent="0.25">
      <c r="A71" s="5" t="s">
        <v>192</v>
      </c>
      <c r="B71" s="193">
        <f>B9</f>
        <v>3540</v>
      </c>
      <c r="C71" s="193"/>
    </row>
    <row r="72" spans="1:13" ht="15.75" x14ac:dyDescent="0.25">
      <c r="A72" s="5" t="s">
        <v>191</v>
      </c>
      <c r="B72" s="191" t="str">
        <f>B10</f>
        <v>Department of Forestry and Fire Protection</v>
      </c>
      <c r="C72" s="191"/>
    </row>
    <row r="73" spans="1:13" ht="32.25" customHeight="1" x14ac:dyDescent="0.25">
      <c r="A73" s="189" t="s">
        <v>1673</v>
      </c>
      <c r="B73" s="190"/>
      <c r="C73" s="190"/>
      <c r="D73" s="3"/>
      <c r="E73" s="3"/>
      <c r="F73" s="3"/>
      <c r="G73" s="29"/>
      <c r="H73" s="29"/>
      <c r="I73" s="29"/>
      <c r="J73" s="29"/>
      <c r="K73" s="29"/>
      <c r="L73" s="29"/>
      <c r="M73" s="29"/>
    </row>
    <row r="74" spans="1:13" ht="15.75" x14ac:dyDescent="0.25">
      <c r="A74" s="51"/>
      <c r="B74" s="52" t="s">
        <v>8</v>
      </c>
      <c r="C74" s="52" t="s">
        <v>9</v>
      </c>
      <c r="D74" s="192" t="str">
        <f>"All of the below questions are for Fiscal Year "&amp;$B$8&amp;":"</f>
        <v>All of the below questions are for Fiscal Year 2023–2024:</v>
      </c>
      <c r="E74" s="192"/>
      <c r="F74" s="192"/>
    </row>
    <row r="75" spans="1:13" ht="15" customHeight="1" x14ac:dyDescent="0.2">
      <c r="A75" s="51" t="str">
        <f>RIGHT(B70,4)&amp;"–"&amp;RIGHT(B70,4)+1</f>
        <v>2024–2025</v>
      </c>
      <c r="B75" s="55"/>
      <c r="C75" s="55"/>
      <c r="D75" s="187" t="s">
        <v>4</v>
      </c>
      <c r="E75" s="188"/>
      <c r="F75" s="188"/>
    </row>
    <row r="76" spans="1:13" x14ac:dyDescent="0.2">
      <c r="A76" s="51" t="str">
        <f>LEFT(A75,4)+1&amp;"–"&amp;RIGHT(A75,4)+1</f>
        <v>2025–2026</v>
      </c>
      <c r="B76" s="55"/>
      <c r="C76" s="55"/>
      <c r="D76" s="187"/>
      <c r="E76" s="188"/>
      <c r="F76" s="188"/>
    </row>
    <row r="77" spans="1:13" x14ac:dyDescent="0.2">
      <c r="A77" s="51" t="str">
        <f>LEFT(A76,4)+1&amp;"–"&amp;RIGHT(A76,4)+1</f>
        <v>2026–2027</v>
      </c>
      <c r="B77" s="55"/>
      <c r="C77" s="55"/>
      <c r="D77" s="184"/>
      <c r="E77" s="184"/>
      <c r="F77" s="184"/>
    </row>
    <row r="78" spans="1:13" ht="15" customHeight="1" x14ac:dyDescent="0.2">
      <c r="A78" s="51" t="str">
        <f>LEFT(A77,4)+1&amp;"–"&amp;RIGHT(A77,4)+1</f>
        <v>2027–2028</v>
      </c>
      <c r="B78" s="55"/>
      <c r="C78" s="55"/>
      <c r="D78" s="186" t="str">
        <f>"If yes, record the dollar amount of variable payments below for fiscal year "&amp;$B$8&amp;":"</f>
        <v>If yes, record the dollar amount of variable payments below for fiscal year 2023–2024:</v>
      </c>
      <c r="E78" s="186"/>
      <c r="F78" s="186"/>
    </row>
    <row r="79" spans="1:13" x14ac:dyDescent="0.2">
      <c r="A79" s="51" t="str">
        <f>LEFT(A78,4)+1&amp;"–"&amp;RIGHT(A78,4)+1</f>
        <v>2028–2029</v>
      </c>
      <c r="B79" s="55"/>
      <c r="C79" s="55"/>
      <c r="D79" s="184"/>
      <c r="E79" s="184"/>
      <c r="F79" s="184"/>
    </row>
    <row r="80" spans="1:13" ht="15" customHeight="1" x14ac:dyDescent="0.2">
      <c r="A80" s="51" t="str">
        <f>LEFT(A79,4)+1&amp;"–"&amp;RIGHT(A79,4)+5</f>
        <v>2029–2034</v>
      </c>
      <c r="B80" s="55"/>
      <c r="C80" s="55"/>
      <c r="D80" s="187" t="s">
        <v>6</v>
      </c>
      <c r="E80" s="188"/>
      <c r="F80" s="188"/>
    </row>
    <row r="81" spans="1:6" x14ac:dyDescent="0.2">
      <c r="A81" s="51" t="str">
        <f t="shared" ref="A81:A94" si="2">LEFT(A80,4)+5&amp;"–"&amp;RIGHT(A80,4)+5</f>
        <v>2034–2039</v>
      </c>
      <c r="B81" s="55"/>
      <c r="C81" s="55"/>
      <c r="D81" s="187"/>
      <c r="E81" s="188"/>
      <c r="F81" s="188"/>
    </row>
    <row r="82" spans="1:6" x14ac:dyDescent="0.2">
      <c r="A82" s="51" t="str">
        <f t="shared" si="2"/>
        <v>2039–2044</v>
      </c>
      <c r="B82" s="55"/>
      <c r="C82" s="55"/>
      <c r="D82" s="184"/>
      <c r="E82" s="184"/>
      <c r="F82" s="184"/>
    </row>
    <row r="83" spans="1:6" ht="15" customHeight="1" x14ac:dyDescent="0.2">
      <c r="A83" s="51" t="str">
        <f t="shared" si="2"/>
        <v>2044–2049</v>
      </c>
      <c r="B83" s="55"/>
      <c r="C83" s="55"/>
      <c r="D83" s="185" t="str">
        <f>"If yes, record the dollar amount of any payments made for residual value guarantees below for fiscal year "&amp;$B$8&amp;":"</f>
        <v>If yes, record the dollar amount of any payments made for residual value guarantees below for fiscal year 2023–2024:</v>
      </c>
      <c r="E83" s="186"/>
      <c r="F83" s="186"/>
    </row>
    <row r="84" spans="1:6" x14ac:dyDescent="0.2">
      <c r="A84" s="51" t="str">
        <f t="shared" si="2"/>
        <v>2049–2054</v>
      </c>
      <c r="B84" s="55"/>
      <c r="C84" s="55"/>
      <c r="D84" s="185"/>
      <c r="E84" s="186"/>
      <c r="F84" s="186"/>
    </row>
    <row r="85" spans="1:6" x14ac:dyDescent="0.2">
      <c r="A85" s="51" t="str">
        <f t="shared" si="2"/>
        <v>2054–2059</v>
      </c>
      <c r="B85" s="55"/>
      <c r="C85" s="55"/>
      <c r="D85" s="184"/>
      <c r="E85" s="184"/>
      <c r="F85" s="184"/>
    </row>
    <row r="86" spans="1:6" ht="15" customHeight="1" x14ac:dyDescent="0.2">
      <c r="A86" s="51" t="str">
        <f t="shared" si="2"/>
        <v>2059–2064</v>
      </c>
      <c r="B86" s="55"/>
      <c r="C86" s="55"/>
      <c r="D86"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86"/>
      <c r="F86" s="186"/>
    </row>
    <row r="87" spans="1:6" x14ac:dyDescent="0.2">
      <c r="A87" s="51" t="str">
        <f t="shared" si="2"/>
        <v>2064–2069</v>
      </c>
      <c r="B87" s="55"/>
      <c r="C87" s="55"/>
      <c r="D87" s="185"/>
      <c r="E87" s="186"/>
      <c r="F87" s="186"/>
    </row>
    <row r="88" spans="1:6" x14ac:dyDescent="0.2">
      <c r="A88" s="51" t="str">
        <f t="shared" si="2"/>
        <v>2069–2074</v>
      </c>
      <c r="B88" s="55"/>
      <c r="C88" s="55"/>
      <c r="D88" s="184"/>
      <c r="E88" s="184"/>
      <c r="F88" s="184"/>
    </row>
    <row r="89" spans="1:6" x14ac:dyDescent="0.2">
      <c r="A89" s="51" t="str">
        <f t="shared" si="2"/>
        <v>2074–2079</v>
      </c>
      <c r="B89" s="55"/>
      <c r="C89" s="55"/>
      <c r="D89"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188"/>
      <c r="F89" s="188"/>
    </row>
    <row r="90" spans="1:6" x14ac:dyDescent="0.2">
      <c r="A90" s="51" t="str">
        <f t="shared" si="2"/>
        <v>2079–2084</v>
      </c>
      <c r="B90" s="55"/>
      <c r="C90" s="55"/>
      <c r="D90" s="187"/>
      <c r="E90" s="188"/>
      <c r="F90" s="188"/>
    </row>
    <row r="91" spans="1:6" ht="15" customHeight="1" x14ac:dyDescent="0.2">
      <c r="A91" s="51" t="str">
        <f t="shared" si="2"/>
        <v>2084–2089</v>
      </c>
      <c r="B91" s="55"/>
      <c r="C91" s="55"/>
      <c r="D91" s="184"/>
      <c r="E91" s="184"/>
      <c r="F91" s="184"/>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84"/>
      <c r="E93" s="184"/>
      <c r="F93" s="184"/>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84"/>
      <c r="E95" s="184"/>
      <c r="F95" s="184"/>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A3" zoomScale="80" zoomScaleNormal="80" workbookViewId="0">
      <selection activeCell="F10" sqref="F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3540 - Department of Forestry and Fire Protection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1668</v>
      </c>
      <c r="I8" s="45"/>
      <c r="J8" s="158" t="s">
        <v>1669</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Entries'!$K$23,0)+IF('LS-Fund 0209 Journal Entries'!$F$8="Governmental Fund",'LS-Fund 0209 Journal Entries'!K23,0)++IF('LS-Fund 3228 Journal Entries'!$F$8="Governmental Fund",'LS-Fund 3228 Journal Entries'!K23,0)</f>
        <v>28486815</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Entries'!J96),0)+IF('LS-Fund 0209 Journal Entries'!$F$8="Governmental Fund",SUM('LS-Fund 0209 Journal Entries'!$J$68,'LS-Fund 0209 Journal Entries'!J96),0)+IF('LS-Fund 3228 Journal Entries'!$F$8="Governmental Fund",SUM('LS-Fund 3228 Journal Entries'!$J$68,'LS-Fund 3228 Journal Entries'!J96),0)</f>
        <v>4968108</v>
      </c>
      <c r="K10" s="58"/>
      <c r="L10" s="63">
        <f>SUM(F10+H10-J10)</f>
        <v>23518707</v>
      </c>
      <c r="M10" s="58"/>
      <c r="N10" s="61">
        <f>IF('LS-Fund 0001 Journal Entries'!$F$8="Governmental Fund",'LS-Fund 0001 Journal Entries'!$K$76,0)+IF('LS-Fund 0209 Journal Entries'!$F$8="Governmental Fund",'LS-Fund 0209 Journal Entries'!$K$76,0)+IF('LS-Fund 3228 Journal Entries'!$F$8="Governmental Fund",'LS-Fund 3228 Journal Entries'!$K$76,0)</f>
        <v>3903300</v>
      </c>
      <c r="O10" s="58"/>
      <c r="P10" s="63">
        <f>L10-N10</f>
        <v>19615407</v>
      </c>
      <c r="Q10" s="43"/>
    </row>
    <row r="11" spans="2:17" ht="19.5" thickTop="1" thickBot="1" x14ac:dyDescent="0.3">
      <c r="B11" s="41"/>
      <c r="C11" s="45" t="s">
        <v>18</v>
      </c>
      <c r="F11" s="62">
        <f>SUM(F10:F10)</f>
        <v>28486815</v>
      </c>
      <c r="G11" s="58"/>
      <c r="H11" s="62">
        <f>SUM(H10:H10)</f>
        <v>0</v>
      </c>
      <c r="I11" s="58"/>
      <c r="J11" s="62">
        <f>SUM(J10:J10)</f>
        <v>4968108</v>
      </c>
      <c r="K11" s="58"/>
      <c r="L11" s="62">
        <f>SUM(L10:L10)</f>
        <v>23518707</v>
      </c>
      <c r="M11" s="58"/>
      <c r="N11" s="62">
        <f>SUM(N10:N10)</f>
        <v>3903300</v>
      </c>
      <c r="O11" s="58"/>
      <c r="P11" s="62">
        <f>SUM(P10:P10)</f>
        <v>19615407</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74" t="s">
        <v>1674</v>
      </c>
    </row>
    <row r="23" spans="2:17" x14ac:dyDescent="0.25">
      <c r="B23" s="174"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60" zoomScale="112" zoomScaleNormal="112" workbookViewId="0">
      <selection activeCell="L24" sqref="L24"/>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01" t="s">
        <v>153</v>
      </c>
      <c r="B5" s="201"/>
      <c r="C5" s="201"/>
      <c r="D5" s="201"/>
      <c r="E5" s="201"/>
      <c r="F5" s="201"/>
      <c r="G5" s="201"/>
      <c r="H5" s="201"/>
      <c r="I5" s="201"/>
      <c r="J5" s="201"/>
      <c r="K5" s="201"/>
      <c r="L5" s="201"/>
      <c r="M5" s="201"/>
      <c r="N5" s="201"/>
      <c r="O5" s="201"/>
      <c r="P5" s="201"/>
      <c r="Q5" s="201"/>
    </row>
    <row r="6" spans="1:17" ht="15" customHeight="1" x14ac:dyDescent="0.25">
      <c r="A6" s="201"/>
      <c r="B6" s="201"/>
      <c r="C6" s="201"/>
      <c r="D6" s="201"/>
      <c r="E6" s="201"/>
      <c r="F6" s="201"/>
      <c r="G6" s="201"/>
      <c r="H6" s="201"/>
      <c r="I6" s="201"/>
      <c r="J6" s="201"/>
      <c r="K6" s="201"/>
      <c r="L6" s="201"/>
      <c r="M6" s="201"/>
      <c r="N6" s="201"/>
      <c r="O6" s="201"/>
      <c r="P6" s="201"/>
      <c r="Q6" s="201"/>
    </row>
    <row r="7" spans="1:17" x14ac:dyDescent="0.25">
      <c r="A7" s="201"/>
      <c r="B7" s="201"/>
      <c r="C7" s="201"/>
      <c r="D7" s="201"/>
      <c r="E7" s="201"/>
      <c r="F7" s="201"/>
      <c r="G7" s="201"/>
      <c r="H7" s="201"/>
      <c r="I7" s="201"/>
      <c r="J7" s="201"/>
      <c r="K7" s="201"/>
      <c r="L7" s="201"/>
      <c r="M7" s="201"/>
      <c r="N7" s="201"/>
      <c r="O7" s="201"/>
      <c r="P7" s="201"/>
      <c r="Q7" s="201"/>
    </row>
    <row r="8" spans="1:17" ht="15" customHeight="1" x14ac:dyDescent="0.25">
      <c r="A8" s="202" t="s">
        <v>1628</v>
      </c>
      <c r="B8" s="202"/>
      <c r="C8" s="202"/>
      <c r="D8" s="202"/>
      <c r="E8" s="202"/>
      <c r="F8" s="202"/>
      <c r="G8" s="202"/>
      <c r="H8" s="202"/>
      <c r="I8" s="202"/>
      <c r="J8" s="202"/>
      <c r="K8" s="202"/>
      <c r="L8" s="202"/>
      <c r="M8" s="202"/>
      <c r="N8" s="202"/>
      <c r="O8" s="202"/>
      <c r="P8" s="202"/>
      <c r="Q8" s="202"/>
    </row>
    <row r="9" spans="1:17" x14ac:dyDescent="0.25">
      <c r="A9" s="202"/>
      <c r="B9" s="202"/>
      <c r="C9" s="202"/>
      <c r="D9" s="202"/>
      <c r="E9" s="202"/>
      <c r="F9" s="202"/>
      <c r="G9" s="202"/>
      <c r="H9" s="202"/>
      <c r="I9" s="202"/>
      <c r="J9" s="202"/>
      <c r="K9" s="202"/>
      <c r="L9" s="202"/>
      <c r="M9" s="202"/>
      <c r="N9" s="202"/>
      <c r="O9" s="202"/>
      <c r="P9" s="202"/>
      <c r="Q9" s="202"/>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03" t="s">
        <v>142</v>
      </c>
      <c r="C13" s="203"/>
      <c r="D13" s="203"/>
      <c r="E13" s="203"/>
      <c r="F13" s="203"/>
      <c r="G13" s="203"/>
      <c r="H13" s="203"/>
      <c r="I13" s="203"/>
      <c r="J13" s="203"/>
      <c r="K13" s="203"/>
      <c r="L13" s="203"/>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1667</v>
      </c>
      <c r="I15" s="79" t="s">
        <v>145</v>
      </c>
      <c r="J15" s="79" t="s">
        <v>1670</v>
      </c>
      <c r="K15" s="80"/>
      <c r="L15" s="79"/>
      <c r="M15" s="80"/>
      <c r="N15" s="81" t="s">
        <v>147</v>
      </c>
      <c r="O15" s="78"/>
      <c r="P15" s="82" t="s">
        <v>148</v>
      </c>
      <c r="Q15" s="75"/>
    </row>
    <row r="16" spans="1:17" ht="15" customHeight="1" x14ac:dyDescent="0.25">
      <c r="A16" s="83"/>
      <c r="B16" s="84">
        <f>IF('LS-Fund 0001 Journal Entries'!$F$8="Governmental Fund",'LS-Fund 0001 Journal Entries'!$K$23,0)+IF('LS-Fund 0209 Journal Entries'!$F$8="Governmental Fund",'LS-Fund 0209 Journal Entries'!$K$23,0)+IF('LS-Fund 3228 Journal Entries'!$F$8="Governmental Fund",'LS-Fund 3228 Journal Entries'!$K$23,0)</f>
        <v>28486815</v>
      </c>
      <c r="C16" s="116" t="s">
        <v>145</v>
      </c>
      <c r="D16" s="84">
        <f>IF('LS-Fund 0001 Journal Entries'!$F$8="Governmental Fund",'LS-Fund 0001 Journal Entries'!$K$48,0)</f>
        <v>0</v>
      </c>
      <c r="E16" s="118" t="s">
        <v>146</v>
      </c>
      <c r="F16" s="84">
        <f>IF('LS-Fund 0001 Journal Entries'!$F$8="Governmental Fund",'LS-Fund 0001 Journal Entries'!$J$68,0)+IF('LS-Fund 0209 Journal Entries'!$F$8="Governmental Fund",'LS-Fund 0209 Journal Entries'!$J$68,0)+IF('LS-Fund 3228 Journal Entries'!$F$8="Governmental Fund",'LS-Fund 3228 Journal Entries'!$J$68,0)</f>
        <v>4968108</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23518707</v>
      </c>
      <c r="M16" s="86"/>
      <c r="N16" s="88">
        <f>SUM('LS-Department Note Disclosure'!B13:B36)</f>
        <v>23518707</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03" t="s">
        <v>142</v>
      </c>
      <c r="C21" s="203"/>
      <c r="D21" s="203"/>
      <c r="E21" s="203"/>
      <c r="F21" s="203"/>
      <c r="G21" s="203"/>
      <c r="H21" s="203"/>
      <c r="I21" s="203"/>
      <c r="J21" s="203"/>
      <c r="K21" s="203"/>
      <c r="L21" s="203"/>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1667</v>
      </c>
      <c r="I23" s="79" t="s">
        <v>145</v>
      </c>
      <c r="J23" s="79" t="s">
        <v>1670</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03" t="s">
        <v>142</v>
      </c>
      <c r="C30" s="203"/>
      <c r="D30" s="203"/>
      <c r="E30" s="203"/>
      <c r="F30" s="203"/>
      <c r="G30" s="203"/>
      <c r="H30" s="203"/>
      <c r="I30" s="203"/>
      <c r="J30" s="203"/>
      <c r="K30" s="203"/>
      <c r="L30" s="203"/>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1667</v>
      </c>
      <c r="I32" s="79" t="s">
        <v>145</v>
      </c>
      <c r="J32" s="79" t="s">
        <v>1670</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03" t="s">
        <v>142</v>
      </c>
      <c r="C40" s="203"/>
      <c r="D40" s="203"/>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Entries'!$K$76,0)+IF('LS-Fund 0209 Journal Entries'!$F$8="Governmental Fund",'LS-Fund 0209 Journal Entries'!$K$76,0)+IF('LS-Fund 3228 Journal Entries'!$F$8="Governmental Fund",'LS-Fund 3228 Journal Entries'!$K$76,0)</f>
        <v>3903300</v>
      </c>
      <c r="C42" s="92"/>
      <c r="E42" s="92"/>
      <c r="G42" s="115"/>
      <c r="H42" s="115"/>
      <c r="I42" s="115"/>
      <c r="J42" s="115"/>
      <c r="K42" s="92"/>
      <c r="L42" s="92"/>
      <c r="M42" s="93"/>
      <c r="N42" s="88">
        <f>'LS-Department Note Disclosure'!B13</f>
        <v>3903300</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03" t="s">
        <v>142</v>
      </c>
      <c r="C47" s="203"/>
      <c r="D47" s="203"/>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03" t="s">
        <v>142</v>
      </c>
      <c r="C55" s="203"/>
      <c r="D55" s="203"/>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04" t="s">
        <v>142</v>
      </c>
      <c r="C64" s="204"/>
      <c r="D64" s="204"/>
      <c r="E64" s="204"/>
      <c r="F64" s="204"/>
      <c r="G64" s="204"/>
      <c r="H64" s="204"/>
      <c r="I64" s="95"/>
      <c r="J64" s="77" t="s">
        <v>1627</v>
      </c>
      <c r="K64" s="95"/>
      <c r="L64" s="204" t="s">
        <v>11</v>
      </c>
      <c r="M64" s="204"/>
      <c r="N64" s="204"/>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28486815</v>
      </c>
      <c r="J66" s="97">
        <f>SUM(D66)</f>
        <v>28486815</v>
      </c>
      <c r="L66" s="98" t="str">
        <f>CONCATENATE("Balance July 1, ",LEFT('LS-Department Note Disclosure'!$B$8,4))</f>
        <v>Balance July 1, 2023</v>
      </c>
      <c r="N66" s="97">
        <f>'LS-Lease Liabilities'!F10</f>
        <v>28486815</v>
      </c>
      <c r="P66" s="89">
        <f>J66-N66</f>
        <v>0</v>
      </c>
    </row>
    <row r="67" spans="1:17" x14ac:dyDescent="0.25">
      <c r="B67" s="79" t="s">
        <v>156</v>
      </c>
      <c r="D67" s="97">
        <f>$D$16</f>
        <v>0</v>
      </c>
      <c r="E67" s="119" t="s">
        <v>145</v>
      </c>
      <c r="F67" s="79" t="s">
        <v>1670</v>
      </c>
      <c r="H67" s="97">
        <f>$J$16</f>
        <v>0</v>
      </c>
      <c r="J67" s="97">
        <f>SUM(D67,H67)</f>
        <v>0</v>
      </c>
      <c r="L67" s="98" t="s">
        <v>12</v>
      </c>
      <c r="N67" s="97">
        <f>'LS-Lease Liabilities'!H10</f>
        <v>0</v>
      </c>
      <c r="P67" s="89">
        <f t="shared" ref="P67:P69" si="0">J67-N67</f>
        <v>0</v>
      </c>
    </row>
    <row r="68" spans="1:17" x14ac:dyDescent="0.25">
      <c r="B68" s="79" t="s">
        <v>151</v>
      </c>
      <c r="D68" s="97">
        <f>$F$16</f>
        <v>4968108</v>
      </c>
      <c r="E68" s="119" t="s">
        <v>145</v>
      </c>
      <c r="F68" s="79" t="s">
        <v>1667</v>
      </c>
      <c r="H68" s="97">
        <f>$H$16</f>
        <v>0</v>
      </c>
      <c r="J68" s="97">
        <f>SUM(D68,H68)</f>
        <v>4968108</v>
      </c>
      <c r="L68" s="98" t="s">
        <v>13</v>
      </c>
      <c r="N68" s="97">
        <f>'LS-Lease Liabilities'!J10</f>
        <v>4968108</v>
      </c>
      <c r="P68" s="89">
        <f t="shared" si="0"/>
        <v>0</v>
      </c>
    </row>
    <row r="69" spans="1:17" x14ac:dyDescent="0.25">
      <c r="B69" s="79" t="s">
        <v>155</v>
      </c>
      <c r="D69" s="97">
        <f>$B$42</f>
        <v>3903300</v>
      </c>
      <c r="J69" s="97">
        <f>SUM(D69)</f>
        <v>3903300</v>
      </c>
      <c r="L69" s="98" t="s">
        <v>14</v>
      </c>
      <c r="N69" s="97">
        <f>'LS-Lease Liabilities'!N10</f>
        <v>3903300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04" t="s">
        <v>142</v>
      </c>
      <c r="C75" s="204"/>
      <c r="D75" s="204"/>
      <c r="E75" s="204"/>
      <c r="F75" s="204"/>
      <c r="G75" s="204"/>
      <c r="H75" s="204"/>
      <c r="I75" s="95"/>
      <c r="J75" s="77" t="s">
        <v>1627</v>
      </c>
      <c r="K75" s="95"/>
      <c r="L75" s="204" t="s">
        <v>11</v>
      </c>
      <c r="M75" s="204"/>
      <c r="N75" s="204"/>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1670</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1667</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04" t="s">
        <v>142</v>
      </c>
      <c r="C86" s="204"/>
      <c r="D86" s="204"/>
      <c r="E86" s="204"/>
      <c r="F86" s="204"/>
      <c r="G86" s="204"/>
      <c r="H86" s="204"/>
      <c r="I86" s="95"/>
      <c r="J86" s="77" t="s">
        <v>1627</v>
      </c>
      <c r="K86" s="95"/>
      <c r="L86" s="204" t="s">
        <v>11</v>
      </c>
      <c r="M86" s="204"/>
      <c r="N86" s="204"/>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1670</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1667</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Drop Down Menus</vt:lpstr>
      <vt:lpstr>qryIndex02a</vt:lpstr>
      <vt:lpstr>LS-Fund 0001 Journal Entries</vt:lpstr>
      <vt:lpstr>LS-Fund 0209 Journal Entries</vt:lpstr>
      <vt:lpstr>LS-Fund 3228 Journal Entries</vt:lpstr>
      <vt:lpstr>LS-Department Note Disclosure</vt:lpstr>
      <vt:lpstr>LS-Lease Liabilities</vt:lpstr>
      <vt:lpstr>LS-Check Figures  </vt:lpstr>
      <vt:lpstr>'LS-Department Note Disclosure'!Print_Area</vt:lpstr>
      <vt:lpstr>'LS-Fund 0001 Journal Entries'!Print_Area</vt:lpstr>
      <vt:lpstr>'LS-Fund 0209 Journal Entries'!Print_Area</vt:lpstr>
      <vt:lpstr>'LS-Fund 3228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2025-03-13T00:16:49Z</dcterms:modified>
</cp:coreProperties>
</file>