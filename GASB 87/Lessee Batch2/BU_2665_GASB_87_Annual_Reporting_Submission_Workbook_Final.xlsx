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EB0A1C72-BC24-44A7-A956-0E3E194AA163}" xr6:coauthVersionLast="47" xr6:coauthVersionMax="47" xr10:uidLastSave="{00000000-0000-0000-0000-000000000000}"/>
  <bookViews>
    <workbookView xWindow="20370" yWindow="-120" windowWidth="29040" windowHeight="15840" firstSheet="2" activeTab="3" xr2:uid="{C23F3B1D-C701-498F-9201-9720387A70CE}"/>
  </bookViews>
  <sheets>
    <sheet name="Drop Down Menus" sheetId="1" state="hidden" r:id="rId1"/>
    <sheet name="qryIndex02a" sheetId="11" state="hidden" r:id="rId2"/>
    <sheet name="LS-Version Changes" sheetId="13" r:id="rId3"/>
    <sheet name="LS-Fund 3228 Journal Entries" sheetId="17" r:id="rId4"/>
    <sheet name="LS-Fund 6043 Journal Entries" sheetId="16" r:id="rId5"/>
    <sheet name="LS-Fund Both Journal Entries" sheetId="2" state="hidden" r:id="rId6"/>
    <sheet name="LS-Department Note Disclosure" sheetId="3" r:id="rId7"/>
    <sheet name="LS-Lease Liabilities" sheetId="4" r:id="rId8"/>
    <sheet name="LS-Check Figures  " sheetId="7" r:id="rId9"/>
    <sheet name="LR-Version Changes" sheetId="15" state="hidden" r:id="rId10"/>
    <sheet name="LR-Fund #### Journal Entries" sheetId="5" state="hidden" r:id="rId11"/>
    <sheet name="LR-Department Note Disclosure" sheetId="6" state="hidden" r:id="rId12"/>
    <sheet name="LR-Check Figures" sheetId="12" state="hidden" r:id="rId13"/>
    <sheet name="FP-Version Changes" sheetId="14" state="hidden" r:id="rId14"/>
    <sheet name="FP-Fund #### Journal Entries" sheetId="8" state="hidden" r:id="rId15"/>
    <sheet name="FP-Lease Liabilities" sheetId="10" state="hidden" r:id="rId16"/>
  </sheets>
  <externalReferences>
    <externalReference r:id="rId1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3">#REF!</definedName>
    <definedName name="AgencyCode" localSheetId="12">#REF!</definedName>
    <definedName name="AgencyCode" localSheetId="9">#REF!</definedName>
    <definedName name="AgencyCode">#REF!</definedName>
    <definedName name="AgencyCode1" localSheetId="13">#REF!</definedName>
    <definedName name="AgencyCode1" localSheetId="12">#REF!</definedName>
    <definedName name="AgencyCode1" localSheetId="9">#REF!</definedName>
    <definedName name="AgencyCode1">#REF!</definedName>
    <definedName name="AnalystGASB">[1]DeveloperInfo!$D$20</definedName>
    <definedName name="Annuity" localSheetId="13">#REF!</definedName>
    <definedName name="Annuity" localSheetId="12">#REF!</definedName>
    <definedName name="Annuity" localSheetId="9">#REF!</definedName>
    <definedName name="Annuity">#REF!</definedName>
    <definedName name="Annuity1" localSheetId="13">#REF!</definedName>
    <definedName name="Annuity1" localSheetId="12">#REF!</definedName>
    <definedName name="Annuity1" localSheetId="9">#REF!</definedName>
    <definedName name="Annuity1">#REF!</definedName>
    <definedName name="AnnuityLY" localSheetId="13">#REF!</definedName>
    <definedName name="AnnuityLY" localSheetId="12">#REF!</definedName>
    <definedName name="AnnuityLY" localSheetId="9">#REF!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3">#REF!</definedName>
    <definedName name="EmployerRates" localSheetId="12">#REF!</definedName>
    <definedName name="EmployerRates" localSheetId="9">#REF!</definedName>
    <definedName name="EmployerRates">#REF!</definedName>
    <definedName name="EmployerRates1" localSheetId="13">#REF!</definedName>
    <definedName name="EmployerRates1" localSheetId="12">#REF!</definedName>
    <definedName name="EmployerRates1" localSheetId="9">#REF!</definedName>
    <definedName name="EmployerRates1">#REF!</definedName>
    <definedName name="EmployerRatesLEO" localSheetId="13">#REF!</definedName>
    <definedName name="EmployerRatesLEO" localSheetId="12">#REF!</definedName>
    <definedName name="EmployerRatesLEO" localSheetId="9">#REF!</definedName>
    <definedName name="EmployerRatesLEO">#REF!</definedName>
    <definedName name="EmployerRatesLEO1" localSheetId="13">#REF!</definedName>
    <definedName name="EmployerRatesLEO1" localSheetId="12">#REF!</definedName>
    <definedName name="EmployerRatesLEO1" localSheetId="9">#REF!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3">#REF!</definedName>
    <definedName name="Pension" localSheetId="12">#REF!</definedName>
    <definedName name="Pension" localSheetId="9">#REF!</definedName>
    <definedName name="Pension">#REF!</definedName>
    <definedName name="Pension1" localSheetId="13">#REF!</definedName>
    <definedName name="Pension1" localSheetId="12">#REF!</definedName>
    <definedName name="Pension1" localSheetId="9">#REF!</definedName>
    <definedName name="Pension1">#REF!</definedName>
    <definedName name="PensionLY" localSheetId="13">#REF!</definedName>
    <definedName name="PensionLY" localSheetId="12">#REF!</definedName>
    <definedName name="PensionLY" localSheetId="9">#REF!</definedName>
    <definedName name="PensionLY">#REF!</definedName>
    <definedName name="PlanNameLongGASB">[1]DeveloperInfo!$D$7</definedName>
    <definedName name="PlanNameShortGASB">[1]DeveloperInfo!$D$8</definedName>
    <definedName name="_xlnm.Print_Area" localSheetId="14">'FP-Fund #### Journal Entries'!$A$1:$R$84</definedName>
    <definedName name="_xlnm.Print_Area" localSheetId="15">'FP-Lease Liabilities'!$A$1:$S$23</definedName>
    <definedName name="_xlnm.Print_Area" localSheetId="12">'LR-Check Figures'!$A$1:$Q$59</definedName>
    <definedName name="_xlnm.Print_Area" localSheetId="11">'LR-Department Note Disclosure'!$A$1:$E$99</definedName>
    <definedName name="_xlnm.Print_Area" localSheetId="10">'LR-Fund #### Journal Entries'!$A$1:$R$70</definedName>
    <definedName name="_xlnm.Print_Area" localSheetId="6">'LS-Department Note Disclosure'!$A$1:$F$96</definedName>
    <definedName name="_xlnm.Print_Area" localSheetId="3">'LS-Fund 3228 Journal Entries'!$A$1:$R$130</definedName>
    <definedName name="_xlnm.Print_Area" localSheetId="4">'LS-Fund 6043 Journal Entries'!$A$1:$R$130</definedName>
    <definedName name="_xlnm.Print_Area" localSheetId="5">'LS-Fund Both Journal Entries'!$A$1:$R$130</definedName>
    <definedName name="_xlnm.Print_Area" localSheetId="7">'LS-Lease Liabilities'!$A$1:$U$24</definedName>
    <definedName name="ProjDisc?">[1]DeveloperInfo!$D$65</definedName>
    <definedName name="ProValResults" localSheetId="13">#REF!</definedName>
    <definedName name="ProValResults" localSheetId="12">#REF!</definedName>
    <definedName name="ProValResults" localSheetId="9">#REF!</definedName>
    <definedName name="ProValResults">#REF!</definedName>
    <definedName name="ProValResults1" localSheetId="13">#REF!</definedName>
    <definedName name="ProValResults1" localSheetId="12">#REF!</definedName>
    <definedName name="ProValResults1" localSheetId="9">#REF!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3">#REF!</definedName>
    <definedName name="TableData" localSheetId="12">#REF!</definedName>
    <definedName name="TableData" localSheetId="9">#REF!</definedName>
    <definedName name="TableData">#REF!</definedName>
    <definedName name="TableData1" localSheetId="13">#REF!</definedName>
    <definedName name="TableData1" localSheetId="12">#REF!</definedName>
    <definedName name="TableData1" localSheetId="9">#REF!</definedName>
    <definedName name="TableData1">#REF!</definedName>
    <definedName name="Type" localSheetId="13">#REF!</definedName>
    <definedName name="Type" localSheetId="12">#REF!</definedName>
    <definedName name="Type" localSheetId="9">#REF!</definedName>
    <definedName name="Type">#REF!</definedName>
    <definedName name="TypeAnnuity" localSheetId="13">#REF!</definedName>
    <definedName name="TypeAnnuity" localSheetId="12">#REF!</definedName>
    <definedName name="TypeAnnuity" localSheetId="9">#REF!</definedName>
    <definedName name="TypeAnnuity">#REF!</definedName>
    <definedName name="TypeAnnuity1" localSheetId="13">#REF!</definedName>
    <definedName name="TypeAnnuity1" localSheetId="12">#REF!</definedName>
    <definedName name="TypeAnnuity1" localSheetId="9">#REF!</definedName>
    <definedName name="TypeAnnuity1">#REF!</definedName>
    <definedName name="TypePension" localSheetId="13">#REF!</definedName>
    <definedName name="TypePension" localSheetId="12">#REF!</definedName>
    <definedName name="TypePension" localSheetId="9">#REF!</definedName>
    <definedName name="TypePension">#REF!</definedName>
    <definedName name="TypePension1" localSheetId="13">#REF!</definedName>
    <definedName name="TypePension1" localSheetId="12">#REF!</definedName>
    <definedName name="TypePension1" localSheetId="9">#REF!</definedName>
    <definedName name="TypePension1">#REF!</definedName>
    <definedName name="UnfundedData" localSheetId="13">#REF!</definedName>
    <definedName name="UnfundedData" localSheetId="12">#REF!</definedName>
    <definedName name="UnfundedData" localSheetId="9">#REF!</definedName>
    <definedName name="UnfundedData">#REF!</definedName>
    <definedName name="UnfundedData1" localSheetId="13">#REF!</definedName>
    <definedName name="UnfundedData1" localSheetId="12">#REF!</definedName>
    <definedName name="UnfundedData1" localSheetId="9">#REF!</definedName>
    <definedName name="UnfundedData1">#REF!</definedName>
    <definedName name="UnfundedLY" localSheetId="13">#REF!</definedName>
    <definedName name="UnfundedLY" localSheetId="12">#REF!</definedName>
    <definedName name="UnfundedLY" localSheetId="9">#REF!</definedName>
    <definedName name="UnfundedLY">#REF!</definedName>
    <definedName name="UnfundedLY1" localSheetId="13">#REF!</definedName>
    <definedName name="UnfundedLY1" localSheetId="12">#REF!</definedName>
    <definedName name="UnfundedLY1" localSheetId="9">#REF!</definedName>
    <definedName name="UnfundedLY1">#REF!</definedName>
    <definedName name="UnfundedLYLEO1" localSheetId="13">#REF!</definedName>
    <definedName name="UnfundedLYLEO1" localSheetId="12">#REF!</definedName>
    <definedName name="UnfundedLYLEO1" localSheetId="9">#REF!</definedName>
    <definedName name="UnfundedLYLEO1">#REF!</definedName>
    <definedName name="UnfunedLYLEO" localSheetId="13">#REF!</definedName>
    <definedName name="UnfunedLYLEO" localSheetId="12">#REF!</definedName>
    <definedName name="UnfunedLYLEO" localSheetId="9">#REF!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7" l="1"/>
  <c r="J16" i="7"/>
  <c r="H16" i="7"/>
  <c r="F16" i="7"/>
  <c r="D16" i="7"/>
  <c r="N10" i="4"/>
  <c r="J10" i="4"/>
  <c r="H10" i="4"/>
  <c r="F10" i="4"/>
  <c r="Q23" i="2" l="1"/>
  <c r="N23" i="2"/>
  <c r="Q22" i="2"/>
  <c r="N22" i="2"/>
  <c r="M18" i="2"/>
  <c r="P17" i="2"/>
  <c r="M17" i="2"/>
  <c r="K129" i="17"/>
  <c r="K126" i="17"/>
  <c r="K114" i="17"/>
  <c r="J114" i="17"/>
  <c r="K105" i="17"/>
  <c r="J105" i="17"/>
  <c r="L91" i="17"/>
  <c r="K91" i="17"/>
  <c r="J91" i="17"/>
  <c r="K77" i="17"/>
  <c r="J77" i="17"/>
  <c r="K70" i="17"/>
  <c r="J70" i="17"/>
  <c r="L69" i="17"/>
  <c r="K65" i="17"/>
  <c r="J65" i="17"/>
  <c r="B63" i="17"/>
  <c r="L62" i="17"/>
  <c r="K59" i="17"/>
  <c r="J59" i="17"/>
  <c r="K49" i="17"/>
  <c r="J49" i="17"/>
  <c r="K43" i="17"/>
  <c r="J43" i="17"/>
  <c r="K36" i="17"/>
  <c r="J36" i="17"/>
  <c r="S25" i="17"/>
  <c r="Q24" i="17"/>
  <c r="S24" i="17" s="1"/>
  <c r="S23" i="17"/>
  <c r="K23" i="17"/>
  <c r="K128" i="17" s="1"/>
  <c r="S22" i="17"/>
  <c r="K22" i="17"/>
  <c r="K127" i="17" s="1"/>
  <c r="S21" i="17"/>
  <c r="K21" i="17"/>
  <c r="S20" i="17"/>
  <c r="K20" i="17"/>
  <c r="K125" i="17" s="1"/>
  <c r="S19" i="17"/>
  <c r="P18" i="17"/>
  <c r="J18" i="17" s="1"/>
  <c r="S17" i="17"/>
  <c r="J17" i="17"/>
  <c r="K124" i="17" s="1"/>
  <c r="S16" i="17"/>
  <c r="J16" i="17"/>
  <c r="K123" i="17" s="1"/>
  <c r="S15" i="17"/>
  <c r="J15" i="17"/>
  <c r="K122" i="17" s="1"/>
  <c r="F9" i="17"/>
  <c r="C35" i="17" s="1"/>
  <c r="L114" i="17" l="1"/>
  <c r="L105" i="17"/>
  <c r="L77" i="17"/>
  <c r="L70" i="17"/>
  <c r="L65" i="17"/>
  <c r="L59" i="17"/>
  <c r="L49" i="17"/>
  <c r="L43" i="17"/>
  <c r="L36" i="17"/>
  <c r="S18" i="17"/>
  <c r="B100" i="17"/>
  <c r="J19" i="17"/>
  <c r="J26" i="17" s="1"/>
  <c r="C104" i="17"/>
  <c r="C64" i="17"/>
  <c r="K24" i="17"/>
  <c r="K25" i="17" s="1"/>
  <c r="K26" i="17" s="1"/>
  <c r="L26" i="17" l="1"/>
  <c r="K129" i="16" l="1"/>
  <c r="L114" i="16"/>
  <c r="K114" i="16"/>
  <c r="J114" i="16"/>
  <c r="K105" i="16"/>
  <c r="J105" i="16"/>
  <c r="L91" i="16"/>
  <c r="K91" i="16"/>
  <c r="J91" i="16"/>
  <c r="L77" i="16"/>
  <c r="K77" i="16"/>
  <c r="J77" i="16"/>
  <c r="K70" i="16"/>
  <c r="J70" i="16"/>
  <c r="L70" i="16" s="1"/>
  <c r="L69" i="16"/>
  <c r="K65" i="16"/>
  <c r="L65" i="16" s="1"/>
  <c r="J65" i="16"/>
  <c r="B63" i="16"/>
  <c r="L62" i="16"/>
  <c r="K59" i="16"/>
  <c r="J59" i="16"/>
  <c r="L59" i="16" s="1"/>
  <c r="L49" i="16"/>
  <c r="K49" i="16"/>
  <c r="J49" i="16"/>
  <c r="K43" i="16"/>
  <c r="J43" i="16"/>
  <c r="K36" i="16"/>
  <c r="J36" i="16"/>
  <c r="L36" i="16" s="1"/>
  <c r="S25" i="16"/>
  <c r="Q24" i="16"/>
  <c r="S24" i="16" s="1"/>
  <c r="S23" i="16"/>
  <c r="K23" i="16"/>
  <c r="K128" i="16" s="1"/>
  <c r="S22" i="16"/>
  <c r="K22" i="16"/>
  <c r="K127" i="16" s="1"/>
  <c r="S21" i="16"/>
  <c r="K21" i="16"/>
  <c r="K126" i="16" s="1"/>
  <c r="S20" i="16"/>
  <c r="K20" i="16"/>
  <c r="K125" i="16" s="1"/>
  <c r="S19" i="16"/>
  <c r="P18" i="16"/>
  <c r="J18" i="16" s="1"/>
  <c r="S17" i="16"/>
  <c r="J17" i="16"/>
  <c r="K124" i="16" s="1"/>
  <c r="S16" i="16"/>
  <c r="J16" i="16"/>
  <c r="K123" i="16" s="1"/>
  <c r="S15" i="16"/>
  <c r="J15" i="16"/>
  <c r="K122" i="16" s="1"/>
  <c r="F9" i="16"/>
  <c r="C35" i="16" s="1"/>
  <c r="L43" i="16" l="1"/>
  <c r="L105" i="16"/>
  <c r="S18" i="16"/>
  <c r="B100" i="16"/>
  <c r="C104" i="16"/>
  <c r="C64" i="16"/>
  <c r="K24" i="16"/>
  <c r="K25" i="16" s="1"/>
  <c r="K26" i="16" l="1"/>
  <c r="J19" i="16"/>
  <c r="J26" i="16" s="1"/>
  <c r="L26" i="16" l="1"/>
  <c r="B63" i="2"/>
  <c r="B57" i="8"/>
  <c r="L56" i="8"/>
  <c r="L63" i="8"/>
  <c r="K83" i="8"/>
  <c r="K82" i="8"/>
  <c r="K81" i="8"/>
  <c r="K80" i="8"/>
  <c r="K79" i="8"/>
  <c r="K78" i="8"/>
  <c r="K77" i="8"/>
  <c r="J18" i="4"/>
  <c r="J14" i="4"/>
  <c r="H18" i="4"/>
  <c r="H14" i="4"/>
  <c r="N18" i="4"/>
  <c r="N14"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<sst xmlns="http://schemas.openxmlformats.org/spreadsheetml/2006/main" count="8335" uniqueCount="1805">
  <si>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</si>
  <si>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</si>
  <si>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</si>
  <si>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</si>
  <si>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</si>
  <si>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</si>
  <si>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</si>
  <si>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</si>
  <si>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</si>
  <si>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</si>
  <si>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</si>
  <si>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</si>
  <si>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</si>
  <si>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</si>
  <si>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</si>
  <si>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</si>
  <si>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</si>
  <si>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</si>
  <si>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</si>
  <si>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</si>
  <si>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</si>
  <si>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</si>
  <si>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</si>
  <si>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</si>
  <si>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</si>
  <si>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</si>
  <si>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</si>
  <si>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</si>
  <si>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</si>
  <si>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</si>
  <si>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</si>
  <si>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</si>
  <si>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</si>
  <si>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</si>
  <si>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</si>
  <si>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</si>
  <si>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</si>
  <si>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</si>
  <si>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</si>
  <si>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</si>
  <si>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</si>
  <si>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</si>
  <si>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</si>
  <si>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</si>
  <si>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</si>
  <si>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</si>
  <si>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</si>
  <si>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</si>
  <si>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</si>
  <si>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</si>
  <si>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</si>
  <si>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</si>
  <si>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</si>
  <si>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</si>
  <si>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</si>
  <si>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</si>
  <si>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</si>
  <si>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</si>
  <si>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</si>
  <si>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</si>
  <si>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</si>
  <si>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</si>
  <si>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</si>
  <si>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</si>
  <si>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</si>
  <si>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</si>
  <si>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</si>
  <si>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</si>
  <si>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</si>
  <si>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</si>
  <si>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</si>
  <si>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</si>
  <si>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</si>
  <si>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</si>
  <si>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</si>
  <si>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</si>
  <si>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</si>
  <si>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</si>
  <si>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</si>
  <si>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</si>
  <si>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</si>
  <si>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</si>
  <si>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</si>
  <si>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</si>
  <si>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</si>
  <si>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</si>
  <si>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</si>
  <si>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</si>
  <si>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</si>
  <si>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</si>
  <si>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</si>
  <si>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</si>
  <si>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</si>
  <si>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</si>
  <si>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</si>
  <si>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</si>
  <si>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</si>
  <si>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</si>
  <si>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</si>
  <si>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</si>
  <si>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</si>
  <si>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</si>
  <si>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</si>
  <si>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</si>
  <si>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</si>
  <si>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</si>
  <si>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</si>
  <si>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</si>
  <si>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</si>
  <si>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</si>
  <si>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</si>
  <si>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</si>
  <si>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</si>
  <si>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</si>
  <si>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</si>
  <si>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</si>
  <si>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</si>
  <si>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</si>
  <si>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</si>
  <si>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</si>
  <si>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</si>
  <si>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</si>
  <si>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</si>
  <si>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</si>
  <si>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</si>
  <si>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</si>
  <si>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</si>
  <si>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</si>
  <si>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</si>
  <si>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</si>
  <si>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</si>
  <si>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</si>
  <si>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</si>
  <si>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</si>
  <si>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</si>
  <si>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</si>
  <si>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</si>
  <si>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</si>
  <si>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</si>
  <si>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</si>
  <si>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</si>
  <si>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</si>
  <si>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</si>
  <si>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</si>
  <si>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</si>
  <si>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</si>
  <si>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</si>
  <si>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</si>
  <si>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</si>
  <si>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</si>
  <si>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</si>
  <si>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</si>
  <si>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</si>
  <si>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</si>
  <si>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</si>
  <si>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</si>
  <si>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</si>
  <si>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</si>
  <si>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</si>
  <si>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</si>
  <si>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</si>
  <si>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</si>
  <si>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</si>
  <si>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</si>
  <si>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</si>
  <si>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</si>
  <si>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</si>
  <si>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</si>
  <si>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</si>
  <si>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</si>
  <si>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</si>
  <si>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</si>
  <si>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</si>
  <si>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</si>
  <si>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</si>
  <si>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</si>
  <si>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</si>
  <si>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</si>
  <si>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</si>
  <si>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</si>
  <si>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</si>
  <si>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</si>
  <si>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</si>
  <si>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</si>
  <si>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</si>
  <si>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</si>
  <si>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</si>
  <si>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</si>
  <si>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</si>
  <si>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</si>
  <si>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</si>
  <si>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</si>
  <si>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</si>
  <si>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</si>
  <si>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</si>
  <si>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</si>
  <si>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</si>
  <si>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</si>
  <si>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</si>
  <si>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</si>
  <si>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</si>
  <si>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</si>
  <si>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</si>
  <si>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</si>
  <si>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</si>
  <si>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</si>
  <si>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</si>
  <si>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</si>
  <si>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</si>
  <si>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</si>
  <si>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</si>
  <si>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</si>
  <si>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</si>
  <si>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</si>
  <si>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</si>
  <si>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</si>
  <si>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</si>
  <si>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</si>
  <si>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</si>
  <si>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</si>
  <si>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</si>
  <si>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</si>
  <si>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</si>
  <si>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</si>
  <si>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</si>
  <si>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</si>
  <si>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</si>
  <si>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</si>
  <si>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</si>
  <si>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</si>
  <si>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</si>
  <si>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</si>
  <si>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</si>
  <si>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</si>
  <si>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</si>
  <si>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</si>
  <si>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</si>
  <si>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</si>
  <si>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</si>
  <si>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</si>
  <si>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</si>
  <si>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</si>
  <si>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</si>
  <si>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</si>
  <si>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</si>
  <si>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</si>
  <si>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</si>
  <si>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</si>
  <si>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</si>
  <si>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</si>
  <si>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</si>
  <si>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</si>
  <si>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</si>
  <si>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</si>
  <si>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</si>
  <si>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</si>
  <si>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</si>
  <si>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</si>
  <si>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</si>
  <si>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</si>
  <si>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</si>
  <si>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</si>
  <si>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</si>
  <si>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</si>
  <si>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</si>
  <si>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</si>
  <si>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</si>
  <si>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</si>
  <si>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</si>
  <si>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</si>
  <si>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</si>
  <si>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</si>
  <si>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</si>
  <si>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</si>
  <si>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</si>
  <si>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</si>
  <si>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</si>
  <si>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</si>
  <si>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</si>
  <si>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</si>
  <si>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</si>
  <si>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</si>
  <si>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</si>
  <si>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</si>
  <si>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</si>
  <si>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</si>
  <si>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</si>
  <si>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</si>
  <si>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</si>
  <si>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</si>
  <si>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</si>
  <si>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</si>
  <si>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</si>
  <si>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</si>
  <si>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</si>
  <si>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</si>
  <si>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</si>
  <si>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</si>
  <si>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</si>
  <si>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</si>
  <si>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</si>
  <si>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</si>
  <si>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</si>
  <si>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</si>
  <si>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</si>
  <si>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</si>
  <si>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</si>
  <si>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</si>
  <si>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</si>
  <si>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</si>
  <si>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</si>
  <si>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</si>
  <si>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</si>
  <si>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</si>
  <si>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</si>
  <si>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</si>
  <si>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</si>
  <si>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</si>
  <si>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</si>
  <si>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</si>
  <si>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</si>
  <si>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</si>
  <si>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</si>
  <si>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</si>
  <si>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</si>
  <si>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</si>
  <si>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</si>
  <si>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</si>
  <si>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</si>
  <si>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</si>
  <si>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</si>
  <si>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</si>
  <si>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</si>
  <si>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</si>
  <si>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</si>
  <si>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</si>
  <si>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</si>
  <si>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</si>
  <si>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</si>
  <si>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</si>
  <si>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</si>
  <si>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</si>
  <si>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</si>
  <si>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</si>
  <si>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</si>
  <si>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</si>
  <si>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</si>
  <si>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</si>
  <si>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</si>
  <si>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</si>
  <si>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</si>
  <si>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</si>
  <si>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</si>
  <si>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</si>
  <si>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</si>
  <si>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</si>
  <si>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</si>
  <si>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</si>
  <si>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</si>
  <si>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</si>
  <si>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</si>
  <si>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</si>
  <si>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</si>
  <si>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</si>
  <si>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</si>
  <si>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</si>
  <si>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</si>
  <si>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</si>
  <si>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</si>
  <si>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</si>
  <si>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</si>
  <si>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</si>
  <si>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</si>
  <si>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</si>
  <si>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</si>
  <si>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</si>
  <si>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</si>
  <si>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</si>
  <si>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</si>
  <si>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</si>
  <si>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</si>
  <si>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</si>
  <si>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</si>
  <si>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</si>
  <si>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</si>
  <si>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</si>
  <si>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</si>
  <si>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</si>
  <si>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</si>
  <si>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</si>
  <si>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</si>
  <si>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</si>
  <si>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</si>
  <si>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</si>
  <si>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</si>
  <si>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</si>
  <si>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</si>
  <si>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</si>
  <si>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</si>
  <si>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</si>
  <si>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</si>
  <si>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</si>
  <si>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</si>
  <si>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</si>
  <si>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</si>
  <si>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</si>
  <si>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</si>
  <si>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</si>
  <si>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</si>
  <si>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</si>
  <si>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</si>
  <si>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</si>
  <si>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</si>
  <si>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</si>
  <si>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</si>
  <si>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</si>
  <si>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</si>
  <si>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</si>
  <si>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</si>
  <si>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</si>
  <si>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</si>
  <si>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</si>
  <si>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</si>
  <si>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</si>
  <si>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</si>
  <si>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</si>
  <si>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</si>
  <si>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</si>
  <si>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</si>
  <si>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</si>
  <si>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</si>
  <si>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</si>
  <si>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</si>
  <si>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</si>
  <si>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</si>
  <si>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</si>
  <si>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</si>
  <si>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</si>
  <si>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</si>
  <si>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</si>
  <si>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</si>
  <si>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</si>
  <si>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</si>
  <si>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</si>
  <si>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</si>
  <si>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</si>
  <si>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</si>
  <si>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</si>
  <si>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</si>
  <si>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</si>
  <si>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</si>
  <si>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</si>
  <si>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</si>
  <si>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</si>
  <si>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</si>
  <si>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</si>
  <si>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</si>
  <si>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</si>
  <si>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</si>
  <si>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</si>
  <si>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</si>
  <si>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</si>
  <si>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</si>
  <si>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</si>
  <si>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</si>
  <si>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</si>
  <si>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</si>
  <si>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</si>
  <si>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</si>
  <si>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</si>
  <si>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</si>
  <si>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</si>
  <si>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</si>
  <si>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</si>
  <si>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</si>
  <si>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</si>
  <si>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</si>
  <si>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</si>
  <si>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</si>
  <si>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</si>
  <si>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</si>
  <si>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</si>
  <si>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</si>
  <si>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</si>
  <si>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</si>
  <si>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</si>
  <si>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</si>
  <si>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</si>
  <si>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</si>
  <si>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</si>
  <si>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</si>
  <si>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</si>
  <si>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</si>
  <si>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</si>
  <si>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</si>
  <si>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</si>
  <si>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</si>
  <si>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</si>
  <si>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</si>
  <si>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</si>
  <si>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</si>
  <si>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</si>
  <si>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</si>
  <si>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</si>
  <si>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</si>
  <si>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</si>
  <si>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</si>
  <si>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</si>
  <si>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</si>
  <si>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</si>
  <si>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</si>
  <si>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</si>
  <si>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</si>
  <si>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</si>
  <si>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</si>
  <si>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</si>
  <si>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</si>
  <si>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</si>
  <si>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</si>
  <si>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</si>
  <si>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</si>
  <si>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</si>
  <si>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</si>
  <si>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</si>
  <si>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</si>
  <si>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</si>
  <si>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</si>
  <si>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</si>
  <si>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</si>
  <si>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</si>
  <si>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</si>
  <si>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</si>
  <si>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</si>
  <si>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</si>
  <si>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</si>
  <si>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</si>
  <si>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</si>
  <si>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</si>
  <si>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</si>
  <si>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</si>
  <si>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</si>
  <si>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</si>
  <si>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</si>
  <si>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</si>
  <si>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</si>
  <si>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</si>
  <si>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</si>
  <si>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</si>
  <si>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</si>
  <si>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</si>
  <si>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</si>
  <si>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</si>
  <si>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</si>
  <si>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</si>
  <si>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</si>
  <si>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</si>
  <si>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</si>
  <si>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</si>
  <si>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</si>
  <si>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</si>
  <si>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</si>
  <si>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</si>
  <si>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</si>
  <si>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</si>
  <si>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</si>
  <si>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</si>
  <si>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</si>
  <si>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</si>
  <si>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</si>
  <si>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</si>
  <si>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</si>
  <si>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</si>
  <si>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</si>
  <si>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</si>
  <si>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</si>
  <si>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</si>
  <si>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</si>
  <si>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</si>
  <si>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</si>
  <si>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</si>
  <si>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</si>
  <si>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</si>
  <si>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</si>
  <si>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</si>
  <si>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</si>
  <si>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</si>
  <si>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</si>
  <si>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</si>
  <si>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</si>
  <si>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</si>
  <si>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</si>
  <si>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</si>
  <si>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</si>
  <si>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</si>
  <si>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</si>
  <si>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</si>
  <si>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</si>
  <si>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</si>
  <si>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</si>
  <si>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</si>
  <si>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</si>
  <si>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</si>
  <si>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</si>
  <si>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</si>
  <si>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</si>
  <si>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</si>
  <si>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</si>
  <si>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</si>
  <si>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</si>
  <si>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</si>
  <si>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</si>
  <si>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</si>
  <si>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</si>
  <si>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</si>
  <si>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</si>
  <si>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</si>
  <si>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</si>
  <si>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</si>
  <si>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</si>
  <si>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</si>
  <si>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</si>
  <si>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</si>
  <si>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</si>
  <si>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</si>
  <si>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</si>
  <si>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</si>
  <si>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</si>
  <si>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</si>
  <si>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</si>
  <si>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</si>
  <si>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</si>
  <si>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</si>
  <si>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</si>
  <si>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</si>
  <si>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</si>
  <si>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</si>
  <si>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</si>
  <si>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</si>
  <si>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</si>
  <si>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</si>
  <si>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</si>
  <si>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</si>
  <si>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</si>
  <si>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</si>
  <si>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</si>
  <si>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</si>
  <si>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</si>
  <si>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</si>
  <si>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</si>
  <si>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</si>
  <si>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</si>
  <si>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</si>
  <si>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</si>
  <si>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</si>
  <si>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</si>
  <si>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</si>
  <si>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</si>
  <si>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</si>
  <si>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</si>
  <si>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</si>
  <si>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</si>
  <si>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</si>
  <si>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</si>
  <si>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</si>
  <si>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</si>
  <si>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</si>
  <si>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</si>
  <si>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</si>
  <si>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</si>
  <si>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</si>
  <si>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</si>
  <si>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</si>
  <si>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</si>
  <si>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</si>
  <si>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</si>
  <si>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</si>
  <si>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</si>
  <si>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</si>
  <si>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</si>
  <si>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</si>
  <si>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</si>
  <si>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</si>
  <si>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</si>
  <si>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</si>
  <si>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</si>
  <si>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</si>
  <si>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</si>
  <si>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</si>
  <si>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</si>
  <si>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</si>
  <si>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</si>
  <si>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</si>
  <si>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</si>
  <si>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</si>
  <si>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</si>
  <si>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</si>
  <si>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</si>
  <si>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</si>
  <si>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</si>
  <si>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</si>
  <si>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</si>
  <si>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</si>
  <si>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</si>
  <si>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</si>
  <si>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</si>
  <si>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</si>
  <si>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</si>
  <si>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</si>
  <si>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</si>
  <si>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</si>
  <si>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</si>
  <si>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</si>
  <si>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</si>
  <si>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</si>
  <si>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</si>
  <si>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</si>
  <si>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</si>
  <si>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</si>
  <si>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</si>
  <si>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</si>
  <si>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</si>
  <si>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</si>
  <si>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</si>
  <si>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</si>
  <si>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</si>
  <si>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</si>
  <si>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</si>
  <si>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</si>
  <si>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</si>
  <si>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</si>
  <si>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</si>
  <si>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</si>
  <si>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</si>
  <si>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</si>
  <si>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</si>
  <si>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</si>
  <si>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</si>
  <si>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</si>
  <si>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</si>
  <si>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</si>
  <si>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</si>
  <si>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</si>
  <si>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</si>
  <si>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</si>
  <si>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</si>
  <si>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</si>
  <si>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</si>
  <si>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</si>
  <si>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</si>
  <si>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</si>
  <si>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</si>
  <si>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</si>
  <si>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</si>
  <si>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</si>
  <si>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</si>
  <si>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</si>
  <si>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</si>
  <si>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</si>
  <si>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</si>
  <si>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</si>
  <si>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</si>
  <si>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</si>
  <si>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</si>
  <si>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</si>
  <si>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</si>
  <si>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</si>
  <si>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</si>
  <si>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</si>
  <si>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</si>
  <si>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</si>
  <si>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</si>
  <si>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</si>
  <si>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</si>
  <si>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</si>
  <si>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</si>
  <si>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</si>
  <si>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</si>
  <si>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</si>
  <si>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</si>
  <si>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</si>
  <si>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</si>
  <si>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</si>
  <si>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</si>
  <si>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</si>
  <si>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</si>
  <si>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</si>
  <si>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</si>
  <si>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</si>
  <si>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</si>
  <si>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</si>
  <si>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</si>
  <si>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</si>
  <si>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</si>
  <si>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</si>
  <si>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</si>
  <si>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</si>
  <si>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</si>
  <si>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</si>
  <si>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</si>
  <si>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</si>
  <si>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</si>
  <si>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</si>
  <si>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</si>
  <si>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</si>
  <si>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</si>
  <si>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</si>
  <si>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</si>
  <si>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</si>
  <si>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</si>
  <si>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</si>
  <si>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</si>
  <si>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</si>
  <si>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</si>
  <si>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</si>
  <si>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</si>
  <si>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</si>
  <si>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</si>
  <si>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</si>
  <si>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</si>
  <si>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</si>
  <si>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</si>
  <si>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</si>
  <si>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</si>
  <si>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</si>
  <si>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</si>
  <si>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</si>
  <si>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</si>
  <si>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</si>
  <si>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</si>
  <si>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</si>
  <si>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</si>
  <si>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</si>
  <si>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</si>
  <si>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</si>
  <si>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</si>
  <si>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</si>
  <si>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</si>
  <si>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</si>
  <si>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</si>
  <si>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</si>
  <si>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</si>
  <si>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</si>
  <si>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</si>
  <si>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</si>
  <si>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</si>
  <si>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</si>
  <si>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</si>
  <si>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</si>
  <si>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</si>
  <si>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</si>
  <si>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</si>
  <si>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</si>
  <si>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</si>
  <si>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</si>
  <si>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</si>
  <si>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</si>
  <si>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</si>
  <si>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</si>
  <si>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</si>
  <si>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</si>
  <si>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</si>
  <si>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</si>
  <si>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</si>
  <si>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</si>
  <si>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</si>
  <si>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</si>
  <si>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</si>
  <si>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</si>
  <si>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</si>
  <si>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</si>
  <si>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</si>
  <si>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</si>
  <si>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</si>
  <si>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</si>
  <si>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</si>
  <si>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</si>
  <si>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</si>
  <si>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</si>
  <si>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</si>
  <si>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</si>
  <si>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</si>
  <si>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</si>
  <si>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</si>
  <si>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</si>
  <si>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</si>
  <si>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</si>
  <si>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</si>
  <si>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</si>
  <si>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</si>
  <si>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</si>
  <si>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</si>
  <si>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</si>
  <si>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</si>
  <si>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</si>
  <si>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</si>
  <si>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</si>
  <si>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</si>
  <si>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</si>
  <si>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</si>
  <si>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</si>
  <si>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</si>
  <si>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</si>
  <si>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</si>
  <si>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</si>
  <si>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</si>
  <si>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</si>
  <si>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</si>
  <si>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</si>
  <si>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</si>
  <si>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</si>
  <si>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</si>
  <si>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</si>
  <si>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</si>
  <si>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</si>
  <si>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</si>
  <si>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</si>
  <si>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</si>
  <si>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</si>
  <si>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</si>
  <si>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</si>
  <si>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</si>
  <si>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</si>
  <si>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</si>
  <si>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</si>
  <si>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</si>
  <si>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</si>
  <si>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</si>
  <si>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</si>
  <si>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</si>
  <si>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</si>
  <si>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</si>
  <si>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</si>
  <si>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</si>
  <si>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</si>
  <si>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</si>
  <si>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</si>
  <si>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</si>
  <si>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</si>
  <si>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</si>
  <si>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</si>
  <si>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</si>
  <si>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</si>
  <si>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</si>
  <si>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</si>
  <si>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</si>
  <si>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</si>
  <si>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</si>
  <si>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</si>
  <si>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</si>
  <si>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</si>
  <si>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</si>
  <si>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</si>
  <si>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</si>
  <si>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</si>
  <si>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</si>
  <si>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</si>
  <si>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</si>
  <si>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</si>
  <si>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</si>
  <si>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</si>
  <si>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</si>
  <si>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</si>
  <si>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</si>
  <si>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</si>
  <si>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</si>
  <si>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</si>
  <si>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</si>
  <si>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</si>
  <si>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</si>
  <si>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</si>
  <si>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</si>
  <si>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</si>
  <si>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</si>
  <si>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</si>
  <si>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</si>
  <si>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</si>
  <si>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</si>
  <si>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</si>
  <si>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</si>
  <si>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</si>
  <si>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</si>
  <si>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</si>
  <si>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</si>
  <si>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</si>
  <si>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</si>
  <si>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</si>
  <si>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</si>
  <si>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</si>
  <si>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</si>
  <si>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</si>
  <si>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</si>
  <si>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</si>
  <si>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</si>
  <si>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</si>
  <si>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</si>
  <si>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</si>
  <si>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</si>
  <si>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</si>
  <si>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</si>
  <si>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</si>
  <si>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</si>
  <si>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</si>
  <si>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</si>
  <si>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</si>
  <si>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</si>
  <si>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</si>
  <si>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</si>
  <si>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</si>
  <si>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</si>
  <si>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</si>
  <si>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</si>
  <si>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</si>
  <si>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</si>
  <si>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</si>
  <si>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</si>
  <si>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</si>
  <si>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</si>
  <si>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</si>
  <si>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</si>
  <si>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</si>
  <si>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</si>
  <si>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</si>
  <si>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</si>
  <si>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</si>
  <si>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</si>
  <si>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</si>
  <si>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</si>
  <si>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</si>
  <si>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</si>
  <si>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</si>
  <si>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</si>
  <si>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</si>
  <si>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</si>
  <si>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</si>
  <si>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</si>
  <si>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</si>
  <si>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</si>
  <si>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</si>
  <si>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</si>
  <si>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</si>
  <si>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</si>
  <si>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</si>
  <si>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</si>
  <si>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</si>
  <si>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</si>
  <si>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</si>
  <si>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</si>
  <si>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</si>
  <si>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</si>
  <si>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</si>
  <si>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</si>
  <si>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</si>
  <si>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</si>
  <si>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</si>
  <si>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</si>
  <si>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</si>
  <si>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</si>
  <si>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</si>
  <si>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</si>
  <si>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</si>
  <si>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</si>
  <si>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</si>
  <si>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</si>
  <si>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</si>
  <si>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</si>
  <si>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</si>
  <si>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</si>
  <si>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</si>
  <si>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</si>
  <si>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</si>
  <si>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</si>
  <si>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</si>
  <si>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</si>
  <si>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</si>
  <si>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</si>
  <si>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</si>
  <si>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</si>
  <si>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</si>
  <si>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</si>
  <si>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</si>
  <si>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</si>
  <si>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</si>
  <si>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</si>
  <si>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</si>
  <si>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</si>
  <si>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</si>
  <si>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</si>
  <si>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</si>
  <si>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</si>
  <si>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</si>
  <si>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</si>
  <si>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</si>
  <si>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</si>
  <si>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</si>
  <si>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</si>
  <si>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</si>
  <si>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</si>
  <si>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</si>
  <si>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</si>
  <si>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</si>
  <si>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</si>
  <si>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</si>
  <si>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</si>
  <si>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</si>
  <si>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</si>
  <si>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</si>
  <si>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</si>
  <si>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</si>
  <si>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</si>
  <si>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</si>
  <si>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</si>
  <si>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</si>
  <si>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</si>
  <si>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</si>
  <si>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</si>
  <si>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</si>
  <si>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</si>
  <si>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</si>
  <si>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</si>
  <si>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</si>
  <si>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</si>
  <si>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</si>
  <si>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</si>
  <si>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</si>
  <si>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</si>
  <si>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</si>
  <si>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</si>
  <si>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</si>
  <si>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</si>
  <si>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</si>
  <si>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</si>
  <si>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</si>
  <si>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</si>
  <si>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</si>
  <si>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</si>
  <si>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</si>
  <si>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</si>
  <si>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</si>
  <si>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</si>
  <si>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</si>
  <si>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</si>
  <si>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</si>
  <si>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</si>
  <si>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</si>
  <si>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</si>
  <si>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</si>
  <si>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</si>
  <si>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</si>
  <si>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</si>
  <si>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</si>
  <si>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</si>
  <si>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</si>
  <si>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</si>
  <si>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</si>
  <si>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</si>
  <si>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</si>
  <si>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</si>
  <si>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</si>
  <si>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</si>
  <si>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</si>
  <si>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</si>
  <si>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</si>
  <si>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</si>
  <si>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</si>
  <si>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</si>
  <si>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</si>
  <si>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</si>
  <si>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</si>
  <si>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</si>
  <si>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</si>
  <si>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</si>
  <si>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</si>
  <si>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</si>
  <si>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</si>
  <si>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</si>
  <si>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</si>
  <si>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</si>
  <si>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</si>
  <si>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</si>
  <si>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</si>
  <si>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</si>
  <si>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</si>
  <si>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</si>
  <si>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</si>
  <si>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</si>
  <si>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</si>
  <si>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</si>
  <si>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</si>
  <si>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</si>
  <si>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</si>
  <si>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</si>
  <si>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</si>
  <si>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</si>
  <si>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</si>
  <si>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</si>
  <si>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</si>
  <si>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</si>
  <si>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</si>
  <si>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</si>
  <si>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</si>
  <si>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</si>
  <si>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</si>
  <si>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</si>
  <si>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</si>
  <si>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</si>
  <si>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</si>
  <si>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</si>
  <si>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</si>
  <si>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</si>
  <si>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</si>
  <si>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</si>
  <si>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</si>
  <si>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</si>
  <si>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</si>
  <si>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</si>
  <si>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</si>
  <si>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</si>
  <si>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</si>
  <si>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</si>
  <si>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</si>
  <si>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</si>
  <si>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</si>
  <si>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</si>
  <si>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</si>
  <si>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</si>
  <si>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</si>
  <si>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</si>
  <si>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</si>
  <si>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</si>
  <si>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</si>
  <si>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</si>
  <si>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</si>
  <si>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</si>
  <si>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</si>
  <si>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</si>
  <si>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</si>
  <si>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</si>
  <si>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</si>
  <si>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</si>
  <si>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</si>
  <si>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</si>
  <si>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</si>
  <si>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</si>
  <si>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</si>
  <si>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</si>
  <si>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</si>
  <si>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</si>
  <si>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</si>
  <si>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</si>
  <si>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</si>
  <si>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</si>
  <si>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</si>
  <si>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</si>
  <si>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</si>
  <si>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</si>
  <si>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</si>
  <si>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</si>
  <si>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</si>
  <si>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</si>
  <si>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</si>
  <si>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</si>
  <si>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</si>
  <si>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</si>
  <si>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</si>
  <si>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</si>
  <si>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</si>
  <si>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</si>
  <si>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</si>
  <si>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</si>
  <si>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</si>
  <si>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</si>
  <si>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</si>
  <si>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</si>
  <si>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</si>
  <si>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</si>
  <si>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</si>
  <si>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</si>
  <si>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</si>
  <si>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</si>
  <si>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</si>
  <si>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</si>
  <si>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</si>
  <si>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</si>
  <si>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</si>
  <si>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</si>
  <si>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</si>
  <si>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</si>
  <si>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</si>
  <si>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</si>
  <si>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</si>
  <si>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</si>
  <si>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</si>
  <si>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</si>
  <si>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</si>
  <si>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</si>
  <si>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</si>
  <si>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</si>
  <si>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</si>
  <si>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</si>
  <si>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</si>
  <si>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</si>
  <si>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</si>
  <si>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</si>
  <si>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</si>
  <si>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</si>
  <si>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</si>
  <si>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</si>
  <si>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</si>
  <si>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</si>
  <si>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</si>
  <si>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</si>
  <si>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</si>
  <si>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</si>
  <si>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</si>
  <si>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</si>
  <si>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</si>
  <si>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</si>
  <si>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</si>
  <si>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</si>
  <si>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</si>
  <si>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</si>
  <si>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</si>
  <si>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</si>
  <si>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</si>
  <si>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</si>
  <si>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</si>
  <si>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</si>
  <si>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</si>
  <si>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</si>
  <si>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</si>
  <si>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</si>
  <si>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</si>
  <si>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</si>
  <si>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</si>
  <si>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</si>
  <si>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</si>
  <si>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</si>
  <si>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</si>
  <si>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</si>
  <si>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</si>
  <si>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</si>
  <si>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</si>
  <si>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</si>
  <si>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</si>
  <si>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</si>
  <si>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</si>
  <si>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</si>
  <si>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</si>
  <si>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</si>
  <si>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</si>
  <si>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</si>
  <si>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</si>
  <si>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</si>
  <si>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</si>
  <si>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</si>
  <si>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</si>
  <si>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</si>
  <si>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</si>
  <si>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</si>
  <si>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</si>
  <si>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</si>
  <si>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</si>
  <si>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</si>
  <si>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</si>
  <si>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</si>
  <si>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</si>
  <si>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</si>
  <si>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</si>
  <si>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</si>
  <si>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</si>
  <si>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</si>
  <si>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</si>
  <si>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</si>
  <si>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</si>
  <si>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</si>
  <si>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</si>
  <si>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</si>
  <si>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</si>
  <si>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</si>
  <si>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</si>
  <si>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</si>
  <si>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</si>
  <si>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</si>
  <si>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</si>
  <si>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</si>
  <si>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</si>
  <si>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</si>
  <si>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</si>
  <si>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</si>
  <si>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</si>
  <si>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</si>
  <si>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</si>
  <si>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</si>
  <si>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</si>
  <si>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</si>
  <si>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</si>
  <si>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</si>
  <si>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</si>
  <si>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</si>
  <si>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</si>
  <si>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</si>
  <si>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</si>
  <si>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</si>
  <si>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</si>
  <si>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</si>
  <si>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</si>
  <si>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</si>
  <si>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</si>
  <si>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</si>
  <si>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</si>
  <si>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</si>
  <si>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</si>
  <si>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</si>
  <si>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</si>
  <si>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</si>
  <si>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</si>
  <si>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</si>
  <si>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</si>
  <si>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</si>
  <si>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</si>
  <si>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</si>
  <si>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</si>
  <si>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</si>
  <si>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</si>
  <si>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</si>
  <si>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</si>
  <si>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</si>
  <si>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</si>
  <si>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</si>
  <si>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</si>
  <si>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</si>
  <si>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</si>
  <si>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</si>
  <si>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</si>
  <si>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</si>
  <si>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</si>
  <si>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</si>
  <si>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</si>
  <si>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</si>
  <si>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</si>
  <si>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</si>
  <si>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</si>
  <si>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</si>
  <si>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</si>
  <si>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</si>
  <si>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</si>
  <si>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</si>
  <si>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</si>
  <si>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</si>
  <si>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</si>
  <si>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</si>
  <si>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</si>
  <si>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</si>
  <si>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</si>
  <si>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</si>
  <si>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</si>
  <si>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</si>
  <si>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</si>
  <si>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</si>
  <si>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</si>
  <si>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</si>
  <si>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</si>
  <si>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</si>
  <si>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</si>
  <si>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</si>
  <si>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</si>
  <si>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</si>
  <si>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</si>
  <si>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</si>
  <si>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</si>
  <si>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</si>
  <si>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</si>
  <si>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</si>
  <si>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</si>
  <si>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</si>
  <si>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</si>
  <si>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</si>
  <si>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</si>
  <si>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</si>
  <si>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</si>
  <si>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</si>
  <si>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</si>
  <si>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</si>
  <si>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</si>
  <si>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</si>
  <si>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</si>
  <si>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</si>
  <si>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</si>
  <si>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</si>
  <si>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</si>
  <si>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</si>
  <si>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</si>
  <si>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</si>
  <si>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</si>
  <si>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</si>
  <si>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</si>
  <si>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</si>
  <si>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</si>
  <si>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</si>
  <si>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</si>
  <si>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</si>
  <si>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</si>
  <si>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</si>
  <si>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</si>
  <si>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</si>
  <si>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</si>
  <si>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</si>
  <si>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</si>
  <si>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</si>
  <si>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</si>
  <si>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</si>
  <si>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</si>
  <si>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</si>
  <si>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</si>
  <si>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</si>
  <si>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</si>
  <si>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</si>
  <si>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</si>
  <si>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</si>
  <si>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</si>
  <si>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</si>
  <si>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</si>
  <si>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</si>
  <si>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</si>
  <si>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</si>
  <si>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</si>
  <si>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</si>
  <si>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</si>
  <si>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</si>
  <si>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</si>
  <si>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</si>
  <si>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</si>
  <si>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</si>
  <si>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</si>
  <si>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</si>
  <si>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</si>
  <si>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</si>
  <si>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</si>
  <si>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</si>
  <si>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</si>
  <si>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</si>
  <si>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</si>
  <si>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</si>
  <si>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</si>
  <si>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</si>
  <si>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</si>
  <si>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</si>
  <si>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</si>
  <si>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</si>
  <si>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</si>
  <si>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</si>
  <si>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</si>
  <si>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</si>
  <si>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</si>
  <si>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</si>
  <si>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</si>
  <si>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</si>
  <si>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</si>
  <si>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</si>
  <si>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</si>
  <si>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</si>
  <si>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</si>
  <si>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</si>
  <si>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</si>
  <si>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</si>
  <si>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</si>
  <si>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</si>
  <si>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</si>
  <si>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</si>
  <si>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</si>
  <si>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</si>
  <si>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</si>
  <si>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</si>
  <si>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</si>
  <si>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</si>
  <si>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</si>
  <si>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</si>
  <si>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</si>
  <si>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</si>
  <si>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</si>
  <si>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</si>
  <si>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</si>
  <si>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</si>
  <si>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</si>
  <si>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</si>
  <si>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</si>
  <si>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</si>
  <si>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</si>
  <si>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</si>
  <si>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</si>
  <si>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</si>
  <si>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</si>
  <si>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</si>
  <si>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</si>
  <si>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</si>
  <si>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</si>
  <si>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</si>
  <si>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</si>
  <si>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</si>
  <si>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</si>
  <si>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</si>
  <si>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</si>
  <si>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</si>
  <si>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</si>
  <si>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</si>
  <si>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</si>
  <si>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</si>
  <si>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</si>
  <si>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</si>
  <si>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</si>
  <si>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</si>
  <si>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</si>
  <si>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</si>
  <si>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</si>
  <si>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</si>
  <si>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</si>
  <si>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</si>
  <si>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</si>
  <si>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</si>
  <si>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</si>
  <si>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</si>
  <si>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</si>
  <si>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</si>
  <si>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</si>
  <si>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</si>
  <si>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</si>
  <si>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</si>
  <si>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</si>
  <si>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</si>
  <si>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</si>
  <si>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</si>
  <si>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</si>
  <si>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</si>
  <si>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</si>
  <si>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</si>
  <si>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</si>
  <si>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</si>
  <si>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</si>
  <si>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</si>
  <si>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</si>
  <si>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</si>
  <si>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</si>
  <si>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</si>
  <si>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</si>
  <si>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</si>
  <si>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</si>
  <si>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</si>
  <si>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</si>
  <si>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</si>
  <si>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</si>
  <si>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</si>
  <si>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</si>
  <si>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</si>
  <si>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</si>
  <si>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</si>
  <si>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</si>
  <si>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</si>
  <si>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</si>
  <si>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</si>
  <si>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</si>
  <si>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</si>
  <si>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</si>
  <si>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</si>
  <si>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</si>
  <si>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</si>
  <si>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</si>
  <si>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</si>
  <si>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</si>
  <si>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</si>
  <si>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</si>
  <si>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</si>
  <si>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</si>
  <si>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</si>
  <si>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</si>
  <si>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</si>
  <si>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</si>
  <si>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</si>
  <si>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</si>
  <si>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</si>
  <si>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</si>
  <si>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</si>
  <si>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</si>
  <si>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</si>
  <si>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</si>
  <si>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</si>
  <si>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</si>
  <si>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</si>
  <si>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</si>
  <si>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</si>
  <si>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</si>
  <si>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</si>
  <si>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</si>
  <si>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</si>
  <si>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</si>
  <si>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</si>
  <si>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</si>
  <si>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</si>
  <si>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</si>
  <si>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</si>
  <si>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</si>
  <si>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</si>
  <si>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</si>
  <si>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</si>
  <si>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</si>
  <si>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</si>
  <si>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</si>
  <si>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</si>
  <si>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</si>
  <si>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</si>
  <si>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</si>
  <si>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</si>
  <si>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</si>
  <si>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</si>
  <si>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</si>
  <si>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</si>
  <si>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</si>
  <si>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</si>
  <si>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</si>
  <si>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</si>
  <si>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</si>
  <si>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</si>
  <si>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</si>
  <si>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</si>
  <si>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</si>
  <si>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</si>
  <si>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</si>
  <si>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</si>
  <si>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</si>
  <si>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</si>
  <si>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</si>
  <si>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</si>
  <si>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</si>
  <si>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</si>
  <si>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</si>
  <si>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</si>
  <si>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</si>
  <si>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</si>
  <si>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</si>
  <si>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</si>
  <si>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</si>
  <si>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</si>
  <si>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</si>
  <si>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</si>
  <si>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</si>
  <si>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</si>
  <si>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</si>
  <si>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</si>
  <si>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</si>
  <si>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</si>
  <si>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</si>
  <si>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</si>
  <si>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</si>
  <si>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</si>
  <si>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</si>
  <si>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</si>
  <si>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</si>
  <si>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</si>
  <si>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</si>
  <si>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</si>
  <si>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</si>
  <si>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</si>
  <si>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</si>
  <si>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</si>
  <si>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</si>
  <si>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</si>
  <si>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</si>
  <si>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</si>
  <si>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</si>
  <si>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</si>
  <si>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</si>
  <si>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</si>
  <si>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</si>
  <si>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</si>
  <si>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</si>
  <si>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</si>
  <si>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</si>
  <si>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</si>
  <si>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</si>
  <si>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</si>
  <si>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</si>
  <si>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</si>
  <si>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</si>
  <si>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</si>
  <si>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</si>
  <si>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</si>
  <si>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</si>
  <si>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</si>
  <si>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</si>
  <si>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</si>
  <si>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</si>
  <si>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</si>
  <si>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</si>
  <si>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</si>
  <si>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</si>
  <si>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</si>
  <si>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</si>
  <si>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</si>
  <si>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</si>
  <si>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</si>
  <si>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</si>
  <si>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</si>
  <si>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</si>
  <si>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</si>
  <si>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High Speed Rail Authority</t>
  </si>
  <si>
    <t>3228, 6043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</si>
</sst>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82">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workbookViewId="0"/>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workbookViewId="0">
      <selection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8DF4E-11B0-4042-8904-518EF5BE5B73}">
  <sheetPr>
    <tabColor theme="9" tint="0.59999389629810485"/>
    <pageSetUpPr fitToPage="1"/>
  </sheetPr>
  <dimension ref="A1:T193"/>
  <sheetViews>
    <sheetView tabSelected="1" zoomScale="85" zoomScaleNormal="85" workbookViewId="0">
      <selection activeCell="P79" sqref="P7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2" t="s">
        <v>1660</v>
      </c>
      <c r="B1" s="262"/>
      <c r="C1" s="262"/>
      <c r="D1" s="262"/>
      <c r="E1" s="262"/>
      <c r="F1" s="262"/>
      <c r="G1" s="262"/>
      <c r="H1" s="262"/>
      <c r="I1" s="262"/>
      <c r="J1" s="262"/>
      <c r="K1" s="262"/>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3" t="s">
        <v>24</v>
      </c>
      <c r="G3" s="263"/>
      <c r="H3" s="263"/>
      <c r="I3" s="263"/>
    </row>
    <row r="4" spans="1:20" ht="16.5" customHeight="1" x14ac:dyDescent="0.2">
      <c r="A4" s="260" t="s">
        <v>208</v>
      </c>
      <c r="B4" s="260"/>
      <c r="C4" s="260"/>
      <c r="D4" s="260"/>
      <c r="E4" s="260"/>
      <c r="F4" s="261" t="s">
        <v>1803</v>
      </c>
      <c r="G4" s="261"/>
      <c r="H4" s="261"/>
      <c r="I4" s="261"/>
    </row>
    <row r="5" spans="1:20" ht="16.5" customHeight="1" x14ac:dyDescent="0.2">
      <c r="A5" s="260" t="s">
        <v>1639</v>
      </c>
      <c r="B5" s="260"/>
      <c r="C5" s="260"/>
      <c r="D5" s="260"/>
      <c r="E5" s="260"/>
      <c r="F5" s="261" t="s">
        <v>702</v>
      </c>
      <c r="G5" s="261"/>
      <c r="H5" s="261"/>
      <c r="I5" s="261"/>
      <c r="L5" s="39"/>
      <c r="M5" s="39"/>
      <c r="N5" s="39"/>
      <c r="O5" s="39"/>
      <c r="P5" s="39"/>
      <c r="Q5" s="39"/>
    </row>
    <row r="6" spans="1:20" ht="16.5" customHeight="1" x14ac:dyDescent="0.25">
      <c r="A6" s="260" t="s">
        <v>1682</v>
      </c>
      <c r="B6" s="260"/>
      <c r="C6" s="260"/>
      <c r="D6" s="260"/>
      <c r="E6" s="260"/>
      <c r="F6" s="264">
        <v>3228</v>
      </c>
      <c r="G6" s="264"/>
      <c r="H6" s="264"/>
      <c r="I6" s="264"/>
      <c r="L6" s="40"/>
      <c r="M6" s="40"/>
      <c r="N6" s="40"/>
      <c r="O6" s="40"/>
      <c r="P6" s="39"/>
      <c r="Q6" s="39"/>
    </row>
    <row r="7" spans="1:20" ht="16.5" customHeight="1" x14ac:dyDescent="0.25">
      <c r="A7" s="260" t="s">
        <v>3</v>
      </c>
      <c r="B7" s="260"/>
      <c r="C7" s="260"/>
      <c r="D7" s="260"/>
      <c r="E7" s="260"/>
      <c r="F7" s="264" t="s">
        <v>123</v>
      </c>
      <c r="G7" s="264"/>
      <c r="H7" s="264"/>
      <c r="I7" s="264"/>
      <c r="K7" s="96"/>
      <c r="L7" s="40"/>
      <c r="M7" s="40"/>
      <c r="N7" s="40"/>
      <c r="O7" s="40"/>
      <c r="P7" s="39"/>
      <c r="Q7" s="39"/>
    </row>
    <row r="8" spans="1:20" ht="16.5" customHeight="1" x14ac:dyDescent="0.25">
      <c r="A8" s="260" t="s">
        <v>1640</v>
      </c>
      <c r="B8" s="260"/>
      <c r="C8" s="260"/>
      <c r="D8" s="260"/>
      <c r="E8" s="260"/>
      <c r="F8" s="264" t="s">
        <v>164</v>
      </c>
      <c r="G8" s="264"/>
      <c r="H8" s="264"/>
      <c r="I8" s="264"/>
      <c r="K8" s="96"/>
      <c r="L8" s="40"/>
      <c r="M8" s="40"/>
      <c r="N8" s="40"/>
      <c r="O8" s="40"/>
      <c r="P8" s="39"/>
      <c r="Q8" s="39"/>
    </row>
    <row r="9" spans="1:20" ht="16.5" customHeight="1" x14ac:dyDescent="0.25">
      <c r="A9" s="260" t="s">
        <v>1638</v>
      </c>
      <c r="B9" s="260"/>
      <c r="C9" s="260"/>
      <c r="D9" s="260"/>
      <c r="E9" s="260"/>
      <c r="F9" s="265" t="str">
        <f>IFERROR(IF(F7="Proprietary","Proprietary Fund",VLOOKUP(F5,qryIndex02a!$A$2:$K$654,4,FALSE)),"Unidentified")</f>
        <v>TRANSPORTATION</v>
      </c>
      <c r="G9" s="265"/>
      <c r="H9" s="265"/>
      <c r="I9" s="265"/>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6" t="s">
        <v>1672</v>
      </c>
      <c r="N14" s="267"/>
      <c r="O14" s="188"/>
      <c r="P14" s="266" t="s">
        <v>1667</v>
      </c>
      <c r="Q14" s="267"/>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2461268</v>
      </c>
      <c r="M17" s="196">
        <v>2461268</v>
      </c>
      <c r="P17" s="196">
        <v>115288</v>
      </c>
      <c r="Q17" s="224"/>
      <c r="S17" s="223">
        <f t="shared" si="0"/>
        <v>-2345980</v>
      </c>
      <c r="T17" s="251" t="s">
        <v>1760</v>
      </c>
    </row>
    <row r="18" spans="1:20" ht="16.5" customHeight="1" x14ac:dyDescent="0.25">
      <c r="A18" s="99"/>
      <c r="B18" s="26" t="s">
        <v>178</v>
      </c>
      <c r="C18" s="26"/>
      <c r="D18" s="26"/>
      <c r="E18" s="193"/>
      <c r="F18" s="194"/>
      <c r="G18" s="194"/>
      <c r="H18" s="195"/>
      <c r="I18" s="195"/>
      <c r="J18" s="248">
        <f>P18</f>
        <v>48109</v>
      </c>
      <c r="M18" s="196">
        <v>75028</v>
      </c>
      <c r="P18" s="221">
        <f>IF(SUM($Q$20:$Q$23)&gt;SUM($P$15:$P$17),SUM($Q$20:$Q$23)-SUM($P$15:$P$17),0)</f>
        <v>48109</v>
      </c>
      <c r="Q18" s="224"/>
      <c r="S18" s="223">
        <f t="shared" si="0"/>
        <v>-26919</v>
      </c>
      <c r="T18" s="250" t="s">
        <v>1730</v>
      </c>
    </row>
    <row r="19" spans="1:20" ht="16.5" customHeight="1" x14ac:dyDescent="0.25">
      <c r="A19" s="99"/>
      <c r="B19" s="26" t="s">
        <v>179</v>
      </c>
      <c r="C19" s="26"/>
      <c r="D19" s="26"/>
      <c r="E19" s="193"/>
      <c r="F19" s="194"/>
      <c r="G19" s="194"/>
      <c r="H19" s="195"/>
      <c r="I19" s="195"/>
      <c r="J19" s="248">
        <f>IF(SUM($K$20:$K$24)&gt;SUM($J$15:$J$18),SUM($K$20:$K$24)-SUM($J$15:$J$18),0)</f>
        <v>26919</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630043</v>
      </c>
      <c r="N22" s="196">
        <v>630043</v>
      </c>
      <c r="P22" s="224"/>
      <c r="Q22" s="196">
        <v>157551</v>
      </c>
      <c r="S22" s="223">
        <f t="shared" ref="S22:S25" si="1">Q22-N22</f>
        <v>-472492</v>
      </c>
      <c r="T22" s="250" t="s">
        <v>1730</v>
      </c>
    </row>
    <row r="23" spans="1:20" ht="16.5" customHeight="1" x14ac:dyDescent="0.25">
      <c r="A23" s="234" t="s">
        <v>1697</v>
      </c>
      <c r="B23" s="26"/>
      <c r="C23" s="26" t="s">
        <v>183</v>
      </c>
      <c r="D23" s="26"/>
      <c r="E23" s="193"/>
      <c r="F23" s="194"/>
      <c r="G23" s="194"/>
      <c r="H23" s="195"/>
      <c r="I23" s="195"/>
      <c r="J23" s="213"/>
      <c r="K23" s="248">
        <f>N23</f>
        <v>1906253</v>
      </c>
      <c r="N23" s="196">
        <v>1906253</v>
      </c>
      <c r="P23" s="224"/>
      <c r="Q23" s="196">
        <v>5846</v>
      </c>
      <c r="S23" s="223">
        <f t="shared" si="1"/>
        <v>-1900407</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2536296</v>
      </c>
      <c r="K26" s="155">
        <f>SUM(K15:K25)</f>
        <v>2536296</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v>7283570</v>
      </c>
      <c r="K33" s="197"/>
    </row>
    <row r="34" spans="1:12" ht="16.5" customHeight="1" x14ac:dyDescent="0.25">
      <c r="A34" s="99"/>
      <c r="B34" s="26"/>
      <c r="C34" s="26" t="s">
        <v>1745</v>
      </c>
      <c r="D34" s="193"/>
      <c r="E34" s="193"/>
      <c r="F34" s="194"/>
      <c r="G34" s="194"/>
      <c r="H34" s="195"/>
      <c r="I34" s="195"/>
      <c r="J34" s="197"/>
      <c r="K34" s="196">
        <v>6581939</v>
      </c>
    </row>
    <row r="35" spans="1:12" ht="16.5" customHeight="1" x14ac:dyDescent="0.25">
      <c r="A35" s="99"/>
      <c r="B35" s="26"/>
      <c r="C35" s="26" t="str">
        <f>IF($F$7="Proprietary","Cr: Acct 0870 - SERVICES &amp; CHARGES (MG ADJ)",VLOOKUP($F$9,'Drop Down Menus'!$F$2:$G$10,2,FALSE))</f>
        <v>Cr: Acct 0830 - TRANSPORTATION (GAAP ADJ)</v>
      </c>
      <c r="D35" s="193"/>
      <c r="E35" s="193"/>
      <c r="F35" s="194"/>
      <c r="G35" s="194"/>
      <c r="H35" s="195"/>
      <c r="I35" s="195"/>
      <c r="J35" s="197"/>
      <c r="K35" s="196">
        <v>701631</v>
      </c>
    </row>
    <row r="36" spans="1:12" ht="16.5" customHeight="1" x14ac:dyDescent="0.25">
      <c r="A36" s="99"/>
      <c r="C36" s="43"/>
      <c r="D36" s="43"/>
      <c r="E36" s="43"/>
      <c r="F36" s="44"/>
      <c r="G36" s="44"/>
      <c r="H36" s="45"/>
      <c r="I36" s="45"/>
      <c r="J36" s="155">
        <f>SUM(J33:J35)</f>
        <v>7283570</v>
      </c>
      <c r="K36" s="155">
        <f>SUM(K33:K35)</f>
        <v>7283570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v>7283570</v>
      </c>
      <c r="K41" s="197"/>
    </row>
    <row r="42" spans="1:12" ht="16.5" customHeight="1" x14ac:dyDescent="0.25">
      <c r="A42" s="99"/>
      <c r="B42" s="26"/>
      <c r="C42" s="26" t="s">
        <v>197</v>
      </c>
      <c r="D42" s="193"/>
      <c r="E42" s="193"/>
      <c r="F42" s="194"/>
      <c r="G42" s="194"/>
      <c r="H42" s="195"/>
      <c r="I42" s="195"/>
      <c r="J42" s="197"/>
      <c r="K42" s="196">
        <v>7283570</v>
      </c>
    </row>
    <row r="43" spans="1:12" ht="16.5" customHeight="1" x14ac:dyDescent="0.25">
      <c r="A43" s="99"/>
      <c r="B43" s="182" t="s">
        <v>1691</v>
      </c>
      <c r="C43" s="43"/>
      <c r="D43" s="43"/>
      <c r="E43" s="43"/>
      <c r="F43" s="44"/>
      <c r="G43" s="44"/>
      <c r="H43" s="45"/>
      <c r="I43" s="45"/>
      <c r="J43" s="155">
        <f>SUM(J39:J42)</f>
        <v>7283570</v>
      </c>
      <c r="K43" s="155">
        <f>SUM(K39:K42)</f>
        <v>7283570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v>6581939</v>
      </c>
      <c r="K47" s="197"/>
    </row>
    <row r="48" spans="1:12" ht="16.5" customHeight="1" x14ac:dyDescent="0.25">
      <c r="A48" s="234" t="s">
        <v>1697</v>
      </c>
      <c r="B48" s="26"/>
      <c r="C48" s="26" t="s">
        <v>183</v>
      </c>
      <c r="D48" s="193"/>
      <c r="E48" s="193"/>
      <c r="F48" s="194"/>
      <c r="G48" s="194"/>
      <c r="H48" s="195"/>
      <c r="I48" s="195"/>
      <c r="J48" s="197"/>
      <c r="K48" s="196">
        <v>6581939</v>
      </c>
    </row>
    <row r="49" spans="1:16" ht="16.5" customHeight="1" x14ac:dyDescent="0.25">
      <c r="A49" s="99"/>
      <c r="C49" s="43"/>
      <c r="D49" s="43"/>
      <c r="E49" s="43"/>
      <c r="F49" s="44"/>
      <c r="G49" s="44"/>
      <c r="H49" s="45"/>
      <c r="I49" s="45"/>
      <c r="J49" s="155">
        <f>SUM(J47:J48)</f>
        <v>6581939</v>
      </c>
      <c r="K49" s="155">
        <f>SUM(K47:K48)</f>
        <v>6581939</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2356871</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2356871</v>
      </c>
    </row>
    <row r="59" spans="1:16" ht="16.5" customHeight="1" x14ac:dyDescent="0.25">
      <c r="A59" s="99"/>
      <c r="C59" s="43"/>
      <c r="D59" s="43"/>
      <c r="E59" s="43"/>
      <c r="F59" s="44"/>
      <c r="G59" s="44"/>
      <c r="H59" s="45"/>
      <c r="I59" s="45"/>
      <c r="J59" s="155">
        <f>SUM(J55:J58)</f>
        <v>2356871</v>
      </c>
      <c r="K59" s="155">
        <f>SUM(K55:K58)</f>
        <v>2356871</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2225937</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150788</v>
      </c>
      <c r="K63" s="200"/>
    </row>
    <row r="64" spans="1:16" ht="16.5" customHeight="1" x14ac:dyDescent="0.25">
      <c r="A64" s="99"/>
      <c r="B64" s="26"/>
      <c r="C64" s="26" t="str">
        <f>IF($F$7="Proprietary","Cr: Acct 0870 - SERVICES &amp; CHARGES (MG ADJ)",VLOOKUP($F$9,'Drop Down Menus'!$F$2:$G$10,2,FALSE))</f>
        <v>Cr: Acct 0830 - TRANSPORTATION (GAAP ADJ)</v>
      </c>
      <c r="D64" s="193"/>
      <c r="E64" s="193"/>
      <c r="F64" s="194"/>
      <c r="G64" s="194"/>
      <c r="H64" s="195"/>
      <c r="I64" s="195"/>
      <c r="J64" s="200"/>
      <c r="K64" s="196">
        <v>2376725</v>
      </c>
    </row>
    <row r="65" spans="1:12" ht="16.5" customHeight="1" x14ac:dyDescent="0.25">
      <c r="A65" s="99"/>
      <c r="C65" s="43"/>
      <c r="D65" s="43"/>
      <c r="E65" s="43"/>
      <c r="F65" s="44"/>
      <c r="G65" s="44"/>
      <c r="H65" s="45"/>
      <c r="I65" s="45"/>
      <c r="J65" s="155">
        <f>SUM(J62:J64)</f>
        <v>2376725</v>
      </c>
      <c r="K65" s="155">
        <f>SUM(K62:K64)</f>
        <v>2376725</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2225937</v>
      </c>
      <c r="K68" s="197"/>
    </row>
    <row r="69" spans="1:12" ht="16.5" customHeight="1" x14ac:dyDescent="0.25">
      <c r="A69" s="99"/>
      <c r="B69" s="26"/>
      <c r="C69" s="26" t="s">
        <v>202</v>
      </c>
      <c r="D69" s="193"/>
      <c r="E69" s="193"/>
      <c r="F69" s="194"/>
      <c r="G69" s="194"/>
      <c r="H69" s="195"/>
      <c r="I69" s="195"/>
      <c r="J69" s="197"/>
      <c r="K69" s="196">
        <v>2225937</v>
      </c>
      <c r="L69" s="37" t="str">
        <f>IF($J$62=$K$69,"","&lt;- Accts 0848 must agree")</f>
        <v/>
      </c>
    </row>
    <row r="70" spans="1:12" ht="16.5" customHeight="1" x14ac:dyDescent="0.25">
      <c r="A70" s="99"/>
      <c r="C70" s="43"/>
      <c r="D70" s="43"/>
      <c r="E70" s="43"/>
      <c r="F70" s="44"/>
      <c r="G70" s="44"/>
      <c r="H70" s="45"/>
      <c r="I70" s="45"/>
      <c r="J70" s="155">
        <f>SUM(J68:J69)</f>
        <v>2225937</v>
      </c>
      <c r="K70" s="155">
        <f>SUM(K68:K69)</f>
        <v>2225937</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2475445</v>
      </c>
      <c r="K75" s="197"/>
    </row>
    <row r="76" spans="1:12" ht="16.5" customHeight="1" x14ac:dyDescent="0.25">
      <c r="A76" s="99"/>
      <c r="B76" s="26"/>
      <c r="C76" s="26" t="s">
        <v>210</v>
      </c>
      <c r="D76" s="193"/>
      <c r="E76" s="193"/>
      <c r="F76" s="194"/>
      <c r="G76" s="194"/>
      <c r="H76" s="195"/>
      <c r="I76" s="195"/>
      <c r="J76" s="197"/>
      <c r="K76" s="196">
        <v>2475445</v>
      </c>
    </row>
    <row r="77" spans="1:12" ht="16.5" customHeight="1" x14ac:dyDescent="0.2">
      <c r="A77" s="99"/>
      <c r="B77" s="268" t="s">
        <v>1737</v>
      </c>
      <c r="C77" s="268"/>
      <c r="D77" s="268"/>
      <c r="E77" s="268"/>
      <c r="F77" s="268"/>
      <c r="G77" s="268"/>
      <c r="H77" s="268"/>
      <c r="I77" s="268"/>
      <c r="J77" s="155">
        <f>SUM(J75:J76)</f>
        <v>2475445</v>
      </c>
      <c r="K77" s="155">
        <f>SUM(K75:K76)</f>
        <v>2475445</v>
      </c>
      <c r="L77" s="53" t="str">
        <f>IF(J77=K77,"&lt;- Debits and Credits equal each other.","&lt;- Debits and Credits do not equal each other.")</f>
        <v>&lt;- Debits and Credits equal each other.</v>
      </c>
    </row>
    <row r="78" spans="1:12" ht="16.5" customHeight="1" x14ac:dyDescent="0.2">
      <c r="A78" s="99"/>
      <c r="B78" s="268"/>
      <c r="C78" s="268"/>
      <c r="D78" s="268"/>
      <c r="E78" s="268"/>
      <c r="F78" s="268"/>
      <c r="G78" s="268"/>
      <c r="H78" s="268"/>
      <c r="I78" s="268"/>
      <c r="J78" s="155"/>
      <c r="K78" s="155"/>
      <c r="L78" s="21"/>
    </row>
    <row r="79" spans="1:12" ht="24.6" customHeight="1" x14ac:dyDescent="0.2">
      <c r="A79" s="99"/>
      <c r="B79" s="268"/>
      <c r="C79" s="268"/>
      <c r="D79" s="268"/>
      <c r="E79" s="268"/>
      <c r="F79" s="268"/>
      <c r="G79" s="268"/>
      <c r="H79" s="268"/>
      <c r="I79" s="268"/>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0830 - TRANSPORTATION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0830 - TRANSPORTATION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v>432156</v>
      </c>
      <c r="K112" s="53"/>
    </row>
    <row r="113" spans="1:12" ht="16.5" customHeight="1" x14ac:dyDescent="0.2">
      <c r="A113" s="234" t="s">
        <v>1697</v>
      </c>
      <c r="B113" s="26"/>
      <c r="C113" s="26" t="s">
        <v>183</v>
      </c>
      <c r="D113" s="20"/>
      <c r="E113" s="53"/>
      <c r="F113" s="53"/>
      <c r="G113" s="53"/>
      <c r="H113" s="53"/>
      <c r="I113" s="53"/>
      <c r="J113" s="53"/>
      <c r="K113" s="196">
        <v>432156</v>
      </c>
    </row>
    <row r="114" spans="1:12" ht="16.5" customHeight="1" x14ac:dyDescent="0.25">
      <c r="A114" s="15"/>
      <c r="B114" s="182" t="s">
        <v>1691</v>
      </c>
      <c r="C114" s="166"/>
      <c r="D114" s="166"/>
      <c r="H114" s="37"/>
      <c r="J114" s="156">
        <f>SUM(J110:J113)</f>
        <v>432156</v>
      </c>
      <c r="K114" s="156">
        <f>SUM(K110:K113)</f>
        <v>432156</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10176994</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-2986914</v>
      </c>
    </row>
    <row r="128" spans="1:12" ht="16.5" customHeight="1" x14ac:dyDescent="0.25">
      <c r="D128" s="193" t="s">
        <v>1708</v>
      </c>
      <c r="H128" s="37"/>
      <c r="K128" s="238">
        <f>-K23-K48+J68+J75+J96-K113</f>
        <v>-4218966</v>
      </c>
    </row>
    <row r="129" spans="4:11" ht="16.5" customHeight="1" x14ac:dyDescent="0.25">
      <c r="D129" s="193" t="s">
        <v>1709</v>
      </c>
      <c r="H129" s="37"/>
      <c r="K129" s="238">
        <f>-K76</f>
        <v>-2475445</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81" priority="12">
      <formula>$J$62&lt;&gt;$K$69</formula>
    </cfRule>
  </conditionalFormatting>
  <conditionalFormatting sqref="L26:P26">
    <cfRule type="expression" dxfId="80" priority="1">
      <formula>$J$26&lt;&gt;$K$26</formula>
    </cfRule>
  </conditionalFormatting>
  <conditionalFormatting sqref="L36:P36">
    <cfRule type="expression" dxfId="79" priority="2">
      <formula>$J$36&lt;&gt;$K$36</formula>
    </cfRule>
  </conditionalFormatting>
  <conditionalFormatting sqref="L43:P43">
    <cfRule type="expression" dxfId="78" priority="3">
      <formula>$J$43&lt;&gt;$K$43</formula>
    </cfRule>
  </conditionalFormatting>
  <conditionalFormatting sqref="L49:P49">
    <cfRule type="expression" dxfId="77" priority="4">
      <formula>$J$49&lt;&gt;$K$49</formula>
    </cfRule>
  </conditionalFormatting>
  <conditionalFormatting sqref="L59:P59">
    <cfRule type="expression" dxfId="76" priority="5">
      <formula>$J$59&lt;&gt;$K$59</formula>
    </cfRule>
  </conditionalFormatting>
  <conditionalFormatting sqref="L65:P65">
    <cfRule type="expression" dxfId="75" priority="6">
      <formula>$J$65&lt;&gt;$K$65</formula>
    </cfRule>
  </conditionalFormatting>
  <conditionalFormatting sqref="L70:P70">
    <cfRule type="expression" dxfId="74" priority="7">
      <formula>$J$70&lt;&gt;$K$70</formula>
    </cfRule>
  </conditionalFormatting>
  <conditionalFormatting sqref="L77:P77">
    <cfRule type="expression" dxfId="73" priority="8">
      <formula>$J$77&lt;&gt;$K$77</formula>
    </cfRule>
  </conditionalFormatting>
  <conditionalFormatting sqref="L91:P91">
    <cfRule type="expression" dxfId="72" priority="9">
      <formula>$J$91&lt;&gt;$K$91</formula>
    </cfRule>
  </conditionalFormatting>
  <conditionalFormatting sqref="L105:P105">
    <cfRule type="expression" dxfId="71" priority="10">
      <formula>$J$105&lt;&gt;$K$105</formula>
    </cfRule>
  </conditionalFormatting>
  <conditionalFormatting sqref="L114:P114">
    <cfRule type="expression" dxfId="70" priority="11">
      <formula>$J$114&lt;&gt;$K$114</formula>
    </cfRule>
  </conditionalFormatting>
  <dataValidations count="3">
    <dataValidation type="textLength" operator="equal" allowBlank="1" showInputMessage="1" showErrorMessage="1" errorTitle="4-Digit Org Code" error="Enter the Org Code/BU as 4 digits." sqref="F5" xr:uid="{D3998E89-AA11-4021-B4C8-78D13B1CACBE}">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77477F69-7BAD-4542-8718-4536ACCE847E}">
      <formula1>0</formula1>
    </dataValidation>
    <dataValidation operator="lessThan" allowBlank="1" showInputMessage="1" showErrorMessage="1" sqref="A3:A8" xr:uid="{546F105E-CE20-4AF7-B90C-9885AC63B6EB}"/>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8F290895-38E8-444A-9110-A04AD01C8C36}">
          <x14:formula1>
            <xm:f>'Drop Down Menus'!$E$1:$E$3</xm:f>
          </x14:formula1>
          <xm:sqref>F8</xm:sqref>
        </x14:dataValidation>
        <x14:dataValidation type="list" allowBlank="1" showInputMessage="1" showErrorMessage="1" xr:uid="{8856208C-0897-4ADF-AE91-06CCB0BE4957}">
          <x14:formula1>
            <xm:f>'Drop Down Menus'!$B$1:$B$2</xm:f>
          </x14:formula1>
          <xm:sqref>F7</xm:sqref>
        </x14:dataValidation>
        <x14:dataValidation type="list" allowBlank="1" showInputMessage="1" showErrorMessage="1" xr:uid="{BE383BE1-5B60-4DB9-907A-8ECBAFFACC6E}">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7B017-F2B9-4222-BDC8-C7672B40DBBA}">
  <sheetPr>
    <tabColor theme="9" tint="0.59999389629810485"/>
    <pageSetUpPr fitToPage="1"/>
  </sheetPr>
  <dimension ref="A1:T193"/>
  <sheetViews>
    <sheetView topLeftCell="A114" workbookViewId="0">
      <selection activeCell="J97" sqref="J97"/>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2" t="s">
        <v>1660</v>
      </c>
      <c r="B1" s="262"/>
      <c r="C1" s="262"/>
      <c r="D1" s="262"/>
      <c r="E1" s="262"/>
      <c r="F1" s="262"/>
      <c r="G1" s="262"/>
      <c r="H1" s="262"/>
      <c r="I1" s="262"/>
      <c r="J1" s="262"/>
      <c r="K1" s="262"/>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3" t="s">
        <v>24</v>
      </c>
      <c r="G3" s="263"/>
      <c r="H3" s="263"/>
      <c r="I3" s="263"/>
    </row>
    <row r="4" spans="1:20" ht="16.5" customHeight="1" x14ac:dyDescent="0.2">
      <c r="A4" s="260" t="s">
        <v>208</v>
      </c>
      <c r="B4" s="260"/>
      <c r="C4" s="260"/>
      <c r="D4" s="260"/>
      <c r="E4" s="260"/>
      <c r="F4" s="261" t="s">
        <v>1803</v>
      </c>
      <c r="G4" s="261"/>
      <c r="H4" s="261"/>
      <c r="I4" s="261"/>
    </row>
    <row r="5" spans="1:20" ht="16.5" customHeight="1" x14ac:dyDescent="0.2">
      <c r="A5" s="260" t="s">
        <v>1639</v>
      </c>
      <c r="B5" s="260"/>
      <c r="C5" s="260"/>
      <c r="D5" s="260"/>
      <c r="E5" s="260"/>
      <c r="F5" s="261" t="s">
        <v>702</v>
      </c>
      <c r="G5" s="261"/>
      <c r="H5" s="261"/>
      <c r="I5" s="261"/>
      <c r="L5" s="39"/>
      <c r="M5" s="39"/>
      <c r="N5" s="39"/>
      <c r="O5" s="39"/>
      <c r="P5" s="39"/>
      <c r="Q5" s="39"/>
    </row>
    <row r="6" spans="1:20" ht="16.5" customHeight="1" x14ac:dyDescent="0.25">
      <c r="A6" s="260" t="s">
        <v>1682</v>
      </c>
      <c r="B6" s="260"/>
      <c r="C6" s="260"/>
      <c r="D6" s="260"/>
      <c r="E6" s="260"/>
      <c r="F6" s="264">
        <v>6043</v>
      </c>
      <c r="G6" s="264"/>
      <c r="H6" s="264"/>
      <c r="I6" s="264"/>
      <c r="L6" s="40"/>
      <c r="M6" s="40"/>
      <c r="N6" s="40"/>
      <c r="O6" s="40"/>
      <c r="P6" s="39"/>
      <c r="Q6" s="39"/>
    </row>
    <row r="7" spans="1:20" ht="16.5" customHeight="1" x14ac:dyDescent="0.25">
      <c r="A7" s="260" t="s">
        <v>3</v>
      </c>
      <c r="B7" s="260"/>
      <c r="C7" s="260"/>
      <c r="D7" s="260"/>
      <c r="E7" s="260"/>
      <c r="F7" s="264" t="s">
        <v>123</v>
      </c>
      <c r="G7" s="264"/>
      <c r="H7" s="264"/>
      <c r="I7" s="264"/>
      <c r="K7" s="96"/>
      <c r="L7" s="40"/>
      <c r="M7" s="40"/>
      <c r="N7" s="40"/>
      <c r="O7" s="40"/>
      <c r="P7" s="39"/>
      <c r="Q7" s="39"/>
    </row>
    <row r="8" spans="1:20" ht="16.5" customHeight="1" x14ac:dyDescent="0.25">
      <c r="A8" s="260" t="s">
        <v>1640</v>
      </c>
      <c r="B8" s="260"/>
      <c r="C8" s="260"/>
      <c r="D8" s="260"/>
      <c r="E8" s="260"/>
      <c r="F8" s="264" t="s">
        <v>164</v>
      </c>
      <c r="G8" s="264"/>
      <c r="H8" s="264"/>
      <c r="I8" s="264"/>
      <c r="K8" s="96"/>
      <c r="L8" s="40"/>
      <c r="M8" s="40"/>
      <c r="N8" s="40"/>
      <c r="O8" s="40"/>
      <c r="P8" s="39"/>
      <c r="Q8" s="39"/>
    </row>
    <row r="9" spans="1:20" ht="16.5" customHeight="1" x14ac:dyDescent="0.25">
      <c r="A9" s="260" t="s">
        <v>1638</v>
      </c>
      <c r="B9" s="260"/>
      <c r="C9" s="260"/>
      <c r="D9" s="260"/>
      <c r="E9" s="260"/>
      <c r="F9" s="265" t="str">
        <f>IFERROR(IF(F7="Proprietary","Proprietary Fund",VLOOKUP(F5,qryIndex02a!$A$2:$K$654,4,FALSE)),"Unidentified")</f>
        <v>TRANSPORTATION</v>
      </c>
      <c r="G9" s="265"/>
      <c r="H9" s="265"/>
      <c r="I9" s="265"/>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6" t="s">
        <v>1672</v>
      </c>
      <c r="N14" s="267"/>
      <c r="O14" s="188"/>
      <c r="P14" s="266" t="s">
        <v>1667</v>
      </c>
      <c r="Q14" s="267"/>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1319751</v>
      </c>
      <c r="M17" s="196">
        <v>1319751</v>
      </c>
      <c r="P17" s="196">
        <v>3665731</v>
      </c>
      <c r="Q17" s="224"/>
      <c r="S17" s="223">
        <f t="shared" si="0"/>
        <v>2345980</v>
      </c>
      <c r="T17" s="251" t="s">
        <v>1760</v>
      </c>
    </row>
    <row r="18" spans="1:20" ht="16.5" customHeight="1" x14ac:dyDescent="0.25">
      <c r="A18" s="99"/>
      <c r="B18" s="26" t="s">
        <v>178</v>
      </c>
      <c r="C18" s="26"/>
      <c r="D18" s="26"/>
      <c r="E18" s="193"/>
      <c r="F18" s="194"/>
      <c r="G18" s="194"/>
      <c r="H18" s="195"/>
      <c r="I18" s="195"/>
      <c r="J18" s="248">
        <f>P18</f>
        <v>32738</v>
      </c>
      <c r="M18" s="196"/>
      <c r="P18" s="221">
        <f>IF(SUM($Q$20:$Q$23)&gt;SUM($P$15:$P$17),SUM($Q$20:$Q$23)-SUM($P$15:$P$17),0)</f>
        <v>32738</v>
      </c>
      <c r="Q18" s="224"/>
      <c r="S18" s="223">
        <f t="shared" si="0"/>
        <v>32738</v>
      </c>
      <c r="T18" s="250" t="s">
        <v>1730</v>
      </c>
    </row>
    <row r="19" spans="1:20" ht="16.5" customHeight="1" x14ac:dyDescent="0.25">
      <c r="A19" s="99"/>
      <c r="B19" s="26" t="s">
        <v>179</v>
      </c>
      <c r="C19" s="26"/>
      <c r="D19" s="26"/>
      <c r="E19" s="193"/>
      <c r="F19" s="194"/>
      <c r="G19" s="194"/>
      <c r="H19" s="195"/>
      <c r="I19" s="195"/>
      <c r="J19" s="248">
        <f>IF(SUM($K$20:$K$24)&gt;SUM($J$15:$J$18),SUM($K$20:$K$24)-SUM($J$15:$J$18),0)</f>
        <v>0</v>
      </c>
      <c r="M19" s="196">
        <v>5819</v>
      </c>
      <c r="P19" s="224"/>
      <c r="Q19" s="224"/>
      <c r="S19" s="223">
        <f t="shared" si="0"/>
        <v>-5819</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806515</v>
      </c>
      <c r="N22" s="196">
        <v>806515</v>
      </c>
      <c r="P22" s="224"/>
      <c r="Q22" s="196">
        <v>1279006</v>
      </c>
      <c r="S22" s="223">
        <f t="shared" ref="S22:S25" si="1">Q22-N22</f>
        <v>472491</v>
      </c>
      <c r="T22" s="250" t="s">
        <v>1730</v>
      </c>
    </row>
    <row r="23" spans="1:20" ht="16.5" customHeight="1" x14ac:dyDescent="0.25">
      <c r="A23" s="234" t="s">
        <v>1697</v>
      </c>
      <c r="B23" s="26"/>
      <c r="C23" s="26" t="s">
        <v>183</v>
      </c>
      <c r="D23" s="26"/>
      <c r="E23" s="193"/>
      <c r="F23" s="194"/>
      <c r="G23" s="194"/>
      <c r="H23" s="195"/>
      <c r="I23" s="195"/>
      <c r="J23" s="213"/>
      <c r="K23" s="248">
        <f>N23</f>
        <v>519056</v>
      </c>
      <c r="N23" s="196">
        <v>519056</v>
      </c>
      <c r="P23" s="224"/>
      <c r="Q23" s="196">
        <v>2419463</v>
      </c>
      <c r="S23" s="223">
        <f t="shared" si="1"/>
        <v>1900407</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26918</v>
      </c>
      <c r="N25" s="196"/>
      <c r="P25" s="224"/>
      <c r="Q25" s="224"/>
      <c r="S25" s="223">
        <f t="shared" si="1"/>
        <v>0</v>
      </c>
      <c r="T25" s="250" t="s">
        <v>1730</v>
      </c>
    </row>
    <row r="26" spans="1:20" ht="16.5" customHeight="1" x14ac:dyDescent="0.25">
      <c r="A26" s="99"/>
      <c r="C26" s="47"/>
      <c r="D26" s="47"/>
      <c r="E26" s="47"/>
      <c r="F26" s="179"/>
      <c r="G26" s="179"/>
      <c r="H26" s="49"/>
      <c r="I26" s="49"/>
      <c r="J26" s="155">
        <f>SUM(J15:J25)</f>
        <v>1352489</v>
      </c>
      <c r="K26" s="155">
        <f>SUM(K15:K25)</f>
        <v>1352489</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0830 - TRANSPORTATION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row>
    <row r="59" spans="1:16" ht="16.5" customHeight="1" x14ac:dyDescent="0.25">
      <c r="A59" s="99"/>
      <c r="C59" s="43"/>
      <c r="D59" s="43"/>
      <c r="E59" s="43"/>
      <c r="F59" s="44"/>
      <c r="G59" s="44"/>
      <c r="H59" s="45"/>
      <c r="I59" s="45"/>
      <c r="J59" s="155">
        <f>SUM(J55:J58)</f>
        <v>0</v>
      </c>
      <c r="K59" s="155">
        <f>SUM(K55:K58)</f>
        <v>0</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c r="K63" s="200"/>
    </row>
    <row r="64" spans="1:16" ht="16.5" customHeight="1" x14ac:dyDescent="0.25">
      <c r="A64" s="99"/>
      <c r="B64" s="26"/>
      <c r="C64" s="26" t="str">
        <f>IF($F$7="Proprietary","Cr: Acct 0870 - SERVICES &amp; CHARGES (MG ADJ)",VLOOKUP($F$9,'Drop Down Menus'!$F$2:$G$10,2,FALSE))</f>
        <v>Cr: Acct 0830 - TRANSPORTATION (GAAP ADJ)</v>
      </c>
      <c r="D64" s="193"/>
      <c r="E64" s="193"/>
      <c r="F64" s="194"/>
      <c r="G64" s="194"/>
      <c r="H64" s="195"/>
      <c r="I64" s="195"/>
      <c r="J64" s="200"/>
      <c r="K64" s="196"/>
    </row>
    <row r="65" spans="1:12" ht="16.5" customHeight="1" x14ac:dyDescent="0.25">
      <c r="A65" s="99"/>
      <c r="C65" s="43"/>
      <c r="D65" s="43"/>
      <c r="E65" s="43"/>
      <c r="F65" s="44"/>
      <c r="G65" s="44"/>
      <c r="H65" s="45"/>
      <c r="I65" s="45"/>
      <c r="J65" s="155">
        <f>SUM(J62:J64)</f>
        <v>0</v>
      </c>
      <c r="K65" s="155">
        <f>SUM(K62:K64)</f>
        <v>0</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c r="K68" s="197"/>
    </row>
    <row r="69" spans="1:12" ht="16.5" customHeight="1" x14ac:dyDescent="0.25">
      <c r="A69" s="99"/>
      <c r="B69" s="26"/>
      <c r="C69" s="26" t="s">
        <v>202</v>
      </c>
      <c r="D69" s="193"/>
      <c r="E69" s="193"/>
      <c r="F69" s="194"/>
      <c r="G69" s="194"/>
      <c r="H69" s="195"/>
      <c r="I69" s="195"/>
      <c r="J69" s="197"/>
      <c r="K69" s="196"/>
      <c r="L69" s="37" t="str">
        <f>IF($J$62=$K$69,"","&lt;- Accts 0848 must agree")</f>
        <v/>
      </c>
    </row>
    <row r="70" spans="1:12" ht="16.5" customHeight="1" x14ac:dyDescent="0.25">
      <c r="A70" s="99"/>
      <c r="C70" s="43"/>
      <c r="D70" s="43"/>
      <c r="E70" s="43"/>
      <c r="F70" s="44"/>
      <c r="G70" s="44"/>
      <c r="H70" s="45"/>
      <c r="I70" s="45"/>
      <c r="J70" s="155">
        <f>SUM(J68:J69)</f>
        <v>0</v>
      </c>
      <c r="K70" s="155">
        <f>SUM(K68:K69)</f>
        <v>0</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c r="K75" s="197"/>
    </row>
    <row r="76" spans="1:12" ht="16.5" customHeight="1" x14ac:dyDescent="0.25">
      <c r="A76" s="99"/>
      <c r="B76" s="26"/>
      <c r="C76" s="26" t="s">
        <v>210</v>
      </c>
      <c r="D76" s="193"/>
      <c r="E76" s="193"/>
      <c r="F76" s="194"/>
      <c r="G76" s="194"/>
      <c r="H76" s="195"/>
      <c r="I76" s="195"/>
      <c r="J76" s="197"/>
      <c r="K76" s="196"/>
    </row>
    <row r="77" spans="1:12" ht="16.5" customHeight="1" x14ac:dyDescent="0.2">
      <c r="A77" s="99"/>
      <c r="B77" s="268" t="s">
        <v>1737</v>
      </c>
      <c r="C77" s="268"/>
      <c r="D77" s="268"/>
      <c r="E77" s="268"/>
      <c r="F77" s="268"/>
      <c r="G77" s="268"/>
      <c r="H77" s="268"/>
      <c r="I77" s="268"/>
      <c r="J77" s="155">
        <f>SUM(J75:J76)</f>
        <v>0</v>
      </c>
      <c r="K77" s="155">
        <f>SUM(K75:K76)</f>
        <v>0</v>
      </c>
      <c r="L77" s="53" t="str">
        <f>IF(J77=K77,"&lt;- Debits and Credits equal each other.","&lt;- Debits and Credits do not equal each other.")</f>
        <v>&lt;- Debits and Credits equal each other.</v>
      </c>
    </row>
    <row r="78" spans="1:12" ht="16.5" customHeight="1" x14ac:dyDescent="0.2">
      <c r="A78" s="99"/>
      <c r="B78" s="268"/>
      <c r="C78" s="268"/>
      <c r="D78" s="268"/>
      <c r="E78" s="268"/>
      <c r="F78" s="268"/>
      <c r="G78" s="268"/>
      <c r="H78" s="268"/>
      <c r="I78" s="268"/>
      <c r="J78" s="155"/>
      <c r="K78" s="155"/>
      <c r="L78" s="21"/>
    </row>
    <row r="79" spans="1:12" ht="24.6" customHeight="1" x14ac:dyDescent="0.2">
      <c r="A79" s="99"/>
      <c r="B79" s="268"/>
      <c r="C79" s="268"/>
      <c r="D79" s="268"/>
      <c r="E79" s="268"/>
      <c r="F79" s="268"/>
      <c r="G79" s="268"/>
      <c r="H79" s="268"/>
      <c r="I79" s="268"/>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v>519056</v>
      </c>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v>806515</v>
      </c>
      <c r="K99" s="53"/>
    </row>
    <row r="100" spans="1:12" ht="16.5" customHeight="1" x14ac:dyDescent="0.2">
      <c r="B100" s="26" t="str">
        <f>IF($F$7="Proprietary","Dr: Acct 0870 - SERVICES &amp; CHARGES (MG ADJ)",VLOOKUP($F$9,'Drop Down Menus'!$F$2:$H$10,3,FALSE))</f>
        <v>Dr: Acct 0830 - TRANSPORTATION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v>1319751</v>
      </c>
    </row>
    <row r="104" spans="1:12" ht="16.5" customHeight="1" x14ac:dyDescent="0.2">
      <c r="B104" s="53"/>
      <c r="C104" s="26" t="str">
        <f>IF($F$7="Proprietary","Dr: Acct 0870 - SERVICES &amp; CHARGES (MG ADJ)",VLOOKUP($F$9,'Drop Down Menus'!$F$2:$G$10,2,FALSE))</f>
        <v>Cr: Acct 0830 - TRANSPORTATION (GAAP ADJ)</v>
      </c>
      <c r="D104" s="53"/>
      <c r="E104" s="53"/>
      <c r="F104" s="53"/>
      <c r="G104" s="53"/>
      <c r="H104" s="53"/>
      <c r="I104" s="53"/>
      <c r="J104" s="53"/>
      <c r="K104" s="196">
        <v>5820</v>
      </c>
    </row>
    <row r="105" spans="1:12" ht="16.5" customHeight="1" x14ac:dyDescent="0.25">
      <c r="B105" s="182" t="s">
        <v>1692</v>
      </c>
      <c r="H105" s="37"/>
      <c r="J105" s="156">
        <f>SUM(J96:J104)</f>
        <v>1325571</v>
      </c>
      <c r="K105" s="156">
        <f>SUM(K96:K104)</f>
        <v>1325571</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0</v>
      </c>
    </row>
    <row r="128" spans="1:12" ht="16.5" customHeight="1" x14ac:dyDescent="0.25">
      <c r="D128" s="193" t="s">
        <v>1708</v>
      </c>
      <c r="H128" s="37"/>
      <c r="K128" s="238">
        <f>-K23-K48+J68+J75+J96-K113</f>
        <v>0</v>
      </c>
    </row>
    <row r="129" spans="4:11" ht="16.5" customHeight="1" x14ac:dyDescent="0.25">
      <c r="D129" s="193" t="s">
        <v>1709</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69" priority="12">
      <formula>$J$62&lt;&gt;$K$69</formula>
    </cfRule>
  </conditionalFormatting>
  <conditionalFormatting sqref="L26:P26">
    <cfRule type="expression" dxfId="68" priority="1">
      <formula>$J$26&lt;&gt;$K$26</formula>
    </cfRule>
  </conditionalFormatting>
  <conditionalFormatting sqref="L36:P36">
    <cfRule type="expression" dxfId="67" priority="2">
      <formula>$J$36&lt;&gt;$K$36</formula>
    </cfRule>
  </conditionalFormatting>
  <conditionalFormatting sqref="L43:P43">
    <cfRule type="expression" dxfId="66" priority="3">
      <formula>$J$43&lt;&gt;$K$43</formula>
    </cfRule>
  </conditionalFormatting>
  <conditionalFormatting sqref="L49:P49">
    <cfRule type="expression" dxfId="65" priority="4">
      <formula>$J$49&lt;&gt;$K$49</formula>
    </cfRule>
  </conditionalFormatting>
  <conditionalFormatting sqref="L59:P59">
    <cfRule type="expression" dxfId="64" priority="5">
      <formula>$J$59&lt;&gt;$K$59</formula>
    </cfRule>
  </conditionalFormatting>
  <conditionalFormatting sqref="L65:P65">
    <cfRule type="expression" dxfId="63" priority="6">
      <formula>$J$65&lt;&gt;$K$65</formula>
    </cfRule>
  </conditionalFormatting>
  <conditionalFormatting sqref="L70:P70">
    <cfRule type="expression" dxfId="62" priority="7">
      <formula>$J$70&lt;&gt;$K$70</formula>
    </cfRule>
  </conditionalFormatting>
  <conditionalFormatting sqref="L77:P77">
    <cfRule type="expression" dxfId="61" priority="8">
      <formula>$J$77&lt;&gt;$K$77</formula>
    </cfRule>
  </conditionalFormatting>
  <conditionalFormatting sqref="L91:P91">
    <cfRule type="expression" dxfId="60" priority="9">
      <formula>$J$91&lt;&gt;$K$91</formula>
    </cfRule>
  </conditionalFormatting>
  <conditionalFormatting sqref="L105:P105">
    <cfRule type="expression" dxfId="59" priority="10">
      <formula>$J$105&lt;&gt;$K$105</formula>
    </cfRule>
  </conditionalFormatting>
  <conditionalFormatting sqref="L114:P114">
    <cfRule type="expression" dxfId="58" priority="11">
      <formula>$J$114&lt;&gt;$K$114</formula>
    </cfRule>
  </conditionalFormatting>
  <dataValidations count="3">
    <dataValidation type="textLength" operator="equal" allowBlank="1" showInputMessage="1" showErrorMessage="1" errorTitle="4-Digit Org Code" error="Enter the Org Code/BU as 4 digits." sqref="F5" xr:uid="{A1C40D63-6351-4A6C-B984-498D78F5F012}">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2C74F2B-192E-4BBE-8B3C-F7527B257E7E}">
      <formula1>0</formula1>
    </dataValidation>
    <dataValidation operator="lessThan" allowBlank="1" showInputMessage="1" showErrorMessage="1" sqref="A3:A8" xr:uid="{19C65727-6618-4AC3-8972-E778F81B7FCD}"/>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1921935-DDEB-4173-BDE0-35432ADD9E39}">
          <x14:formula1>
            <xm:f>'Drop Down Menus'!$E$1:$E$3</xm:f>
          </x14:formula1>
          <xm:sqref>F8</xm:sqref>
        </x14:dataValidation>
        <x14:dataValidation type="list" allowBlank="1" showInputMessage="1" showErrorMessage="1" xr:uid="{9D620F10-A7C8-4C5B-8F43-E8BDAE4993C4}">
          <x14:formula1>
            <xm:f>'Drop Down Menus'!$B$1:$B$2</xm:f>
          </x14:formula1>
          <xm:sqref>F7</xm:sqref>
        </x14:dataValidation>
        <x14:dataValidation type="list" allowBlank="1" showInputMessage="1" showErrorMessage="1" xr:uid="{D4DD767E-3B6F-4B2C-A710-191BAE44FAA4}">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85" zoomScaleNormal="85" workbookViewId="0">
      <selection activeCell="I18" sqref="I18"/>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2" t="s">
        <v>1660</v>
      </c>
      <c r="B1" s="262"/>
      <c r="C1" s="262"/>
      <c r="D1" s="262"/>
      <c r="E1" s="262"/>
      <c r="F1" s="262"/>
      <c r="G1" s="262"/>
      <c r="H1" s="262"/>
      <c r="I1" s="262"/>
      <c r="J1" s="262"/>
      <c r="K1" s="262"/>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3" t="s">
        <v>24</v>
      </c>
      <c r="G3" s="263"/>
      <c r="H3" s="263"/>
      <c r="I3" s="263"/>
    </row>
    <row r="4" spans="1:20" ht="16.5" customHeight="1" x14ac:dyDescent="0.2">
      <c r="A4" s="260" t="s">
        <v>208</v>
      </c>
      <c r="B4" s="260"/>
      <c r="C4" s="260"/>
      <c r="D4" s="260"/>
      <c r="E4" s="260"/>
      <c r="F4" s="261" t="s">
        <v>1803</v>
      </c>
      <c r="G4" s="261"/>
      <c r="H4" s="261"/>
      <c r="I4" s="261"/>
    </row>
    <row r="5" spans="1:20" ht="16.5" customHeight="1" x14ac:dyDescent="0.2">
      <c r="A5" s="260" t="s">
        <v>1639</v>
      </c>
      <c r="B5" s="260"/>
      <c r="C5" s="260"/>
      <c r="D5" s="260"/>
      <c r="E5" s="260"/>
      <c r="F5" s="261" t="s">
        <v>702</v>
      </c>
      <c r="G5" s="261"/>
      <c r="H5" s="261"/>
      <c r="I5" s="261"/>
      <c r="L5" s="39"/>
      <c r="M5" s="39"/>
      <c r="N5" s="39"/>
      <c r="O5" s="39"/>
      <c r="P5" s="39"/>
      <c r="Q5" s="39"/>
    </row>
    <row r="6" spans="1:20" ht="16.5" customHeight="1" x14ac:dyDescent="0.25">
      <c r="A6" s="260" t="s">
        <v>1682</v>
      </c>
      <c r="B6" s="260"/>
      <c r="C6" s="260"/>
      <c r="D6" s="260"/>
      <c r="E6" s="260"/>
      <c r="F6" s="264" t="s">
        <v>1804</v>
      </c>
      <c r="G6" s="264"/>
      <c r="H6" s="264"/>
      <c r="I6" s="264"/>
      <c r="L6" s="40"/>
      <c r="M6" s="40"/>
      <c r="N6" s="40"/>
      <c r="O6" s="40"/>
      <c r="P6" s="39"/>
      <c r="Q6" s="39"/>
    </row>
    <row r="7" spans="1:20" ht="16.5" customHeight="1" x14ac:dyDescent="0.25">
      <c r="A7" s="260" t="s">
        <v>3</v>
      </c>
      <c r="B7" s="260"/>
      <c r="C7" s="260"/>
      <c r="D7" s="260"/>
      <c r="E7" s="260"/>
      <c r="F7" s="264" t="s">
        <v>123</v>
      </c>
      <c r="G7" s="264"/>
      <c r="H7" s="264"/>
      <c r="I7" s="264"/>
      <c r="K7" s="96"/>
      <c r="L7" s="40"/>
      <c r="M7" s="40"/>
      <c r="N7" s="40"/>
      <c r="O7" s="40"/>
      <c r="P7" s="39"/>
      <c r="Q7" s="39"/>
    </row>
    <row r="8" spans="1:20" ht="16.5" customHeight="1" x14ac:dyDescent="0.25">
      <c r="A8" s="260" t="s">
        <v>1640</v>
      </c>
      <c r="B8" s="260"/>
      <c r="C8" s="260"/>
      <c r="D8" s="260"/>
      <c r="E8" s="260"/>
      <c r="F8" s="264" t="s">
        <v>164</v>
      </c>
      <c r="G8" s="264"/>
      <c r="H8" s="264"/>
      <c r="I8" s="264"/>
      <c r="K8" s="96"/>
      <c r="L8" s="40"/>
      <c r="M8" s="40"/>
      <c r="N8" s="40"/>
      <c r="O8" s="40"/>
      <c r="P8" s="39"/>
      <c r="Q8" s="39"/>
    </row>
    <row r="9" spans="1:20" ht="16.5" customHeight="1" x14ac:dyDescent="0.25">
      <c r="A9" s="260" t="s">
        <v>1638</v>
      </c>
      <c r="B9" s="260"/>
      <c r="C9" s="260"/>
      <c r="D9" s="260"/>
      <c r="E9" s="260"/>
      <c r="F9" s="265" t="str">
        <f>IFERROR(IF(F7="Proprietary","Proprietary Fund",VLOOKUP(F5,qryIndex02a!$A$2:$K$654,4,FALSE)),"Unidentified")</f>
        <v>TRANSPORTATION</v>
      </c>
      <c r="G9" s="265"/>
      <c r="H9" s="265"/>
      <c r="I9" s="265"/>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6" t="s">
        <v>1672</v>
      </c>
      <c r="N14" s="267"/>
      <c r="O14" s="188"/>
      <c r="P14" s="266" t="s">
        <v>1667</v>
      </c>
      <c r="Q14" s="267"/>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ref="S16:S19" si="0">P16-M16</f>
        <v>0</v>
      </c>
      <c r="T16" s="251" t="s">
        <v>1760</v>
      </c>
    </row>
    <row r="17" spans="1:20" ht="16.5" customHeight="1" x14ac:dyDescent="0.25">
      <c r="A17" s="228" t="s">
        <v>1689</v>
      </c>
      <c r="B17" s="26" t="s">
        <v>182</v>
      </c>
      <c r="C17" s="26"/>
      <c r="D17" s="26"/>
      <c r="E17" s="193"/>
      <c r="F17" s="194"/>
      <c r="G17" s="194"/>
      <c r="H17" s="195"/>
      <c r="I17" s="195"/>
      <c r="J17" s="248">
        <f>M17</f>
        <v>3781019</v>
      </c>
      <c r="M17" s="196">
        <f>'LS-Fund 3228 Journal Entries'!M17+'LS-Fund 6043 Journal Entries'!M17</f>
        <v>3781019</v>
      </c>
      <c r="P17" s="196">
        <f>'LS-Fund 3228 Journal Entries'!P17+'LS-Fund 6043 Journal Entries'!P17</f>
        <v>3781019</v>
      </c>
      <c r="Q17" s="224"/>
      <c r="S17" s="223">
        <f>P17-M17</f>
        <v>0</v>
      </c>
      <c r="T17" s="251" t="s">
        <v>1760</v>
      </c>
    </row>
    <row r="18" spans="1:20" ht="16.5" customHeight="1" x14ac:dyDescent="0.25">
      <c r="A18" s="99"/>
      <c r="B18" s="26" t="s">
        <v>178</v>
      </c>
      <c r="C18" s="26"/>
      <c r="D18" s="26"/>
      <c r="E18" s="193"/>
      <c r="F18" s="194"/>
      <c r="G18" s="194"/>
      <c r="H18" s="195"/>
      <c r="I18" s="195"/>
      <c r="J18" s="248">
        <f>P18</f>
        <v>80847</v>
      </c>
      <c r="M18" s="196">
        <f>'LS-Fund 3228 Journal Entries'!M18+'LS-Fund 6043 Journal Entries'!M18</f>
        <v>75028</v>
      </c>
      <c r="P18" s="221">
        <f>IF(SUM($Q$20:$Q$23)&gt;SUM($P$15:$P$17),SUM($Q$20:$Q$23)-SUM($P$15:$P$17),0)</f>
        <v>80847</v>
      </c>
      <c r="Q18" s="224"/>
      <c r="S18" s="223">
        <f t="shared" si="0"/>
        <v>5819</v>
      </c>
      <c r="T18" s="250" t="s">
        <v>1730</v>
      </c>
    </row>
    <row r="19" spans="1:20" ht="16.5" customHeight="1" x14ac:dyDescent="0.25">
      <c r="A19" s="99"/>
      <c r="B19" s="26" t="s">
        <v>179</v>
      </c>
      <c r="C19" s="26"/>
      <c r="D19" s="26"/>
      <c r="E19" s="193"/>
      <c r="F19" s="194"/>
      <c r="G19" s="194"/>
      <c r="H19" s="195"/>
      <c r="I19" s="195"/>
      <c r="J19" s="248">
        <f>IF(SUM($K$20:$K$24)&gt;SUM($J$15:$J$18),SUM($K$20:$K$24)-SUM($J$15:$J$18),0)</f>
        <v>1</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1436558</v>
      </c>
      <c r="N22" s="196">
        <f>'LS-Fund 3228 Journal Entries'!N22+'LS-Fund 6043 Journal Entries'!N22</f>
        <v>1436558</v>
      </c>
      <c r="P22" s="224"/>
      <c r="Q22" s="196">
        <f>'LS-Fund 3228 Journal Entries'!Q22+'LS-Fund 6043 Journal Entries'!Q22</f>
        <v>1436557</v>
      </c>
      <c r="S22" s="223">
        <f t="shared" ref="S22:S25" si="1">Q22-N22</f>
        <v>-1</v>
      </c>
      <c r="T22" s="250" t="s">
        <v>1730</v>
      </c>
    </row>
    <row r="23" spans="1:20" ht="16.5" customHeight="1" x14ac:dyDescent="0.25">
      <c r="A23" s="234" t="s">
        <v>1697</v>
      </c>
      <c r="B23" s="26"/>
      <c r="C23" s="26" t="s">
        <v>183</v>
      </c>
      <c r="D23" s="26"/>
      <c r="E23" s="193"/>
      <c r="F23" s="194"/>
      <c r="G23" s="194"/>
      <c r="H23" s="195"/>
      <c r="I23" s="195"/>
      <c r="J23" s="213"/>
      <c r="K23" s="248">
        <f>N23</f>
        <v>2425309</v>
      </c>
      <c r="N23" s="196">
        <f>'LS-Fund 3228 Journal Entries'!N23+'LS-Fund 6043 Journal Entries'!N23</f>
        <v>2425309</v>
      </c>
      <c r="P23" s="224"/>
      <c r="Q23" s="196">
        <f>'LS-Fund 3228 Journal Entries'!Q23+'LS-Fund 6043 Journal Entries'!Q23</f>
        <v>2425309</v>
      </c>
      <c r="S23" s="223">
        <f t="shared" si="1"/>
        <v>0</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3861867</v>
      </c>
      <c r="K26" s="155">
        <f>SUM(K15:K25)</f>
        <v>3861867</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v>7283570</v>
      </c>
      <c r="K33" s="197"/>
    </row>
    <row r="34" spans="1:12" ht="16.5" customHeight="1" x14ac:dyDescent="0.25">
      <c r="A34" s="99"/>
      <c r="B34" s="26"/>
      <c r="C34" s="26" t="s">
        <v>1745</v>
      </c>
      <c r="D34" s="193"/>
      <c r="E34" s="193"/>
      <c r="F34" s="194"/>
      <c r="G34" s="194"/>
      <c r="H34" s="195"/>
      <c r="I34" s="195"/>
      <c r="J34" s="197"/>
      <c r="K34" s="196">
        <v>6581939</v>
      </c>
    </row>
    <row r="35" spans="1:12" ht="16.5" customHeight="1" x14ac:dyDescent="0.25">
      <c r="A35" s="99"/>
      <c r="B35" s="26"/>
      <c r="C35" s="26" t="str">
        <f>IF($F$7="Proprietary","Cr: Acct 0870 - SERVICES &amp; CHARGES (MG ADJ)",VLOOKUP($F$9,'Drop Down Menus'!$F$2:$G$10,2,FALSE))</f>
        <v>Cr: Acct 0830 - TRANSPORTATION (GAAP ADJ)</v>
      </c>
      <c r="D35" s="193"/>
      <c r="E35" s="193"/>
      <c r="F35" s="194"/>
      <c r="G35" s="194"/>
      <c r="H35" s="195"/>
      <c r="I35" s="195"/>
      <c r="J35" s="197"/>
      <c r="K35" s="196">
        <v>701631</v>
      </c>
    </row>
    <row r="36" spans="1:12" ht="16.5" customHeight="1" x14ac:dyDescent="0.25">
      <c r="A36" s="99"/>
      <c r="C36" s="43"/>
      <c r="D36" s="43"/>
      <c r="E36" s="43"/>
      <c r="F36" s="44"/>
      <c r="G36" s="44"/>
      <c r="H36" s="45"/>
      <c r="I36" s="45"/>
      <c r="J36" s="155">
        <f>SUM(J33:J35)</f>
        <v>7283570</v>
      </c>
      <c r="K36" s="155">
        <f>SUM(K33:K35)</f>
        <v>7283570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v>7283570</v>
      </c>
      <c r="K41" s="197"/>
    </row>
    <row r="42" spans="1:12" ht="16.5" customHeight="1" x14ac:dyDescent="0.25">
      <c r="A42" s="99"/>
      <c r="B42" s="26"/>
      <c r="C42" s="26" t="s">
        <v>197</v>
      </c>
      <c r="D42" s="193"/>
      <c r="E42" s="193"/>
      <c r="F42" s="194"/>
      <c r="G42" s="194"/>
      <c r="H42" s="195"/>
      <c r="I42" s="195"/>
      <c r="J42" s="197"/>
      <c r="K42" s="196">
        <v>7283570</v>
      </c>
    </row>
    <row r="43" spans="1:12" ht="16.5" customHeight="1" x14ac:dyDescent="0.25">
      <c r="A43" s="99"/>
      <c r="B43" s="182" t="s">
        <v>1691</v>
      </c>
      <c r="C43" s="43"/>
      <c r="D43" s="43"/>
      <c r="E43" s="43"/>
      <c r="F43" s="44"/>
      <c r="G43" s="44"/>
      <c r="H43" s="45"/>
      <c r="I43" s="45"/>
      <c r="J43" s="155">
        <f>SUM(J39:J42)</f>
        <v>7283570</v>
      </c>
      <c r="K43" s="155">
        <f>SUM(K39:K42)</f>
        <v>7283570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v>6581939</v>
      </c>
      <c r="K47" s="197"/>
    </row>
    <row r="48" spans="1:12" ht="16.5" customHeight="1" x14ac:dyDescent="0.25">
      <c r="A48" s="234" t="s">
        <v>1697</v>
      </c>
      <c r="B48" s="26"/>
      <c r="C48" s="26" t="s">
        <v>183</v>
      </c>
      <c r="D48" s="193"/>
      <c r="E48" s="193"/>
      <c r="F48" s="194"/>
      <c r="G48" s="194"/>
      <c r="H48" s="195"/>
      <c r="I48" s="195"/>
      <c r="J48" s="197"/>
      <c r="K48" s="196">
        <v>6581939</v>
      </c>
    </row>
    <row r="49" spans="1:16" ht="16.5" customHeight="1" x14ac:dyDescent="0.25">
      <c r="A49" s="99"/>
      <c r="C49" s="43"/>
      <c r="D49" s="43"/>
      <c r="E49" s="43"/>
      <c r="F49" s="44"/>
      <c r="G49" s="44"/>
      <c r="H49" s="45"/>
      <c r="I49" s="45"/>
      <c r="J49" s="155">
        <f>SUM(J47:J48)</f>
        <v>6581939</v>
      </c>
      <c r="K49" s="155">
        <f>SUM(K47:K48)</f>
        <v>6581939</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2356871</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2356871</v>
      </c>
    </row>
    <row r="59" spans="1:16" ht="16.5" customHeight="1" x14ac:dyDescent="0.25">
      <c r="A59" s="99"/>
      <c r="C59" s="43"/>
      <c r="D59" s="43"/>
      <c r="E59" s="43"/>
      <c r="F59" s="44"/>
      <c r="G59" s="44"/>
      <c r="H59" s="45"/>
      <c r="I59" s="45"/>
      <c r="J59" s="155">
        <f>SUM(J55:J58)</f>
        <v>2356871</v>
      </c>
      <c r="K59" s="155">
        <f>SUM(K55:K58)</f>
        <v>2356871</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2225937</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150788</v>
      </c>
      <c r="K63" s="200"/>
    </row>
    <row r="64" spans="1:16" ht="16.5" customHeight="1" x14ac:dyDescent="0.25">
      <c r="A64" s="99"/>
      <c r="B64" s="26"/>
      <c r="C64" s="26" t="str">
        <f>IF($F$7="Proprietary","Cr: Acct 0870 - SERVICES &amp; CHARGES (MG ADJ)",VLOOKUP($F$9,'Drop Down Menus'!$F$2:$G$10,2,FALSE))</f>
        <v>Cr: Acct 0830 - TRANSPORTATION (GAAP ADJ)</v>
      </c>
      <c r="D64" s="193"/>
      <c r="E64" s="193"/>
      <c r="F64" s="194"/>
      <c r="G64" s="194"/>
      <c r="H64" s="195"/>
      <c r="I64" s="195"/>
      <c r="J64" s="200"/>
      <c r="K64" s="196">
        <v>2376725</v>
      </c>
    </row>
    <row r="65" spans="1:12" ht="16.5" customHeight="1" x14ac:dyDescent="0.25">
      <c r="A65" s="99"/>
      <c r="C65" s="43"/>
      <c r="D65" s="43"/>
      <c r="E65" s="43"/>
      <c r="F65" s="44"/>
      <c r="G65" s="44"/>
      <c r="H65" s="45"/>
      <c r="I65" s="45"/>
      <c r="J65" s="155">
        <f>SUM(J62:J64)</f>
        <v>2376725</v>
      </c>
      <c r="K65" s="155">
        <f>SUM(K62:K64)</f>
        <v>2376725</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2225937</v>
      </c>
      <c r="K68" s="197"/>
    </row>
    <row r="69" spans="1:12" ht="16.5" customHeight="1" x14ac:dyDescent="0.25">
      <c r="A69" s="99"/>
      <c r="B69" s="26"/>
      <c r="C69" s="26" t="s">
        <v>202</v>
      </c>
      <c r="D69" s="193"/>
      <c r="E69" s="193"/>
      <c r="F69" s="194"/>
      <c r="G69" s="194"/>
      <c r="H69" s="195"/>
      <c r="I69" s="195"/>
      <c r="J69" s="197"/>
      <c r="K69" s="196">
        <v>2225937</v>
      </c>
      <c r="L69" s="37" t="str">
        <f>IF($J$62=$K$69,"","&lt;- Accts 0848 must agree")</f>
        <v/>
      </c>
    </row>
    <row r="70" spans="1:12" ht="16.5" customHeight="1" x14ac:dyDescent="0.25">
      <c r="A70" s="99"/>
      <c r="C70" s="43"/>
      <c r="D70" s="43"/>
      <c r="E70" s="43"/>
      <c r="F70" s="44"/>
      <c r="G70" s="44"/>
      <c r="H70" s="45"/>
      <c r="I70" s="45"/>
      <c r="J70" s="155">
        <f>SUM(J68:J69)</f>
        <v>2225937</v>
      </c>
      <c r="K70" s="155">
        <f>SUM(K68:K69)</f>
        <v>2225937</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2475445</v>
      </c>
      <c r="K75" s="197"/>
    </row>
    <row r="76" spans="1:12" ht="16.5" customHeight="1" x14ac:dyDescent="0.25">
      <c r="A76" s="99"/>
      <c r="B76" s="26"/>
      <c r="C76" s="26" t="s">
        <v>210</v>
      </c>
      <c r="D76" s="193"/>
      <c r="E76" s="193"/>
      <c r="F76" s="194"/>
      <c r="G76" s="194"/>
      <c r="H76" s="195"/>
      <c r="I76" s="195"/>
      <c r="J76" s="197"/>
      <c r="K76" s="196">
        <v>2475445</v>
      </c>
    </row>
    <row r="77" spans="1:12" ht="16.5" customHeight="1" x14ac:dyDescent="0.2">
      <c r="A77" s="99"/>
      <c r="B77" s="268" t="s">
        <v>1737</v>
      </c>
      <c r="C77" s="268"/>
      <c r="D77" s="268"/>
      <c r="E77" s="268"/>
      <c r="F77" s="268"/>
      <c r="G77" s="268"/>
      <c r="H77" s="268"/>
      <c r="I77" s="268"/>
      <c r="J77" s="155">
        <f>SUM(J75:J76)</f>
        <v>2475445</v>
      </c>
      <c r="K77" s="155">
        <f>SUM(K75:K76)</f>
        <v>2475445</v>
      </c>
      <c r="L77" s="53" t="str">
        <f>IF(J77=K77,"&lt;- Debits and Credits equal each other.","&lt;- Debits and Credits do not equal each other.")</f>
        <v>&lt;- Debits and Credits equal each other.</v>
      </c>
    </row>
    <row r="78" spans="1:12" ht="16.5" customHeight="1" x14ac:dyDescent="0.2">
      <c r="A78" s="99"/>
      <c r="B78" s="268"/>
      <c r="C78" s="268"/>
      <c r="D78" s="268"/>
      <c r="E78" s="268"/>
      <c r="F78" s="268"/>
      <c r="G78" s="268"/>
      <c r="H78" s="268"/>
      <c r="I78" s="268"/>
      <c r="J78" s="155"/>
      <c r="K78" s="155"/>
      <c r="L78" s="21"/>
    </row>
    <row r="79" spans="1:12" ht="24.6" customHeight="1" x14ac:dyDescent="0.2">
      <c r="A79" s="99"/>
      <c r="B79" s="268"/>
      <c r="C79" s="268"/>
      <c r="D79" s="268"/>
      <c r="E79" s="268"/>
      <c r="F79" s="268"/>
      <c r="G79" s="268"/>
      <c r="H79" s="268"/>
      <c r="I79" s="268"/>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v>519056</v>
      </c>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v>806514</v>
      </c>
      <c r="K99" s="53"/>
    </row>
    <row r="100" spans="1:12" ht="16.5" customHeight="1" x14ac:dyDescent="0.2">
      <c r="B100" s="26" t="str">
        <f>IF($F$7="Proprietary","Dr: Acct 0870 - SERVICES &amp; CHARGES (MG ADJ)",VLOOKUP($F$9,'Drop Down Menus'!$F$2:$H$10,3,FALSE))</f>
        <v>Dr: Acct 0830 - TRANSPORTATION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v>1319751</v>
      </c>
    </row>
    <row r="104" spans="1:12" ht="16.5" customHeight="1" x14ac:dyDescent="0.2">
      <c r="B104" s="53"/>
      <c r="C104" s="26" t="str">
        <f>IF($F$7="Proprietary","Dr: Acct 0870 - SERVICES &amp; CHARGES (MG ADJ)",VLOOKUP($F$9,'Drop Down Menus'!$F$2:$G$10,2,FALSE))</f>
        <v>Cr: Acct 0830 - TRANSPORTATION (GAAP ADJ)</v>
      </c>
      <c r="D104" s="53"/>
      <c r="E104" s="53"/>
      <c r="F104" s="53"/>
      <c r="G104" s="53"/>
      <c r="H104" s="53"/>
      <c r="I104" s="53"/>
      <c r="J104" s="53"/>
      <c r="K104" s="196">
        <v>5819</v>
      </c>
    </row>
    <row r="105" spans="1:12" ht="16.5" customHeight="1" x14ac:dyDescent="0.25">
      <c r="B105" s="182" t="s">
        <v>1692</v>
      </c>
      <c r="H105" s="37"/>
      <c r="J105" s="156">
        <f>SUM(J96:J104)</f>
        <v>1325570</v>
      </c>
      <c r="K105" s="156">
        <f>SUM(K96:K104)</f>
        <v>1325570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v>432156</v>
      </c>
      <c r="K112" s="53"/>
    </row>
    <row r="113" spans="1:12" ht="16.5" customHeight="1" x14ac:dyDescent="0.2">
      <c r="A113" s="234" t="s">
        <v>1697</v>
      </c>
      <c r="B113" s="26"/>
      <c r="C113" s="26" t="s">
        <v>183</v>
      </c>
      <c r="D113" s="20"/>
      <c r="E113" s="53"/>
      <c r="F113" s="53"/>
      <c r="G113" s="53"/>
      <c r="H113" s="53"/>
      <c r="I113" s="53"/>
      <c r="J113" s="53"/>
      <c r="K113" s="196">
        <v>432156</v>
      </c>
    </row>
    <row r="114" spans="1:12" ht="16.5" customHeight="1" x14ac:dyDescent="0.25">
      <c r="A114" s="15"/>
      <c r="B114" s="182" t="s">
        <v>1691</v>
      </c>
      <c r="C114" s="166"/>
      <c r="D114" s="166"/>
      <c r="H114" s="37"/>
      <c r="J114" s="156">
        <f>SUM(J110:J113)</f>
        <v>432156</v>
      </c>
      <c r="K114" s="156">
        <f>SUM(K110:K113)</f>
        <v>432156</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10176994</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-2986915</v>
      </c>
    </row>
    <row r="128" spans="1:12" ht="16.5" customHeight="1" x14ac:dyDescent="0.25">
      <c r="D128" s="193" t="s">
        <v>1708</v>
      </c>
      <c r="H128" s="37"/>
      <c r="K128" s="238">
        <f>-K23-K48+J68+J75+J96-K113</f>
        <v>-4218966</v>
      </c>
    </row>
    <row r="129" spans="4:11" ht="16.5" customHeight="1" x14ac:dyDescent="0.25">
      <c r="D129" s="193" t="s">
        <v>1709</v>
      </c>
      <c r="H129" s="37"/>
      <c r="K129" s="238">
        <f>-K76</f>
        <v>-2475445</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3" workbookViewId="0">
      <selection activeCell="D29" sqref="D29:F2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4" t="s">
        <v>211</v>
      </c>
      <c r="B3" s="284"/>
      <c r="C3" s="284"/>
      <c r="D3" s="52"/>
      <c r="E3" s="5"/>
      <c r="F3" s="5"/>
      <c r="G3" s="5"/>
      <c r="H3" s="5"/>
      <c r="I3" s="5"/>
      <c r="J3" s="5"/>
      <c r="K3" s="5"/>
      <c r="L3" s="5"/>
      <c r="M3" s="5"/>
    </row>
    <row r="4" spans="1:13" ht="31.15" customHeight="1" x14ac:dyDescent="0.25">
      <c r="A4" s="285" t="s">
        <v>7</v>
      </c>
      <c r="B4" s="285"/>
      <c r="C4" s="285"/>
      <c r="D4" s="52"/>
      <c r="E4" s="5"/>
      <c r="F4" s="5"/>
      <c r="G4" s="5"/>
      <c r="H4" s="5"/>
      <c r="I4" s="5"/>
      <c r="J4" s="5"/>
      <c r="K4" s="5"/>
      <c r="L4" s="5"/>
      <c r="M4" s="5"/>
    </row>
    <row r="5" spans="1:13" ht="31.1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v>2665</v>
      </c>
      <c r="C9" s="282"/>
      <c r="D9" s="5"/>
      <c r="E9" s="5"/>
      <c r="F9" s="5"/>
    </row>
    <row r="10" spans="1:13" ht="15.75" x14ac:dyDescent="0.25">
      <c r="A10" s="12" t="s">
        <v>208</v>
      </c>
      <c r="B10" s="283" t="s">
        <v>1803</v>
      </c>
      <c r="C10" s="283"/>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v>2475445</v>
      </c>
      <c r="C13" s="100">
        <v>123639</v>
      </c>
      <c r="D13" s="272" t="s">
        <v>6</v>
      </c>
      <c r="E13" s="273"/>
      <c r="F13" s="273"/>
      <c r="G13" s="57"/>
      <c r="H13" s="57"/>
      <c r="I13" s="57"/>
      <c r="J13" s="57"/>
      <c r="K13" s="57"/>
      <c r="L13" s="57"/>
      <c r="M13" s="57"/>
    </row>
    <row r="14" spans="1:13" x14ac:dyDescent="0.2">
      <c r="A14" s="84" t="str">
        <f>LEFT(A13,4)+1&amp;"–"&amp;RIGHT(A13,4)+1</f>
        <v>2025–2026</v>
      </c>
      <c r="B14" s="100">
        <v>1748693</v>
      </c>
      <c r="C14" s="100">
        <v>69617</v>
      </c>
      <c r="D14" s="272"/>
      <c r="E14" s="273"/>
      <c r="F14" s="273"/>
    </row>
    <row r="15" spans="1:13" ht="15.75" x14ac:dyDescent="0.2">
      <c r="A15" s="84" t="str">
        <f>LEFT(A14,4)+1&amp;"–"&amp;RIGHT(A14,4)+1</f>
        <v>2026–2027</v>
      </c>
      <c r="B15" s="100">
        <v>342763</v>
      </c>
      <c r="C15" s="100">
        <v>43550</v>
      </c>
      <c r="D15" s="269" t="s">
        <v>130</v>
      </c>
      <c r="E15" s="269"/>
      <c r="F15" s="269"/>
      <c r="G15" s="58"/>
      <c r="H15" s="58"/>
      <c r="I15" s="58"/>
      <c r="J15" s="58"/>
      <c r="K15" s="58"/>
      <c r="L15" s="58"/>
      <c r="M15" s="58"/>
    </row>
    <row r="16" spans="1:13" x14ac:dyDescent="0.2">
      <c r="A16" s="84" t="str">
        <f>LEFT(A15,4)+1&amp;"–"&amp;RIGHT(A15,4)+1</f>
        <v>2027–2028</v>
      </c>
      <c r="B16" s="100">
        <v>380005</v>
      </c>
      <c r="C16" s="100">
        <v>36318</v>
      </c>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v>402366</v>
      </c>
      <c r="C17" s="100">
        <v>28598</v>
      </c>
      <c r="D17" s="269">
        <v>0</v>
      </c>
      <c r="E17" s="269"/>
      <c r="F17" s="269"/>
      <c r="G17" s="59"/>
      <c r="H17" s="59"/>
      <c r="I17" s="59"/>
      <c r="J17" s="59"/>
      <c r="K17" s="59"/>
    </row>
    <row r="18" spans="1:13" ht="15" customHeight="1" x14ac:dyDescent="0.25">
      <c r="A18" s="84" t="str">
        <f>LEFT(A17,4)+1&amp;"–"&amp;RIGHT(A17,4)+5</f>
        <v>2029–2034</v>
      </c>
      <c r="B18" s="100">
        <v>1345139</v>
      </c>
      <c r="C18" s="100">
        <v>40529</v>
      </c>
      <c r="D18" s="272" t="s">
        <v>8</v>
      </c>
      <c r="E18" s="273"/>
      <c r="F18" s="273"/>
      <c r="G18" s="57"/>
      <c r="H18" s="57"/>
      <c r="I18" s="57"/>
      <c r="J18" s="57"/>
      <c r="K18" s="57"/>
      <c r="L18" s="57"/>
      <c r="M18" s="57"/>
    </row>
    <row r="19" spans="1:13" x14ac:dyDescent="0.2">
      <c r="A19" s="84" t="str">
        <f t="shared" ref="A19:A32" si="0">LEFT(A18,4)+5&amp;"–"&amp;RIGHT(A18,4)+5</f>
        <v>2034–2039</v>
      </c>
      <c r="B19" s="100"/>
      <c r="C19" s="100"/>
      <c r="D19" s="272"/>
      <c r="E19" s="273"/>
      <c r="F19" s="273"/>
    </row>
    <row r="20" spans="1:13" ht="15.75" x14ac:dyDescent="0.2">
      <c r="A20" s="84" t="str">
        <f t="shared" si="0"/>
        <v>2039–2044</v>
      </c>
      <c r="B20" s="100"/>
      <c r="C20" s="100"/>
      <c r="D20" s="269" t="s">
        <v>130</v>
      </c>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v>0</v>
      </c>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v>0</v>
      </c>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t="s">
        <v>130</v>
      </c>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t="s">
        <v>130</v>
      </c>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v>0</v>
      </c>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2665</v>
      </c>
      <c r="C40" s="278"/>
      <c r="E40" s="60"/>
    </row>
    <row r="41" spans="1:13" ht="15.75" x14ac:dyDescent="0.25">
      <c r="A41" s="12" t="s">
        <v>208</v>
      </c>
      <c r="B41" s="276" t="str">
        <f>B10</f>
        <v>High Speed Rail Authority</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2665</v>
      </c>
      <c r="C71" s="278"/>
    </row>
    <row r="72" spans="1:13" ht="15.75" x14ac:dyDescent="0.25">
      <c r="A72" s="12" t="s">
        <v>208</v>
      </c>
      <c r="B72" s="276" t="str">
        <f>B10</f>
        <v>High Speed Rail Authority</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workbookViewId="0">
      <selection activeCell="F10" sqref="F1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Both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2665 - High Speed Rail Authority</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'LS-Fund 3228 Journal Entries'!K23+'LS-Fund 6043 Journal Entries'!K23</f>
        <v>2425309</v>
      </c>
      <c r="G10" s="103"/>
      <c r="H10" s="107">
        <f>'LS-Fund 3228 Journal Entries'!K48+'LS-Fund 3228 Journal Entries'!K113</f>
        <v>7014095</v>
      </c>
      <c r="I10" s="103"/>
      <c r="J10" s="107">
        <f>'LS-Fund 3228 Journal Entries'!J68+'LS-Fund 6043 Journal Entries'!J96</f>
        <v>2744993</v>
      </c>
      <c r="K10" s="103"/>
      <c r="L10" s="109">
        <f>SUM(F10+H10-J10)</f>
        <v>6694411</v>
      </c>
      <c r="M10" s="103"/>
      <c r="N10" s="107">
        <f>'LS-Fund 3228 Journal Entries'!J75</f>
        <v>2475445</v>
      </c>
      <c r="O10" s="103"/>
      <c r="P10" s="109">
        <f>L10-N10</f>
        <v>4218966</v>
      </c>
      <c r="Q10" s="71"/>
    </row>
    <row r="11" spans="2:17" ht="19.5" thickTop="1" thickBot="1" x14ac:dyDescent="0.3">
      <c r="B11" s="69"/>
      <c r="C11" s="73" t="s">
        <v>21</v>
      </c>
      <c r="F11" s="108">
        <f>SUM(F10:F10)</f>
        <v>2425309</v>
      </c>
      <c r="G11" s="103"/>
      <c r="H11" s="108">
        <f>SUM(H10:H10)</f>
        <v>7014095</v>
      </c>
      <c r="I11" s="103"/>
      <c r="J11" s="108">
        <f>SUM(J10:J10)</f>
        <v>2744993</v>
      </c>
      <c r="K11" s="103"/>
      <c r="L11" s="108">
        <f>SUM(L10:L10)</f>
        <v>6694411</v>
      </c>
      <c r="M11" s="103"/>
      <c r="N11" s="108">
        <f>SUM(N10:N10)</f>
        <v>2475445</v>
      </c>
      <c r="O11" s="103"/>
      <c r="P11" s="108">
        <f>SUM(P10:P10)</f>
        <v>4218966</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Both Journal Entries'!$F$8="Proprietary - Internal Service Fund",'LS-Fund Both Journal Entries'!$K$23,0)</f>
        <v>0</v>
      </c>
      <c r="G14" s="103"/>
      <c r="H14" s="107">
        <f>IF('LS-Fund Both Journal Entries'!$F$8="Proprietary - Internal Service Fund",SUM('LS-Fund Both Journal Entries'!$K$48,'LS-Fund Both Journal Entries'!K113),0)</f>
        <v>0</v>
      </c>
      <c r="I14" s="103"/>
      <c r="J14" s="107">
        <f>IF('LS-Fund Both Journal Entries'!$F$8="Proprietary - Internal Service Fund",SUM('LS-Fund Both Journal Entries'!$J$68,'LS-Fund Both Journal Entries'!J96),0)</f>
        <v>0</v>
      </c>
      <c r="K14" s="103"/>
      <c r="L14" s="109">
        <f>SUM(F14+H14-J14)</f>
        <v>0</v>
      </c>
      <c r="M14" s="103"/>
      <c r="N14" s="107">
        <f>IF('LS-Fund Both Journal Entries'!$F$8="Proprietary - Internal Service Fund",'LS-Fund Both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Both Journal Entries'!$F$8="Proprietary - Enterprise Fund",'LS-Fund Both Journal Entries'!$K$23,0)</f>
        <v>0</v>
      </c>
      <c r="G18" s="103"/>
      <c r="H18" s="107">
        <f>IF('LS-Fund Both Journal Entries'!$F$8="Proprietary - Enterprise Fund",SUM('LS-Fund Both Journal Entries'!$K$48,'LS-Fund Both Journal Entries'!K113),0)</f>
        <v>0</v>
      </c>
      <c r="I18" s="103"/>
      <c r="J18" s="107">
        <f>IF('LS-Fund Both Journal Entries'!$F$8="Proprietary - Enterprise Fund",SUM('LS-Fund Both Journal Entries'!$J$68,'LS-Fund Both Journal Entries'!J96),0)</f>
        <v>0</v>
      </c>
      <c r="K18" s="103"/>
      <c r="L18" s="109">
        <f>SUM(F18+H18-J18)</f>
        <v>0</v>
      </c>
      <c r="M18" s="103"/>
      <c r="N18" s="107">
        <f>IF('LS-Fund Both Journal Entries'!$F$8="Proprietary - Enterprise Fund",'LS-Fund Both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workbookViewId="0">
      <selection activeCell="F16" sqref="F1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v>2425309</v>
      </c>
      <c r="C16" s="168" t="s">
        <v>155</v>
      </c>
      <c r="D16" s="130">
        <f>'LS-Fund 3228 Journal Entries'!K48</f>
        <v>6581939</v>
      </c>
      <c r="E16" s="170" t="s">
        <v>156</v>
      </c>
      <c r="F16" s="130">
        <f>'LS-Fund 3228 Journal Entries'!J68</f>
        <v>2225937</v>
      </c>
      <c r="G16" s="169" t="s">
        <v>156</v>
      </c>
      <c r="H16" s="130">
        <f>'LS-Fund 6043 Journal Entries'!J96</f>
        <v>519056</v>
      </c>
      <c r="I16" s="169" t="s">
        <v>155</v>
      </c>
      <c r="J16" s="130">
        <f>'LS-Fund 3228 Journal Entries'!K113</f>
        <v>432156</v>
      </c>
      <c r="K16" s="170" t="s">
        <v>159</v>
      </c>
      <c r="L16" s="133">
        <f>+B16+D16-F16-H16+J16</f>
        <v>6694411</v>
      </c>
      <c r="M16" s="132"/>
      <c r="N16" s="134">
        <f>SUM('LS-Department Note Disclosure'!B13:B36)</f>
        <v>6694411</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Both Journal Entries'!$F$8="Proprietary - Internal Service Fund",'LS-Fund Both Journal Entries'!$K$23,0)</f>
        <v>0</v>
      </c>
      <c r="C24" s="168" t="s">
        <v>155</v>
      </c>
      <c r="D24" s="130">
        <f>IF('LS-Fund Both Journal Entries'!$F$8="Proprietary - Internal Service Fund",'LS-Fund Both Journal Entries'!$K$48,0)</f>
        <v>0</v>
      </c>
      <c r="E24" s="170" t="s">
        <v>156</v>
      </c>
      <c r="F24" s="130">
        <f>IF('LS-Fund Both Journal Entries'!$F$8="Proprietary - Internal Service Fund",'LS-Fund Both Journal Entries'!$J$68,0)</f>
        <v>0</v>
      </c>
      <c r="G24" s="169" t="s">
        <v>156</v>
      </c>
      <c r="H24" s="130">
        <f>IF('LS-Fund Both Journal Entries'!$F$8="Proprietary - Internal Service Fund",'LS-Fund Both Journal Entries'!$J$96,0)</f>
        <v>0</v>
      </c>
      <c r="I24" s="169" t="s">
        <v>155</v>
      </c>
      <c r="J24" s="130">
        <f>IF('LS-Fund Both Journal Entries'!$F$8="Proprietary - Internal Service Fund",'LS-Fund Both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Both Journal Entries'!$F$8="Proprietary - Enterprise Fund",'LS-Fund Both Journal Entries'!$K$23,0)</f>
        <v>0</v>
      </c>
      <c r="C33" s="168" t="s">
        <v>155</v>
      </c>
      <c r="D33" s="130">
        <f>IF('LS-Fund Both Journal Entries'!$F$8="Proprietary - Enterprise Fund",'LS-Fund Both Journal Entries'!$K$48,0)</f>
        <v>0</v>
      </c>
      <c r="E33" s="170" t="s">
        <v>156</v>
      </c>
      <c r="F33" s="130">
        <f>IF('LS-Fund Both Journal Entries'!$F$8="Proprietary - Enterprise Fund",'LS-Fund Both Journal Entries'!$J$68,0)</f>
        <v>0</v>
      </c>
      <c r="G33" s="169" t="s">
        <v>156</v>
      </c>
      <c r="H33" s="130">
        <f>IF('LS-Fund Both Journal Entries'!$F$8="Proprietary - Enterprise Fund",'LS-Fund Both Journal Entries'!$J$96,0)</f>
        <v>0</v>
      </c>
      <c r="I33" s="169" t="s">
        <v>155</v>
      </c>
      <c r="J33" s="130">
        <f>IF('LS-Fund Both Journal Entries'!$F$8="Proprietary - Enterprise Fund",'LS-Fund Both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'LS-Fund 3228 Journal Entries'!J75</f>
        <v>2475445</v>
      </c>
      <c r="C42" s="138"/>
      <c r="E42" s="138"/>
      <c r="G42" s="167"/>
      <c r="H42" s="167"/>
      <c r="I42" s="167"/>
      <c r="J42" s="167"/>
      <c r="K42" s="138"/>
      <c r="L42" s="138"/>
      <c r="M42" s="139"/>
      <c r="N42" s="134">
        <f>'LS-Department Note Disclosure'!B13</f>
        <v>2475445</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Both Journal Entries'!$F$8="Proprietary - Internal Service Fund",'LS-Fund Both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Both Journal Entries'!$F$8="Proprietary - Enterprise Fund",'LS-Fund Both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2425309</v>
      </c>
      <c r="J66" s="143">
        <f>SUM(D66)</f>
        <v>2425309</v>
      </c>
      <c r="L66" s="144" t="str">
        <f>CONCATENATE("Balance July 1, ",LEFT('LS-Department Note Disclosure'!$B$8,4))</f>
        <v>Balance July 1, 2023</v>
      </c>
      <c r="N66" s="143">
        <f>'LS-Lease Liabilities'!F10</f>
        <v>2425309</v>
      </c>
      <c r="P66" s="135">
        <f>J66-N66</f>
        <v>0</v>
      </c>
    </row>
    <row r="67" spans="1:17" x14ac:dyDescent="0.25">
      <c r="B67" s="125" t="s">
        <v>166</v>
      </c>
      <c r="D67" s="143">
        <f>$D$16</f>
        <v>6581939</v>
      </c>
      <c r="E67" s="171" t="s">
        <v>155</v>
      </c>
      <c r="F67" s="125" t="s">
        <v>1753</v>
      </c>
      <c r="H67" s="143">
        <f>$J$16</f>
        <v>432156</v>
      </c>
      <c r="J67" s="143">
        <f>SUM(D67,H67)</f>
        <v>7014095</v>
      </c>
      <c r="L67" s="144" t="s">
        <v>14</v>
      </c>
      <c r="N67" s="143">
        <f>'LS-Lease Liabilities'!H10</f>
        <v>7014095</v>
      </c>
      <c r="P67" s="135">
        <f t="shared" ref="P67:P69" si="0">J67-N67</f>
        <v>0</v>
      </c>
    </row>
    <row r="68" spans="1:17" x14ac:dyDescent="0.25">
      <c r="B68" s="125" t="s">
        <v>161</v>
      </c>
      <c r="D68" s="143">
        <f>$F$16</f>
        <v>2225937</v>
      </c>
      <c r="E68" s="171" t="s">
        <v>155</v>
      </c>
      <c r="F68" s="125" t="s">
        <v>1750</v>
      </c>
      <c r="H68" s="143">
        <f>$H$16</f>
        <v>519056</v>
      </c>
      <c r="J68" s="143">
        <f>SUM(D68,H68)</f>
        <v>2744993</v>
      </c>
      <c r="L68" s="144" t="s">
        <v>15</v>
      </c>
      <c r="N68" s="143">
        <f>'LS-Lease Liabilities'!J10</f>
        <v>2744993</v>
      </c>
      <c r="P68" s="135">
        <f t="shared" si="0"/>
        <v>0</v>
      </c>
    </row>
    <row r="69" spans="1:17" x14ac:dyDescent="0.25">
      <c r="B69" s="125" t="s">
        <v>165</v>
      </c>
      <c r="D69" s="143">
        <f>$B$42</f>
        <v>2475445</v>
      </c>
      <c r="J69" s="143">
        <f>SUM(D69)</f>
        <v>2475445</v>
      </c>
      <c r="L69" s="144" t="s">
        <v>16</v>
      </c>
      <c r="N69" s="143">
        <f>'LS-Lease Liabilities'!N10</f>
        <v>2475445</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workbookViewId="0">
      <selection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workbookViewId="0">
      <selection sqref="A1:F2"/>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2" t="s">
        <v>1666</v>
      </c>
      <c r="B1" s="262"/>
      <c r="C1" s="262"/>
      <c r="D1" s="262"/>
      <c r="E1" s="262"/>
      <c r="F1" s="262"/>
      <c r="G1" s="262"/>
      <c r="H1" s="262"/>
      <c r="I1" s="262"/>
      <c r="J1" s="262"/>
      <c r="K1" s="262"/>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t="s">
        <v>24</v>
      </c>
      <c r="H3" s="7"/>
      <c r="I3" s="7"/>
      <c r="J3" s="7"/>
      <c r="K3" s="7"/>
      <c r="L3" s="7"/>
      <c r="M3" s="7"/>
      <c r="N3" s="7"/>
      <c r="O3" s="7"/>
      <c r="P3" s="7"/>
      <c r="Q3" s="7"/>
      <c r="R3" s="7"/>
    </row>
    <row r="4" spans="1:20" ht="17.45" customHeight="1" x14ac:dyDescent="0.25">
      <c r="A4" s="293" t="s">
        <v>208</v>
      </c>
      <c r="B4" s="293"/>
      <c r="C4" s="293"/>
      <c r="D4" s="293"/>
      <c r="E4" s="97"/>
      <c r="H4" s="7"/>
      <c r="I4" s="7"/>
      <c r="J4" s="7"/>
      <c r="K4" s="7"/>
      <c r="L4" s="7"/>
      <c r="M4" s="7"/>
      <c r="N4" s="7"/>
      <c r="O4" s="7"/>
      <c r="P4" s="7"/>
      <c r="Q4" s="7"/>
      <c r="R4" s="7"/>
    </row>
    <row r="5" spans="1:20" ht="17.45" customHeight="1" x14ac:dyDescent="0.25">
      <c r="A5" s="293" t="s">
        <v>1683</v>
      </c>
      <c r="B5" s="293"/>
      <c r="C5" s="293"/>
      <c r="D5" s="293"/>
      <c r="E5" s="161"/>
      <c r="H5" s="7"/>
      <c r="I5" s="7"/>
      <c r="J5" s="8"/>
      <c r="K5" s="8"/>
      <c r="L5" s="8"/>
      <c r="M5" s="8"/>
      <c r="N5" s="8"/>
      <c r="O5" s="8"/>
      <c r="P5" s="8"/>
      <c r="Q5" s="7"/>
      <c r="R5" s="7"/>
    </row>
    <row r="6" spans="1:20" ht="17.45" customHeight="1" x14ac:dyDescent="0.25">
      <c r="A6" s="293" t="s">
        <v>1684</v>
      </c>
      <c r="B6" s="293"/>
      <c r="C6" s="293"/>
      <c r="D6" s="293"/>
      <c r="E6" s="97"/>
      <c r="G6" s="8"/>
      <c r="H6" s="8"/>
      <c r="I6" s="8"/>
      <c r="J6" s="8"/>
      <c r="K6" s="8"/>
      <c r="L6" s="8"/>
      <c r="M6" s="8"/>
      <c r="N6" s="8"/>
      <c r="O6" s="8"/>
      <c r="P6" s="8"/>
      <c r="Q6" s="7"/>
      <c r="R6" s="7"/>
    </row>
    <row r="7" spans="1:20" ht="17.45" customHeight="1" x14ac:dyDescent="0.25">
      <c r="A7" s="293" t="s">
        <v>3</v>
      </c>
      <c r="B7" s="293"/>
      <c r="C7" s="293"/>
      <c r="D7" s="293"/>
      <c r="E7" s="35"/>
      <c r="G7" s="8"/>
      <c r="H7" s="8"/>
      <c r="I7" s="8"/>
      <c r="J7" s="8"/>
      <c r="K7" s="8"/>
      <c r="L7" s="8"/>
      <c r="M7" s="8"/>
      <c r="N7" s="8"/>
      <c r="O7" s="8"/>
      <c r="P7" s="8"/>
      <c r="Q7" s="7"/>
      <c r="R7" s="7"/>
    </row>
    <row r="8" spans="1:20" ht="17.45" customHeight="1" x14ac:dyDescent="0.25">
      <c r="A8" s="293" t="s">
        <v>1640</v>
      </c>
      <c r="B8" s="293"/>
      <c r="C8" s="293"/>
      <c r="D8" s="293"/>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6" t="s">
        <v>1671</v>
      </c>
      <c r="N13" s="267"/>
      <c r="O13" s="188"/>
      <c r="P13" s="266" t="s">
        <v>1667</v>
      </c>
      <c r="Q13" s="267"/>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0755 - SALES &amp; SERVICES</v>
      </c>
      <c r="C30" s="291"/>
      <c r="D30" s="291"/>
      <c r="E30" s="291"/>
      <c r="F30" s="291"/>
      <c r="G30" s="291"/>
      <c r="H30" s="291"/>
      <c r="I30" s="291"/>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c r="O42" s="9"/>
      <c r="P42" s="9"/>
      <c r="Q42" s="9"/>
      <c r="R42" s="9"/>
      <c r="S42" s="9"/>
      <c r="T42" s="9"/>
      <c r="U42" s="9"/>
      <c r="V42" s="9"/>
    </row>
    <row r="43" spans="1:22" ht="17.45" customHeight="1" x14ac:dyDescent="0.2">
      <c r="A43" s="15"/>
      <c r="B43" s="292" t="s">
        <v>1738</v>
      </c>
      <c r="C43" s="292"/>
      <c r="D43" s="292"/>
      <c r="E43" s="292"/>
      <c r="F43" s="292"/>
      <c r="G43" s="292"/>
      <c r="H43" s="292"/>
      <c r="I43" s="292"/>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workbookViewId="0">
      <selection sqref="A1:F2"/>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24</v>
      </c>
      <c r="C9" s="297"/>
      <c r="D9" s="52"/>
      <c r="F9" s="81"/>
      <c r="G9" s="81"/>
      <c r="H9" s="81"/>
      <c r="I9" s="81"/>
      <c r="J9" s="81"/>
      <c r="K9" s="81"/>
      <c r="L9" s="81"/>
      <c r="M9" s="81"/>
      <c r="N9" s="81"/>
      <c r="O9" s="81"/>
      <c r="P9" s="6"/>
      <c r="Q9" s="6"/>
      <c r="R9" s="6"/>
      <c r="S9" s="6"/>
    </row>
    <row r="10" spans="1:19" ht="15.75" x14ac:dyDescent="0.25">
      <c r="A10" s="12" t="s">
        <v>209</v>
      </c>
      <c r="B10" s="298"/>
      <c r="C10" s="298"/>
      <c r="D10" s="82"/>
      <c r="F10" s="38"/>
      <c r="G10" s="38"/>
      <c r="H10" s="38"/>
      <c r="I10" s="38"/>
      <c r="J10" s="38"/>
      <c r="K10" s="38"/>
      <c r="L10" s="38"/>
      <c r="M10" s="38"/>
      <c r="N10" s="38"/>
      <c r="O10" s="38"/>
      <c r="P10" s="6"/>
      <c r="Q10" s="6"/>
      <c r="R10" s="6"/>
      <c r="S10" s="6"/>
    </row>
    <row r="11" spans="1:19" ht="15.75" x14ac:dyDescent="0.25">
      <c r="A11" s="12" t="s">
        <v>208</v>
      </c>
      <c r="B11" s="297"/>
      <c r="C11" s="297"/>
      <c r="D11" s="82"/>
      <c r="F11" s="5"/>
      <c r="G11" s="5"/>
      <c r="H11" s="5"/>
      <c r="I11" s="5"/>
      <c r="J11" s="5"/>
      <c r="K11" s="5"/>
      <c r="L11" s="5"/>
      <c r="M11" s="5"/>
      <c r="N11" s="5"/>
      <c r="O11" s="5"/>
      <c r="P11" s="5"/>
      <c r="Q11" s="5"/>
      <c r="R11" s="5"/>
      <c r="S11" s="5"/>
    </row>
    <row r="12" spans="1:19" ht="30" customHeight="1" x14ac:dyDescent="0.25">
      <c r="A12" s="295" t="s">
        <v>1761</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1"/>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1"/>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1"/>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1"/>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0</v>
      </c>
      <c r="C41" s="278"/>
      <c r="D41" s="91"/>
    </row>
    <row r="42" spans="1:19" ht="15.75" x14ac:dyDescent="0.25">
      <c r="A42" s="12" t="s">
        <v>208</v>
      </c>
      <c r="B42" s="276">
        <f>B11</f>
        <v>0</v>
      </c>
      <c r="C42" s="276"/>
      <c r="D42" s="55"/>
    </row>
    <row r="43" spans="1:19" ht="30" customHeight="1" x14ac:dyDescent="0.25">
      <c r="A43" s="295" t="s">
        <v>1761</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0</v>
      </c>
      <c r="C72" s="278"/>
      <c r="D72" s="91"/>
    </row>
    <row r="73" spans="1:19" ht="15.75" x14ac:dyDescent="0.25">
      <c r="A73" s="12" t="s">
        <v>208</v>
      </c>
      <c r="B73" s="276">
        <f>B42</f>
        <v>0</v>
      </c>
      <c r="C73" s="276"/>
      <c r="D73" s="55"/>
    </row>
    <row r="74" spans="1:19" ht="30" customHeight="1" x14ac:dyDescent="0.25">
      <c r="A74" s="295" t="s">
        <v>1761</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workbookViewId="0">
      <selection sqref="A1:F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workbookViewId="0">
      <selection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workbookViewId="0">
      <selection sqref="A1:F2"/>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2" t="s">
        <v>1665</v>
      </c>
      <c r="B1" s="262"/>
      <c r="C1" s="262"/>
      <c r="D1" s="262"/>
      <c r="E1" s="262"/>
      <c r="F1" s="262"/>
      <c r="G1" s="262"/>
      <c r="H1" s="262"/>
      <c r="I1" s="262"/>
      <c r="J1" s="262"/>
      <c r="K1" s="262"/>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0" t="s">
        <v>12</v>
      </c>
      <c r="B3" s="260"/>
      <c r="C3" s="260"/>
      <c r="D3" s="260"/>
      <c r="E3" s="260"/>
      <c r="F3" s="263" t="s">
        <v>24</v>
      </c>
      <c r="G3" s="263"/>
      <c r="H3" s="263"/>
      <c r="I3" s="263"/>
    </row>
    <row r="4" spans="1:20" ht="15.75" x14ac:dyDescent="0.2">
      <c r="A4" s="260" t="s">
        <v>208</v>
      </c>
      <c r="B4" s="260"/>
      <c r="C4" s="260"/>
      <c r="D4" s="260"/>
      <c r="E4" s="260"/>
      <c r="F4" s="261"/>
      <c r="G4" s="261"/>
      <c r="H4" s="261"/>
      <c r="I4" s="261"/>
      <c r="L4" s="39"/>
      <c r="M4" s="39"/>
      <c r="N4" s="39"/>
      <c r="O4" s="39"/>
      <c r="P4" s="39"/>
      <c r="Q4" s="39"/>
    </row>
    <row r="5" spans="1:20" ht="15.75" x14ac:dyDescent="0.2">
      <c r="A5" s="260" t="s">
        <v>1639</v>
      </c>
      <c r="B5" s="260"/>
      <c r="C5" s="260"/>
      <c r="D5" s="260"/>
      <c r="E5" s="260"/>
      <c r="F5" s="261"/>
      <c r="G5" s="261"/>
      <c r="H5" s="261"/>
      <c r="I5" s="261"/>
      <c r="L5" s="40"/>
      <c r="M5" s="40"/>
      <c r="N5" s="40"/>
      <c r="O5" s="40"/>
      <c r="P5" s="39"/>
      <c r="Q5" s="39"/>
    </row>
    <row r="6" spans="1:20" ht="18" x14ac:dyDescent="0.25">
      <c r="A6" s="260" t="s">
        <v>2</v>
      </c>
      <c r="B6" s="260"/>
      <c r="C6" s="260"/>
      <c r="D6" s="260"/>
      <c r="E6" s="260"/>
      <c r="F6" s="264"/>
      <c r="G6" s="264"/>
      <c r="H6" s="264"/>
      <c r="I6" s="264"/>
      <c r="K6" s="96"/>
      <c r="L6" s="40"/>
      <c r="M6" s="40"/>
      <c r="N6" s="40"/>
      <c r="O6" s="40"/>
      <c r="P6" s="39"/>
      <c r="Q6" s="39"/>
    </row>
    <row r="7" spans="1:20" ht="18" x14ac:dyDescent="0.25">
      <c r="A7" s="260" t="s">
        <v>3</v>
      </c>
      <c r="B7" s="260"/>
      <c r="C7" s="260"/>
      <c r="D7" s="260"/>
      <c r="E7" s="260"/>
      <c r="F7" s="264"/>
      <c r="G7" s="264"/>
      <c r="H7" s="264"/>
      <c r="I7" s="264"/>
      <c r="K7" s="96"/>
      <c r="L7" s="40"/>
      <c r="M7" s="40"/>
      <c r="N7" s="40"/>
      <c r="O7" s="40"/>
      <c r="P7" s="39"/>
      <c r="Q7" s="39"/>
    </row>
    <row r="8" spans="1:20" ht="18" x14ac:dyDescent="0.25">
      <c r="A8" s="260" t="s">
        <v>1640</v>
      </c>
      <c r="B8" s="260"/>
      <c r="C8" s="260"/>
      <c r="D8" s="260"/>
      <c r="E8" s="260"/>
      <c r="F8" s="264"/>
      <c r="G8" s="264"/>
      <c r="H8" s="264"/>
      <c r="I8" s="264"/>
      <c r="K8" s="96"/>
      <c r="L8" s="40"/>
      <c r="M8" s="40"/>
      <c r="N8" s="40"/>
      <c r="O8" s="40"/>
      <c r="P8" s="39"/>
      <c r="Q8" s="39"/>
    </row>
    <row r="9" spans="1:20" ht="15.75" x14ac:dyDescent="0.25">
      <c r="A9" s="260" t="s">
        <v>1638</v>
      </c>
      <c r="B9" s="260"/>
      <c r="C9" s="260"/>
      <c r="D9" s="260"/>
      <c r="E9" s="260"/>
      <c r="F9" s="265" t="str">
        <f>IFERROR(IF(F7="Proprietary","Proprietary Fund",VLOOKUP(F5,qryIndex02a!$A$2:$K$654,4,FALSE)),"Unidentified")</f>
        <v>Unidentified</v>
      </c>
      <c r="G9" s="265"/>
      <c r="H9" s="265"/>
      <c r="I9" s="265"/>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6" t="s">
        <v>1670</v>
      </c>
      <c r="N14" s="267"/>
      <c r="P14" s="266" t="s">
        <v>1667</v>
      </c>
      <c r="Q14" s="267"/>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workbookViewId="0">
      <selection sqref="A1:F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10</vt:i4>
      </vt:variant>
    </vt:vector>
  </HeadingPairs>
  <TitlesOfParts>
    <vt:vector size="26" baseType="lpstr">
      <vt:lpstr>Drop Down Menus</vt:lpstr>
      <vt:lpstr>qryIndex02a</vt:lpstr>
      <vt:lpstr>LS-Version Changes</vt:lpstr>
      <vt:lpstr>LS-Fund 3228 Journal Entries</vt:lpstr>
      <vt:lpstr>LS-Fund 6043 Journal Entries</vt:lpstr>
      <vt:lpstr>LS-Fund Both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3228 Journal Entries'!Print_Area</vt:lpstr>
      <vt:lpstr>'LS-Fund 6043 Journal Entries'!Print_Area</vt:lpstr>
      <vt:lpstr>'LS-Fund Both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cp:lastPrinted>2024-09-14T00:58:00Z</cp:lastPrinted>
  <dcterms:created xsi:type="dcterms:W3CDTF">2023-03-08T17:19:33Z</dcterms:created>
  <dcterms:modified xsi:type="dcterms:W3CDTF">2025-03-07T17:29:10Z</dcterms:modified>
</cp:coreProperties>
</file>