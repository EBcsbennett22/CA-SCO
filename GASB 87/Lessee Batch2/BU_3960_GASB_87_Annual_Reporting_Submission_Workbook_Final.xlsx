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8_{42A942D2-0C80-401C-998E-69D1009859FC}" xr6:coauthVersionLast="47" xr6:coauthVersionMax="47" xr10:uidLastSave="{00000000-0000-0000-0000-000000000000}"/>
  <bookViews>
    <workbookView xWindow="20370" yWindow="-120" windowWidth="38640" windowHeight="15840" tabRatio="921" firstSheet="2" activeTab="4" xr2:uid="{00000000-000D-0000-FFFF-FFFF00000000}"/>
  </bookViews>
  <sheets>
    <sheet name="Drop Down Menus" sheetId="1" state="hidden" r:id="rId1"/>
    <sheet name="qryIndex02a" sheetId="11" state="hidden" r:id="rId2"/>
    <sheet name="LS-Fund 0014 Journal Entries" sheetId="2" r:id="rId3"/>
    <sheet name="LS-Fund 0557 Journal Entries" sheetId="16" r:id="rId4"/>
    <sheet name="LS-Fund 3084 Journal Entries" sheetId="17" r:id="rId5"/>
    <sheet name="LS-Department Note Disclosure" sheetId="3" r:id="rId6"/>
    <sheet name="LS-Lease Liabilities" sheetId="4" r:id="rId7"/>
    <sheet name="LS-Check Figures  " sheetId="7" r:id="rId8"/>
  </sheets>
  <externalReferences>
    <externalReference r:id="rId9"/>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5">'LS-Department Note Disclosure'!$A$1:$F$96</definedName>
    <definedName name="_xlnm.Print_Area" localSheetId="2">'LS-Fund 0014 Journal Entries'!$A$1:$R$130</definedName>
    <definedName name="_xlnm.Print_Area" localSheetId="3">'LS-Fund 0557 Journal Entries'!$A$1:$R$130</definedName>
    <definedName name="_xlnm.Print_Area" localSheetId="4">'LS-Fund 3084 Journal Entries'!$A$1:$R$130</definedName>
    <definedName name="_xlnm.Print_Area" localSheetId="6">'LS-Lease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4" l="1"/>
  <c r="N10" i="4"/>
  <c r="H10" i="4"/>
  <c r="F10" i="4"/>
  <c r="B42" i="7"/>
  <c r="J16" i="7"/>
  <c r="H16" i="7"/>
  <c r="F16" i="7"/>
  <c r="D16" i="7"/>
  <c r="B16" i="7"/>
  <c r="M18" i="16"/>
  <c r="N23" i="16"/>
  <c r="S23" i="16" s="1"/>
  <c r="M18" i="17"/>
  <c r="N23" i="17"/>
  <c r="K23" i="17" s="1"/>
  <c r="K128" i="17" s="1"/>
  <c r="M18" i="2"/>
  <c r="K129" i="17"/>
  <c r="K123" i="17"/>
  <c r="K114" i="17"/>
  <c r="J114" i="17"/>
  <c r="L114" i="17" s="1"/>
  <c r="K105" i="17"/>
  <c r="J105" i="17"/>
  <c r="L105" i="17" s="1"/>
  <c r="K91" i="17"/>
  <c r="J91" i="17"/>
  <c r="L91" i="17" s="1"/>
  <c r="K77" i="17"/>
  <c r="J77" i="17"/>
  <c r="K70" i="17"/>
  <c r="J70" i="17"/>
  <c r="L69" i="17"/>
  <c r="K65" i="17"/>
  <c r="J65" i="17"/>
  <c r="B63" i="17"/>
  <c r="L62" i="17"/>
  <c r="K59" i="17"/>
  <c r="J59" i="17"/>
  <c r="K49" i="17"/>
  <c r="J49" i="17"/>
  <c r="L49" i="17" s="1"/>
  <c r="K43" i="17"/>
  <c r="L43" i="17" s="1"/>
  <c r="J43" i="17"/>
  <c r="K36" i="17"/>
  <c r="L36" i="17" s="1"/>
  <c r="J36" i="17"/>
  <c r="S25" i="17"/>
  <c r="Q24" i="17"/>
  <c r="S24" i="17" s="1"/>
  <c r="S22" i="17"/>
  <c r="K22" i="17"/>
  <c r="K127" i="17" s="1"/>
  <c r="S21" i="17"/>
  <c r="K21" i="17"/>
  <c r="K126" i="17" s="1"/>
  <c r="S20" i="17"/>
  <c r="K20" i="17"/>
  <c r="S19" i="17"/>
  <c r="P18" i="17"/>
  <c r="J18" i="17" s="1"/>
  <c r="S17" i="17"/>
  <c r="J17" i="17"/>
  <c r="K124" i="17" s="1"/>
  <c r="S16" i="17"/>
  <c r="J16" i="17"/>
  <c r="S15" i="17"/>
  <c r="J15" i="17"/>
  <c r="K122" i="17" s="1"/>
  <c r="F9" i="17"/>
  <c r="C104" i="17" s="1"/>
  <c r="K129" i="16"/>
  <c r="L114" i="16"/>
  <c r="K114" i="16"/>
  <c r="J114" i="16"/>
  <c r="K105" i="16"/>
  <c r="J105" i="16"/>
  <c r="L105" i="16" s="1"/>
  <c r="L91" i="16"/>
  <c r="K91" i="16"/>
  <c r="J91" i="16"/>
  <c r="K77" i="16"/>
  <c r="J77" i="16"/>
  <c r="L77" i="16" s="1"/>
  <c r="K70" i="16"/>
  <c r="J70" i="16"/>
  <c r="L69" i="16"/>
  <c r="K65" i="16"/>
  <c r="J65" i="16"/>
  <c r="B63" i="16"/>
  <c r="L62" i="16"/>
  <c r="K59" i="16"/>
  <c r="J59" i="16"/>
  <c r="K49" i="16"/>
  <c r="J49" i="16"/>
  <c r="L49" i="16" s="1"/>
  <c r="K43" i="16"/>
  <c r="J43" i="16"/>
  <c r="L43" i="16" s="1"/>
  <c r="L36" i="16"/>
  <c r="K36" i="16"/>
  <c r="J36" i="16"/>
  <c r="S25" i="16"/>
  <c r="Q24" i="16"/>
  <c r="S24" i="16" s="1"/>
  <c r="S22" i="16"/>
  <c r="K22" i="16"/>
  <c r="S21" i="16"/>
  <c r="K21" i="16"/>
  <c r="K126" i="16" s="1"/>
  <c r="S20" i="16"/>
  <c r="K20" i="16"/>
  <c r="K125" i="16" s="1"/>
  <c r="S19" i="16"/>
  <c r="P18" i="16"/>
  <c r="J18" i="16" s="1"/>
  <c r="S17" i="16"/>
  <c r="J17" i="16"/>
  <c r="K124" i="16" s="1"/>
  <c r="S16" i="16"/>
  <c r="J16" i="16"/>
  <c r="K123" i="16" s="1"/>
  <c r="S15" i="16"/>
  <c r="J15" i="16"/>
  <c r="K122" i="16" s="1"/>
  <c r="F9" i="16"/>
  <c r="C35" i="16" s="1"/>
  <c r="L70" i="16" l="1"/>
  <c r="L65" i="16"/>
  <c r="L59" i="16"/>
  <c r="K23" i="16"/>
  <c r="K128" i="16" s="1"/>
  <c r="K24" i="16"/>
  <c r="S18" i="17"/>
  <c r="K24" i="17"/>
  <c r="S23" i="17"/>
  <c r="K25" i="17"/>
  <c r="K26" i="17" s="1"/>
  <c r="L77" i="17"/>
  <c r="L70" i="17"/>
  <c r="L65" i="17"/>
  <c r="L59" i="17"/>
  <c r="B100" i="17"/>
  <c r="J19" i="17"/>
  <c r="J26" i="17" s="1"/>
  <c r="C64" i="17"/>
  <c r="C35" i="17"/>
  <c r="K125" i="17"/>
  <c r="K25" i="16"/>
  <c r="K26" i="16" s="1"/>
  <c r="B100" i="16"/>
  <c r="C104" i="16"/>
  <c r="S18" i="16"/>
  <c r="C64" i="16"/>
  <c r="J19" i="16"/>
  <c r="J26" i="16" s="1"/>
  <c r="K127" i="16"/>
  <c r="L26" i="16" l="1"/>
  <c r="L26" i="17"/>
  <c r="B63" i="2" l="1"/>
  <c r="J18" i="4"/>
  <c r="J14" i="4"/>
  <c r="H18" i="4"/>
  <c r="H14" i="4"/>
  <c r="N18" i="4"/>
  <c r="N14" i="4"/>
  <c r="F18" i="4"/>
  <c r="F14" i="4"/>
  <c r="L69" i="2"/>
  <c r="L62" i="2"/>
  <c r="S20" i="2"/>
  <c r="Q24" i="2"/>
  <c r="P18" i="2"/>
  <c r="K129" i="2" l="1"/>
  <c r="K20" i="2"/>
  <c r="K125" i="2" s="1"/>
  <c r="J18" i="2" l="1"/>
  <c r="S25" i="2"/>
  <c r="S24" i="2"/>
  <c r="S23" i="2"/>
  <c r="K23" i="2"/>
  <c r="S22" i="2"/>
  <c r="K22" i="2"/>
  <c r="K127" i="2" s="1"/>
  <c r="S21" i="2"/>
  <c r="K21" i="2"/>
  <c r="K126" i="2" s="1"/>
  <c r="S19" i="2"/>
  <c r="S17" i="2"/>
  <c r="J17" i="2"/>
  <c r="K124" i="2" s="1"/>
  <c r="S16" i="2"/>
  <c r="J16" i="2"/>
  <c r="K123" i="2" s="1"/>
  <c r="S15" i="2"/>
  <c r="J15" i="2"/>
  <c r="K122" i="2" s="1"/>
  <c r="K128" i="2" l="1"/>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<sst xmlns="http://schemas.openxmlformats.org/spreadsheetml/2006/main" count="7935" uniqueCount="1676">
  <si>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</si>
  <si>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</si>
  <si>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</si>
  <si>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</si>
  <si>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</si>
  <si>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</si>
  <si>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</si>
  <si>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</si>
  <si>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</si>
  <si>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</si>
  <si>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</si>
  <si>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</si>
  <si>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</si>
  <si>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</si>
  <si>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</si>
  <si>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</si>
  <si>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</si>
  <si>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</si>
  <si>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</si>
  <si>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</si>
  <si>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</si>
  <si>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</si>
  <si>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</si>
  <si>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</si>
  <si>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</si>
  <si>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</si>
  <si>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</si>
  <si>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</si>
  <si>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</si>
  <si>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</si>
  <si>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</si>
  <si>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</si>
  <si>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</si>
  <si>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</si>
  <si>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</si>
  <si>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</si>
  <si>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</si>
  <si>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</si>
  <si>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</si>
  <si>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</si>
  <si>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</si>
  <si>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</si>
  <si>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</si>
  <si>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</si>
  <si>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</si>
  <si>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</si>
  <si>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</si>
  <si>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</si>
  <si>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</si>
  <si>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</si>
  <si>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</si>
  <si>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</si>
  <si>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</si>
  <si>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</si>
  <si>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</si>
  <si>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</si>
  <si>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</si>
  <si>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</si>
  <si>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</si>
  <si>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</si>
  <si>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</si>
  <si>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</si>
  <si>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</si>
  <si>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</si>
  <si>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</si>
  <si>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</si>
  <si>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</si>
  <si>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</si>
  <si>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</si>
  <si>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</si>
  <si>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</si>
  <si>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</si>
  <si>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</si>
  <si>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</si>
  <si>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</si>
  <si>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</si>
  <si>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</si>
  <si>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</si>
  <si>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</si>
  <si>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</si>
  <si>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</si>
  <si>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</si>
  <si>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</si>
  <si>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</si>
  <si>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</si>
  <si>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</si>
  <si>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</si>
  <si>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</si>
  <si>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</si>
  <si>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</si>
  <si>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</si>
  <si>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</si>
  <si>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</si>
  <si>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</si>
  <si>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</si>
  <si>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</si>
  <si>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</si>
  <si>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</si>
  <si>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</si>
  <si>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</si>
  <si>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</si>
  <si>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</si>
  <si>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</si>
  <si>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</si>
  <si>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</si>
  <si>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</si>
  <si>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</si>
  <si>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</si>
  <si>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</si>
  <si>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</si>
  <si>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</si>
  <si>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</si>
  <si>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</si>
  <si>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</si>
  <si>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</si>
  <si>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</si>
  <si>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</si>
  <si>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</si>
  <si>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</si>
  <si>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</si>
  <si>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</si>
  <si>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</si>
  <si>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</si>
  <si>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</si>
  <si>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</si>
  <si>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</si>
  <si>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</si>
  <si>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</si>
  <si>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</si>
  <si>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</si>
  <si>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</si>
  <si>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</si>
  <si>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</si>
  <si>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</si>
  <si>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</si>
  <si>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</si>
  <si>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</si>
  <si>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</si>
  <si>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</si>
  <si>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</si>
  <si>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</si>
  <si>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</si>
  <si>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</si>
  <si>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</si>
  <si>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</si>
  <si>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</si>
  <si>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</si>
  <si>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</si>
  <si>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</si>
  <si>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</si>
  <si>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</si>
  <si>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</si>
  <si>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</si>
  <si>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</si>
  <si>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</si>
  <si>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</si>
  <si>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</si>
  <si>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</si>
  <si>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</si>
  <si>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</si>
  <si>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</si>
  <si>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</si>
  <si>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</si>
  <si>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</si>
  <si>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</si>
  <si>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</si>
  <si>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</si>
  <si>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</si>
  <si>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</si>
  <si>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</si>
  <si>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</si>
  <si>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</si>
  <si>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</si>
  <si>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</si>
  <si>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</si>
  <si>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</si>
  <si>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</si>
  <si>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</si>
  <si>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</si>
  <si>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</si>
  <si>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</si>
  <si>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</si>
  <si>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</si>
  <si>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</si>
  <si>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</si>
  <si>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</si>
  <si>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</si>
  <si>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</si>
  <si>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</si>
  <si>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</si>
  <si>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</si>
  <si>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</si>
  <si>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</si>
  <si>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</si>
  <si>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</si>
  <si>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</si>
  <si>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</si>
  <si>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</si>
  <si>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</si>
  <si>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</si>
  <si>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</si>
  <si>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</si>
  <si>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</si>
  <si>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</si>
  <si>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</si>
  <si>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</si>
  <si>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</si>
  <si>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</si>
  <si>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</si>
  <si>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</si>
  <si>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</si>
  <si>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</si>
  <si>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</si>
  <si>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</si>
  <si>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</si>
  <si>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</si>
  <si>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</si>
  <si>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</si>
  <si>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</si>
  <si>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</si>
  <si>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</si>
  <si>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</si>
  <si>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</si>
  <si>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</si>
  <si>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</si>
  <si>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</si>
  <si>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</si>
  <si>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</si>
  <si>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</si>
  <si>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</si>
  <si>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</si>
  <si>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</si>
  <si>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</si>
  <si>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</si>
  <si>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</si>
  <si>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</si>
  <si>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</si>
  <si>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</si>
  <si>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</si>
  <si>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</si>
  <si>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</si>
  <si>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</si>
  <si>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</si>
  <si>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</si>
  <si>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</si>
  <si>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</si>
  <si>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</si>
  <si>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</si>
  <si>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</si>
  <si>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</si>
  <si>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</si>
  <si>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</si>
  <si>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</si>
  <si>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</si>
  <si>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</si>
  <si>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</si>
  <si>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</si>
  <si>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</si>
  <si>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</si>
  <si>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</si>
  <si>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</si>
  <si>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</si>
  <si>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</si>
  <si>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</si>
  <si>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</si>
  <si>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</si>
  <si>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</si>
  <si>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</si>
  <si>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</si>
  <si>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</si>
  <si>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</si>
  <si>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</si>
  <si>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</si>
  <si>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</si>
  <si>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</si>
  <si>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</si>
  <si>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</si>
  <si>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</si>
  <si>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</si>
  <si>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</si>
  <si>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</si>
  <si>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</si>
  <si>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</si>
  <si>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</si>
  <si>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</si>
  <si>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</si>
  <si>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</si>
  <si>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</si>
  <si>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</si>
  <si>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</si>
  <si>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</si>
  <si>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</si>
  <si>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</si>
  <si>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</si>
  <si>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</si>
  <si>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</si>
  <si>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</si>
  <si>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</si>
  <si>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</si>
  <si>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</si>
  <si>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</si>
  <si>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</si>
  <si>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</si>
  <si>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</si>
  <si>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</si>
  <si>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</si>
  <si>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</si>
  <si>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</si>
  <si>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</si>
  <si>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</si>
  <si>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</si>
  <si>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</si>
  <si>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</si>
  <si>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</si>
  <si>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</si>
  <si>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</si>
  <si>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</si>
  <si>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</si>
  <si>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</si>
  <si>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</si>
  <si>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</si>
  <si>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</si>
  <si>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</si>
  <si>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</si>
  <si>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</si>
  <si>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</si>
  <si>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</si>
  <si>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</si>
  <si>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</si>
  <si>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</si>
  <si>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</si>
  <si>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</si>
  <si>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</si>
  <si>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</si>
  <si>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</si>
  <si>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</si>
  <si>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</si>
  <si>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</si>
  <si>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</si>
  <si>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</si>
  <si>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</si>
  <si>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</si>
  <si>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</si>
  <si>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</si>
  <si>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</si>
  <si>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</si>
  <si>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</si>
  <si>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</si>
  <si>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</si>
  <si>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</si>
  <si>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</si>
  <si>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</si>
  <si>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</si>
  <si>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</si>
  <si>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</si>
  <si>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</si>
  <si>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</si>
  <si>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</si>
  <si>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</si>
  <si>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</si>
  <si>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</si>
  <si>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</si>
  <si>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</si>
  <si>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</si>
  <si>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</si>
  <si>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</si>
  <si>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</si>
  <si>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</si>
  <si>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</si>
  <si>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</si>
  <si>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</si>
  <si>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</si>
  <si>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</si>
  <si>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</si>
  <si>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</si>
  <si>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</si>
  <si>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</si>
  <si>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</si>
  <si>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</si>
  <si>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</si>
  <si>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</si>
  <si>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</si>
  <si>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</si>
  <si>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</si>
  <si>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</si>
  <si>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</si>
  <si>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</si>
  <si>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</si>
  <si>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</si>
  <si>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</si>
  <si>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</si>
  <si>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</si>
  <si>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</si>
  <si>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</si>
  <si>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</si>
  <si>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</si>
  <si>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</si>
  <si>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</si>
  <si>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</si>
  <si>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</si>
  <si>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</si>
  <si>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</si>
  <si>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</si>
  <si>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</si>
  <si>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</si>
  <si>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</si>
  <si>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</si>
  <si>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</si>
  <si>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</si>
  <si>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</si>
  <si>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</si>
  <si>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</si>
  <si>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</si>
  <si>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</si>
  <si>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</si>
  <si>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</si>
  <si>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</si>
  <si>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</si>
  <si>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</si>
  <si>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</si>
  <si>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</si>
  <si>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</si>
  <si>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</si>
  <si>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</si>
  <si>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</si>
  <si>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</si>
  <si>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</si>
  <si>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</si>
  <si>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</si>
  <si>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</si>
  <si>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</si>
  <si>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</si>
  <si>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</si>
  <si>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</si>
  <si>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</si>
  <si>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</si>
  <si>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</si>
  <si>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</si>
  <si>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</si>
  <si>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</si>
  <si>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</si>
  <si>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</si>
  <si>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</si>
  <si>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</si>
  <si>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</si>
  <si>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</si>
  <si>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</si>
  <si>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</si>
  <si>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</si>
  <si>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</si>
  <si>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</si>
  <si>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</si>
  <si>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</si>
  <si>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</si>
  <si>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</si>
  <si>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</si>
  <si>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</si>
  <si>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</si>
  <si>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</si>
  <si>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</si>
  <si>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</si>
  <si>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</si>
  <si>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</si>
  <si>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</si>
  <si>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</si>
  <si>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</si>
  <si>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</si>
  <si>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</si>
  <si>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</si>
  <si>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</si>
  <si>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</si>
  <si>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</si>
  <si>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</si>
  <si>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</si>
  <si>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</si>
  <si>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</si>
  <si>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</si>
  <si>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</si>
  <si>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</si>
  <si>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</si>
  <si>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</si>
  <si>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</si>
  <si>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</si>
  <si>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</si>
  <si>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</si>
  <si>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</si>
  <si>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</si>
  <si>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</si>
  <si>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</si>
  <si>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</si>
  <si>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</si>
  <si>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</si>
  <si>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</si>
  <si>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</si>
  <si>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</si>
  <si>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</si>
  <si>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</si>
  <si>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</si>
  <si>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</si>
  <si>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</si>
  <si>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</si>
  <si>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</si>
  <si>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</si>
  <si>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</si>
  <si>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</si>
  <si>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</si>
  <si>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</si>
  <si>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</si>
  <si>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</si>
  <si>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</si>
  <si>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</si>
  <si>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</si>
  <si>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</si>
  <si>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</si>
  <si>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</si>
  <si>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</si>
  <si>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</si>
  <si>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</si>
  <si>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</si>
  <si>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</si>
  <si>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</si>
  <si>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</si>
  <si>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</si>
  <si>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</si>
  <si>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</si>
  <si>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</si>
  <si>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</si>
  <si>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</si>
  <si>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</si>
  <si>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</si>
  <si>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</si>
  <si>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</si>
  <si>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</si>
  <si>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</si>
  <si>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</si>
  <si>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</si>
  <si>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</si>
  <si>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</si>
  <si>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</si>
  <si>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</si>
  <si>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</si>
  <si>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</si>
  <si>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</si>
  <si>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</si>
  <si>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</si>
  <si>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</si>
  <si>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</si>
  <si>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</si>
  <si>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</si>
  <si>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</si>
  <si>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</si>
  <si>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</si>
  <si>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</si>
  <si>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</si>
  <si>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</si>
  <si>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</si>
  <si>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</si>
  <si>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</si>
  <si>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</si>
  <si>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</si>
  <si>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</si>
  <si>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</si>
  <si>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</si>
  <si>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</si>
  <si>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</si>
  <si>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</si>
  <si>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</si>
  <si>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</si>
  <si>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</si>
  <si>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</si>
  <si>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</si>
  <si>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</si>
  <si>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</si>
  <si>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</si>
  <si>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</si>
  <si>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</si>
  <si>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</si>
  <si>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</si>
  <si>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</si>
  <si>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</si>
  <si>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</si>
  <si>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</si>
  <si>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</si>
  <si>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</si>
  <si>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</si>
  <si>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</si>
  <si>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</si>
  <si>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</si>
  <si>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</si>
  <si>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</si>
  <si>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</si>
  <si>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</si>
  <si>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</si>
  <si>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</si>
  <si>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</si>
  <si>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</si>
  <si>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</si>
  <si>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</si>
  <si>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</si>
  <si>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</si>
  <si>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</si>
  <si>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</si>
  <si>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</si>
  <si>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</si>
  <si>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</si>
  <si>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</si>
  <si>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</si>
  <si>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</si>
  <si>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</si>
  <si>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</si>
  <si>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</si>
  <si>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</si>
  <si>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</si>
  <si>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</si>
  <si>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</si>
  <si>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</si>
  <si>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</si>
  <si>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</si>
  <si>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</si>
  <si>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</si>
  <si>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</si>
  <si>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</si>
  <si>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</si>
  <si>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</si>
  <si>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</si>
  <si>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</si>
  <si>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</si>
  <si>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</si>
  <si>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</si>
  <si>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</si>
  <si>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</si>
  <si>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</si>
  <si>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</si>
  <si>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</si>
  <si>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</si>
  <si>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</si>
  <si>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</si>
  <si>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</si>
  <si>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</si>
  <si>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</si>
  <si>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</si>
  <si>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</si>
  <si>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</si>
  <si>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</si>
  <si>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</si>
  <si>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</si>
  <si>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</si>
  <si>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</si>
  <si>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</si>
  <si>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</si>
  <si>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</si>
  <si>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</si>
  <si>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</si>
  <si>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</si>
  <si>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</si>
  <si>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</si>
  <si>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</si>
  <si>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</si>
  <si>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</si>
  <si>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</si>
  <si>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</si>
  <si>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</si>
  <si>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</si>
  <si>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</si>
  <si>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</si>
  <si>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</si>
  <si>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</si>
  <si>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</si>
  <si>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</si>
  <si>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</si>
  <si>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</si>
  <si>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</si>
  <si>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</si>
  <si>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</si>
  <si>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</si>
  <si>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</si>
  <si>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</si>
  <si>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</si>
  <si>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</si>
  <si>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</si>
  <si>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</si>
  <si>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</si>
  <si>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</si>
  <si>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</si>
  <si>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</si>
  <si>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</si>
  <si>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</si>
  <si>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</si>
  <si>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</si>
  <si>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</si>
  <si>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</si>
  <si>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</si>
  <si>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</si>
  <si>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</si>
  <si>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</si>
  <si>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</si>
  <si>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</si>
  <si>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</si>
  <si>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</si>
  <si>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</si>
  <si>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</si>
  <si>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</si>
  <si>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</si>
  <si>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</si>
  <si>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</si>
  <si>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</si>
  <si>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</si>
  <si>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</si>
  <si>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</si>
  <si>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</si>
  <si>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</si>
  <si>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</si>
  <si>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</si>
  <si>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</si>
  <si>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</si>
  <si>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</si>
  <si>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</si>
  <si>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</si>
  <si>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</si>
  <si>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</si>
  <si>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</si>
  <si>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</si>
  <si>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</si>
  <si>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</si>
  <si>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</si>
  <si>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</si>
  <si>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</si>
  <si>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</si>
  <si>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</si>
  <si>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</si>
  <si>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</si>
  <si>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</si>
  <si>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</si>
  <si>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</si>
  <si>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</si>
  <si>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</si>
  <si>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</si>
  <si>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</si>
  <si>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</si>
  <si>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</si>
  <si>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</si>
  <si>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</si>
  <si>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</si>
  <si>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</si>
  <si>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</si>
  <si>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</si>
  <si>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</si>
  <si>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</si>
  <si>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</si>
  <si>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</si>
  <si>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</si>
  <si>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</si>
  <si>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</si>
  <si>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</si>
  <si>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</si>
  <si>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</si>
  <si>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</si>
  <si>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</si>
  <si>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</si>
  <si>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</si>
  <si>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</si>
  <si>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</si>
  <si>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</si>
  <si>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</si>
  <si>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</si>
  <si>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</si>
  <si>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</si>
  <si>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</si>
  <si>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</si>
  <si>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</si>
  <si>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</si>
  <si>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</si>
  <si>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</si>
  <si>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</si>
  <si>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</si>
  <si>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</si>
  <si>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</si>
  <si>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</si>
  <si>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</si>
  <si>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</si>
  <si>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</si>
  <si>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</si>
  <si>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</si>
  <si>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</si>
  <si>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</si>
  <si>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</si>
  <si>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</si>
  <si>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</si>
  <si>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</si>
  <si>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</si>
  <si>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</si>
  <si>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</si>
  <si>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</si>
  <si>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</si>
  <si>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</si>
  <si>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</si>
  <si>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</si>
  <si>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</si>
  <si>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</si>
  <si>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</si>
  <si>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</si>
  <si>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</si>
  <si>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</si>
  <si>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</si>
  <si>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</si>
  <si>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</si>
  <si>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</si>
  <si>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</si>
  <si>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</si>
  <si>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</si>
  <si>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</si>
  <si>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</si>
  <si>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</si>
  <si>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</si>
  <si>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</si>
  <si>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</si>
  <si>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</si>
  <si>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</si>
  <si>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</si>
  <si>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</si>
  <si>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</si>
  <si>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</si>
  <si>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</si>
  <si>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</si>
  <si>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</si>
  <si>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</si>
  <si>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</si>
  <si>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</si>
  <si>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</si>
  <si>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</si>
  <si>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</si>
  <si>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</si>
  <si>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</si>
  <si>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</si>
  <si>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</si>
  <si>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</si>
  <si>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</si>
  <si>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</si>
  <si>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</si>
  <si>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</si>
  <si>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</si>
  <si>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</si>
  <si>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</si>
  <si>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</si>
  <si>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</si>
  <si>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</si>
  <si>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</si>
  <si>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</si>
  <si>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</si>
  <si>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</si>
  <si>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</si>
  <si>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</si>
  <si>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</si>
  <si>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</si>
  <si>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</si>
  <si>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</si>
  <si>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</si>
  <si>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</si>
  <si>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</si>
  <si>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</si>
  <si>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</si>
  <si>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</si>
  <si>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</si>
  <si>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</si>
  <si>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</si>
  <si>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</si>
  <si>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</si>
  <si>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</si>
  <si>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</si>
  <si>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</si>
  <si>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</si>
  <si>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</si>
  <si>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</si>
  <si>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</si>
  <si>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</si>
  <si>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</si>
  <si>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</si>
  <si>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</si>
  <si>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</si>
  <si>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</si>
  <si>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</si>
  <si>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</si>
  <si>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</si>
  <si>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</si>
  <si>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</si>
  <si>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</si>
  <si>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</si>
  <si>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</si>
  <si>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</si>
  <si>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</si>
  <si>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</si>
  <si>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</si>
  <si>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</si>
  <si>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</si>
  <si>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</si>
  <si>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</si>
  <si>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</si>
  <si>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</si>
  <si>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</si>
  <si>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</si>
  <si>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</si>
  <si>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</si>
  <si>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</si>
  <si>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</si>
  <si>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</si>
  <si>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</si>
  <si>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</si>
  <si>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</si>
  <si>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</si>
  <si>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</si>
  <si>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</si>
  <si>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</si>
  <si>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</si>
  <si>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</si>
  <si>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</si>
  <si>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</si>
  <si>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</si>
  <si>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</si>
  <si>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</si>
  <si>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</si>
  <si>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</si>
  <si>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</si>
  <si>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</si>
  <si>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</si>
  <si>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</si>
  <si>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</si>
  <si>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</si>
  <si>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</si>
  <si>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</si>
  <si>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</si>
  <si>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</si>
  <si>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</si>
  <si>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</si>
  <si>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</si>
  <si>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</si>
  <si>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</si>
  <si>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</si>
  <si>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</si>
  <si>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</si>
  <si>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</si>
  <si>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</si>
  <si>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</si>
  <si>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</si>
  <si>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</si>
  <si>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</si>
  <si>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</si>
  <si>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</si>
  <si>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</si>
  <si>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</si>
  <si>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</si>
  <si>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</si>
  <si>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</si>
  <si>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</si>
  <si>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</si>
  <si>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</si>
  <si>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</si>
  <si>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</si>
  <si>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</si>
  <si>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</si>
  <si>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</si>
  <si>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</si>
  <si>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</si>
  <si>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</si>
  <si>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</si>
  <si>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</si>
  <si>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</si>
  <si>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</si>
  <si>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</si>
  <si>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</si>
  <si>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</si>
  <si>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</si>
  <si>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</si>
  <si>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</si>
  <si>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</si>
  <si>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</si>
  <si>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</si>
  <si>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</si>
  <si>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</si>
  <si>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</si>
  <si>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</si>
  <si>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</si>
  <si>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</si>
  <si>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</si>
  <si>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</si>
  <si>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</si>
  <si>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</si>
  <si>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</si>
  <si>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</si>
  <si>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</si>
  <si>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</si>
  <si>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</si>
  <si>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</si>
  <si>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</si>
  <si>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</si>
  <si>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</si>
  <si>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</si>
  <si>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</si>
  <si>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</si>
  <si>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</si>
  <si>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</si>
  <si>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</si>
  <si>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</si>
  <si>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</si>
  <si>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</si>
  <si>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</si>
  <si>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</si>
  <si>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</si>
  <si>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</si>
  <si>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</si>
  <si>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</si>
  <si>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</si>
  <si>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</si>
  <si>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</si>
  <si>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</si>
  <si>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</si>
  <si>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</si>
  <si>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</si>
  <si>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</si>
  <si>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</si>
  <si>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</si>
  <si>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</si>
  <si>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</si>
  <si>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</si>
  <si>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</si>
  <si>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</si>
  <si>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</si>
  <si>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</si>
  <si>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</si>
  <si>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</si>
  <si>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</si>
  <si>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</si>
  <si>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</si>
  <si>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</si>
  <si>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</si>
  <si>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</si>
  <si>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</si>
  <si>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</si>
  <si>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</si>
  <si>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</si>
  <si>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</si>
  <si>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</si>
  <si>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</si>
  <si>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</si>
  <si>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</si>
  <si>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</si>
  <si>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</si>
  <si>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</si>
  <si>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</si>
  <si>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</si>
  <si>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</si>
  <si>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</si>
  <si>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</si>
  <si>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</si>
  <si>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</si>
  <si>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</si>
  <si>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</si>
  <si>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</si>
  <si>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</si>
  <si>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</si>
  <si>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</si>
  <si>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</si>
  <si>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</si>
  <si>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</si>
  <si>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</si>
  <si>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</si>
  <si>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</si>
  <si>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</si>
  <si>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</si>
  <si>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</si>
  <si>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</si>
  <si>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</si>
  <si>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</si>
  <si>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</si>
  <si>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</si>
  <si>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</si>
  <si>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</si>
  <si>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</si>
  <si>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</si>
  <si>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</si>
  <si>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</si>
  <si>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</si>
  <si>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</si>
  <si>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</si>
  <si>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</si>
  <si>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</si>
  <si>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</si>
  <si>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</si>
  <si>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</si>
  <si>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</si>
  <si>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</si>
  <si>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</si>
  <si>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</si>
  <si>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</si>
  <si>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</si>
  <si>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</si>
  <si>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</si>
  <si>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</si>
  <si>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</si>
  <si>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</si>
  <si>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</si>
  <si>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</si>
  <si>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</si>
  <si>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</si>
  <si>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</si>
  <si>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</si>
  <si>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</si>
  <si>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</si>
  <si>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</si>
  <si>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</si>
  <si>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</si>
  <si>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</si>
  <si>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</si>
  <si>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</si>
  <si>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</si>
  <si>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</si>
  <si>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</si>
  <si>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</si>
  <si>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</si>
  <si>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</si>
  <si>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</si>
  <si>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</si>
  <si>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</si>
  <si>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</si>
  <si>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</si>
  <si>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</si>
  <si>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</si>
  <si>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</si>
  <si>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</si>
  <si>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</si>
  <si>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</si>
  <si>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</si>
  <si>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</si>
  <si>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</si>
  <si>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</si>
  <si>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</si>
  <si>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</si>
  <si>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</si>
  <si>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</si>
  <si>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</si>
  <si>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</si>
  <si>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</si>
  <si>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</si>
  <si>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</si>
  <si>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</si>
  <si>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</si>
  <si>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</si>
  <si>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</si>
  <si>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</si>
  <si>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</si>
  <si>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</si>
  <si>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</si>
  <si>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</si>
  <si>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</si>
  <si>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</si>
  <si>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</si>
  <si>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</si>
  <si>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</si>
  <si>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</si>
  <si>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</si>
  <si>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</si>
  <si>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</si>
  <si>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</si>
  <si>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</si>
  <si>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</si>
  <si>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</si>
  <si>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</si>
  <si>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</si>
  <si>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</si>
  <si>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</si>
  <si>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</si>
  <si>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</si>
  <si>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</si>
  <si>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</si>
  <si>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</si>
  <si>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</si>
  <si>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</si>
  <si>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</si>
  <si>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</si>
  <si>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</si>
  <si>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</si>
  <si>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</si>
  <si>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</si>
  <si>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</si>
  <si>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</si>
  <si>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</si>
  <si>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</si>
  <si>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</si>
  <si>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</si>
  <si>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</si>
  <si>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</si>
  <si>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</si>
  <si>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</si>
  <si>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</si>
  <si>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</si>
  <si>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</si>
  <si>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</si>
  <si>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</si>
  <si>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</si>
  <si>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</si>
  <si>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</si>
  <si>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</si>
  <si>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</si>
  <si>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</si>
  <si>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</si>
  <si>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</si>
  <si>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</si>
  <si>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</si>
  <si>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</si>
  <si>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</si>
  <si>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</si>
  <si>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</si>
  <si>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</si>
  <si>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</si>
  <si>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</si>
  <si>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</si>
  <si>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</si>
  <si>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</si>
  <si>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</si>
  <si>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</si>
  <si>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</si>
  <si>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</si>
  <si>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</si>
  <si>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</si>
  <si>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</si>
  <si>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</si>
  <si>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</si>
  <si>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</si>
  <si>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</si>
  <si>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</si>
  <si>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</si>
  <si>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</si>
  <si>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</si>
  <si>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</si>
  <si>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</si>
  <si>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</si>
  <si>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</si>
  <si>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</si>
  <si>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</si>
  <si>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</si>
  <si>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</si>
  <si>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</si>
  <si>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</si>
  <si>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</si>
  <si>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</si>
  <si>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</si>
  <si>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</si>
  <si>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</si>
  <si>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</si>
  <si>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</si>
  <si>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</si>
  <si>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</si>
  <si>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</si>
  <si>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</si>
  <si>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</si>
  <si>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</si>
  <si>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</si>
  <si>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</si>
  <si>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</si>
  <si>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</si>
  <si>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</si>
  <si>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</si>
  <si>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</si>
  <si>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</si>
  <si>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</si>
  <si>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</si>
  <si>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</si>
  <si>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</si>
  <si>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</si>
  <si>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</si>
  <si>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</si>
  <si>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</si>
  <si>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</si>
  <si>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</si>
  <si>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</si>
  <si>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</si>
  <si>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</si>
  <si>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</si>
  <si>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</si>
  <si>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</si>
  <si>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</si>
  <si>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</si>
  <si>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</si>
  <si>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</si>
  <si>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</si>
  <si>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</si>
  <si>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</si>
  <si>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</si>
  <si>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</si>
  <si>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</si>
  <si>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</si>
  <si>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</si>
  <si>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</si>
  <si>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</si>
  <si>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</si>
  <si>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</si>
  <si>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</si>
  <si>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</si>
  <si>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</si>
  <si>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</si>
  <si>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</si>
  <si>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</si>
  <si>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</si>
  <si>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</si>
  <si>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</si>
  <si>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</si>
  <si>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</si>
  <si>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</si>
  <si>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</si>
  <si>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</si>
  <si>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</si>
  <si>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</si>
  <si>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</si>
  <si>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</si>
  <si>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</si>
  <si>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</si>
  <si>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</si>
  <si>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</si>
  <si>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</si>
  <si>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</si>
  <si>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</si>
  <si>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</si>
  <si>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</si>
  <si>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</si>
  <si>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</si>
  <si>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</si>
  <si>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</si>
  <si>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</si>
  <si>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</si>
  <si>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</si>
  <si>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</si>
  <si>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</si>
  <si>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</si>
  <si>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</si>
  <si>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</si>
  <si>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</si>
  <si>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</si>
  <si>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</si>
  <si>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</si>
  <si>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</si>
  <si>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</si>
  <si>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</si>
  <si>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</si>
  <si>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</si>
  <si>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</si>
  <si>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</si>
  <si>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</si>
  <si>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</si>
  <si>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</si>
  <si>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</si>
  <si>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</si>
  <si>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</si>
  <si>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</si>
  <si>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</si>
  <si>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</si>
  <si>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</si>
  <si>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</si>
  <si>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</si>
  <si>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</si>
  <si>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</si>
  <si>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</si>
  <si>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</si>
  <si>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</si>
  <si>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</si>
  <si>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</si>
  <si>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</si>
  <si>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</si>
  <si>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</si>
  <si>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</si>
  <si>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</si>
  <si>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</si>
  <si>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</si>
  <si>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</si>
  <si>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</si>
  <si>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</si>
  <si>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</si>
  <si>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</si>
  <si>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</si>
  <si>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</si>
  <si>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</si>
  <si>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</si>
  <si>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</si>
  <si>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</si>
  <si>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</si>
  <si>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</si>
  <si>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</si>
  <si>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</si>
  <si>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</si>
  <si>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</si>
  <si>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</si>
  <si>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</si>
  <si>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</si>
  <si>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</si>
  <si>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</si>
  <si>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</si>
  <si>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</si>
  <si>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</si>
  <si>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</si>
  <si>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</si>
  <si>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</si>
  <si>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</si>
  <si>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</si>
  <si>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</si>
  <si>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</si>
  <si>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</si>
  <si>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</si>
  <si>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</si>
  <si>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</si>
  <si>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</si>
  <si>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</si>
  <si>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</si>
  <si>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</si>
  <si>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</si>
  <si>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</si>
  <si>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</si>
  <si>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</si>
  <si>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</si>
  <si>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</si>
  <si>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</si>
  <si>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</si>
  <si>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</si>
  <si>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</si>
  <si>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</si>
  <si>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</si>
  <si>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</si>
  <si>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</si>
  <si>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</si>
  <si>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</si>
  <si>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</si>
  <si>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</si>
  <si>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</si>
  <si>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</si>
  <si>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</si>
  <si>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</si>
  <si>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</si>
  <si>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</si>
  <si>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</si>
  <si>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</si>
  <si>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</si>
  <si>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</si>
  <si>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</si>
  <si>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</si>
  <si>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</si>
  <si>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</si>
  <si>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</si>
  <si>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</si>
  <si>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</si>
  <si>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</si>
  <si>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</si>
  <si>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</si>
  <si>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</si>
  <si>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</si>
  <si>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</si>
  <si>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</si>
  <si>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</si>
  <si>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</si>
  <si>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</si>
  <si>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</si>
  <si>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</si>
  <si>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</si>
  <si>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</si>
  <si>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</si>
  <si>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</si>
  <si>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</si>
  <si>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</si>
  <si>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</si>
  <si>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</si>
  <si>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</si>
  <si>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</si>
  <si>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</si>
  <si>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</si>
  <si>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</si>
  <si>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</si>
  <si>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</si>
  <si>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</si>
  <si>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</si>
  <si>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</si>
  <si>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</si>
  <si>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</si>
  <si>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</si>
  <si>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</si>
  <si>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</si>
  <si>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</si>
  <si>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</si>
  <si>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</si>
  <si>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</si>
  <si>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</si>
  <si>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</si>
  <si>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</si>
  <si>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</si>
  <si>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</si>
  <si>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</si>
  <si>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</si>
  <si>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</si>
  <si>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</si>
  <si>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</si>
  <si>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</si>
  <si>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</si>
  <si>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</si>
  <si>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</si>
  <si>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</si>
  <si>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</si>
  <si>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</si>
  <si>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</si>
  <si>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</si>
  <si>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</si>
  <si>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</si>
  <si>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</si>
  <si>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</si>
  <si>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</si>
  <si>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</si>
  <si>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</si>
  <si>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</si>
  <si>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</si>
  <si>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</si>
  <si>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</si>
  <si>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</si>
  <si>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</si>
  <si>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</si>
  <si>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</si>
  <si>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</si>
  <si>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</si>
  <si>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</si>
  <si>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</si>
  <si>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</si>
  <si>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</si>
  <si>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</si>
  <si>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</si>
  <si>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</si>
  <si>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</si>
  <si>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</si>
  <si>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</si>
  <si>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</si>
  <si>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</si>
  <si>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</si>
  <si>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</si>
  <si>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</si>
  <si>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</si>
  <si>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</si>
  <si>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</si>
  <si>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</si>
  <si>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</si>
  <si>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</si>
  <si>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</si>
  <si>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</si>
  <si>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</si>
  <si>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</si>
  <si>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</si>
  <si>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</si>
  <si>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</si>
  <si>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</si>
  <si>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</si>
  <si>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</si>
  <si>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</si>
  <si>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</si>
  <si>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</si>
  <si>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</si>
  <si>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</si>
  <si>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</si>
  <si>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</si>
  <si>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</si>
  <si>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</si>
  <si>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</si>
  <si>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</si>
  <si>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</si>
  <si>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</si>
  <si>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</si>
  <si>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</si>
  <si>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</si>
  <si>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</si>
  <si>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</si>
  <si>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</si>
  <si>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</si>
  <si>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</si>
  <si>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</si>
  <si>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</si>
  <si>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</si>
  <si>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</si>
  <si>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</si>
  <si>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</si>
  <si>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</si>
  <si>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</si>
  <si>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</si>
  <si>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</si>
  <si>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</si>
  <si>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</si>
  <si>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</si>
  <si>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</si>
  <si>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</si>
  <si>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</si>
  <si>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</si>
  <si>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</si>
  <si>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</si>
  <si>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</si>
  <si>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</si>
  <si>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</si>
  <si>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</si>
  <si>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</si>
  <si>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</si>
  <si>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</si>
  <si>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</si>
  <si>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</si>
  <si>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</si>
  <si>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</si>
  <si>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</si>
  <si>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</si>
  <si>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</si>
  <si>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</si>
  <si>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</si>
  <si>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</si>
  <si>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</si>
  <si>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</si>
  <si>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</si>
  <si>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</si>
  <si>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</si>
  <si>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</si>
  <si>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</si>
  <si>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</si>
  <si>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</si>
  <si>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</si>
  <si>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</si>
  <si>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</si>
  <si>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</si>
  <si>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</si>
  <si>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</si>
  <si>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</si>
  <si>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</si>
  <si>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</si>
  <si>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</si>
  <si>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</si>
  <si>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</si>
  <si>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</si>
  <si>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</si>
  <si>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</si>
  <si>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</si>
  <si>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</si>
  <si>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</si>
  <si>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</si>
  <si>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</si>
  <si>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</si>
  <si>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</si>
  <si>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</si>
  <si>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</si>
  <si>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</si>
  <si>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</si>
  <si>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</si>
  <si>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</si>
  <si>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</si>
  <si>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</si>
  <si>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</si>
  <si>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</si>
  <si>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</si>
  <si>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</si>
  <si>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</si>
  <si>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</si>
  <si>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</si>
  <si>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</si>
  <si>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</si>
  <si>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</si>
  <si>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</si>
  <si>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</si>
  <si>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No action required.</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</si>
  <si>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</si>
  <si>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</si>
  <si>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</si>
  <si>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</si>
  <si>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</si>
  <si>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</si>
  <si>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</si>
  <si>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</si>
  <si>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</si>
  <si>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</si>
  <si>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</si>
  <si>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</si>
  <si>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</si>
  <si>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</si>
  <si>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Department of Toxic Substances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</si>
</sst>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b/>
      <i/>
      <sz val="12"/>
      <color rgb="FFFF0000"/>
      <name val="Arial"/>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s>
  <borders count="18">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06">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46" fillId="3" borderId="0" xfId="0" applyFont="1" applyFill="1"/>
    <xf numFmtId="166" fontId="21" fillId="2" borderId="2" xfId="1" quotePrefix="1" applyNumberFormat="1" applyFont="1" applyFill="1" applyBorder="1" applyAlignment="1" applyProtection="1">
      <alignment vertical="top"/>
      <protection locked="0"/>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5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C198E0"/>
      <color rgb="FF75D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opLeftCell="A81" zoomScale="70" zoomScaleNormal="70" workbookViewId="0">
      <selection activeCell="N33" sqref="N33"/>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79" t="s">
        <v>1629</v>
      </c>
      <c r="B1" s="179"/>
      <c r="C1" s="179"/>
      <c r="D1" s="179"/>
      <c r="E1" s="179"/>
      <c r="F1" s="179"/>
      <c r="G1" s="179"/>
      <c r="H1" s="179"/>
      <c r="I1" s="179"/>
      <c r="J1" s="179"/>
      <c r="K1" s="179"/>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0" t="s">
        <v>10</v>
      </c>
      <c r="B3" s="180"/>
      <c r="C3" s="180"/>
      <c r="D3" s="180"/>
      <c r="E3" s="180"/>
      <c r="F3" s="181" t="s">
        <v>21</v>
      </c>
      <c r="G3" s="181"/>
      <c r="H3" s="181"/>
      <c r="I3" s="181"/>
    </row>
    <row r="4" spans="1:20" ht="16.5" customHeight="1" x14ac:dyDescent="0.2">
      <c r="A4" s="180" t="s">
        <v>191</v>
      </c>
      <c r="B4" s="180"/>
      <c r="C4" s="180"/>
      <c r="D4" s="180"/>
      <c r="E4" s="180"/>
      <c r="F4" s="182" t="s">
        <v>1675</v>
      </c>
      <c r="G4" s="182"/>
      <c r="H4" s="182"/>
      <c r="I4" s="182"/>
    </row>
    <row r="5" spans="1:20" ht="16.5" customHeight="1" x14ac:dyDescent="0.2">
      <c r="A5" s="180" t="s">
        <v>1615</v>
      </c>
      <c r="B5" s="180"/>
      <c r="C5" s="180"/>
      <c r="D5" s="180"/>
      <c r="E5" s="180"/>
      <c r="F5" s="182" t="s">
        <v>805</v>
      </c>
      <c r="G5" s="182"/>
      <c r="H5" s="182"/>
      <c r="I5" s="182"/>
      <c r="L5" s="12"/>
      <c r="M5" s="12"/>
      <c r="N5" s="12"/>
      <c r="O5" s="12"/>
      <c r="P5" s="12"/>
      <c r="Q5" s="12"/>
    </row>
    <row r="6" spans="1:20" ht="16.5" customHeight="1" x14ac:dyDescent="0.25">
      <c r="A6" s="180" t="s">
        <v>1634</v>
      </c>
      <c r="B6" s="180"/>
      <c r="C6" s="180"/>
      <c r="D6" s="180"/>
      <c r="E6" s="180"/>
      <c r="F6" s="183">
        <v>14</v>
      </c>
      <c r="G6" s="183"/>
      <c r="H6" s="183"/>
      <c r="I6" s="183"/>
      <c r="L6" s="13"/>
      <c r="M6" s="13"/>
      <c r="N6" s="13"/>
      <c r="O6" s="13"/>
      <c r="P6" s="12"/>
      <c r="Q6" s="12"/>
    </row>
    <row r="7" spans="1:20" ht="16.5" customHeight="1" x14ac:dyDescent="0.25">
      <c r="A7" s="180" t="s">
        <v>1</v>
      </c>
      <c r="B7" s="180"/>
      <c r="C7" s="180"/>
      <c r="D7" s="180"/>
      <c r="E7" s="180"/>
      <c r="F7" s="183" t="s">
        <v>120</v>
      </c>
      <c r="G7" s="183"/>
      <c r="H7" s="183"/>
      <c r="I7" s="183"/>
      <c r="K7" s="53"/>
      <c r="L7" s="13"/>
      <c r="M7" s="13"/>
      <c r="N7" s="13"/>
      <c r="O7" s="13"/>
      <c r="P7" s="12"/>
      <c r="Q7" s="12"/>
    </row>
    <row r="8" spans="1:20" ht="16.5" customHeight="1" x14ac:dyDescent="0.25">
      <c r="A8" s="180" t="s">
        <v>1616</v>
      </c>
      <c r="B8" s="180"/>
      <c r="C8" s="180"/>
      <c r="D8" s="180"/>
      <c r="E8" s="180"/>
      <c r="F8" s="183" t="s">
        <v>154</v>
      </c>
      <c r="G8" s="183"/>
      <c r="H8" s="183"/>
      <c r="I8" s="183"/>
      <c r="K8" s="53"/>
      <c r="L8" s="13"/>
      <c r="M8" s="13"/>
      <c r="N8" s="13"/>
      <c r="O8" s="13"/>
      <c r="P8" s="12"/>
      <c r="Q8" s="12"/>
    </row>
    <row r="9" spans="1:20" ht="16.5" customHeight="1" x14ac:dyDescent="0.25">
      <c r="A9" s="180" t="s">
        <v>1614</v>
      </c>
      <c r="B9" s="180"/>
      <c r="C9" s="180"/>
      <c r="D9" s="180"/>
      <c r="E9" s="180"/>
      <c r="F9" s="184" t="str">
        <f>IFERROR(IF(F7="Proprietary","Proprietary Fund",VLOOKUP(F5,qryIndex02a!$A$2:$K$654,4,FALSE)),"Unidentified")</f>
        <v>RESOURCES</v>
      </c>
      <c r="G9" s="184"/>
      <c r="H9" s="184"/>
      <c r="I9" s="184"/>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20" ht="16.5" customHeight="1" x14ac:dyDescent="0.25">
      <c r="A15" s="159" t="s">
        <v>1637</v>
      </c>
      <c r="B15" s="9" t="s">
        <v>170</v>
      </c>
      <c r="C15" s="9"/>
      <c r="D15" s="9"/>
      <c r="E15" s="140"/>
      <c r="F15" s="141"/>
      <c r="G15" s="141"/>
      <c r="H15" s="142"/>
      <c r="I15" s="142"/>
      <c r="J15" s="171">
        <f>M15</f>
        <v>0</v>
      </c>
      <c r="M15" s="143"/>
      <c r="P15" s="143"/>
      <c r="Q15" s="155"/>
      <c r="S15" s="154">
        <f t="shared" ref="S15:S19" si="0">P15-M15</f>
        <v>0</v>
      </c>
      <c r="T15" s="173" t="s">
        <v>1672</v>
      </c>
    </row>
    <row r="16" spans="1:20" ht="16.5" customHeight="1" x14ac:dyDescent="0.25">
      <c r="A16" s="159" t="s">
        <v>1637</v>
      </c>
      <c r="B16" s="9" t="s">
        <v>171</v>
      </c>
      <c r="C16" s="9"/>
      <c r="D16" s="9"/>
      <c r="E16" s="140"/>
      <c r="F16" s="141"/>
      <c r="G16" s="141"/>
      <c r="H16" s="142"/>
      <c r="I16" s="142"/>
      <c r="J16" s="171">
        <f>M16</f>
        <v>0</v>
      </c>
      <c r="M16" s="143"/>
      <c r="P16" s="143"/>
      <c r="Q16" s="155"/>
      <c r="S16" s="154">
        <f t="shared" si="0"/>
        <v>0</v>
      </c>
      <c r="T16" s="173" t="s">
        <v>1672</v>
      </c>
    </row>
    <row r="17" spans="1:20" ht="16.5" customHeight="1" x14ac:dyDescent="0.25">
      <c r="A17" s="159" t="s">
        <v>1637</v>
      </c>
      <c r="B17" s="9" t="s">
        <v>172</v>
      </c>
      <c r="C17" s="9"/>
      <c r="D17" s="9"/>
      <c r="E17" s="140"/>
      <c r="F17" s="141"/>
      <c r="G17" s="141"/>
      <c r="H17" s="142"/>
      <c r="I17" s="142"/>
      <c r="J17" s="171">
        <f>M17</f>
        <v>79860106.320000008</v>
      </c>
      <c r="M17" s="143">
        <v>79860106.320000008</v>
      </c>
      <c r="P17" s="143">
        <v>79860107</v>
      </c>
      <c r="Q17" s="155"/>
      <c r="S17" s="154">
        <f t="shared" si="0"/>
        <v>0.67999999225139618</v>
      </c>
      <c r="T17" s="173" t="s">
        <v>1672</v>
      </c>
    </row>
    <row r="18" spans="1:20" ht="16.5" customHeight="1" x14ac:dyDescent="0.25">
      <c r="A18" s="54"/>
      <c r="B18" s="9" t="s">
        <v>168</v>
      </c>
      <c r="C18" s="9"/>
      <c r="D18" s="9"/>
      <c r="E18" s="140"/>
      <c r="F18" s="141"/>
      <c r="G18" s="141"/>
      <c r="H18" s="142"/>
      <c r="I18" s="142"/>
      <c r="J18" s="171">
        <f>P18</f>
        <v>923619</v>
      </c>
      <c r="M18" s="143">
        <f>ROUND((N22+N23-M17),0)</f>
        <v>923619</v>
      </c>
      <c r="P18" s="152">
        <f>IF(SUM($Q$20:$Q$23)&gt;SUM($P$15:$P$17),SUM($Q$20:$Q$23)-SUM($P$15:$P$17),0)</f>
        <v>923619</v>
      </c>
      <c r="Q18" s="155"/>
      <c r="S18" s="154">
        <f t="shared" si="0"/>
        <v>0</v>
      </c>
      <c r="T18" s="172" t="s">
        <v>1660</v>
      </c>
    </row>
    <row r="19" spans="1:20" ht="16.5" customHeight="1" x14ac:dyDescent="0.25">
      <c r="A19" s="54"/>
      <c r="B19" s="9" t="s">
        <v>169</v>
      </c>
      <c r="C19" s="9"/>
      <c r="D19" s="9"/>
      <c r="E19" s="140"/>
      <c r="F19" s="141"/>
      <c r="G19" s="141"/>
      <c r="H19" s="142"/>
      <c r="I19" s="142"/>
      <c r="J19" s="171">
        <f>IF(SUM($K$20:$K$24)&gt;SUM($J$15:$J$18),SUM($K$20:$K$24)-SUM($J$15:$J$18),0)</f>
        <v>0</v>
      </c>
      <c r="M19" s="143"/>
      <c r="P19" s="155"/>
      <c r="Q19" s="155"/>
      <c r="S19" s="154">
        <f t="shared" si="0"/>
        <v>0</v>
      </c>
      <c r="T19" s="172" t="s">
        <v>1660</v>
      </c>
    </row>
    <row r="20" spans="1:20" ht="16.5" customHeight="1" x14ac:dyDescent="0.25">
      <c r="A20" s="54"/>
      <c r="B20" s="9"/>
      <c r="C20" s="9" t="s">
        <v>177</v>
      </c>
      <c r="D20" s="9"/>
      <c r="E20" s="140"/>
      <c r="F20" s="141"/>
      <c r="G20" s="141"/>
      <c r="H20" s="142"/>
      <c r="I20" s="142"/>
      <c r="J20" s="150"/>
      <c r="K20" s="171">
        <f>N20</f>
        <v>0</v>
      </c>
      <c r="N20" s="143"/>
      <c r="P20" s="155"/>
      <c r="Q20" s="143"/>
      <c r="S20" s="154">
        <f>Q20-N20</f>
        <v>0</v>
      </c>
      <c r="T20" s="172" t="s">
        <v>1660</v>
      </c>
    </row>
    <row r="21" spans="1:20" ht="16.5" customHeight="1" x14ac:dyDescent="0.25">
      <c r="A21" s="54"/>
      <c r="B21" s="9"/>
      <c r="C21" s="9" t="s">
        <v>174</v>
      </c>
      <c r="D21" s="9"/>
      <c r="E21" s="140"/>
      <c r="F21" s="141"/>
      <c r="G21" s="141"/>
      <c r="H21" s="142"/>
      <c r="I21" s="142"/>
      <c r="J21" s="150"/>
      <c r="K21" s="171">
        <f>N21</f>
        <v>0</v>
      </c>
      <c r="N21" s="143"/>
      <c r="P21" s="155"/>
      <c r="Q21" s="143"/>
      <c r="S21" s="154">
        <f>Q21-N21</f>
        <v>0</v>
      </c>
      <c r="T21" s="172" t="s">
        <v>1660</v>
      </c>
    </row>
    <row r="22" spans="1:20" ht="16.5" customHeight="1" x14ac:dyDescent="0.25">
      <c r="A22" s="54"/>
      <c r="B22" s="9"/>
      <c r="C22" s="9" t="s">
        <v>178</v>
      </c>
      <c r="D22" s="9"/>
      <c r="E22" s="140"/>
      <c r="F22" s="141"/>
      <c r="G22" s="141"/>
      <c r="H22" s="142"/>
      <c r="I22" s="142"/>
      <c r="J22" s="150"/>
      <c r="K22" s="171">
        <f>N22</f>
        <v>20189870</v>
      </c>
      <c r="N22" s="143">
        <v>20189870</v>
      </c>
      <c r="P22" s="155"/>
      <c r="Q22" s="143">
        <v>20189870</v>
      </c>
      <c r="S22" s="154">
        <f t="shared" ref="S22:S25" si="1">Q22-N22</f>
        <v>0</v>
      </c>
      <c r="T22" s="172" t="s">
        <v>1660</v>
      </c>
    </row>
    <row r="23" spans="1:20" ht="16.5" customHeight="1" x14ac:dyDescent="0.25">
      <c r="A23" s="165" t="s">
        <v>1645</v>
      </c>
      <c r="B23" s="9"/>
      <c r="C23" s="9" t="s">
        <v>173</v>
      </c>
      <c r="D23" s="9"/>
      <c r="E23" s="140"/>
      <c r="F23" s="141"/>
      <c r="G23" s="141"/>
      <c r="H23" s="142"/>
      <c r="I23" s="142"/>
      <c r="J23" s="150"/>
      <c r="K23" s="171">
        <f>N23</f>
        <v>60593855</v>
      </c>
      <c r="N23" s="143">
        <v>60593855</v>
      </c>
      <c r="P23" s="155"/>
      <c r="Q23" s="143">
        <v>60593856</v>
      </c>
      <c r="S23" s="154">
        <f t="shared" si="1"/>
        <v>1</v>
      </c>
      <c r="T23" s="172" t="s">
        <v>1660</v>
      </c>
    </row>
    <row r="24" spans="1:20" ht="16.5" customHeight="1" x14ac:dyDescent="0.25">
      <c r="A24" s="54"/>
      <c r="B24" s="9"/>
      <c r="C24" s="9" t="s">
        <v>175</v>
      </c>
      <c r="D24" s="9"/>
      <c r="E24" s="140"/>
      <c r="F24" s="141"/>
      <c r="G24" s="141"/>
      <c r="H24" s="142"/>
      <c r="I24" s="142"/>
      <c r="J24" s="150"/>
      <c r="K24" s="171">
        <f>Q24</f>
        <v>0</v>
      </c>
      <c r="N24" s="143"/>
      <c r="P24" s="155"/>
      <c r="Q24" s="152">
        <f>IF(SUM($Q$20:$Q$23)&lt;SUM($P$15:$P$17),-SUM($Q$20:$Q$23)+SUM($P$15:$P$17),0)</f>
        <v>0</v>
      </c>
      <c r="S24" s="154">
        <f t="shared" si="1"/>
        <v>0</v>
      </c>
      <c r="T24" s="172" t="s">
        <v>1660</v>
      </c>
    </row>
    <row r="25" spans="1:20" ht="16.5" customHeight="1" x14ac:dyDescent="0.25">
      <c r="A25" s="54"/>
      <c r="B25" s="9"/>
      <c r="C25" s="9" t="s">
        <v>176</v>
      </c>
      <c r="D25" s="9"/>
      <c r="E25" s="140"/>
      <c r="F25" s="141"/>
      <c r="G25" s="141"/>
      <c r="H25" s="142"/>
      <c r="I25" s="142"/>
      <c r="J25" s="150"/>
      <c r="K25" s="171">
        <f>IF(SUM($K$20:$K$24)&lt;SUM($J$15:$J$18),-SUM($K$20:$K$24)+SUM($J$15:$J$18),0)</f>
        <v>0.32000000774860382</v>
      </c>
      <c r="N25" s="143"/>
      <c r="P25" s="155"/>
      <c r="Q25" s="155"/>
      <c r="S25" s="154">
        <f t="shared" si="1"/>
        <v>0</v>
      </c>
      <c r="T25" s="172" t="s">
        <v>1660</v>
      </c>
    </row>
    <row r="26" spans="1:20" ht="16.5" customHeight="1" x14ac:dyDescent="0.25">
      <c r="A26" s="54"/>
      <c r="C26" s="20"/>
      <c r="D26" s="20"/>
      <c r="E26" s="20"/>
      <c r="F26" s="127"/>
      <c r="G26" s="127"/>
      <c r="H26" s="22"/>
      <c r="I26" s="22"/>
      <c r="J26" s="107">
        <f>SUM(J15:J25)</f>
        <v>80783725.320000008</v>
      </c>
      <c r="K26" s="107">
        <f>SUM(K15:K25)</f>
        <v>80783725.320000008</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1664</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1662</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1663</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10393485</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10393485</v>
      </c>
    </row>
    <row r="59" spans="1:16" ht="16.5" customHeight="1" x14ac:dyDescent="0.25">
      <c r="A59" s="54"/>
      <c r="C59" s="16"/>
      <c r="D59" s="16"/>
      <c r="E59" s="16"/>
      <c r="F59" s="17"/>
      <c r="G59" s="17"/>
      <c r="H59" s="18"/>
      <c r="I59" s="18"/>
      <c r="J59" s="107">
        <f>SUM(J55:J58)</f>
        <v>10393485</v>
      </c>
      <c r="K59" s="107">
        <f>SUM(K55:K58)</f>
        <v>10393485</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1665</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9990689</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50438</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v>10041127</v>
      </c>
    </row>
    <row r="65" spans="1:12" ht="16.5" customHeight="1" x14ac:dyDescent="0.25">
      <c r="A65" s="54"/>
      <c r="C65" s="16"/>
      <c r="D65" s="16"/>
      <c r="E65" s="16"/>
      <c r="F65" s="17"/>
      <c r="G65" s="17"/>
      <c r="H65" s="18"/>
      <c r="I65" s="18"/>
      <c r="J65" s="107">
        <f>SUM(J62:J64)</f>
        <v>10041127</v>
      </c>
      <c r="K65" s="107">
        <f>SUM(K62:K64)</f>
        <v>10041127</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9990689</v>
      </c>
      <c r="K68" s="144"/>
    </row>
    <row r="69" spans="1:12" ht="16.5" customHeight="1" x14ac:dyDescent="0.25">
      <c r="A69" s="54"/>
      <c r="B69" s="9"/>
      <c r="C69" s="9" t="s">
        <v>185</v>
      </c>
      <c r="D69" s="140"/>
      <c r="E69" s="140"/>
      <c r="F69" s="141"/>
      <c r="G69" s="141"/>
      <c r="H69" s="142"/>
      <c r="I69" s="142"/>
      <c r="J69" s="144"/>
      <c r="K69" s="143">
        <v>9990689</v>
      </c>
      <c r="L69" s="10" t="str">
        <f>IF($J$62=$K$69,"","&lt;- Accts 0848 must agree")</f>
        <v/>
      </c>
    </row>
    <row r="70" spans="1:12" ht="16.5" customHeight="1" x14ac:dyDescent="0.25">
      <c r="A70" s="54"/>
      <c r="C70" s="16"/>
      <c r="D70" s="16"/>
      <c r="E70" s="16"/>
      <c r="F70" s="17"/>
      <c r="G70" s="17"/>
      <c r="H70" s="18"/>
      <c r="I70" s="18"/>
      <c r="J70" s="107">
        <f>SUM(J68:J69)</f>
        <v>9990689</v>
      </c>
      <c r="K70" s="107">
        <f>SUM(K68:K69)</f>
        <v>9990689</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10263173</v>
      </c>
      <c r="K75" s="144"/>
    </row>
    <row r="76" spans="1:12" ht="16.5" customHeight="1" x14ac:dyDescent="0.25">
      <c r="A76" s="54"/>
      <c r="B76" s="9"/>
      <c r="C76" s="9" t="s">
        <v>193</v>
      </c>
      <c r="D76" s="140"/>
      <c r="E76" s="140"/>
      <c r="F76" s="141"/>
      <c r="G76" s="141"/>
      <c r="H76" s="142"/>
      <c r="I76" s="142"/>
      <c r="J76" s="144"/>
      <c r="K76" s="143">
        <v>10263173</v>
      </c>
    </row>
    <row r="77" spans="1:12" ht="16.5" customHeight="1" x14ac:dyDescent="0.2">
      <c r="A77" s="54"/>
      <c r="B77" s="178" t="s">
        <v>1661</v>
      </c>
      <c r="C77" s="178"/>
      <c r="D77" s="178"/>
      <c r="E77" s="178"/>
      <c r="F77" s="178"/>
      <c r="G77" s="178"/>
      <c r="H77" s="178"/>
      <c r="I77" s="178"/>
      <c r="J77" s="107">
        <f>SUM(J75:J76)</f>
        <v>10263173</v>
      </c>
      <c r="K77" s="107">
        <f>SUM(K75:K76)</f>
        <v>10263173</v>
      </c>
      <c r="L77" s="25" t="str">
        <f>IF(J77=K77,"&lt;- Debits and Credits equal each other.","&lt;- Debits and Credits do not equal each other.")</f>
        <v>&lt;- Debits and Credits equal each other.</v>
      </c>
    </row>
    <row r="78" spans="1:12" ht="16.5" customHeight="1" x14ac:dyDescent="0.2">
      <c r="A78" s="54"/>
      <c r="B78" s="178"/>
      <c r="C78" s="178"/>
      <c r="D78" s="178"/>
      <c r="E78" s="178"/>
      <c r="F78" s="178"/>
      <c r="G78" s="178"/>
      <c r="H78" s="178"/>
      <c r="I78" s="178"/>
      <c r="J78" s="107"/>
      <c r="K78" s="107"/>
      <c r="L78" s="8"/>
    </row>
    <row r="79" spans="1:12" ht="24.6" customHeight="1" x14ac:dyDescent="0.2">
      <c r="A79" s="54"/>
      <c r="B79" s="178"/>
      <c r="C79" s="178"/>
      <c r="D79" s="178"/>
      <c r="E79" s="178"/>
      <c r="F79" s="178"/>
      <c r="G79" s="178"/>
      <c r="H79" s="178"/>
      <c r="I79" s="178"/>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1671</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1666</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79860106.320000008</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-30583355</v>
      </c>
    </row>
    <row r="128" spans="1:12" ht="16.5" customHeight="1" x14ac:dyDescent="0.25">
      <c r="D128" s="140" t="s">
        <v>1656</v>
      </c>
      <c r="H128" s="10"/>
      <c r="K128" s="169">
        <f>-K23-K48+J68+J75+J96-K113</f>
        <v>-40339993</v>
      </c>
    </row>
    <row r="129" spans="4:11" ht="16.5" customHeight="1" x14ac:dyDescent="0.25">
      <c r="D129" s="140" t="s">
        <v>1657</v>
      </c>
      <c r="H129" s="10"/>
      <c r="K129" s="169">
        <f>-K76</f>
        <v>-10263173</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53" priority="12">
      <formula>$J$62&lt;&gt;$K$69</formula>
    </cfRule>
  </conditionalFormatting>
  <conditionalFormatting sqref="L26:P26">
    <cfRule type="expression" dxfId="52" priority="1">
      <formula>$J$26&lt;&gt;$K$26</formula>
    </cfRule>
  </conditionalFormatting>
  <conditionalFormatting sqref="L36:P36">
    <cfRule type="expression" dxfId="51" priority="2">
      <formula>$J$36&lt;&gt;$K$36</formula>
    </cfRule>
  </conditionalFormatting>
  <conditionalFormatting sqref="L43:P43">
    <cfRule type="expression" dxfId="50" priority="3">
      <formula>$J$43&lt;&gt;$K$43</formula>
    </cfRule>
  </conditionalFormatting>
  <conditionalFormatting sqref="L49:P49">
    <cfRule type="expression" dxfId="49" priority="4">
      <formula>$J$49&lt;&gt;$K$49</formula>
    </cfRule>
  </conditionalFormatting>
  <conditionalFormatting sqref="L59:P59">
    <cfRule type="expression" dxfId="48" priority="5">
      <formula>$J$59&lt;&gt;$K$59</formula>
    </cfRule>
  </conditionalFormatting>
  <conditionalFormatting sqref="L65:P65">
    <cfRule type="expression" dxfId="47" priority="6">
      <formula>$J$65&lt;&gt;$K$65</formula>
    </cfRule>
  </conditionalFormatting>
  <conditionalFormatting sqref="L70:P70">
    <cfRule type="expression" dxfId="46" priority="7">
      <formula>$J$70&lt;&gt;$K$70</formula>
    </cfRule>
  </conditionalFormatting>
  <conditionalFormatting sqref="L77:P77">
    <cfRule type="expression" dxfId="45" priority="8">
      <formula>$J$77&lt;&gt;$K$77</formula>
    </cfRule>
  </conditionalFormatting>
  <conditionalFormatting sqref="L91:P91">
    <cfRule type="expression" dxfId="44" priority="9">
      <formula>$J$91&lt;&gt;$K$91</formula>
    </cfRule>
  </conditionalFormatting>
  <conditionalFormatting sqref="L105:P105">
    <cfRule type="expression" dxfId="43" priority="10">
      <formula>$J$105&lt;&gt;$K$105</formula>
    </cfRule>
  </conditionalFormatting>
  <conditionalFormatting sqref="L114:P114">
    <cfRule type="expression" dxfId="42"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05FBD-8863-4600-AA82-85CA120F4328}">
  <sheetPr>
    <tabColor theme="9" tint="0.59999389629810485"/>
    <pageSetUpPr fitToPage="1"/>
  </sheetPr>
  <dimension ref="A1:T193"/>
  <sheetViews>
    <sheetView topLeftCell="A95" zoomScale="70" zoomScaleNormal="70" workbookViewId="0">
      <selection activeCell="Q35" sqref="Q35"/>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79" t="s">
        <v>1629</v>
      </c>
      <c r="B1" s="179"/>
      <c r="C1" s="179"/>
      <c r="D1" s="179"/>
      <c r="E1" s="179"/>
      <c r="F1" s="179"/>
      <c r="G1" s="179"/>
      <c r="H1" s="179"/>
      <c r="I1" s="179"/>
      <c r="J1" s="179"/>
      <c r="K1" s="179"/>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0" t="s">
        <v>10</v>
      </c>
      <c r="B3" s="180"/>
      <c r="C3" s="180"/>
      <c r="D3" s="180"/>
      <c r="E3" s="180"/>
      <c r="F3" s="181" t="s">
        <v>21</v>
      </c>
      <c r="G3" s="181"/>
      <c r="H3" s="181"/>
      <c r="I3" s="181"/>
    </row>
    <row r="4" spans="1:20" ht="16.5" customHeight="1" x14ac:dyDescent="0.2">
      <c r="A4" s="180" t="s">
        <v>191</v>
      </c>
      <c r="B4" s="180"/>
      <c r="C4" s="180"/>
      <c r="D4" s="180"/>
      <c r="E4" s="180"/>
      <c r="F4" s="182" t="s">
        <v>1675</v>
      </c>
      <c r="G4" s="182"/>
      <c r="H4" s="182"/>
      <c r="I4" s="182"/>
    </row>
    <row r="5" spans="1:20" ht="16.5" customHeight="1" x14ac:dyDescent="0.2">
      <c r="A5" s="180" t="s">
        <v>1615</v>
      </c>
      <c r="B5" s="180"/>
      <c r="C5" s="180"/>
      <c r="D5" s="180"/>
      <c r="E5" s="180"/>
      <c r="F5" s="182" t="s">
        <v>805</v>
      </c>
      <c r="G5" s="182"/>
      <c r="H5" s="182"/>
      <c r="I5" s="182"/>
      <c r="L5" s="12"/>
      <c r="M5" s="12"/>
      <c r="N5" s="12"/>
      <c r="O5" s="12"/>
      <c r="P5" s="12"/>
      <c r="Q5" s="12"/>
    </row>
    <row r="6" spans="1:20" ht="16.5" customHeight="1" x14ac:dyDescent="0.25">
      <c r="A6" s="180" t="s">
        <v>1634</v>
      </c>
      <c r="B6" s="180"/>
      <c r="C6" s="180"/>
      <c r="D6" s="180"/>
      <c r="E6" s="180"/>
      <c r="F6" s="183">
        <v>557</v>
      </c>
      <c r="G6" s="183"/>
      <c r="H6" s="183"/>
      <c r="I6" s="183"/>
      <c r="L6" s="13"/>
      <c r="M6" s="13"/>
      <c r="N6" s="13"/>
      <c r="O6" s="13"/>
      <c r="P6" s="12"/>
      <c r="Q6" s="12"/>
    </row>
    <row r="7" spans="1:20" ht="16.5" customHeight="1" x14ac:dyDescent="0.25">
      <c r="A7" s="180" t="s">
        <v>1</v>
      </c>
      <c r="B7" s="180"/>
      <c r="C7" s="180"/>
      <c r="D7" s="180"/>
      <c r="E7" s="180"/>
      <c r="F7" s="183" t="s">
        <v>120</v>
      </c>
      <c r="G7" s="183"/>
      <c r="H7" s="183"/>
      <c r="I7" s="183"/>
      <c r="K7" s="53"/>
      <c r="L7" s="13"/>
      <c r="M7" s="13"/>
      <c r="N7" s="13"/>
      <c r="O7" s="13"/>
      <c r="P7" s="12"/>
      <c r="Q7" s="12"/>
    </row>
    <row r="8" spans="1:20" ht="16.5" customHeight="1" x14ac:dyDescent="0.25">
      <c r="A8" s="180" t="s">
        <v>1616</v>
      </c>
      <c r="B8" s="180"/>
      <c r="C8" s="180"/>
      <c r="D8" s="180"/>
      <c r="E8" s="180"/>
      <c r="F8" s="183" t="s">
        <v>154</v>
      </c>
      <c r="G8" s="183"/>
      <c r="H8" s="183"/>
      <c r="I8" s="183"/>
      <c r="K8" s="53"/>
      <c r="L8" s="13"/>
      <c r="M8" s="13"/>
      <c r="N8" s="13"/>
      <c r="O8" s="13"/>
      <c r="P8" s="12"/>
      <c r="Q8" s="12"/>
    </row>
    <row r="9" spans="1:20" ht="16.5" customHeight="1" x14ac:dyDescent="0.25">
      <c r="A9" s="180" t="s">
        <v>1614</v>
      </c>
      <c r="B9" s="180"/>
      <c r="C9" s="180"/>
      <c r="D9" s="180"/>
      <c r="E9" s="180"/>
      <c r="F9" s="184" t="str">
        <f>IFERROR(IF(F7="Proprietary","Proprietary Fund",VLOOKUP(F5,qryIndex02a!$A$2:$K$654,4,FALSE)),"Unidentified")</f>
        <v>RESOURCES</v>
      </c>
      <c r="G9" s="184"/>
      <c r="H9" s="184"/>
      <c r="I9" s="184"/>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20" ht="16.5" customHeight="1" x14ac:dyDescent="0.25">
      <c r="A15" s="159" t="s">
        <v>1637</v>
      </c>
      <c r="B15" s="9" t="s">
        <v>170</v>
      </c>
      <c r="C15" s="9"/>
      <c r="D15" s="9"/>
      <c r="E15" s="140"/>
      <c r="F15" s="141"/>
      <c r="G15" s="141"/>
      <c r="H15" s="142"/>
      <c r="I15" s="142"/>
      <c r="J15" s="171">
        <f>M15</f>
        <v>0</v>
      </c>
      <c r="M15" s="143"/>
      <c r="P15" s="143"/>
      <c r="Q15" s="155"/>
      <c r="S15" s="154">
        <f t="shared" ref="S15:S19" si="0">P15-M15</f>
        <v>0</v>
      </c>
      <c r="T15" s="173" t="s">
        <v>1672</v>
      </c>
    </row>
    <row r="16" spans="1:20" ht="16.5" customHeight="1" x14ac:dyDescent="0.25">
      <c r="A16" s="159" t="s">
        <v>1637</v>
      </c>
      <c r="B16" s="9" t="s">
        <v>171</v>
      </c>
      <c r="C16" s="9"/>
      <c r="D16" s="9"/>
      <c r="E16" s="140"/>
      <c r="F16" s="141"/>
      <c r="G16" s="141"/>
      <c r="H16" s="142"/>
      <c r="I16" s="142"/>
      <c r="J16" s="171">
        <f>M16</f>
        <v>0</v>
      </c>
      <c r="M16" s="143"/>
      <c r="P16" s="143"/>
      <c r="Q16" s="155"/>
      <c r="S16" s="154">
        <f t="shared" si="0"/>
        <v>0</v>
      </c>
      <c r="T16" s="173" t="s">
        <v>1672</v>
      </c>
    </row>
    <row r="17" spans="1:20" ht="16.5" customHeight="1" x14ac:dyDescent="0.25">
      <c r="A17" s="159" t="s">
        <v>1637</v>
      </c>
      <c r="B17" s="9" t="s">
        <v>172</v>
      </c>
      <c r="C17" s="9"/>
      <c r="D17" s="9"/>
      <c r="E17" s="140"/>
      <c r="F17" s="141"/>
      <c r="G17" s="141"/>
      <c r="H17" s="142"/>
      <c r="I17" s="142"/>
      <c r="J17" s="171">
        <f>M17</f>
        <v>1110317</v>
      </c>
      <c r="M17" s="143">
        <v>1110317</v>
      </c>
      <c r="P17" s="143">
        <v>1110317</v>
      </c>
      <c r="Q17" s="155"/>
      <c r="S17" s="154">
        <f t="shared" si="0"/>
        <v>0</v>
      </c>
      <c r="T17" s="173" t="s">
        <v>1672</v>
      </c>
    </row>
    <row r="18" spans="1:20" ht="16.5" customHeight="1" x14ac:dyDescent="0.25">
      <c r="A18" s="54"/>
      <c r="B18" s="9" t="s">
        <v>168</v>
      </c>
      <c r="C18" s="9"/>
      <c r="D18" s="9"/>
      <c r="E18" s="140"/>
      <c r="F18" s="141"/>
      <c r="G18" s="141"/>
      <c r="H18" s="142"/>
      <c r="I18" s="142"/>
      <c r="J18" s="171">
        <f>P18</f>
        <v>833</v>
      </c>
      <c r="M18" s="143">
        <f>N22+N23-M17</f>
        <v>833</v>
      </c>
      <c r="P18" s="152">
        <f>IF(SUM($Q$20:$Q$23)&gt;SUM($P$15:$P$17),SUM($Q$20:$Q$23)-SUM($P$15:$P$17),0)</f>
        <v>833</v>
      </c>
      <c r="Q18" s="155"/>
      <c r="S18" s="154">
        <f t="shared" si="0"/>
        <v>0</v>
      </c>
      <c r="T18" s="172" t="s">
        <v>1660</v>
      </c>
    </row>
    <row r="19" spans="1:20" ht="16.5" customHeight="1" x14ac:dyDescent="0.25">
      <c r="A19" s="54"/>
      <c r="B19" s="9" t="s">
        <v>169</v>
      </c>
      <c r="C19" s="9"/>
      <c r="D19" s="9"/>
      <c r="E19" s="140"/>
      <c r="F19" s="141"/>
      <c r="G19" s="141"/>
      <c r="H19" s="142"/>
      <c r="I19" s="142"/>
      <c r="J19" s="171">
        <f>IF(SUM($K$20:$K$24)&gt;SUM($J$15:$J$18),SUM($K$20:$K$24)-SUM($J$15:$J$18),0)</f>
        <v>0</v>
      </c>
      <c r="M19" s="143"/>
      <c r="P19" s="155"/>
      <c r="Q19" s="155"/>
      <c r="S19" s="154">
        <f t="shared" si="0"/>
        <v>0</v>
      </c>
      <c r="T19" s="172" t="s">
        <v>1660</v>
      </c>
    </row>
    <row r="20" spans="1:20" ht="16.5" customHeight="1" x14ac:dyDescent="0.25">
      <c r="A20" s="54"/>
      <c r="B20" s="9"/>
      <c r="C20" s="9" t="s">
        <v>177</v>
      </c>
      <c r="D20" s="9"/>
      <c r="E20" s="140"/>
      <c r="F20" s="141"/>
      <c r="G20" s="141"/>
      <c r="H20" s="142"/>
      <c r="I20" s="142"/>
      <c r="J20" s="150"/>
      <c r="K20" s="171">
        <f>N20</f>
        <v>0</v>
      </c>
      <c r="N20" s="143"/>
      <c r="P20" s="155"/>
      <c r="Q20" s="143"/>
      <c r="S20" s="154">
        <f>Q20-N20</f>
        <v>0</v>
      </c>
      <c r="T20" s="172" t="s">
        <v>1660</v>
      </c>
    </row>
    <row r="21" spans="1:20" ht="16.5" customHeight="1" x14ac:dyDescent="0.25">
      <c r="A21" s="54"/>
      <c r="B21" s="9"/>
      <c r="C21" s="9" t="s">
        <v>174</v>
      </c>
      <c r="D21" s="9"/>
      <c r="E21" s="140"/>
      <c r="F21" s="141"/>
      <c r="G21" s="141"/>
      <c r="H21" s="142"/>
      <c r="I21" s="142"/>
      <c r="J21" s="150"/>
      <c r="K21" s="171">
        <f>N21</f>
        <v>0</v>
      </c>
      <c r="N21" s="143"/>
      <c r="P21" s="155"/>
      <c r="Q21" s="143"/>
      <c r="S21" s="154">
        <f>Q21-N21</f>
        <v>0</v>
      </c>
      <c r="T21" s="172" t="s">
        <v>1660</v>
      </c>
    </row>
    <row r="22" spans="1:20" ht="16.5" customHeight="1" x14ac:dyDescent="0.25">
      <c r="A22" s="54"/>
      <c r="B22" s="9"/>
      <c r="C22" s="9" t="s">
        <v>178</v>
      </c>
      <c r="D22" s="9"/>
      <c r="E22" s="140"/>
      <c r="F22" s="141"/>
      <c r="G22" s="141"/>
      <c r="H22" s="142"/>
      <c r="I22" s="142"/>
      <c r="J22" s="150"/>
      <c r="K22" s="171">
        <f>N22</f>
        <v>10803</v>
      </c>
      <c r="N22" s="143">
        <v>10803</v>
      </c>
      <c r="P22" s="155"/>
      <c r="Q22" s="143">
        <v>10803</v>
      </c>
      <c r="S22" s="154">
        <f t="shared" ref="S22:S25" si="1">Q22-N22</f>
        <v>0</v>
      </c>
      <c r="T22" s="172" t="s">
        <v>1660</v>
      </c>
    </row>
    <row r="23" spans="1:20" ht="16.5" customHeight="1" x14ac:dyDescent="0.25">
      <c r="A23" s="165" t="s">
        <v>1645</v>
      </c>
      <c r="B23" s="9"/>
      <c r="C23" s="9" t="s">
        <v>173</v>
      </c>
      <c r="D23" s="9"/>
      <c r="E23" s="140"/>
      <c r="F23" s="141"/>
      <c r="G23" s="141"/>
      <c r="H23" s="142"/>
      <c r="I23" s="142"/>
      <c r="J23" s="150"/>
      <c r="K23" s="171">
        <f>N23</f>
        <v>1100347</v>
      </c>
      <c r="N23" s="143">
        <f>979795+120552</f>
        <v>1100347</v>
      </c>
      <c r="P23" s="155"/>
      <c r="Q23" s="143">
        <v>1100347</v>
      </c>
      <c r="S23" s="154">
        <f t="shared" si="1"/>
        <v>0</v>
      </c>
      <c r="T23" s="172" t="s">
        <v>1660</v>
      </c>
    </row>
    <row r="24" spans="1:20" ht="16.5" customHeight="1" x14ac:dyDescent="0.25">
      <c r="A24" s="54"/>
      <c r="B24" s="9"/>
      <c r="C24" s="9" t="s">
        <v>175</v>
      </c>
      <c r="D24" s="9"/>
      <c r="E24" s="140"/>
      <c r="F24" s="141"/>
      <c r="G24" s="141"/>
      <c r="H24" s="142"/>
      <c r="I24" s="142"/>
      <c r="J24" s="150"/>
      <c r="K24" s="171">
        <f>Q24</f>
        <v>0</v>
      </c>
      <c r="N24" s="143"/>
      <c r="P24" s="155"/>
      <c r="Q24" s="152">
        <f>IF(SUM($Q$20:$Q$23)&lt;SUM($P$15:$P$17),-SUM($Q$20:$Q$23)+SUM($P$15:$P$17),0)</f>
        <v>0</v>
      </c>
      <c r="S24" s="154">
        <f t="shared" si="1"/>
        <v>0</v>
      </c>
      <c r="T24" s="172" t="s">
        <v>1660</v>
      </c>
    </row>
    <row r="25" spans="1:20" ht="16.5" customHeight="1" x14ac:dyDescent="0.25">
      <c r="A25" s="54"/>
      <c r="B25" s="9"/>
      <c r="C25" s="9" t="s">
        <v>176</v>
      </c>
      <c r="D25" s="9"/>
      <c r="E25" s="140"/>
      <c r="F25" s="141"/>
      <c r="G25" s="141"/>
      <c r="H25" s="142"/>
      <c r="I25" s="142"/>
      <c r="J25" s="150"/>
      <c r="K25" s="171">
        <f>IF(SUM($K$20:$K$24)&lt;SUM($J$15:$J$18),-SUM($K$20:$K$24)+SUM($J$15:$J$18),0)</f>
        <v>0</v>
      </c>
      <c r="N25" s="143"/>
      <c r="P25" s="155"/>
      <c r="Q25" s="155"/>
      <c r="S25" s="154">
        <f t="shared" si="1"/>
        <v>0</v>
      </c>
      <c r="T25" s="172" t="s">
        <v>1660</v>
      </c>
    </row>
    <row r="26" spans="1:20" ht="16.5" customHeight="1" x14ac:dyDescent="0.25">
      <c r="A26" s="54"/>
      <c r="C26" s="20"/>
      <c r="D26" s="20"/>
      <c r="E26" s="20"/>
      <c r="F26" s="127"/>
      <c r="G26" s="127"/>
      <c r="H26" s="22"/>
      <c r="I26" s="22"/>
      <c r="J26" s="107">
        <f>SUM(J15:J25)</f>
        <v>1111150</v>
      </c>
      <c r="K26" s="107">
        <f>SUM(K15:K25)</f>
        <v>1111150</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1664</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1662</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1663</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138790</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138790</v>
      </c>
    </row>
    <row r="59" spans="1:16" ht="16.5" customHeight="1" x14ac:dyDescent="0.25">
      <c r="A59" s="54"/>
      <c r="C59" s="16"/>
      <c r="D59" s="16"/>
      <c r="E59" s="16"/>
      <c r="F59" s="17"/>
      <c r="G59" s="17"/>
      <c r="H59" s="18"/>
      <c r="I59" s="18"/>
      <c r="J59" s="107">
        <f>SUM(J55:J58)</f>
        <v>138790</v>
      </c>
      <c r="K59" s="107">
        <f>SUM(K55:K58)</f>
        <v>138790</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1665</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120552</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9408</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v>129960</v>
      </c>
    </row>
    <row r="65" spans="1:12" ht="16.5" customHeight="1" x14ac:dyDescent="0.25">
      <c r="A65" s="54"/>
      <c r="C65" s="16"/>
      <c r="D65" s="16"/>
      <c r="E65" s="16"/>
      <c r="F65" s="17"/>
      <c r="G65" s="17"/>
      <c r="H65" s="18"/>
      <c r="I65" s="18"/>
      <c r="J65" s="107">
        <f>SUM(J62:J64)</f>
        <v>129960</v>
      </c>
      <c r="K65" s="107">
        <f>SUM(K62:K64)</f>
        <v>129960</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120552</v>
      </c>
      <c r="K68" s="144"/>
    </row>
    <row r="69" spans="1:12" ht="16.5" customHeight="1" x14ac:dyDescent="0.25">
      <c r="A69" s="54"/>
      <c r="B69" s="9"/>
      <c r="C69" s="9" t="s">
        <v>185</v>
      </c>
      <c r="D69" s="140"/>
      <c r="E69" s="140"/>
      <c r="F69" s="141"/>
      <c r="G69" s="141"/>
      <c r="H69" s="142"/>
      <c r="I69" s="142"/>
      <c r="J69" s="144"/>
      <c r="K69" s="143">
        <v>120552</v>
      </c>
      <c r="L69" s="10" t="str">
        <f>IF($J$62=$K$69,"","&lt;- Accts 0848 must agree")</f>
        <v/>
      </c>
    </row>
    <row r="70" spans="1:12" ht="16.5" customHeight="1" x14ac:dyDescent="0.25">
      <c r="A70" s="54"/>
      <c r="C70" s="16"/>
      <c r="D70" s="16"/>
      <c r="E70" s="16"/>
      <c r="F70" s="17"/>
      <c r="G70" s="17"/>
      <c r="H70" s="18"/>
      <c r="I70" s="18"/>
      <c r="J70" s="107">
        <f>SUM(J68:J69)</f>
        <v>120552</v>
      </c>
      <c r="K70" s="107">
        <f>SUM(K68:K69)</f>
        <v>120552</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125556</v>
      </c>
      <c r="K75" s="144"/>
    </row>
    <row r="76" spans="1:12" ht="16.5" customHeight="1" x14ac:dyDescent="0.25">
      <c r="A76" s="54"/>
      <c r="B76" s="9"/>
      <c r="C76" s="9" t="s">
        <v>193</v>
      </c>
      <c r="D76" s="140"/>
      <c r="E76" s="140"/>
      <c r="F76" s="141"/>
      <c r="G76" s="141"/>
      <c r="H76" s="142"/>
      <c r="I76" s="142"/>
      <c r="J76" s="144"/>
      <c r="K76" s="143">
        <v>125556</v>
      </c>
    </row>
    <row r="77" spans="1:12" ht="16.5" customHeight="1" x14ac:dyDescent="0.2">
      <c r="A77" s="54"/>
      <c r="B77" s="178" t="s">
        <v>1661</v>
      </c>
      <c r="C77" s="178"/>
      <c r="D77" s="178"/>
      <c r="E77" s="178"/>
      <c r="F77" s="178"/>
      <c r="G77" s="178"/>
      <c r="H77" s="178"/>
      <c r="I77" s="178"/>
      <c r="J77" s="107">
        <f>SUM(J75:J76)</f>
        <v>125556</v>
      </c>
      <c r="K77" s="107">
        <f>SUM(K75:K76)</f>
        <v>125556</v>
      </c>
      <c r="L77" s="25" t="str">
        <f>IF(J77=K77,"&lt;- Debits and Credits equal each other.","&lt;- Debits and Credits do not equal each other.")</f>
        <v>&lt;- Debits and Credits equal each other.</v>
      </c>
    </row>
    <row r="78" spans="1:12" ht="16.5" customHeight="1" x14ac:dyDescent="0.2">
      <c r="A78" s="54"/>
      <c r="B78" s="178"/>
      <c r="C78" s="178"/>
      <c r="D78" s="178"/>
      <c r="E78" s="178"/>
      <c r="F78" s="178"/>
      <c r="G78" s="178"/>
      <c r="H78" s="178"/>
      <c r="I78" s="178"/>
      <c r="J78" s="107"/>
      <c r="K78" s="107"/>
      <c r="L78" s="8"/>
    </row>
    <row r="79" spans="1:12" ht="24.6" customHeight="1" x14ac:dyDescent="0.2">
      <c r="A79" s="54"/>
      <c r="B79" s="178"/>
      <c r="C79" s="178"/>
      <c r="D79" s="178"/>
      <c r="E79" s="178"/>
      <c r="F79" s="178"/>
      <c r="G79" s="178"/>
      <c r="H79" s="178"/>
      <c r="I79" s="178"/>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1671</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1666</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1110317</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-149593</v>
      </c>
    </row>
    <row r="128" spans="1:12" ht="16.5" customHeight="1" x14ac:dyDescent="0.25">
      <c r="D128" s="140" t="s">
        <v>1656</v>
      </c>
      <c r="H128" s="10"/>
      <c r="K128" s="169">
        <f>-K23-K48+J68+J75+J96-K113</f>
        <v>-854239</v>
      </c>
    </row>
    <row r="129" spans="4:11" ht="16.5" customHeight="1" x14ac:dyDescent="0.25">
      <c r="D129" s="140" t="s">
        <v>1657</v>
      </c>
      <c r="H129" s="10"/>
      <c r="K129" s="169">
        <f>-K76</f>
        <v>-125556</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type="textLength" operator="equal" allowBlank="1" showInputMessage="1" showErrorMessage="1" errorTitle="4-Digit Org Code" error="Enter the Org Code/BU as 4 digits." sqref="F5" xr:uid="{E50F121E-8A52-43E1-8D3E-3E0090A3B6C6}">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53FFF51-9E5F-4E76-B3E3-71D3635E7133}">
      <formula1>0</formula1>
    </dataValidation>
    <dataValidation operator="lessThan" allowBlank="1" showInputMessage="1" showErrorMessage="1" sqref="A3:A8" xr:uid="{05775F3D-966A-4ACD-BC27-067FBFF1FC7C}"/>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E59B92DF-406F-425C-9C43-F25F38B203F9}">
          <x14:formula1>
            <xm:f>'Drop Down Menus'!$E$1:$E$3</xm:f>
          </x14:formula1>
          <xm:sqref>F8</xm:sqref>
        </x14:dataValidation>
        <x14:dataValidation type="list" allowBlank="1" showInputMessage="1" showErrorMessage="1" xr:uid="{498003AB-094F-4DD4-9F76-9268A7B8AB85}">
          <x14:formula1>
            <xm:f>'Drop Down Menus'!$B$1:$B$2</xm:f>
          </x14:formula1>
          <xm:sqref>F7</xm:sqref>
        </x14:dataValidation>
        <x14:dataValidation type="list" allowBlank="1" showInputMessage="1" showErrorMessage="1" xr:uid="{9A94EC67-D9C4-4249-90E2-088B78D6D9AF}">
          <x14:formula1>
            <xm:f>'Drop Down Menus'!$A$1:$A$101</xm:f>
          </x14:formula1>
          <xm:sqref>F3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A94AD-6B5A-40E6-9062-914605B698D6}">
  <sheetPr>
    <tabColor theme="9" tint="0.59999389629810485"/>
    <pageSetUpPr fitToPage="1"/>
  </sheetPr>
  <dimension ref="A1:T193"/>
  <sheetViews>
    <sheetView tabSelected="1" topLeftCell="A92" zoomScale="70" zoomScaleNormal="70" workbookViewId="0">
      <selection activeCell="J131" sqref="J131"/>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79" t="s">
        <v>1629</v>
      </c>
      <c r="B1" s="179"/>
      <c r="C1" s="179"/>
      <c r="D1" s="179"/>
      <c r="E1" s="179"/>
      <c r="F1" s="179"/>
      <c r="G1" s="179"/>
      <c r="H1" s="179"/>
      <c r="I1" s="179"/>
      <c r="J1" s="179"/>
      <c r="K1" s="179"/>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0" t="s">
        <v>10</v>
      </c>
      <c r="B3" s="180"/>
      <c r="C3" s="180"/>
      <c r="D3" s="180"/>
      <c r="E3" s="180"/>
      <c r="F3" s="181" t="s">
        <v>21</v>
      </c>
      <c r="G3" s="181"/>
      <c r="H3" s="181"/>
      <c r="I3" s="181"/>
    </row>
    <row r="4" spans="1:20" ht="16.5" customHeight="1" x14ac:dyDescent="0.2">
      <c r="A4" s="180" t="s">
        <v>191</v>
      </c>
      <c r="B4" s="180"/>
      <c r="C4" s="180"/>
      <c r="D4" s="180"/>
      <c r="E4" s="180"/>
      <c r="F4" s="182" t="s">
        <v>1675</v>
      </c>
      <c r="G4" s="182"/>
      <c r="H4" s="182"/>
      <c r="I4" s="182"/>
    </row>
    <row r="5" spans="1:20" ht="16.5" customHeight="1" x14ac:dyDescent="0.2">
      <c r="A5" s="180" t="s">
        <v>1615</v>
      </c>
      <c r="B5" s="180"/>
      <c r="C5" s="180"/>
      <c r="D5" s="180"/>
      <c r="E5" s="180"/>
      <c r="F5" s="182" t="s">
        <v>805</v>
      </c>
      <c r="G5" s="182"/>
      <c r="H5" s="182"/>
      <c r="I5" s="182"/>
      <c r="L5" s="12"/>
      <c r="M5" s="12"/>
      <c r="N5" s="12"/>
      <c r="O5" s="12"/>
      <c r="P5" s="12"/>
      <c r="Q5" s="12"/>
    </row>
    <row r="6" spans="1:20" ht="16.5" customHeight="1" x14ac:dyDescent="0.25">
      <c r="A6" s="180" t="s">
        <v>1634</v>
      </c>
      <c r="B6" s="180"/>
      <c r="C6" s="180"/>
      <c r="D6" s="180"/>
      <c r="E6" s="180"/>
      <c r="F6" s="183">
        <v>3084</v>
      </c>
      <c r="G6" s="183"/>
      <c r="H6" s="183"/>
      <c r="I6" s="183"/>
      <c r="L6" s="13"/>
      <c r="M6" s="13"/>
      <c r="N6" s="13"/>
      <c r="O6" s="13"/>
      <c r="P6" s="12"/>
      <c r="Q6" s="12"/>
    </row>
    <row r="7" spans="1:20" ht="16.5" customHeight="1" x14ac:dyDescent="0.25">
      <c r="A7" s="180" t="s">
        <v>1</v>
      </c>
      <c r="B7" s="180"/>
      <c r="C7" s="180"/>
      <c r="D7" s="180"/>
      <c r="E7" s="180"/>
      <c r="F7" s="183" t="s">
        <v>120</v>
      </c>
      <c r="G7" s="183"/>
      <c r="H7" s="183"/>
      <c r="I7" s="183"/>
      <c r="K7" s="53"/>
      <c r="L7" s="13"/>
      <c r="M7" s="13"/>
      <c r="N7" s="13"/>
      <c r="O7" s="13"/>
      <c r="P7" s="12"/>
      <c r="Q7" s="12"/>
    </row>
    <row r="8" spans="1:20" ht="16.5" customHeight="1" x14ac:dyDescent="0.25">
      <c r="A8" s="180" t="s">
        <v>1616</v>
      </c>
      <c r="B8" s="180"/>
      <c r="C8" s="180"/>
      <c r="D8" s="180"/>
      <c r="E8" s="180"/>
      <c r="F8" s="183" t="s">
        <v>154</v>
      </c>
      <c r="G8" s="183"/>
      <c r="H8" s="183"/>
      <c r="I8" s="183"/>
      <c r="K8" s="53"/>
      <c r="L8" s="13"/>
      <c r="M8" s="13"/>
      <c r="N8" s="13"/>
      <c r="O8" s="13"/>
      <c r="P8" s="12"/>
      <c r="Q8" s="12"/>
    </row>
    <row r="9" spans="1:20" ht="16.5" customHeight="1" x14ac:dyDescent="0.25">
      <c r="A9" s="180" t="s">
        <v>1614</v>
      </c>
      <c r="B9" s="180"/>
      <c r="C9" s="180"/>
      <c r="D9" s="180"/>
      <c r="E9" s="180"/>
      <c r="F9" s="184" t="str">
        <f>IFERROR(IF(F7="Proprietary","Proprietary Fund",VLOOKUP(F5,qryIndex02a!$A$2:$K$654,4,FALSE)),"Unidentified")</f>
        <v>RESOURCES</v>
      </c>
      <c r="G9" s="184"/>
      <c r="H9" s="184"/>
      <c r="I9" s="184"/>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20" ht="16.5" customHeight="1" x14ac:dyDescent="0.25">
      <c r="A15" s="159" t="s">
        <v>1637</v>
      </c>
      <c r="B15" s="9" t="s">
        <v>170</v>
      </c>
      <c r="C15" s="9"/>
      <c r="D15" s="9"/>
      <c r="E15" s="140"/>
      <c r="F15" s="141"/>
      <c r="G15" s="141"/>
      <c r="H15" s="142"/>
      <c r="I15" s="142"/>
      <c r="J15" s="171">
        <f>M15</f>
        <v>0</v>
      </c>
      <c r="M15" s="143"/>
      <c r="P15" s="143"/>
      <c r="Q15" s="155"/>
      <c r="S15" s="154">
        <f t="shared" ref="S15:S19" si="0">P15-M15</f>
        <v>0</v>
      </c>
      <c r="T15" s="173" t="s">
        <v>1672</v>
      </c>
    </row>
    <row r="16" spans="1:20" ht="16.5" customHeight="1" x14ac:dyDescent="0.25">
      <c r="A16" s="159" t="s">
        <v>1637</v>
      </c>
      <c r="B16" s="9" t="s">
        <v>171</v>
      </c>
      <c r="C16" s="9"/>
      <c r="D16" s="9"/>
      <c r="E16" s="140"/>
      <c r="F16" s="141"/>
      <c r="G16" s="141"/>
      <c r="H16" s="142"/>
      <c r="I16" s="142"/>
      <c r="J16" s="171">
        <f>M16</f>
        <v>0</v>
      </c>
      <c r="M16" s="143"/>
      <c r="P16" s="143"/>
      <c r="Q16" s="155"/>
      <c r="S16" s="154">
        <f t="shared" si="0"/>
        <v>0</v>
      </c>
      <c r="T16" s="173" t="s">
        <v>1672</v>
      </c>
    </row>
    <row r="17" spans="1:20" ht="16.5" customHeight="1" x14ac:dyDescent="0.25">
      <c r="A17" s="159" t="s">
        <v>1637</v>
      </c>
      <c r="B17" s="9" t="s">
        <v>172</v>
      </c>
      <c r="C17" s="9"/>
      <c r="D17" s="9"/>
      <c r="E17" s="140"/>
      <c r="F17" s="141"/>
      <c r="G17" s="141"/>
      <c r="H17" s="142"/>
      <c r="I17" s="142"/>
      <c r="J17" s="171">
        <f>M17</f>
        <v>693173.0266856763</v>
      </c>
      <c r="M17" s="143">
        <v>693173.0266856763</v>
      </c>
      <c r="P17" s="143">
        <v>693173</v>
      </c>
      <c r="Q17" s="155"/>
      <c r="S17" s="154">
        <f t="shared" si="0"/>
        <v>-2.6685676304623485E-2</v>
      </c>
      <c r="T17" s="173" t="s">
        <v>1672</v>
      </c>
    </row>
    <row r="18" spans="1:20" ht="16.5" customHeight="1" x14ac:dyDescent="0.25">
      <c r="A18" s="54"/>
      <c r="B18" s="9" t="s">
        <v>168</v>
      </c>
      <c r="C18" s="9"/>
      <c r="D18" s="9"/>
      <c r="E18" s="140"/>
      <c r="F18" s="141"/>
      <c r="G18" s="141"/>
      <c r="H18" s="142"/>
      <c r="I18" s="142"/>
      <c r="J18" s="171">
        <f>P18</f>
        <v>6031</v>
      </c>
      <c r="M18" s="143">
        <f>ROUND((N22+N23-M17),0)</f>
        <v>6031</v>
      </c>
      <c r="P18" s="152">
        <f>IF(SUM($Q$20:$Q$23)&gt;SUM($P$15:$P$17),SUM($Q$20:$Q$23)-SUM($P$15:$P$17),0)</f>
        <v>6031</v>
      </c>
      <c r="Q18" s="155"/>
      <c r="S18" s="154">
        <f t="shared" si="0"/>
        <v>0</v>
      </c>
      <c r="T18" s="172" t="s">
        <v>1660</v>
      </c>
    </row>
    <row r="19" spans="1:20" ht="16.5" customHeight="1" x14ac:dyDescent="0.25">
      <c r="A19" s="54"/>
      <c r="B19" s="9" t="s">
        <v>169</v>
      </c>
      <c r="C19" s="9"/>
      <c r="D19" s="9"/>
      <c r="E19" s="140"/>
      <c r="F19" s="141"/>
      <c r="G19" s="141"/>
      <c r="H19" s="142"/>
      <c r="I19" s="142"/>
      <c r="J19" s="171">
        <f>IF(SUM($K$20:$K$24)&gt;SUM($J$15:$J$18),SUM($K$20:$K$24)-SUM($J$15:$J$18),0)</f>
        <v>0</v>
      </c>
      <c r="M19" s="143"/>
      <c r="P19" s="155"/>
      <c r="Q19" s="155"/>
      <c r="S19" s="154">
        <f t="shared" si="0"/>
        <v>0</v>
      </c>
      <c r="T19" s="172" t="s">
        <v>1660</v>
      </c>
    </row>
    <row r="20" spans="1:20" ht="16.5" customHeight="1" x14ac:dyDescent="0.25">
      <c r="A20" s="54"/>
      <c r="B20" s="9"/>
      <c r="C20" s="9" t="s">
        <v>177</v>
      </c>
      <c r="D20" s="9"/>
      <c r="E20" s="140"/>
      <c r="F20" s="141"/>
      <c r="G20" s="141"/>
      <c r="H20" s="142"/>
      <c r="I20" s="142"/>
      <c r="J20" s="150"/>
      <c r="K20" s="171">
        <f>N20</f>
        <v>0</v>
      </c>
      <c r="N20" s="143"/>
      <c r="P20" s="155"/>
      <c r="Q20" s="143"/>
      <c r="S20" s="154">
        <f>Q20-N20</f>
        <v>0</v>
      </c>
      <c r="T20" s="172" t="s">
        <v>1660</v>
      </c>
    </row>
    <row r="21" spans="1:20" ht="16.5" customHeight="1" x14ac:dyDescent="0.25">
      <c r="A21" s="54"/>
      <c r="B21" s="9"/>
      <c r="C21" s="9" t="s">
        <v>174</v>
      </c>
      <c r="D21" s="9"/>
      <c r="E21" s="140"/>
      <c r="F21" s="141"/>
      <c r="G21" s="141"/>
      <c r="H21" s="142"/>
      <c r="I21" s="142"/>
      <c r="J21" s="150"/>
      <c r="K21" s="171">
        <f>N21</f>
        <v>0</v>
      </c>
      <c r="N21" s="143"/>
      <c r="P21" s="155"/>
      <c r="Q21" s="143"/>
      <c r="S21" s="154">
        <f>Q21-N21</f>
        <v>0</v>
      </c>
      <c r="T21" s="172" t="s">
        <v>1660</v>
      </c>
    </row>
    <row r="22" spans="1:20" ht="16.5" customHeight="1" x14ac:dyDescent="0.25">
      <c r="A22" s="54"/>
      <c r="B22" s="9"/>
      <c r="C22" s="9" t="s">
        <v>178</v>
      </c>
      <c r="D22" s="9"/>
      <c r="E22" s="140"/>
      <c r="F22" s="141"/>
      <c r="G22" s="141"/>
      <c r="H22" s="142"/>
      <c r="I22" s="142"/>
      <c r="J22" s="150"/>
      <c r="K22" s="171">
        <f>N22</f>
        <v>395077</v>
      </c>
      <c r="N22" s="143">
        <v>395077</v>
      </c>
      <c r="P22" s="155"/>
      <c r="Q22" s="143">
        <v>395076</v>
      </c>
      <c r="S22" s="154">
        <f t="shared" ref="S22:S25" si="1">Q22-N22</f>
        <v>-1</v>
      </c>
      <c r="T22" s="172" t="s">
        <v>1660</v>
      </c>
    </row>
    <row r="23" spans="1:20" ht="16.5" customHeight="1" x14ac:dyDescent="0.25">
      <c r="A23" s="165" t="s">
        <v>1645</v>
      </c>
      <c r="B23" s="9"/>
      <c r="C23" s="9" t="s">
        <v>173</v>
      </c>
      <c r="D23" s="9"/>
      <c r="E23" s="140"/>
      <c r="F23" s="141"/>
      <c r="G23" s="141"/>
      <c r="H23" s="142"/>
      <c r="I23" s="142"/>
      <c r="J23" s="150"/>
      <c r="K23" s="171">
        <f>N23</f>
        <v>304127</v>
      </c>
      <c r="N23" s="143">
        <f>102217+201910</f>
        <v>304127</v>
      </c>
      <c r="P23" s="155"/>
      <c r="Q23" s="143">
        <v>304128</v>
      </c>
      <c r="S23" s="154">
        <f t="shared" si="1"/>
        <v>1</v>
      </c>
      <c r="T23" s="172" t="s">
        <v>1660</v>
      </c>
    </row>
    <row r="24" spans="1:20" ht="16.5" customHeight="1" x14ac:dyDescent="0.25">
      <c r="A24" s="54"/>
      <c r="B24" s="9"/>
      <c r="C24" s="9" t="s">
        <v>175</v>
      </c>
      <c r="D24" s="9"/>
      <c r="E24" s="140"/>
      <c r="F24" s="141"/>
      <c r="G24" s="141"/>
      <c r="H24" s="142"/>
      <c r="I24" s="142"/>
      <c r="J24" s="150"/>
      <c r="K24" s="171">
        <f>Q24</f>
        <v>0</v>
      </c>
      <c r="N24" s="143"/>
      <c r="P24" s="155"/>
      <c r="Q24" s="152">
        <f>IF(SUM($Q$20:$Q$23)&lt;SUM($P$15:$P$17),-SUM($Q$20:$Q$23)+SUM($P$15:$P$17),0)</f>
        <v>0</v>
      </c>
      <c r="S24" s="154">
        <f t="shared" si="1"/>
        <v>0</v>
      </c>
      <c r="T24" s="172" t="s">
        <v>1660</v>
      </c>
    </row>
    <row r="25" spans="1:20" ht="16.5" customHeight="1" x14ac:dyDescent="0.25">
      <c r="A25" s="54"/>
      <c r="B25" s="9"/>
      <c r="C25" s="9" t="s">
        <v>176</v>
      </c>
      <c r="D25" s="9"/>
      <c r="E25" s="140"/>
      <c r="F25" s="141"/>
      <c r="G25" s="141"/>
      <c r="H25" s="142"/>
      <c r="I25" s="142"/>
      <c r="J25" s="150"/>
      <c r="K25" s="171">
        <f>IF(SUM($K$20:$K$24)&lt;SUM($J$15:$J$18),-SUM($K$20:$K$24)+SUM($J$15:$J$18),0)</f>
        <v>2.6685676304623485E-2</v>
      </c>
      <c r="N25" s="143"/>
      <c r="P25" s="155"/>
      <c r="Q25" s="155"/>
      <c r="S25" s="154">
        <f t="shared" si="1"/>
        <v>0</v>
      </c>
      <c r="T25" s="172" t="s">
        <v>1660</v>
      </c>
    </row>
    <row r="26" spans="1:20" ht="16.5" customHeight="1" x14ac:dyDescent="0.25">
      <c r="A26" s="54"/>
      <c r="C26" s="20"/>
      <c r="D26" s="20"/>
      <c r="E26" s="20"/>
      <c r="F26" s="127"/>
      <c r="G26" s="127"/>
      <c r="H26" s="22"/>
      <c r="I26" s="22"/>
      <c r="J26" s="107">
        <f>SUM(J15:J25)</f>
        <v>699204.0266856763</v>
      </c>
      <c r="K26" s="107">
        <f>SUM(K15:K25)</f>
        <v>699204.0266856763</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1664</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1662</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1663</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198049</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198049</v>
      </c>
    </row>
    <row r="59" spans="1:16" ht="16.5" customHeight="1" x14ac:dyDescent="0.25">
      <c r="A59" s="54"/>
      <c r="C59" s="16"/>
      <c r="D59" s="16"/>
      <c r="E59" s="16"/>
      <c r="F59" s="17"/>
      <c r="G59" s="17"/>
      <c r="H59" s="18"/>
      <c r="I59" s="18"/>
      <c r="J59" s="107">
        <f>SUM(J55:J58)</f>
        <v>198049</v>
      </c>
      <c r="K59" s="107">
        <f>SUM(K55:K58)</f>
        <v>198049</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1665</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201910</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42</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v>201952</v>
      </c>
    </row>
    <row r="65" spans="1:12" ht="16.5" customHeight="1" x14ac:dyDescent="0.25">
      <c r="A65" s="54"/>
      <c r="C65" s="16"/>
      <c r="D65" s="16"/>
      <c r="E65" s="16"/>
      <c r="F65" s="17"/>
      <c r="G65" s="17"/>
      <c r="H65" s="18"/>
      <c r="I65" s="18"/>
      <c r="J65" s="107">
        <f>SUM(J62:J64)</f>
        <v>201952</v>
      </c>
      <c r="K65" s="107">
        <f>SUM(K62:K64)</f>
        <v>201952</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201910</v>
      </c>
      <c r="K68" s="144"/>
    </row>
    <row r="69" spans="1:12" ht="16.5" customHeight="1" x14ac:dyDescent="0.25">
      <c r="A69" s="54"/>
      <c r="B69" s="9"/>
      <c r="C69" s="9" t="s">
        <v>185</v>
      </c>
      <c r="D69" s="140"/>
      <c r="E69" s="140"/>
      <c r="F69" s="141"/>
      <c r="G69" s="141"/>
      <c r="H69" s="142"/>
      <c r="I69" s="142"/>
      <c r="J69" s="144"/>
      <c r="K69" s="143">
        <v>201910</v>
      </c>
      <c r="L69" s="10" t="str">
        <f>IF($J$62=$K$69,"","&lt;- Accts 0848 must agree")</f>
        <v/>
      </c>
    </row>
    <row r="70" spans="1:12" ht="16.5" customHeight="1" x14ac:dyDescent="0.25">
      <c r="A70" s="54"/>
      <c r="C70" s="16"/>
      <c r="D70" s="16"/>
      <c r="E70" s="16"/>
      <c r="F70" s="17"/>
      <c r="G70" s="17"/>
      <c r="H70" s="18"/>
      <c r="I70" s="18"/>
      <c r="J70" s="107">
        <f>SUM(J68:J69)</f>
        <v>201910</v>
      </c>
      <c r="K70" s="107">
        <f>SUM(K68:K69)</f>
        <v>201910</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102217</v>
      </c>
      <c r="K75" s="144"/>
    </row>
    <row r="76" spans="1:12" ht="16.5" customHeight="1" x14ac:dyDescent="0.25">
      <c r="A76" s="54"/>
      <c r="B76" s="9"/>
      <c r="C76" s="9" t="s">
        <v>193</v>
      </c>
      <c r="D76" s="140"/>
      <c r="E76" s="140"/>
      <c r="F76" s="141"/>
      <c r="G76" s="141"/>
      <c r="H76" s="142"/>
      <c r="I76" s="142"/>
      <c r="J76" s="144"/>
      <c r="K76" s="143">
        <v>102217</v>
      </c>
    </row>
    <row r="77" spans="1:12" ht="16.5" customHeight="1" x14ac:dyDescent="0.2">
      <c r="A77" s="54"/>
      <c r="B77" s="178" t="s">
        <v>1661</v>
      </c>
      <c r="C77" s="178"/>
      <c r="D77" s="178"/>
      <c r="E77" s="178"/>
      <c r="F77" s="178"/>
      <c r="G77" s="178"/>
      <c r="H77" s="178"/>
      <c r="I77" s="178"/>
      <c r="J77" s="107">
        <f>SUM(J75:J76)</f>
        <v>102217</v>
      </c>
      <c r="K77" s="107">
        <f>SUM(K75:K76)</f>
        <v>102217</v>
      </c>
      <c r="L77" s="25" t="str">
        <f>IF(J77=K77,"&lt;- Debits and Credits equal each other.","&lt;- Debits and Credits do not equal each other.")</f>
        <v>&lt;- Debits and Credits equal each other.</v>
      </c>
    </row>
    <row r="78" spans="1:12" ht="16.5" customHeight="1" x14ac:dyDescent="0.2">
      <c r="A78" s="54"/>
      <c r="B78" s="178"/>
      <c r="C78" s="178"/>
      <c r="D78" s="178"/>
      <c r="E78" s="178"/>
      <c r="F78" s="178"/>
      <c r="G78" s="178"/>
      <c r="H78" s="178"/>
      <c r="I78" s="178"/>
      <c r="J78" s="107"/>
      <c r="K78" s="107"/>
      <c r="L78" s="8"/>
    </row>
    <row r="79" spans="1:12" ht="24.6" customHeight="1" x14ac:dyDescent="0.2">
      <c r="A79" s="54"/>
      <c r="B79" s="178"/>
      <c r="C79" s="178"/>
      <c r="D79" s="178"/>
      <c r="E79" s="178"/>
      <c r="F79" s="178"/>
      <c r="G79" s="178"/>
      <c r="H79" s="178"/>
      <c r="I79" s="178"/>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1671</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1666</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693173.0266856763</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-593126</v>
      </c>
    </row>
    <row r="128" spans="1:12" ht="16.5" customHeight="1" x14ac:dyDescent="0.25">
      <c r="D128" s="140" t="s">
        <v>1656</v>
      </c>
      <c r="H128" s="10"/>
      <c r="K128" s="169">
        <f>-K23-K48+J68+J75+J96-K113</f>
        <v>0</v>
      </c>
    </row>
    <row r="129" spans="4:11" ht="16.5" customHeight="1" x14ac:dyDescent="0.25">
      <c r="D129" s="140" t="s">
        <v>1657</v>
      </c>
      <c r="H129" s="10"/>
      <c r="K129" s="169">
        <f>-K76</f>
        <v>-102217</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41" priority="12">
      <formula>$J$62&lt;&gt;$K$69</formula>
    </cfRule>
  </conditionalFormatting>
  <conditionalFormatting sqref="L26:P26">
    <cfRule type="expression" dxfId="40" priority="1">
      <formula>$J$26&lt;&gt;$K$26</formula>
    </cfRule>
  </conditionalFormatting>
  <conditionalFormatting sqref="L36:P36">
    <cfRule type="expression" dxfId="39" priority="2">
      <formula>$J$36&lt;&gt;$K$36</formula>
    </cfRule>
  </conditionalFormatting>
  <conditionalFormatting sqref="L43:P43">
    <cfRule type="expression" dxfId="38" priority="3">
      <formula>$J$43&lt;&gt;$K$43</formula>
    </cfRule>
  </conditionalFormatting>
  <conditionalFormatting sqref="L49:P49">
    <cfRule type="expression" dxfId="37" priority="4">
      <formula>$J$49&lt;&gt;$K$49</formula>
    </cfRule>
  </conditionalFormatting>
  <conditionalFormatting sqref="L59:P59">
    <cfRule type="expression" dxfId="36" priority="5">
      <formula>$J$59&lt;&gt;$K$59</formula>
    </cfRule>
  </conditionalFormatting>
  <conditionalFormatting sqref="L65:P65">
    <cfRule type="expression" dxfId="35" priority="6">
      <formula>$J$65&lt;&gt;$K$65</formula>
    </cfRule>
  </conditionalFormatting>
  <conditionalFormatting sqref="L70:P70">
    <cfRule type="expression" dxfId="34" priority="7">
      <formula>$J$70&lt;&gt;$K$70</formula>
    </cfRule>
  </conditionalFormatting>
  <conditionalFormatting sqref="L77:P77">
    <cfRule type="expression" dxfId="33" priority="8">
      <formula>$J$77&lt;&gt;$K$77</formula>
    </cfRule>
  </conditionalFormatting>
  <conditionalFormatting sqref="L91:P91">
    <cfRule type="expression" dxfId="32" priority="9">
      <formula>$J$91&lt;&gt;$K$91</formula>
    </cfRule>
  </conditionalFormatting>
  <conditionalFormatting sqref="L105:P105">
    <cfRule type="expression" dxfId="31" priority="10">
      <formula>$J$105&lt;&gt;$K$105</formula>
    </cfRule>
  </conditionalFormatting>
  <conditionalFormatting sqref="L114:P114">
    <cfRule type="expression" dxfId="30" priority="11">
      <formula>$J$114&lt;&gt;$K$114</formula>
    </cfRule>
  </conditionalFormatting>
  <dataValidations count="3">
    <dataValidation operator="lessThan" allowBlank="1" showInputMessage="1" showErrorMessage="1" sqref="A3:A8" xr:uid="{2647CAC2-7DB2-43A9-843D-971A9BBD3135}"/>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ED768366-D53A-4DB5-B47B-87ECB1076D6C}">
      <formula1>0</formula1>
    </dataValidation>
    <dataValidation type="textLength" operator="equal" allowBlank="1" showInputMessage="1" showErrorMessage="1" errorTitle="4-Digit Org Code" error="Enter the Org Code/BU as 4 digits." sqref="F5" xr:uid="{0B9529DE-85CB-470B-BF29-A2FD0DBB67B6}">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6764A06D-22D4-455F-A2CD-86305DE9F48F}">
          <x14:formula1>
            <xm:f>'Drop Down Menus'!$A$1:$A$101</xm:f>
          </x14:formula1>
          <xm:sqref>F3</xm:sqref>
        </x14:dataValidation>
        <x14:dataValidation type="list" allowBlank="1" showInputMessage="1" showErrorMessage="1" xr:uid="{CCE11D7C-DB5B-4096-BE6B-45AC23FD8756}">
          <x14:formula1>
            <xm:f>'Drop Down Menus'!$B$1:$B$2</xm:f>
          </x14:formula1>
          <xm:sqref>F7</xm:sqref>
        </x14:dataValidation>
        <x14:dataValidation type="list" allowBlank="1" showInputMessage="1" showErrorMessage="1" xr:uid="{41448BDF-59D2-451B-BD8D-367B46DB089F}">
          <x14:formula1>
            <xm:f>'Drop Down Menus'!$E$1:$E$3</xm:f>
          </x14:formula1>
          <xm:sqref>F8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B13" sqref="B13"/>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194" t="s">
        <v>139</v>
      </c>
      <c r="B1" s="194"/>
      <c r="C1" s="194"/>
      <c r="D1" s="194"/>
      <c r="E1" s="194"/>
      <c r="F1" s="194"/>
      <c r="G1" s="3"/>
      <c r="H1" s="3"/>
      <c r="I1" s="3"/>
      <c r="J1" s="3"/>
      <c r="K1" s="3"/>
      <c r="L1" s="3"/>
      <c r="M1" s="3"/>
    </row>
    <row r="2" spans="1:13" ht="64.150000000000006" customHeight="1" x14ac:dyDescent="0.25">
      <c r="A2" s="193" t="s">
        <v>137</v>
      </c>
      <c r="B2" s="193"/>
      <c r="C2" s="193"/>
      <c r="D2" s="193"/>
      <c r="E2" s="193"/>
      <c r="F2" s="193"/>
      <c r="G2" s="3"/>
      <c r="H2" s="3"/>
      <c r="I2" s="3"/>
      <c r="J2" s="3"/>
      <c r="K2" s="3"/>
      <c r="L2" s="3"/>
      <c r="M2" s="3"/>
    </row>
    <row r="3" spans="1:13" ht="31.9" customHeight="1" x14ac:dyDescent="0.25">
      <c r="A3" s="187" t="s">
        <v>194</v>
      </c>
      <c r="B3" s="187"/>
      <c r="C3" s="187"/>
      <c r="D3" s="24"/>
      <c r="E3" s="3"/>
      <c r="F3" s="3"/>
      <c r="G3" s="3"/>
      <c r="H3" s="3"/>
      <c r="I3" s="3"/>
      <c r="J3" s="3"/>
      <c r="K3" s="3"/>
      <c r="L3" s="3"/>
      <c r="M3" s="3"/>
    </row>
    <row r="4" spans="1:13" ht="31.15" customHeight="1" x14ac:dyDescent="0.25">
      <c r="A4" s="188" t="s">
        <v>5</v>
      </c>
      <c r="B4" s="188"/>
      <c r="C4" s="188"/>
      <c r="D4" s="24"/>
      <c r="E4" s="3"/>
      <c r="F4" s="3"/>
      <c r="G4" s="3"/>
      <c r="H4" s="3"/>
      <c r="I4" s="3"/>
      <c r="J4" s="3"/>
      <c r="K4" s="3"/>
      <c r="L4" s="3"/>
      <c r="M4" s="3"/>
    </row>
    <row r="5" spans="1:13" ht="31.15" customHeight="1" x14ac:dyDescent="0.25">
      <c r="A5" s="188" t="s">
        <v>7</v>
      </c>
      <c r="B5" s="188"/>
      <c r="C5" s="188"/>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195" t="s">
        <v>21</v>
      </c>
      <c r="C8" s="195"/>
      <c r="D8" s="3"/>
      <c r="E8" s="3"/>
      <c r="F8" s="3"/>
    </row>
    <row r="9" spans="1:13" ht="15.75" x14ac:dyDescent="0.25">
      <c r="A9" s="5" t="s">
        <v>192</v>
      </c>
      <c r="B9" s="197">
        <v>3960</v>
      </c>
      <c r="C9" s="197"/>
      <c r="D9" s="3"/>
      <c r="E9" s="3"/>
      <c r="F9" s="3"/>
    </row>
    <row r="10" spans="1:13" ht="15.75" x14ac:dyDescent="0.25">
      <c r="A10" s="5" t="s">
        <v>191</v>
      </c>
      <c r="B10" s="198" t="s">
        <v>1675</v>
      </c>
      <c r="C10" s="198"/>
      <c r="D10" s="3"/>
      <c r="E10" s="3"/>
      <c r="F10" s="3"/>
      <c r="G10" s="27"/>
      <c r="H10" s="27"/>
      <c r="I10" s="27"/>
      <c r="J10" s="27"/>
      <c r="K10" s="27"/>
      <c r="L10" s="27"/>
      <c r="M10" s="27"/>
    </row>
    <row r="11" spans="1:13" ht="32.25" customHeight="1" x14ac:dyDescent="0.25">
      <c r="A11" s="199" t="s">
        <v>1673</v>
      </c>
      <c r="B11" s="200"/>
      <c r="C11" s="200"/>
      <c r="D11" s="3"/>
      <c r="E11" s="3"/>
      <c r="F11" s="3"/>
      <c r="G11" s="29"/>
      <c r="H11" s="29"/>
      <c r="I11" s="29"/>
      <c r="J11" s="29"/>
      <c r="K11" s="29"/>
      <c r="L11" s="29"/>
      <c r="M11" s="29"/>
    </row>
    <row r="12" spans="1:13" ht="15" customHeight="1" x14ac:dyDescent="0.25">
      <c r="A12" s="51"/>
      <c r="B12" s="52" t="s">
        <v>8</v>
      </c>
      <c r="C12" s="52" t="s">
        <v>9</v>
      </c>
      <c r="D12" s="196" t="str">
        <f>"All of the below questions are for Fiscal Year "&amp;$B$8&amp;":"</f>
        <v>All of the below questions are for Fiscal Year 2023–2024:</v>
      </c>
      <c r="E12" s="196"/>
      <c r="F12" s="196"/>
      <c r="G12" s="29"/>
      <c r="H12" s="29"/>
      <c r="I12" s="29"/>
      <c r="J12" s="29"/>
      <c r="K12" s="29"/>
      <c r="L12" s="29"/>
      <c r="M12" s="29"/>
    </row>
    <row r="13" spans="1:13" ht="15.6" customHeight="1" x14ac:dyDescent="0.25">
      <c r="A13" s="51" t="str">
        <f>RIGHT(B8,4)&amp;"–"&amp;RIGHT(B8,4)+1</f>
        <v>2024–2025</v>
      </c>
      <c r="B13" s="55">
        <v>10490946</v>
      </c>
      <c r="C13" s="55">
        <v>49642</v>
      </c>
      <c r="D13" s="190" t="s">
        <v>4</v>
      </c>
      <c r="E13" s="191"/>
      <c r="F13" s="191"/>
      <c r="G13" s="29"/>
      <c r="H13" s="29"/>
      <c r="I13" s="29"/>
      <c r="J13" s="29"/>
      <c r="K13" s="29"/>
      <c r="L13" s="29"/>
      <c r="M13" s="29"/>
    </row>
    <row r="14" spans="1:13" x14ac:dyDescent="0.2">
      <c r="A14" s="51" t="str">
        <f>LEFT(A13,4)+1&amp;"–"&amp;RIGHT(A13,4)+1</f>
        <v>2025–2026</v>
      </c>
      <c r="B14" s="55">
        <v>10676671</v>
      </c>
      <c r="C14" s="55">
        <v>39134</v>
      </c>
      <c r="D14" s="190"/>
      <c r="E14" s="191"/>
      <c r="F14" s="191"/>
    </row>
    <row r="15" spans="1:13" ht="15.75" x14ac:dyDescent="0.2">
      <c r="A15" s="51" t="str">
        <f>LEFT(A14,4)+1&amp;"–"&amp;RIGHT(A14,4)+1</f>
        <v>2026–2027</v>
      </c>
      <c r="B15" s="55">
        <v>10912721</v>
      </c>
      <c r="C15" s="55">
        <v>28325</v>
      </c>
      <c r="D15" s="186" t="s">
        <v>125</v>
      </c>
      <c r="E15" s="186"/>
      <c r="F15" s="186"/>
      <c r="G15" s="30"/>
      <c r="H15" s="30"/>
      <c r="I15" s="30"/>
      <c r="J15" s="30"/>
      <c r="K15" s="30"/>
      <c r="L15" s="30"/>
      <c r="M15" s="30"/>
    </row>
    <row r="16" spans="1:13" x14ac:dyDescent="0.2">
      <c r="A16" s="51" t="str">
        <f>LEFT(A15,4)+1&amp;"–"&amp;RIGHT(A15,4)+1</f>
        <v>2027–2028</v>
      </c>
      <c r="B16" s="55">
        <v>10485961</v>
      </c>
      <c r="C16" s="55">
        <v>17406</v>
      </c>
      <c r="D16" s="189" t="str">
        <f>"If yes, record the dollar amount of variable payments below for fiscal year "&amp;$B$8&amp;":"</f>
        <v>If yes, record the dollar amount of variable payments below for fiscal year 2023–2024:</v>
      </c>
      <c r="E16" s="189"/>
      <c r="F16" s="189"/>
      <c r="G16" s="31"/>
      <c r="H16" s="31"/>
      <c r="I16" s="31"/>
      <c r="J16" s="31"/>
      <c r="K16" s="31"/>
    </row>
    <row r="17" spans="1:13" ht="15" customHeight="1" x14ac:dyDescent="0.2">
      <c r="A17" s="51" t="str">
        <f>LEFT(A16,4)+1&amp;"–"&amp;RIGHT(A16,4)+1</f>
        <v>2028–2029</v>
      </c>
      <c r="B17" s="55">
        <v>8128654</v>
      </c>
      <c r="C17" s="55">
        <v>7548</v>
      </c>
      <c r="D17" s="186">
        <v>663</v>
      </c>
      <c r="E17" s="186"/>
      <c r="F17" s="186"/>
      <c r="G17" s="31"/>
      <c r="H17" s="31"/>
      <c r="I17" s="31"/>
      <c r="J17" s="31"/>
      <c r="K17" s="31"/>
    </row>
    <row r="18" spans="1:13" ht="15" customHeight="1" x14ac:dyDescent="0.25">
      <c r="A18" s="51" t="str">
        <f>LEFT(A17,4)+1&amp;"–"&amp;RIGHT(A17,4)+5</f>
        <v>2029–2034</v>
      </c>
      <c r="B18" s="55">
        <v>990225</v>
      </c>
      <c r="C18" s="55">
        <v>2829</v>
      </c>
      <c r="D18" s="190" t="s">
        <v>6</v>
      </c>
      <c r="E18" s="191"/>
      <c r="F18" s="191"/>
      <c r="G18" s="29"/>
      <c r="H18" s="29"/>
      <c r="I18" s="29"/>
      <c r="J18" s="29"/>
      <c r="K18" s="29"/>
      <c r="L18" s="29"/>
      <c r="M18" s="29"/>
    </row>
    <row r="19" spans="1:13" x14ac:dyDescent="0.2">
      <c r="A19" s="51" t="str">
        <f t="shared" ref="A19:A32" si="0">LEFT(A18,4)+5&amp;"–"&amp;RIGHT(A18,4)+5</f>
        <v>2034–2039</v>
      </c>
      <c r="B19" s="55"/>
      <c r="C19" s="55"/>
      <c r="D19" s="190"/>
      <c r="E19" s="191"/>
      <c r="F19" s="191"/>
    </row>
    <row r="20" spans="1:13" ht="15.75" x14ac:dyDescent="0.2">
      <c r="A20" s="51" t="str">
        <f t="shared" si="0"/>
        <v>2039–2044</v>
      </c>
      <c r="B20" s="55"/>
      <c r="C20" s="55"/>
      <c r="D20" s="186" t="s">
        <v>124</v>
      </c>
      <c r="E20" s="186"/>
      <c r="F20" s="186"/>
      <c r="G20" s="30"/>
      <c r="H20" s="30"/>
      <c r="I20" s="30"/>
      <c r="J20" s="30"/>
      <c r="K20" s="30"/>
      <c r="L20" s="30"/>
      <c r="M20" s="30"/>
    </row>
    <row r="21" spans="1:13" ht="15" customHeight="1" x14ac:dyDescent="0.2">
      <c r="A21" s="51" t="str">
        <f t="shared" si="0"/>
        <v>2044–2049</v>
      </c>
      <c r="B21" s="55"/>
      <c r="C21" s="55"/>
      <c r="D21" s="192" t="str">
        <f>"If yes, record the dollar amount of any payments made for residual value guarantees below for fiscal year "&amp;$B$8&amp;":"</f>
        <v>If yes, record the dollar amount of any payments made for residual value guarantees below for fiscal year 2023–2024:</v>
      </c>
      <c r="E21" s="189"/>
      <c r="F21" s="189"/>
    </row>
    <row r="22" spans="1:13" x14ac:dyDescent="0.2">
      <c r="A22" s="51" t="str">
        <f t="shared" si="0"/>
        <v>2049–2054</v>
      </c>
      <c r="B22" s="55"/>
      <c r="C22" s="55"/>
      <c r="D22" s="192"/>
      <c r="E22" s="189"/>
      <c r="F22" s="189"/>
    </row>
    <row r="23" spans="1:13" x14ac:dyDescent="0.2">
      <c r="A23" s="51" t="str">
        <f t="shared" si="0"/>
        <v>2054–2059</v>
      </c>
      <c r="B23" s="55"/>
      <c r="C23" s="55"/>
      <c r="D23" s="186">
        <v>0</v>
      </c>
      <c r="E23" s="186"/>
      <c r="F23" s="186"/>
    </row>
    <row r="24" spans="1:13" x14ac:dyDescent="0.2">
      <c r="A24" s="51" t="str">
        <f t="shared" si="0"/>
        <v>2059–2064</v>
      </c>
      <c r="B24" s="55"/>
      <c r="C24" s="55"/>
      <c r="D24" s="19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89"/>
      <c r="F24" s="189"/>
    </row>
    <row r="25" spans="1:13" ht="15" customHeight="1" x14ac:dyDescent="0.2">
      <c r="A25" s="51" t="str">
        <f t="shared" si="0"/>
        <v>2064–2069</v>
      </c>
      <c r="B25" s="55"/>
      <c r="C25" s="55"/>
      <c r="D25" s="192"/>
      <c r="E25" s="189"/>
      <c r="F25" s="189"/>
    </row>
    <row r="26" spans="1:13" x14ac:dyDescent="0.2">
      <c r="A26" s="51" t="str">
        <f t="shared" si="0"/>
        <v>2069–2074</v>
      </c>
      <c r="B26" s="55"/>
      <c r="C26" s="55"/>
      <c r="D26" s="186">
        <v>0</v>
      </c>
      <c r="E26" s="186"/>
      <c r="F26" s="186"/>
    </row>
    <row r="27" spans="1:13" ht="15" customHeight="1" x14ac:dyDescent="0.2">
      <c r="A27" s="51" t="str">
        <f t="shared" si="0"/>
        <v>2074–2079</v>
      </c>
      <c r="B27" s="55"/>
      <c r="C27" s="55"/>
      <c r="D27" s="19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191"/>
      <c r="F27" s="191"/>
    </row>
    <row r="28" spans="1:13" ht="15.75" x14ac:dyDescent="0.2">
      <c r="A28" s="51" t="str">
        <f t="shared" si="0"/>
        <v>2079–2084</v>
      </c>
      <c r="B28" s="55"/>
      <c r="C28" s="55"/>
      <c r="D28" s="190"/>
      <c r="E28" s="191"/>
      <c r="F28" s="191"/>
      <c r="G28" s="33"/>
      <c r="H28" s="33"/>
      <c r="I28" s="33"/>
      <c r="J28" s="33"/>
      <c r="K28" s="33"/>
      <c r="L28" s="33"/>
      <c r="M28" s="33"/>
    </row>
    <row r="29" spans="1:13" ht="15.75" x14ac:dyDescent="0.2">
      <c r="A29" s="51" t="str">
        <f t="shared" si="0"/>
        <v>2084–2089</v>
      </c>
      <c r="B29" s="55"/>
      <c r="C29" s="55"/>
      <c r="D29" s="186">
        <v>7810.2</v>
      </c>
      <c r="E29" s="186"/>
      <c r="F29" s="186"/>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86" t="s">
        <v>124</v>
      </c>
      <c r="E31" s="186"/>
      <c r="F31" s="186"/>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86">
        <v>0</v>
      </c>
      <c r="E33" s="186"/>
      <c r="F33" s="186"/>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85" t="str">
        <f>B8</f>
        <v>2023–2024</v>
      </c>
      <c r="C39" s="185"/>
      <c r="E39" s="32"/>
    </row>
    <row r="40" spans="1:13" ht="15.6" customHeight="1" x14ac:dyDescent="0.25">
      <c r="A40" s="5" t="s">
        <v>192</v>
      </c>
      <c r="B40" s="201">
        <f>B9</f>
        <v>3960</v>
      </c>
      <c r="C40" s="201"/>
      <c r="E40" s="32"/>
    </row>
    <row r="41" spans="1:13" ht="15.75" x14ac:dyDescent="0.25">
      <c r="A41" s="5" t="s">
        <v>191</v>
      </c>
      <c r="B41" s="185" t="str">
        <f>B10</f>
        <v>Department of Toxic Substances Control</v>
      </c>
      <c r="C41" s="185"/>
      <c r="E41" s="32"/>
    </row>
    <row r="42" spans="1:13" ht="32.25" customHeight="1" x14ac:dyDescent="0.25">
      <c r="A42" s="199" t="s">
        <v>1673</v>
      </c>
      <c r="B42" s="200"/>
      <c r="C42" s="200"/>
      <c r="D42" s="3"/>
      <c r="E42" s="3"/>
      <c r="F42" s="3"/>
      <c r="G42" s="29"/>
      <c r="H42" s="29"/>
      <c r="I42" s="29"/>
      <c r="J42" s="29"/>
      <c r="K42" s="29"/>
      <c r="L42" s="29"/>
      <c r="M42" s="29"/>
    </row>
    <row r="43" spans="1:13" ht="15" customHeight="1" x14ac:dyDescent="0.25">
      <c r="A43" s="51"/>
      <c r="B43" s="52" t="s">
        <v>8</v>
      </c>
      <c r="C43" s="52" t="s">
        <v>9</v>
      </c>
      <c r="D43" s="196" t="str">
        <f>"All of the below questions are for Fiscal Year "&amp;$B$8&amp;":"</f>
        <v>All of the below questions are for Fiscal Year 2023–2024:</v>
      </c>
      <c r="E43" s="196"/>
      <c r="F43" s="196"/>
    </row>
    <row r="44" spans="1:13" ht="15" customHeight="1" x14ac:dyDescent="0.2">
      <c r="A44" s="51" t="str">
        <f>RIGHT(B39,4)&amp;"–"&amp;RIGHT(B39,4)+1</f>
        <v>2024–2025</v>
      </c>
      <c r="B44" s="55"/>
      <c r="C44" s="55"/>
      <c r="D44" s="190" t="s">
        <v>4</v>
      </c>
      <c r="E44" s="191"/>
      <c r="F44" s="191"/>
    </row>
    <row r="45" spans="1:13" ht="15" customHeight="1" x14ac:dyDescent="0.2">
      <c r="A45" s="51" t="str">
        <f>LEFT(A44,4)+1&amp;"–"&amp;RIGHT(A44,4)+1</f>
        <v>2025–2026</v>
      </c>
      <c r="B45" s="55"/>
      <c r="C45" s="55"/>
      <c r="D45" s="190"/>
      <c r="E45" s="191"/>
      <c r="F45" s="191"/>
    </row>
    <row r="46" spans="1:13" x14ac:dyDescent="0.2">
      <c r="A46" s="51" t="str">
        <f>LEFT(A45,4)+1&amp;"–"&amp;RIGHT(A45,4)+1</f>
        <v>2026–2027</v>
      </c>
      <c r="B46" s="55"/>
      <c r="C46" s="55"/>
      <c r="D46" s="186"/>
      <c r="E46" s="186"/>
      <c r="F46" s="186"/>
    </row>
    <row r="47" spans="1:13" ht="15" customHeight="1" x14ac:dyDescent="0.2">
      <c r="A47" s="51" t="str">
        <f>LEFT(A46,4)+1&amp;"–"&amp;RIGHT(A46,4)+1</f>
        <v>2027–2028</v>
      </c>
      <c r="B47" s="55"/>
      <c r="C47" s="55"/>
      <c r="D47" s="189" t="str">
        <f>"If yes, record the dollar amount of variable payments below for fiscal year "&amp;$B$8&amp;":"</f>
        <v>If yes, record the dollar amount of variable payments below for fiscal year 2023–2024:</v>
      </c>
      <c r="E47" s="189"/>
      <c r="F47" s="189"/>
    </row>
    <row r="48" spans="1:13" ht="15" customHeight="1" x14ac:dyDescent="0.2">
      <c r="A48" s="51" t="str">
        <f>LEFT(A47,4)+1&amp;"–"&amp;RIGHT(A47,4)+1</f>
        <v>2028–2029</v>
      </c>
      <c r="B48" s="55"/>
      <c r="C48" s="55"/>
      <c r="D48" s="186"/>
      <c r="E48" s="186"/>
      <c r="F48" s="186"/>
    </row>
    <row r="49" spans="1:6" ht="15" customHeight="1" x14ac:dyDescent="0.2">
      <c r="A49" s="51" t="str">
        <f>LEFT(A48,4)+1&amp;"–"&amp;RIGHT(A48,4)+5</f>
        <v>2029–2034</v>
      </c>
      <c r="B49" s="55"/>
      <c r="C49" s="55"/>
      <c r="D49" s="190" t="s">
        <v>6</v>
      </c>
      <c r="E49" s="191"/>
      <c r="F49" s="191"/>
    </row>
    <row r="50" spans="1:6" x14ac:dyDescent="0.2">
      <c r="A50" s="51" t="str">
        <f t="shared" ref="A50:A63" si="1">LEFT(A49,4)+5&amp;"–"&amp;RIGHT(A49,4)+5</f>
        <v>2034–2039</v>
      </c>
      <c r="B50" s="55"/>
      <c r="C50" s="55"/>
      <c r="D50" s="190"/>
      <c r="E50" s="191"/>
      <c r="F50" s="191"/>
    </row>
    <row r="51" spans="1:6" ht="15" customHeight="1" x14ac:dyDescent="0.2">
      <c r="A51" s="51" t="str">
        <f t="shared" si="1"/>
        <v>2039–2044</v>
      </c>
      <c r="B51" s="55"/>
      <c r="C51" s="55"/>
      <c r="D51" s="186"/>
      <c r="E51" s="186"/>
      <c r="F51" s="186"/>
    </row>
    <row r="52" spans="1:6" ht="15" customHeight="1" x14ac:dyDescent="0.2">
      <c r="A52" s="51" t="str">
        <f t="shared" si="1"/>
        <v>2044–2049</v>
      </c>
      <c r="B52" s="55"/>
      <c r="C52" s="55"/>
      <c r="D52" s="192" t="str">
        <f>"If yes, record the dollar amount of any payments made for residual value guarantees below for fiscal year "&amp;$B$8&amp;":"</f>
        <v>If yes, record the dollar amount of any payments made for residual value guarantees below for fiscal year 2023–2024:</v>
      </c>
      <c r="E52" s="189"/>
      <c r="F52" s="189"/>
    </row>
    <row r="53" spans="1:6" x14ac:dyDescent="0.2">
      <c r="A53" s="51" t="str">
        <f t="shared" si="1"/>
        <v>2049–2054</v>
      </c>
      <c r="B53" s="55"/>
      <c r="C53" s="55"/>
      <c r="D53" s="192"/>
      <c r="E53" s="189"/>
      <c r="F53" s="189"/>
    </row>
    <row r="54" spans="1:6" x14ac:dyDescent="0.2">
      <c r="A54" s="51" t="str">
        <f t="shared" si="1"/>
        <v>2054–2059</v>
      </c>
      <c r="B54" s="55"/>
      <c r="C54" s="55"/>
      <c r="D54" s="186"/>
      <c r="E54" s="186"/>
      <c r="F54" s="186"/>
    </row>
    <row r="55" spans="1:6" ht="15" customHeight="1" x14ac:dyDescent="0.2">
      <c r="A55" s="51" t="str">
        <f t="shared" si="1"/>
        <v>2059–2064</v>
      </c>
      <c r="B55" s="55"/>
      <c r="C55" s="55"/>
      <c r="D55" s="19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89"/>
      <c r="F55" s="189"/>
    </row>
    <row r="56" spans="1:6" ht="15" customHeight="1" x14ac:dyDescent="0.2">
      <c r="A56" s="51" t="str">
        <f t="shared" si="1"/>
        <v>2064–2069</v>
      </c>
      <c r="B56" s="55"/>
      <c r="C56" s="55"/>
      <c r="D56" s="192"/>
      <c r="E56" s="189"/>
      <c r="F56" s="189"/>
    </row>
    <row r="57" spans="1:6" x14ac:dyDescent="0.2">
      <c r="A57" s="51" t="str">
        <f t="shared" si="1"/>
        <v>2069–2074</v>
      </c>
      <c r="B57" s="55"/>
      <c r="C57" s="55"/>
      <c r="D57" s="186"/>
      <c r="E57" s="186"/>
      <c r="F57" s="186"/>
    </row>
    <row r="58" spans="1:6" x14ac:dyDescent="0.2">
      <c r="A58" s="51" t="str">
        <f t="shared" si="1"/>
        <v>2074–2079</v>
      </c>
      <c r="B58" s="55"/>
      <c r="C58" s="55"/>
      <c r="D58" s="19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191"/>
      <c r="F58" s="191"/>
    </row>
    <row r="59" spans="1:6" x14ac:dyDescent="0.2">
      <c r="A59" s="51" t="str">
        <f t="shared" si="1"/>
        <v>2079–2084</v>
      </c>
      <c r="B59" s="55"/>
      <c r="C59" s="55"/>
      <c r="D59" s="190"/>
      <c r="E59" s="191"/>
      <c r="F59" s="191"/>
    </row>
    <row r="60" spans="1:6" ht="15" customHeight="1" x14ac:dyDescent="0.2">
      <c r="A60" s="51" t="str">
        <f t="shared" si="1"/>
        <v>2084–2089</v>
      </c>
      <c r="B60" s="55"/>
      <c r="C60" s="55"/>
      <c r="D60" s="186"/>
      <c r="E60" s="186"/>
      <c r="F60" s="186"/>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86"/>
      <c r="E62" s="186"/>
      <c r="F62" s="186"/>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86"/>
      <c r="E64" s="186"/>
      <c r="F64" s="186"/>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85" t="str">
        <f>B8</f>
        <v>2023–2024</v>
      </c>
      <c r="C70" s="185"/>
    </row>
    <row r="71" spans="1:13" ht="15.75" x14ac:dyDescent="0.25">
      <c r="A71" s="5" t="s">
        <v>192</v>
      </c>
      <c r="B71" s="201">
        <f>B9</f>
        <v>3960</v>
      </c>
      <c r="C71" s="201"/>
    </row>
    <row r="72" spans="1:13" ht="15.75" x14ac:dyDescent="0.25">
      <c r="A72" s="5" t="s">
        <v>191</v>
      </c>
      <c r="B72" s="185" t="str">
        <f>B10</f>
        <v>Department of Toxic Substances Control</v>
      </c>
      <c r="C72" s="185"/>
    </row>
    <row r="73" spans="1:13" ht="32.25" customHeight="1" x14ac:dyDescent="0.25">
      <c r="A73" s="199" t="s">
        <v>1673</v>
      </c>
      <c r="B73" s="200"/>
      <c r="C73" s="200"/>
      <c r="D73" s="3"/>
      <c r="E73" s="3"/>
      <c r="F73" s="3"/>
      <c r="G73" s="29"/>
      <c r="H73" s="29"/>
      <c r="I73" s="29"/>
      <c r="J73" s="29"/>
      <c r="K73" s="29"/>
      <c r="L73" s="29"/>
      <c r="M73" s="29"/>
    </row>
    <row r="74" spans="1:13" ht="15.75" x14ac:dyDescent="0.25">
      <c r="A74" s="51"/>
      <c r="B74" s="52" t="s">
        <v>8</v>
      </c>
      <c r="C74" s="52" t="s">
        <v>9</v>
      </c>
      <c r="D74" s="196" t="str">
        <f>"All of the below questions are for Fiscal Year "&amp;$B$8&amp;":"</f>
        <v>All of the below questions are for Fiscal Year 2023–2024:</v>
      </c>
      <c r="E74" s="196"/>
      <c r="F74" s="196"/>
    </row>
    <row r="75" spans="1:13" ht="15" customHeight="1" x14ac:dyDescent="0.2">
      <c r="A75" s="51" t="str">
        <f>RIGHT(B70,4)&amp;"–"&amp;RIGHT(B70,4)+1</f>
        <v>2024–2025</v>
      </c>
      <c r="B75" s="55"/>
      <c r="C75" s="55"/>
      <c r="D75" s="190" t="s">
        <v>4</v>
      </c>
      <c r="E75" s="191"/>
      <c r="F75" s="191"/>
    </row>
    <row r="76" spans="1:13" x14ac:dyDescent="0.2">
      <c r="A76" s="51" t="str">
        <f>LEFT(A75,4)+1&amp;"–"&amp;RIGHT(A75,4)+1</f>
        <v>2025–2026</v>
      </c>
      <c r="B76" s="55"/>
      <c r="C76" s="55"/>
      <c r="D76" s="190"/>
      <c r="E76" s="191"/>
      <c r="F76" s="191"/>
    </row>
    <row r="77" spans="1:13" x14ac:dyDescent="0.2">
      <c r="A77" s="51" t="str">
        <f>LEFT(A76,4)+1&amp;"–"&amp;RIGHT(A76,4)+1</f>
        <v>2026–2027</v>
      </c>
      <c r="B77" s="55"/>
      <c r="C77" s="55"/>
      <c r="D77" s="186"/>
      <c r="E77" s="186"/>
      <c r="F77" s="186"/>
    </row>
    <row r="78" spans="1:13" ht="15" customHeight="1" x14ac:dyDescent="0.2">
      <c r="A78" s="51" t="str">
        <f>LEFT(A77,4)+1&amp;"–"&amp;RIGHT(A77,4)+1</f>
        <v>2027–2028</v>
      </c>
      <c r="B78" s="55"/>
      <c r="C78" s="55"/>
      <c r="D78" s="189" t="str">
        <f>"If yes, record the dollar amount of variable payments below for fiscal year "&amp;$B$8&amp;":"</f>
        <v>If yes, record the dollar amount of variable payments below for fiscal year 2023–2024:</v>
      </c>
      <c r="E78" s="189"/>
      <c r="F78" s="189"/>
    </row>
    <row r="79" spans="1:13" x14ac:dyDescent="0.2">
      <c r="A79" s="51" t="str">
        <f>LEFT(A78,4)+1&amp;"–"&amp;RIGHT(A78,4)+1</f>
        <v>2028–2029</v>
      </c>
      <c r="B79" s="55"/>
      <c r="C79" s="55"/>
      <c r="D79" s="186"/>
      <c r="E79" s="186"/>
      <c r="F79" s="186"/>
    </row>
    <row r="80" spans="1:13" ht="15" customHeight="1" x14ac:dyDescent="0.2">
      <c r="A80" s="51" t="str">
        <f>LEFT(A79,4)+1&amp;"–"&amp;RIGHT(A79,4)+5</f>
        <v>2029–2034</v>
      </c>
      <c r="B80" s="55"/>
      <c r="C80" s="55"/>
      <c r="D80" s="190" t="s">
        <v>6</v>
      </c>
      <c r="E80" s="191"/>
      <c r="F80" s="191"/>
    </row>
    <row r="81" spans="1:6" x14ac:dyDescent="0.2">
      <c r="A81" s="51" t="str">
        <f t="shared" ref="A81:A94" si="2">LEFT(A80,4)+5&amp;"–"&amp;RIGHT(A80,4)+5</f>
        <v>2034–2039</v>
      </c>
      <c r="B81" s="55"/>
      <c r="C81" s="55"/>
      <c r="D81" s="190"/>
      <c r="E81" s="191"/>
      <c r="F81" s="191"/>
    </row>
    <row r="82" spans="1:6" x14ac:dyDescent="0.2">
      <c r="A82" s="51" t="str">
        <f t="shared" si="2"/>
        <v>2039–2044</v>
      </c>
      <c r="B82" s="55"/>
      <c r="C82" s="55"/>
      <c r="D82" s="186"/>
      <c r="E82" s="186"/>
      <c r="F82" s="186"/>
    </row>
    <row r="83" spans="1:6" ht="15" customHeight="1" x14ac:dyDescent="0.2">
      <c r="A83" s="51" t="str">
        <f t="shared" si="2"/>
        <v>2044–2049</v>
      </c>
      <c r="B83" s="55"/>
      <c r="C83" s="55"/>
      <c r="D83" s="192" t="str">
        <f>"If yes, record the dollar amount of any payments made for residual value guarantees below for fiscal year "&amp;$B$8&amp;":"</f>
        <v>If yes, record the dollar amount of any payments made for residual value guarantees below for fiscal year 2023–2024:</v>
      </c>
      <c r="E83" s="189"/>
      <c r="F83" s="189"/>
    </row>
    <row r="84" spans="1:6" x14ac:dyDescent="0.2">
      <c r="A84" s="51" t="str">
        <f t="shared" si="2"/>
        <v>2049–2054</v>
      </c>
      <c r="B84" s="55"/>
      <c r="C84" s="55"/>
      <c r="D84" s="192"/>
      <c r="E84" s="189"/>
      <c r="F84" s="189"/>
    </row>
    <row r="85" spans="1:6" x14ac:dyDescent="0.2">
      <c r="A85" s="51" t="str">
        <f t="shared" si="2"/>
        <v>2054–2059</v>
      </c>
      <c r="B85" s="55"/>
      <c r="C85" s="55"/>
      <c r="D85" s="186"/>
      <c r="E85" s="186"/>
      <c r="F85" s="186"/>
    </row>
    <row r="86" spans="1:6" ht="15" customHeight="1" x14ac:dyDescent="0.2">
      <c r="A86" s="51" t="str">
        <f t="shared" si="2"/>
        <v>2059–2064</v>
      </c>
      <c r="B86" s="55"/>
      <c r="C86" s="55"/>
      <c r="D86" s="19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89"/>
      <c r="F86" s="189"/>
    </row>
    <row r="87" spans="1:6" x14ac:dyDescent="0.2">
      <c r="A87" s="51" t="str">
        <f t="shared" si="2"/>
        <v>2064–2069</v>
      </c>
      <c r="B87" s="55"/>
      <c r="C87" s="55"/>
      <c r="D87" s="192"/>
      <c r="E87" s="189"/>
      <c r="F87" s="189"/>
    </row>
    <row r="88" spans="1:6" x14ac:dyDescent="0.2">
      <c r="A88" s="51" t="str">
        <f t="shared" si="2"/>
        <v>2069–2074</v>
      </c>
      <c r="B88" s="55"/>
      <c r="C88" s="55"/>
      <c r="D88" s="186"/>
      <c r="E88" s="186"/>
      <c r="F88" s="186"/>
    </row>
    <row r="89" spans="1:6" x14ac:dyDescent="0.2">
      <c r="A89" s="51" t="str">
        <f t="shared" si="2"/>
        <v>2074–2079</v>
      </c>
      <c r="B89" s="55"/>
      <c r="C89" s="55"/>
      <c r="D89" s="19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191"/>
      <c r="F89" s="191"/>
    </row>
    <row r="90" spans="1:6" x14ac:dyDescent="0.2">
      <c r="A90" s="51" t="str">
        <f t="shared" si="2"/>
        <v>2079–2084</v>
      </c>
      <c r="B90" s="55"/>
      <c r="C90" s="55"/>
      <c r="D90" s="190"/>
      <c r="E90" s="191"/>
      <c r="F90" s="191"/>
    </row>
    <row r="91" spans="1:6" ht="15" customHeight="1" x14ac:dyDescent="0.2">
      <c r="A91" s="51" t="str">
        <f t="shared" si="2"/>
        <v>2084–2089</v>
      </c>
      <c r="B91" s="55"/>
      <c r="C91" s="55"/>
      <c r="D91" s="186"/>
      <c r="E91" s="186"/>
      <c r="F91" s="186"/>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86"/>
      <c r="E93" s="186"/>
      <c r="F93" s="186"/>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86"/>
      <c r="E95" s="186"/>
      <c r="F95" s="186"/>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topLeftCell="A6" zoomScale="80" zoomScaleNormal="80" workbookViewId="0">
      <selection activeCell="L40" sqref="L40"/>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0014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3960 - Department of Toxic Substances Control</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1668</v>
      </c>
      <c r="I8" s="45"/>
      <c r="J8" s="158" t="s">
        <v>1669</v>
      </c>
      <c r="K8" s="45"/>
      <c r="L8" s="158"/>
      <c r="M8" s="45"/>
      <c r="N8" s="158" t="s">
        <v>1636</v>
      </c>
      <c r="O8" s="45"/>
      <c r="P8" s="156"/>
      <c r="Q8" s="43"/>
    </row>
    <row r="9" spans="2:17" x14ac:dyDescent="0.25">
      <c r="B9" s="41"/>
      <c r="C9" s="45" t="s">
        <v>16</v>
      </c>
      <c r="Q9" s="43"/>
    </row>
    <row r="10" spans="2:17" ht="18.75" thickBot="1" x14ac:dyDescent="0.3">
      <c r="B10" s="41"/>
      <c r="D10" s="35" t="s">
        <v>17</v>
      </c>
      <c r="F10" s="61">
        <f>'LS-Fund 0014 Journal Entries'!$K$23+'LS-Fund 3084 Journal Entries'!$K$23+'LS-Fund 0557 Journal Entries'!$K$23</f>
        <v>61998329</v>
      </c>
      <c r="G10" s="58"/>
      <c r="H10" s="61">
        <f>SUM('LS-Fund 0014 Journal Entries'!$K$48,'LS-Fund 0014 Journal Entries'!K113)+SUM('LS-Fund 3084 Journal Entries'!$K$48+'LS-Fund 3084 Journal Entries'!$K$113)+SUM('LS-Fund 0557 Journal Entries'!$K$48+'LS-Fund 0557 Journal Entries'!$K$113)</f>
        <v>0</v>
      </c>
      <c r="I10" s="58"/>
      <c r="J10" s="61">
        <f>SUM('LS-Fund 0014 Journal Entries'!$J$68,'LS-Fund 0014 Journal Entries'!J96)+SUM('LS-Fund 3084 Journal Entries'!$J$68,'LS-Fund 3084 Journal Entries'!$J$96)+SUM('LS-Fund 0557 Journal Entries'!$J$68,'LS-Fund 0557 Journal Entries'!$J$96)</f>
        <v>10313151</v>
      </c>
      <c r="K10" s="58"/>
      <c r="L10" s="63">
        <f>SUM(F10+H10-J10)</f>
        <v>51685178</v>
      </c>
      <c r="M10" s="58"/>
      <c r="N10" s="61">
        <f>'LS-Fund 0014 Journal Entries'!$K$76+'LS-Fund 3084 Journal Entries'!$K$76+'LS-Fund 0557 Journal Entries'!$K$76</f>
        <v>10490946</v>
      </c>
      <c r="O10" s="58"/>
      <c r="P10" s="63">
        <f>L10-N10</f>
        <v>41194232</v>
      </c>
      <c r="Q10" s="43"/>
    </row>
    <row r="11" spans="2:17" ht="19.5" thickTop="1" thickBot="1" x14ac:dyDescent="0.3">
      <c r="B11" s="41"/>
      <c r="C11" s="45" t="s">
        <v>18</v>
      </c>
      <c r="F11" s="62">
        <f>SUM(F10:F10)</f>
        <v>61998329</v>
      </c>
      <c r="G11" s="58"/>
      <c r="H11" s="62">
        <f>SUM(H10:H10)</f>
        <v>0</v>
      </c>
      <c r="I11" s="58"/>
      <c r="J11" s="62">
        <f>SUM(J10:J10)</f>
        <v>10313151</v>
      </c>
      <c r="K11" s="58"/>
      <c r="L11" s="62">
        <f>SUM(L10:L10)</f>
        <v>51685178</v>
      </c>
      <c r="M11" s="58"/>
      <c r="N11" s="62">
        <f>SUM(N10:N10)</f>
        <v>10490946</v>
      </c>
      <c r="O11" s="58"/>
      <c r="P11" s="62">
        <f>SUM(P10:P10)</f>
        <v>41194232</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0014 Journal Entries'!$F$8="Proprietary - Internal Service Fund",'LS-Fund 0014 Journal Entries'!$K$23,0)</f>
        <v>0</v>
      </c>
      <c r="G14" s="58"/>
      <c r="H14" s="61">
        <f>IF('LS-Fund 0014 Journal Entries'!$F$8="Proprietary - Internal Service Fund",SUM('LS-Fund 0014 Journal Entries'!$K$48,'LS-Fund 0014 Journal Entries'!K113),0)</f>
        <v>0</v>
      </c>
      <c r="I14" s="58"/>
      <c r="J14" s="61">
        <f>IF('LS-Fund 0014 Journal Entries'!$F$8="Proprietary - Internal Service Fund",SUM('LS-Fund 0014 Journal Entries'!$J$68,'LS-Fund 0014 Journal Entries'!J96),0)</f>
        <v>0</v>
      </c>
      <c r="K14" s="58"/>
      <c r="L14" s="63">
        <f>SUM(F14+H14-J14)</f>
        <v>0</v>
      </c>
      <c r="M14" s="58"/>
      <c r="N14" s="61">
        <f>IF('LS-Fund 0014 Journal Entries'!$F$8="Proprietary - Internal Service Fund",'LS-Fund 0014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0014 Journal Entries'!$F$8="Proprietary - Enterprise Fund",'LS-Fund 0014 Journal Entries'!$K$23,0)</f>
        <v>0</v>
      </c>
      <c r="G18" s="58"/>
      <c r="H18" s="61">
        <f>IF('LS-Fund 0014 Journal Entries'!$F$8="Proprietary - Enterprise Fund",SUM('LS-Fund 0014 Journal Entries'!$K$48,'LS-Fund 0014 Journal Entries'!K113),0)</f>
        <v>0</v>
      </c>
      <c r="I18" s="58"/>
      <c r="J18" s="61">
        <f>IF('LS-Fund 0014 Journal Entries'!$F$8="Proprietary - Enterprise Fund",SUM('LS-Fund 0014 Journal Entries'!$J$68,'LS-Fund 0014 Journal Entries'!J96),0)</f>
        <v>0</v>
      </c>
      <c r="K18" s="58"/>
      <c r="L18" s="63">
        <f>SUM(F18+H18-J18)</f>
        <v>0</v>
      </c>
      <c r="M18" s="58"/>
      <c r="N18" s="61">
        <f>IF('LS-Fund 0014 Journal Entries'!$F$8="Proprietary - Enterprise Fund",'LS-Fund 0014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74" t="s">
        <v>1674</v>
      </c>
    </row>
    <row r="23" spans="2:17" x14ac:dyDescent="0.25">
      <c r="B23" s="174"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90" zoomScaleNormal="90" workbookViewId="0">
      <selection activeCell="B16" sqref="B16"/>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02" t="s">
        <v>153</v>
      </c>
      <c r="B5" s="202"/>
      <c r="C5" s="202"/>
      <c r="D5" s="202"/>
      <c r="E5" s="202"/>
      <c r="F5" s="202"/>
      <c r="G5" s="202"/>
      <c r="H5" s="202"/>
      <c r="I5" s="202"/>
      <c r="J5" s="202"/>
      <c r="K5" s="202"/>
      <c r="L5" s="202"/>
      <c r="M5" s="202"/>
      <c r="N5" s="202"/>
      <c r="O5" s="202"/>
      <c r="P5" s="202"/>
      <c r="Q5" s="202"/>
    </row>
    <row r="6" spans="1:17" ht="15" customHeight="1" x14ac:dyDescent="0.25">
      <c r="A6" s="202"/>
      <c r="B6" s="202"/>
      <c r="C6" s="202"/>
      <c r="D6" s="202"/>
      <c r="E6" s="202"/>
      <c r="F6" s="202"/>
      <c r="G6" s="202"/>
      <c r="H6" s="202"/>
      <c r="I6" s="202"/>
      <c r="J6" s="202"/>
      <c r="K6" s="202"/>
      <c r="L6" s="202"/>
      <c r="M6" s="202"/>
      <c r="N6" s="202"/>
      <c r="O6" s="202"/>
      <c r="P6" s="202"/>
      <c r="Q6" s="202"/>
    </row>
    <row r="7" spans="1:17" x14ac:dyDescent="0.25">
      <c r="A7" s="202"/>
      <c r="B7" s="202"/>
      <c r="C7" s="202"/>
      <c r="D7" s="202"/>
      <c r="E7" s="202"/>
      <c r="F7" s="202"/>
      <c r="G7" s="202"/>
      <c r="H7" s="202"/>
      <c r="I7" s="202"/>
      <c r="J7" s="202"/>
      <c r="K7" s="202"/>
      <c r="L7" s="202"/>
      <c r="M7" s="202"/>
      <c r="N7" s="202"/>
      <c r="O7" s="202"/>
      <c r="P7" s="202"/>
      <c r="Q7" s="202"/>
    </row>
    <row r="8" spans="1:17" ht="15" customHeight="1" x14ac:dyDescent="0.25">
      <c r="A8" s="203" t="s">
        <v>1628</v>
      </c>
      <c r="B8" s="203"/>
      <c r="C8" s="203"/>
      <c r="D8" s="203"/>
      <c r="E8" s="203"/>
      <c r="F8" s="203"/>
      <c r="G8" s="203"/>
      <c r="H8" s="203"/>
      <c r="I8" s="203"/>
      <c r="J8" s="203"/>
      <c r="K8" s="203"/>
      <c r="L8" s="203"/>
      <c r="M8" s="203"/>
      <c r="N8" s="203"/>
      <c r="O8" s="203"/>
      <c r="P8" s="203"/>
      <c r="Q8" s="203"/>
    </row>
    <row r="9" spans="1:17" x14ac:dyDescent="0.25">
      <c r="A9" s="203"/>
      <c r="B9" s="203"/>
      <c r="C9" s="203"/>
      <c r="D9" s="203"/>
      <c r="E9" s="203"/>
      <c r="F9" s="203"/>
      <c r="G9" s="203"/>
      <c r="H9" s="203"/>
      <c r="I9" s="203"/>
      <c r="J9" s="203"/>
      <c r="K9" s="203"/>
      <c r="L9" s="203"/>
      <c r="M9" s="203"/>
      <c r="N9" s="203"/>
      <c r="O9" s="203"/>
      <c r="P9" s="203"/>
      <c r="Q9" s="203"/>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04" t="s">
        <v>142</v>
      </c>
      <c r="C13" s="204"/>
      <c r="D13" s="204"/>
      <c r="E13" s="204"/>
      <c r="F13" s="204"/>
      <c r="G13" s="204"/>
      <c r="H13" s="204"/>
      <c r="I13" s="204"/>
      <c r="J13" s="204"/>
      <c r="K13" s="204"/>
      <c r="L13" s="204"/>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1667</v>
      </c>
      <c r="I15" s="79" t="s">
        <v>145</v>
      </c>
      <c r="J15" s="79" t="s">
        <v>1670</v>
      </c>
      <c r="K15" s="80"/>
      <c r="L15" s="79"/>
      <c r="M15" s="80"/>
      <c r="N15" s="81" t="s">
        <v>147</v>
      </c>
      <c r="O15" s="78"/>
      <c r="P15" s="82" t="s">
        <v>148</v>
      </c>
      <c r="Q15" s="75"/>
    </row>
    <row r="16" spans="1:17" ht="15" customHeight="1" x14ac:dyDescent="0.25">
      <c r="A16" s="83"/>
      <c r="B16" s="175">
        <f>'LS-Fund 0014 Journal Entries'!$K$23+'LS-Fund 3084 Journal Entries'!$K$23+'LS-Fund 0557 Journal Entries'!K23</f>
        <v>61998329</v>
      </c>
      <c r="C16" s="116" t="s">
        <v>145</v>
      </c>
      <c r="D16" s="84">
        <f>'LS-Fund 0014 Journal Entries'!$K$48+'LS-Fund 3084 Journal Entries'!$K$48+'LS-Fund 0557 Journal Entries'!$K$48</f>
        <v>0</v>
      </c>
      <c r="E16" s="118" t="s">
        <v>146</v>
      </c>
      <c r="F16" s="84">
        <f>'LS-Fund 0014 Journal Entries'!$J$68+'LS-Fund 3084 Journal Entries'!$J$68+'LS-Fund 0557 Journal Entries'!$J$68</f>
        <v>10313151</v>
      </c>
      <c r="G16" s="117" t="s">
        <v>146</v>
      </c>
      <c r="H16" s="84">
        <f>'LS-Fund 0014 Journal Entries'!$J$96+'LS-Fund 3084 Journal Entries'!$J$96+'LS-Fund 0557 Journal Entries'!$J$96</f>
        <v>0</v>
      </c>
      <c r="I16" s="117" t="s">
        <v>145</v>
      </c>
      <c r="J16" s="84">
        <f>'LS-Fund 0014 Journal Entries'!$K$113+'LS-Fund 3084 Journal Entries'!$K$113+'LS-Fund 0557 Journal Entries'!$K$113</f>
        <v>0</v>
      </c>
      <c r="K16" s="118" t="s">
        <v>149</v>
      </c>
      <c r="L16" s="87">
        <f>+B16+D16-F16-H16+J16</f>
        <v>51685178</v>
      </c>
      <c r="M16" s="86"/>
      <c r="N16" s="88">
        <f>SUM('LS-Department Note Disclosure'!B13:B36)</f>
        <v>51685178</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04" t="s">
        <v>142</v>
      </c>
      <c r="C21" s="204"/>
      <c r="D21" s="204"/>
      <c r="E21" s="204"/>
      <c r="F21" s="204"/>
      <c r="G21" s="204"/>
      <c r="H21" s="204"/>
      <c r="I21" s="204"/>
      <c r="J21" s="204"/>
      <c r="K21" s="204"/>
      <c r="L21" s="204"/>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1667</v>
      </c>
      <c r="I23" s="79" t="s">
        <v>145</v>
      </c>
      <c r="J23" s="79" t="s">
        <v>1670</v>
      </c>
      <c r="K23" s="80"/>
      <c r="L23" s="79"/>
      <c r="M23" s="80"/>
      <c r="N23" s="81" t="s">
        <v>147</v>
      </c>
      <c r="O23" s="78"/>
      <c r="P23" s="82" t="s">
        <v>148</v>
      </c>
      <c r="Q23" s="75"/>
    </row>
    <row r="24" spans="1:17" ht="15" customHeight="1" x14ac:dyDescent="0.25">
      <c r="A24" s="83"/>
      <c r="B24" s="84">
        <f>IF('LS-Fund 0014 Journal Entries'!$F$8="Proprietary - Internal Service Fund",'LS-Fund 0014 Journal Entries'!$K$23,0)</f>
        <v>0</v>
      </c>
      <c r="C24" s="116" t="s">
        <v>145</v>
      </c>
      <c r="D24" s="84">
        <f>IF('LS-Fund 0014 Journal Entries'!$F$8="Proprietary - Internal Service Fund",'LS-Fund 0014 Journal Entries'!$K$48,0)</f>
        <v>0</v>
      </c>
      <c r="E24" s="118" t="s">
        <v>146</v>
      </c>
      <c r="F24" s="84">
        <f>IF('LS-Fund 0014 Journal Entries'!$F$8="Proprietary - Internal Service Fund",'LS-Fund 0014 Journal Entries'!$J$68,0)</f>
        <v>0</v>
      </c>
      <c r="G24" s="117" t="s">
        <v>146</v>
      </c>
      <c r="H24" s="84">
        <f>IF('LS-Fund 0014 Journal Entries'!$F$8="Proprietary - Internal Service Fund",'LS-Fund 0014 Journal Entries'!$J$96,0)</f>
        <v>0</v>
      </c>
      <c r="I24" s="117" t="s">
        <v>145</v>
      </c>
      <c r="J24" s="84">
        <f>IF('LS-Fund 0014 Journal Entries'!$F$8="Proprietary - Internal Service Fund",'LS-Fund 0014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04" t="s">
        <v>142</v>
      </c>
      <c r="C30" s="204"/>
      <c r="D30" s="204"/>
      <c r="E30" s="204"/>
      <c r="F30" s="204"/>
      <c r="G30" s="204"/>
      <c r="H30" s="204"/>
      <c r="I30" s="204"/>
      <c r="J30" s="204"/>
      <c r="K30" s="204"/>
      <c r="L30" s="204"/>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1667</v>
      </c>
      <c r="I32" s="79" t="s">
        <v>145</v>
      </c>
      <c r="J32" s="79" t="s">
        <v>1670</v>
      </c>
      <c r="K32" s="80"/>
      <c r="L32" s="79"/>
      <c r="M32" s="80"/>
      <c r="N32" s="81" t="s">
        <v>147</v>
      </c>
      <c r="O32" s="78"/>
      <c r="P32" s="82" t="s">
        <v>148</v>
      </c>
      <c r="Q32" s="75"/>
    </row>
    <row r="33" spans="1:17" ht="15" customHeight="1" x14ac:dyDescent="0.25">
      <c r="A33" s="83"/>
      <c r="B33" s="84">
        <f>IF('LS-Fund 0014 Journal Entries'!$F$8="Proprietary - Enterprise Fund",'LS-Fund 0014 Journal Entries'!$K$23,0)</f>
        <v>0</v>
      </c>
      <c r="C33" s="116" t="s">
        <v>145</v>
      </c>
      <c r="D33" s="84">
        <f>IF('LS-Fund 0014 Journal Entries'!$F$8="Proprietary - Enterprise Fund",'LS-Fund 0014 Journal Entries'!$K$48,0)</f>
        <v>0</v>
      </c>
      <c r="E33" s="118" t="s">
        <v>146</v>
      </c>
      <c r="F33" s="84">
        <f>IF('LS-Fund 0014 Journal Entries'!$F$8="Proprietary - Enterprise Fund",'LS-Fund 0014 Journal Entries'!$J$68,0)</f>
        <v>0</v>
      </c>
      <c r="G33" s="117" t="s">
        <v>146</v>
      </c>
      <c r="H33" s="84">
        <f>IF('LS-Fund 0014 Journal Entries'!$F$8="Proprietary - Enterprise Fund",'LS-Fund 0014 Journal Entries'!$J$96,0)</f>
        <v>0</v>
      </c>
      <c r="I33" s="117" t="s">
        <v>145</v>
      </c>
      <c r="J33" s="84">
        <f>IF('LS-Fund 0014 Journal Entries'!$F$8="Proprietary - Enterprise Fund",'LS-Fund 0014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04" t="s">
        <v>142</v>
      </c>
      <c r="C40" s="204"/>
      <c r="D40" s="204"/>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'LS-Fund 0014 Journal Entries'!$K$76+'LS-Fund 3084 Journal Entries'!$K$76+'LS-Fund 0557 Journal Entries'!$K$76</f>
        <v>10490946</v>
      </c>
      <c r="C42" s="92"/>
      <c r="E42" s="92"/>
      <c r="G42" s="115"/>
      <c r="H42" s="115"/>
      <c r="I42" s="115"/>
      <c r="J42" s="115"/>
      <c r="K42" s="92"/>
      <c r="L42" s="92"/>
      <c r="M42" s="93"/>
      <c r="N42" s="88">
        <f>'LS-Department Note Disclosure'!B13</f>
        <v>10490946</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04" t="s">
        <v>142</v>
      </c>
      <c r="C47" s="204"/>
      <c r="D47" s="204"/>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0014 Journal Entries'!$F$8="Proprietary - Internal Service Fund",'LS-Fund 0014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04" t="s">
        <v>142</v>
      </c>
      <c r="C55" s="204"/>
      <c r="D55" s="204"/>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0014 Journal Entries'!$F$8="Proprietary - Enterprise Fund",'LS-Fund 0014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05" t="s">
        <v>142</v>
      </c>
      <c r="C64" s="205"/>
      <c r="D64" s="205"/>
      <c r="E64" s="205"/>
      <c r="F64" s="205"/>
      <c r="G64" s="205"/>
      <c r="H64" s="205"/>
      <c r="I64" s="95"/>
      <c r="J64" s="77" t="s">
        <v>1627</v>
      </c>
      <c r="K64" s="95"/>
      <c r="L64" s="205" t="s">
        <v>11</v>
      </c>
      <c r="M64" s="205"/>
      <c r="N64" s="205"/>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61998329</v>
      </c>
      <c r="J66" s="97">
        <f>SUM(D66)</f>
        <v>61998329</v>
      </c>
      <c r="L66" s="98" t="str">
        <f>CONCATENATE("Balance July 1, ",LEFT('LS-Department Note Disclosure'!$B$8,4))</f>
        <v>Balance July 1, 2023</v>
      </c>
      <c r="N66" s="97">
        <f>'LS-Lease Liabilities'!F10</f>
        <v>61998329</v>
      </c>
      <c r="P66" s="89">
        <f>J66-N66</f>
        <v>0</v>
      </c>
    </row>
    <row r="67" spans="1:17" x14ac:dyDescent="0.25">
      <c r="B67" s="79" t="s">
        <v>156</v>
      </c>
      <c r="D67" s="97">
        <f>$D$16</f>
        <v>0</v>
      </c>
      <c r="E67" s="119" t="s">
        <v>145</v>
      </c>
      <c r="F67" s="79" t="s">
        <v>1670</v>
      </c>
      <c r="H67" s="97">
        <f>$J$16</f>
        <v>0</v>
      </c>
      <c r="J67" s="97">
        <f>SUM(D67,H67)</f>
        <v>0</v>
      </c>
      <c r="L67" s="98" t="s">
        <v>12</v>
      </c>
      <c r="N67" s="97">
        <f>'LS-Lease Liabilities'!H10</f>
        <v>0</v>
      </c>
      <c r="P67" s="89">
        <f t="shared" ref="P67:P69" si="0">J67-N67</f>
        <v>0</v>
      </c>
    </row>
    <row r="68" spans="1:17" x14ac:dyDescent="0.25">
      <c r="B68" s="79" t="s">
        <v>151</v>
      </c>
      <c r="D68" s="97">
        <f>$F$16</f>
        <v>10313151</v>
      </c>
      <c r="E68" s="119" t="s">
        <v>145</v>
      </c>
      <c r="F68" s="79" t="s">
        <v>1667</v>
      </c>
      <c r="H68" s="97">
        <f>$H$16</f>
        <v>0</v>
      </c>
      <c r="J68" s="97">
        <f>SUM(D68,H68)</f>
        <v>10313151</v>
      </c>
      <c r="L68" s="98" t="s">
        <v>13</v>
      </c>
      <c r="N68" s="97">
        <f>'LS-Lease Liabilities'!J10</f>
        <v>10313151</v>
      </c>
      <c r="P68" s="89">
        <f t="shared" si="0"/>
        <v>0</v>
      </c>
    </row>
    <row r="69" spans="1:17" x14ac:dyDescent="0.25">
      <c r="B69" s="79" t="s">
        <v>155</v>
      </c>
      <c r="D69" s="97">
        <f>$B$42</f>
        <v>10490946</v>
      </c>
      <c r="J69" s="97">
        <f>SUM(D69)</f>
        <v>10490946</v>
      </c>
      <c r="L69" s="98" t="s">
        <v>14</v>
      </c>
      <c r="N69" s="97">
        <f>'LS-Lease Liabilities'!N10</f>
        <v>10490946</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05" t="s">
        <v>142</v>
      </c>
      <c r="C75" s="205"/>
      <c r="D75" s="205"/>
      <c r="E75" s="205"/>
      <c r="F75" s="205"/>
      <c r="G75" s="205"/>
      <c r="H75" s="205"/>
      <c r="I75" s="95"/>
      <c r="J75" s="77" t="s">
        <v>1627</v>
      </c>
      <c r="K75" s="95"/>
      <c r="L75" s="205" t="s">
        <v>11</v>
      </c>
      <c r="M75" s="205"/>
      <c r="N75" s="205"/>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1670</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1667</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05" t="s">
        <v>142</v>
      </c>
      <c r="C86" s="205"/>
      <c r="D86" s="205"/>
      <c r="E86" s="205"/>
      <c r="F86" s="205"/>
      <c r="G86" s="205"/>
      <c r="H86" s="205"/>
      <c r="I86" s="95"/>
      <c r="J86" s="77" t="s">
        <v>1627</v>
      </c>
      <c r="K86" s="95"/>
      <c r="L86" s="205" t="s">
        <v>11</v>
      </c>
      <c r="M86" s="205"/>
      <c r="N86" s="205"/>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1670</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1667</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Drop Down Menus</vt:lpstr>
      <vt:lpstr>qryIndex02a</vt:lpstr>
      <vt:lpstr>LS-Fund 0014 Journal Entries</vt:lpstr>
      <vt:lpstr>LS-Fund 0557 Journal Entries</vt:lpstr>
      <vt:lpstr>LS-Fund 3084 Journal Entries</vt:lpstr>
      <vt:lpstr>LS-Department Note Disclosure</vt:lpstr>
      <vt:lpstr>LS-Lease Liabilities</vt:lpstr>
      <vt:lpstr>LS-Check Figures  </vt:lpstr>
      <vt:lpstr>'LS-Department Note Disclosure'!Print_Area</vt:lpstr>
      <vt:lpstr>'LS-Fund 0014 Journal Entries'!Print_Area</vt:lpstr>
      <vt:lpstr>'LS-Fund 0557 Journal Entries'!Print_Area</vt:lpstr>
      <vt:lpstr>'LS-Fund 3084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2024-09-14T00:58:00Z</cp:lastPrinted>
  <dcterms:created xsi:type="dcterms:W3CDTF">2023-03-08T17:19:33Z</dcterms:created>
  <dcterms:modified xsi:type="dcterms:W3CDTF">2024-12-27T19:06:54Z</dcterms:modified>
</cp:coreProperties>
</file>