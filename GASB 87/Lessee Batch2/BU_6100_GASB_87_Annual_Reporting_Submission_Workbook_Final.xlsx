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ee\"/>
    </mc:Choice>
  </mc:AlternateContent>
  <xr:revisionPtr revIDLastSave="0" documentId="8_{BFC22126-67AA-4D90-BD89-9F5A02AD15FE}" xr6:coauthVersionLast="47" xr6:coauthVersionMax="47" xr10:uidLastSave="{00000000-0000-0000-0000-000000000000}"/>
  <bookViews>
    <workbookView xWindow="20370" yWindow="-120" windowWidth="29040" windowHeight="15840" tabRatio="921" firstSheet="2" activeTab="6" xr2:uid="{00000000-000D-0000-FFFF-FFFF00000000}"/>
    <workbookView xWindow="20370" yWindow="-120" windowWidth="29040" windowHeight="15840" tabRatio="707" firstSheet="2" activeTab="7" xr2:uid="{997C76DA-D6D1-408C-8492-9863C7CE3F1C}"/>
  </bookViews>
  <sheets>
    <sheet name="Drop Down Menus" sheetId="1" state="hidden" r:id="rId1"/>
    <sheet name="qryIndex02a" sheetId="11" state="hidden" r:id="rId2"/>
    <sheet name="LS-Version Changes" sheetId="13" r:id="rId3"/>
    <sheet name="LS-Fund 0001 Journal Entries" sheetId="2" r:id="rId4"/>
    <sheet name="LS-Fund 0044 Journal Entries" sheetId="16" r:id="rId5"/>
    <sheet name="LS-Fund 0890 Journal Entries" sheetId="17" r:id="rId6"/>
    <sheet name="LS-Fund 0687 Journal Entries" sheetId="18" r:id="rId7"/>
    <sheet name="LS-Department Note Disclosure" sheetId="3" r:id="rId8"/>
    <sheet name="LS-Lease Liabilities" sheetId="4" r:id="rId9"/>
    <sheet name="LS-Check Figures  " sheetId="7" r:id="rId10"/>
  </sheets>
  <externalReferences>
    <externalReference r:id="rId1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7">'LS-Department Note Disclosure'!$A$1:$F$96</definedName>
    <definedName name="_xlnm.Print_Area" localSheetId="3">'LS-Fund 0001 Journal Entries'!$A$1:$R$130</definedName>
    <definedName name="_xlnm.Print_Area" localSheetId="4">'LS-Fund 0044 Journal Entries'!$A$1:$R$130</definedName>
    <definedName name="_xlnm.Print_Area" localSheetId="6">'LS-Fund 0687 Journal Entries'!$A$1:$R$130</definedName>
    <definedName name="_xlnm.Print_Area" localSheetId="5">'LS-Fund 0890 Journal Entries'!$A$1:$R$130</definedName>
    <definedName name="_xlnm.Print_Area" localSheetId="8">'LS-Lease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7" l="1"/>
  <c r="J68" i="18"/>
  <c r="J62" i="18" s="1"/>
  <c r="H18" i="4"/>
  <c r="K76" i="18"/>
  <c r="B75" i="3"/>
  <c r="K58" i="18"/>
  <c r="J55" i="18"/>
  <c r="J63" i="18"/>
  <c r="K69" i="18" l="1"/>
  <c r="K64" i="18"/>
  <c r="B57" i="7" l="1"/>
  <c r="F33" i="7"/>
  <c r="B33" i="7"/>
  <c r="N18" i="4"/>
  <c r="J18" i="4" l="1"/>
  <c r="F18" i="4"/>
  <c r="F14" i="4"/>
  <c r="K129" i="18"/>
  <c r="K125" i="18"/>
  <c r="K114" i="18"/>
  <c r="J114" i="18"/>
  <c r="K105" i="18"/>
  <c r="J105" i="18"/>
  <c r="L105" i="18" s="1"/>
  <c r="L91" i="18"/>
  <c r="K91" i="18"/>
  <c r="J91" i="18"/>
  <c r="K77" i="18"/>
  <c r="J77" i="18"/>
  <c r="K70" i="18"/>
  <c r="J70" i="18"/>
  <c r="L69" i="18"/>
  <c r="K65" i="18"/>
  <c r="J65" i="18"/>
  <c r="B63" i="18"/>
  <c r="L62" i="18"/>
  <c r="K59" i="18"/>
  <c r="J59" i="18"/>
  <c r="K49" i="18"/>
  <c r="J49" i="18"/>
  <c r="L49" i="18" s="1"/>
  <c r="K43" i="18"/>
  <c r="J43" i="18"/>
  <c r="L36" i="18"/>
  <c r="K36" i="18"/>
  <c r="J36" i="18"/>
  <c r="S25" i="18"/>
  <c r="Q24" i="18"/>
  <c r="S24" i="18" s="1"/>
  <c r="S23" i="18"/>
  <c r="K23" i="18"/>
  <c r="K128" i="18" s="1"/>
  <c r="S22" i="18"/>
  <c r="K22" i="18"/>
  <c r="S21" i="18"/>
  <c r="K21" i="18"/>
  <c r="K126" i="18" s="1"/>
  <c r="S20" i="18"/>
  <c r="K20" i="18"/>
  <c r="S19" i="18"/>
  <c r="P18" i="18"/>
  <c r="J18" i="18" s="1"/>
  <c r="S17" i="18"/>
  <c r="J17" i="18"/>
  <c r="K124" i="18" s="1"/>
  <c r="S16" i="18"/>
  <c r="J16" i="18"/>
  <c r="K123" i="18" s="1"/>
  <c r="S15" i="18"/>
  <c r="J15" i="18"/>
  <c r="F9" i="18"/>
  <c r="C35" i="18" s="1"/>
  <c r="N10" i="4"/>
  <c r="J10" i="4"/>
  <c r="L114" i="18" l="1"/>
  <c r="L70" i="18"/>
  <c r="L77" i="18"/>
  <c r="L59" i="18"/>
  <c r="L65" i="18"/>
  <c r="L43" i="18"/>
  <c r="K24" i="18"/>
  <c r="K25" i="18" s="1"/>
  <c r="K26" i="18" s="1"/>
  <c r="B100" i="18"/>
  <c r="K122" i="18"/>
  <c r="J19" i="18"/>
  <c r="J26" i="18" s="1"/>
  <c r="C104" i="18"/>
  <c r="S18" i="18"/>
  <c r="C64" i="18"/>
  <c r="K127" i="18"/>
  <c r="F10" i="4"/>
  <c r="B42" i="7"/>
  <c r="F16" i="7"/>
  <c r="B16" i="7"/>
  <c r="K129" i="17"/>
  <c r="K123" i="17"/>
  <c r="K114" i="17"/>
  <c r="J114" i="17"/>
  <c r="L114" i="17" s="1"/>
  <c r="K105" i="17"/>
  <c r="J105" i="17"/>
  <c r="L105" i="17" s="1"/>
  <c r="K91" i="17"/>
  <c r="J91" i="17"/>
  <c r="L91" i="17" s="1"/>
  <c r="K77" i="17"/>
  <c r="J77" i="17"/>
  <c r="K70" i="17"/>
  <c r="J70" i="17"/>
  <c r="L69" i="17"/>
  <c r="K65" i="17"/>
  <c r="J65" i="17"/>
  <c r="L65" i="17" s="1"/>
  <c r="B63" i="17"/>
  <c r="L62" i="17"/>
  <c r="K59" i="17"/>
  <c r="J59" i="17"/>
  <c r="K49" i="17"/>
  <c r="J49" i="17"/>
  <c r="L49" i="17" s="1"/>
  <c r="K43" i="17"/>
  <c r="L43" i="17" s="1"/>
  <c r="J43" i="17"/>
  <c r="K36" i="17"/>
  <c r="L36" i="17" s="1"/>
  <c r="J36" i="17"/>
  <c r="S25" i="17"/>
  <c r="Q24" i="17"/>
  <c r="S24" i="17" s="1"/>
  <c r="S23" i="17"/>
  <c r="K23" i="17"/>
  <c r="K128" i="17" s="1"/>
  <c r="S22" i="17"/>
  <c r="K22" i="17"/>
  <c r="K127" i="17" s="1"/>
  <c r="S21" i="17"/>
  <c r="K21" i="17"/>
  <c r="K126" i="17" s="1"/>
  <c r="S20" i="17"/>
  <c r="K20" i="17"/>
  <c r="S19" i="17"/>
  <c r="P18" i="17"/>
  <c r="J18" i="17" s="1"/>
  <c r="S17" i="17"/>
  <c r="J17" i="17"/>
  <c r="K124" i="17" s="1"/>
  <c r="S16" i="17"/>
  <c r="J16" i="17"/>
  <c r="S15" i="17"/>
  <c r="J15" i="17"/>
  <c r="K122" i="17" s="1"/>
  <c r="F9" i="17"/>
  <c r="C35" i="17" s="1"/>
  <c r="K129" i="16"/>
  <c r="K123" i="16"/>
  <c r="K114" i="16"/>
  <c r="J114" i="16"/>
  <c r="L114" i="16" s="1"/>
  <c r="L105" i="16"/>
  <c r="K105" i="16"/>
  <c r="J105" i="16"/>
  <c r="K91" i="16"/>
  <c r="J91" i="16"/>
  <c r="L91" i="16" s="1"/>
  <c r="K77" i="16"/>
  <c r="J77" i="16"/>
  <c r="L77" i="16" s="1"/>
  <c r="K70" i="16"/>
  <c r="J70" i="16"/>
  <c r="L69" i="16"/>
  <c r="K65" i="16"/>
  <c r="J65" i="16"/>
  <c r="B63" i="16"/>
  <c r="L62" i="16"/>
  <c r="K59" i="16"/>
  <c r="J59" i="16"/>
  <c r="L49" i="16"/>
  <c r="K49" i="16"/>
  <c r="J49" i="16"/>
  <c r="K43" i="16"/>
  <c r="L43" i="16" s="1"/>
  <c r="J43" i="16"/>
  <c r="K36" i="16"/>
  <c r="J36" i="16"/>
  <c r="L36" i="16" s="1"/>
  <c r="S25" i="16"/>
  <c r="Q24" i="16"/>
  <c r="K24" i="16" s="1"/>
  <c r="S23" i="16"/>
  <c r="K23" i="16"/>
  <c r="K128" i="16" s="1"/>
  <c r="S22" i="16"/>
  <c r="K22" i="16"/>
  <c r="K127" i="16" s="1"/>
  <c r="S21" i="16"/>
  <c r="K21" i="16"/>
  <c r="K126" i="16" s="1"/>
  <c r="S20" i="16"/>
  <c r="K20" i="16"/>
  <c r="K125" i="16" s="1"/>
  <c r="S19" i="16"/>
  <c r="P18" i="16"/>
  <c r="J18" i="16" s="1"/>
  <c r="S17" i="16"/>
  <c r="J17" i="16"/>
  <c r="K124" i="16" s="1"/>
  <c r="S16" i="16"/>
  <c r="J16" i="16"/>
  <c r="S15" i="16"/>
  <c r="J15" i="16"/>
  <c r="F9" i="16"/>
  <c r="C35" i="16" s="1"/>
  <c r="L26" i="18" l="1"/>
  <c r="L77" i="17"/>
  <c r="L70" i="17"/>
  <c r="L59" i="17"/>
  <c r="S18" i="17"/>
  <c r="K24" i="17"/>
  <c r="K25" i="17"/>
  <c r="K26" i="17" s="1"/>
  <c r="B100" i="17"/>
  <c r="J19" i="17"/>
  <c r="J26" i="17" s="1"/>
  <c r="L26" i="17" s="1"/>
  <c r="C104" i="17"/>
  <c r="C64" i="17"/>
  <c r="K125" i="17"/>
  <c r="L70" i="16"/>
  <c r="L65" i="16"/>
  <c r="L59" i="16"/>
  <c r="S18" i="16"/>
  <c r="B100" i="16"/>
  <c r="K122" i="16"/>
  <c r="S24" i="16"/>
  <c r="C104" i="16"/>
  <c r="C64" i="16"/>
  <c r="K25" i="16"/>
  <c r="K26" i="16" s="1"/>
  <c r="J19" i="16"/>
  <c r="J26" i="16" s="1"/>
  <c r="L26" i="16" l="1"/>
  <c r="B63" i="2" l="1"/>
  <c r="J14" i="4"/>
  <c r="H14" i="4"/>
  <c r="H10" i="4"/>
  <c r="N14" i="4"/>
  <c r="L69" i="2"/>
  <c r="L62" i="2"/>
  <c r="S20" i="2"/>
  <c r="Q24" i="2"/>
  <c r="P18" i="2"/>
  <c r="K129" i="2" l="1"/>
  <c r="K20" i="2"/>
  <c r="K125" i="2" s="1"/>
  <c r="J18" i="2" l="1"/>
  <c r="S25" i="2"/>
  <c r="S24" i="2"/>
  <c r="S23" i="2"/>
  <c r="K23" i="2"/>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H89" i="7"/>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D91" i="7"/>
  <c r="J91" i="7" s="1"/>
  <c r="P91" i="7" s="1"/>
  <c r="B49" i="7"/>
  <c r="D80" i="7" s="1"/>
  <c r="J80" i="7" s="1"/>
  <c r="P80" i="7" s="1"/>
  <c r="D90" i="7"/>
  <c r="J90" i="7" s="1"/>
  <c r="P90" i="7" s="1"/>
  <c r="F24" i="7"/>
  <c r="D79" i="7" s="1"/>
  <c r="J79" i="7" s="1"/>
  <c r="P79" i="7" s="1"/>
  <c r="N57" i="7"/>
  <c r="N49" i="7"/>
  <c r="N42" i="7"/>
  <c r="N33" i="7"/>
  <c r="N24" i="7"/>
  <c r="B24" i="7"/>
  <c r="D77" i="7" l="1"/>
  <c r="J77" i="7" s="1"/>
  <c r="P77" i="7" s="1"/>
  <c r="L24" i="7"/>
  <c r="L16" i="7"/>
  <c r="D88" i="7"/>
  <c r="J88" i="7" s="1"/>
  <c r="P88" i="7" s="1"/>
  <c r="L33" i="7"/>
  <c r="D69" i="7"/>
  <c r="J69" i="7" s="1"/>
  <c r="P69" i="7" s="1"/>
  <c r="D68" i="7"/>
  <c r="J68" i="7" s="1"/>
  <c r="P68" i="7" s="1"/>
  <c r="D67" i="7"/>
  <c r="J67" i="7" s="1"/>
  <c r="P67" i="7" s="1"/>
  <c r="D66" i="7"/>
  <c r="J66" i="7" s="1"/>
  <c r="P66" i="7" s="1"/>
  <c r="P33" i="7" l="1"/>
  <c r="P42" i="7"/>
  <c r="D44" i="7" s="1"/>
  <c r="P24" i="7"/>
  <c r="D26" i="7" s="1"/>
  <c r="P49" i="7"/>
  <c r="D51" i="7" s="1"/>
  <c r="P16" i="7"/>
  <c r="D18" i="7" s="1"/>
  <c r="P57" i="7"/>
  <c r="D59" i="7" s="1"/>
  <c r="D35" i="7" l="1"/>
  <c r="D71" i="7"/>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<sst xmlns="http://schemas.openxmlformats.org/spreadsheetml/2006/main" count="8120" uniqueCount="1716">
  <si>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</si>
  <si>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</si>
  <si>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</si>
  <si>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</si>
  <si>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</si>
  <si>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</si>
  <si>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</si>
  <si>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</si>
  <si>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</si>
  <si>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</si>
  <si>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</si>
  <si>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</si>
  <si>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</si>
  <si>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</si>
  <si>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</si>
  <si>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</si>
  <si>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</si>
  <si>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</si>
  <si>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</si>
  <si>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</si>
  <si>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</si>
  <si>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</si>
  <si>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</si>
  <si>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</si>
  <si>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</si>
  <si>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</si>
  <si>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</si>
  <si>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</si>
  <si>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</si>
  <si>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</si>
  <si>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</si>
  <si>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</si>
  <si>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</si>
  <si>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</si>
  <si>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</si>
  <si>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</si>
  <si>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</si>
  <si>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</si>
  <si>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</si>
  <si>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</si>
  <si>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</si>
  <si>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</si>
  <si>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</si>
  <si>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</si>
  <si>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</si>
  <si>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</si>
  <si>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</si>
  <si>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</si>
  <si>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</si>
  <si>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</si>
  <si>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</si>
  <si>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</si>
  <si>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</si>
  <si>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</si>
  <si>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</si>
  <si>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</si>
  <si>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</si>
  <si>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</si>
  <si>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</si>
  <si>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</si>
  <si>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</si>
  <si>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</si>
  <si>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</si>
  <si>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</si>
  <si>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</si>
  <si>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</si>
  <si>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</si>
  <si>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</si>
  <si>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</si>
  <si>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</si>
  <si>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</si>
  <si>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</si>
  <si>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</si>
  <si>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</si>
  <si>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</si>
  <si>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</si>
  <si>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</si>
  <si>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</si>
  <si>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</si>
  <si>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</si>
  <si>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</si>
  <si>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</si>
  <si>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</si>
  <si>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</si>
  <si>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</si>
  <si>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</si>
  <si>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</si>
  <si>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</si>
  <si>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</si>
  <si>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</si>
  <si>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</si>
  <si>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</si>
  <si>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</si>
  <si>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</si>
  <si>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</si>
  <si>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</si>
  <si>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</si>
  <si>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</si>
  <si>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</si>
  <si>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</si>
  <si>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</si>
  <si>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</si>
  <si>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</si>
  <si>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</si>
  <si>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</si>
  <si>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</si>
  <si>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</si>
  <si>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</si>
  <si>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</si>
  <si>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</si>
  <si>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</si>
  <si>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</si>
  <si>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</si>
  <si>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</si>
  <si>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</si>
  <si>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</si>
  <si>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</si>
  <si>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</si>
  <si>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</si>
  <si>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</si>
  <si>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</si>
  <si>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</si>
  <si>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</si>
  <si>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</si>
  <si>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</si>
  <si>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</si>
  <si>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</si>
  <si>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</si>
  <si>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</si>
  <si>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</si>
  <si>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</si>
  <si>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</si>
  <si>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</si>
  <si>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</si>
  <si>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</si>
  <si>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</si>
  <si>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</si>
  <si>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</si>
  <si>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</si>
  <si>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</si>
  <si>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</si>
  <si>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</si>
  <si>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</si>
  <si>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</si>
  <si>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</si>
  <si>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</si>
  <si>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</si>
  <si>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</si>
  <si>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</si>
  <si>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</si>
  <si>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</si>
  <si>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</si>
  <si>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</si>
  <si>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</si>
  <si>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</si>
  <si>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</si>
  <si>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</si>
  <si>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</si>
  <si>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</si>
  <si>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</si>
  <si>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</si>
  <si>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</si>
  <si>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</si>
  <si>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</si>
  <si>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</si>
  <si>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</si>
  <si>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</si>
  <si>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</si>
  <si>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</si>
  <si>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</si>
  <si>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</si>
  <si>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</si>
  <si>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</si>
  <si>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</si>
  <si>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</si>
  <si>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</si>
  <si>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</si>
  <si>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</si>
  <si>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</si>
  <si>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</si>
  <si>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</si>
  <si>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</si>
  <si>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</si>
  <si>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</si>
  <si>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</si>
  <si>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</si>
  <si>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</si>
  <si>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</si>
  <si>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</si>
  <si>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</si>
  <si>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</si>
  <si>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</si>
  <si>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</si>
  <si>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</si>
  <si>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</si>
  <si>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</si>
  <si>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</si>
  <si>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</si>
  <si>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</si>
  <si>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</si>
  <si>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</si>
  <si>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</si>
  <si>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</si>
  <si>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</si>
  <si>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</si>
  <si>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</si>
  <si>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</si>
  <si>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</si>
  <si>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</si>
  <si>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</si>
  <si>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</si>
  <si>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</si>
  <si>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</si>
  <si>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</si>
  <si>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</si>
  <si>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</si>
  <si>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</si>
  <si>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</si>
  <si>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</si>
  <si>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</si>
  <si>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</si>
  <si>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</si>
  <si>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</si>
  <si>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</si>
  <si>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</si>
  <si>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</si>
  <si>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</si>
  <si>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</si>
  <si>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</si>
  <si>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</si>
  <si>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</si>
  <si>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</si>
  <si>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</si>
  <si>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</si>
  <si>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</si>
  <si>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</si>
  <si>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</si>
  <si>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</si>
  <si>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</si>
  <si>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</si>
  <si>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</si>
  <si>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</si>
  <si>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</si>
  <si>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</si>
  <si>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</si>
  <si>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</si>
  <si>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</si>
  <si>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</si>
  <si>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</si>
  <si>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</si>
  <si>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</si>
  <si>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</si>
  <si>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</si>
  <si>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</si>
  <si>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</si>
  <si>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</si>
  <si>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</si>
  <si>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</si>
  <si>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</si>
  <si>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</si>
  <si>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</si>
  <si>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</si>
  <si>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</si>
  <si>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</si>
  <si>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</si>
  <si>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</si>
  <si>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</si>
  <si>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</si>
  <si>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</si>
  <si>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</si>
  <si>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</si>
  <si>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</si>
  <si>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</si>
  <si>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</si>
  <si>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</si>
  <si>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</si>
  <si>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</si>
  <si>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</si>
  <si>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</si>
  <si>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</si>
  <si>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</si>
  <si>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</si>
  <si>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</si>
  <si>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</si>
  <si>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</si>
  <si>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</si>
  <si>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</si>
  <si>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</si>
  <si>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</si>
  <si>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</si>
  <si>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</si>
  <si>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</si>
  <si>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</si>
  <si>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</si>
  <si>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</si>
  <si>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</si>
  <si>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</si>
  <si>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</si>
  <si>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</si>
  <si>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</si>
  <si>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</si>
  <si>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</si>
  <si>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</si>
  <si>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</si>
  <si>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</si>
  <si>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</si>
  <si>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</si>
  <si>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</si>
  <si>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</si>
  <si>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</si>
  <si>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</si>
  <si>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</si>
  <si>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</si>
  <si>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</si>
  <si>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</si>
  <si>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</si>
  <si>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</si>
  <si>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</si>
  <si>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</si>
  <si>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</si>
  <si>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</si>
  <si>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</si>
  <si>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</si>
  <si>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</si>
  <si>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</si>
  <si>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</si>
  <si>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</si>
  <si>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</si>
  <si>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</si>
  <si>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</si>
  <si>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</si>
  <si>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</si>
  <si>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</si>
  <si>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</si>
  <si>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</si>
  <si>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</si>
  <si>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</si>
  <si>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</si>
  <si>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</si>
  <si>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</si>
  <si>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</si>
  <si>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</si>
  <si>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</si>
  <si>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</si>
  <si>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</si>
  <si>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</si>
  <si>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</si>
  <si>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</si>
  <si>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</si>
  <si>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</si>
  <si>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</si>
  <si>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</si>
  <si>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</si>
  <si>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</si>
  <si>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</si>
  <si>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</si>
  <si>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</si>
  <si>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</si>
  <si>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</si>
  <si>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</si>
  <si>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</si>
  <si>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</si>
  <si>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</si>
  <si>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</si>
  <si>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</si>
  <si>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</si>
  <si>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</si>
  <si>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</si>
  <si>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</si>
  <si>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</si>
  <si>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</si>
  <si>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</si>
  <si>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</si>
  <si>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</si>
  <si>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</si>
  <si>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</si>
  <si>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</si>
  <si>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</si>
  <si>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</si>
  <si>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</si>
  <si>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</si>
  <si>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</si>
  <si>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</si>
  <si>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</si>
  <si>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</si>
  <si>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</si>
  <si>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</si>
  <si>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</si>
  <si>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</si>
  <si>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</si>
  <si>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</si>
  <si>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</si>
  <si>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</si>
  <si>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</si>
  <si>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</si>
  <si>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</si>
  <si>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</si>
  <si>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</si>
  <si>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</si>
  <si>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</si>
  <si>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</si>
  <si>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</si>
  <si>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</si>
  <si>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</si>
  <si>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</si>
  <si>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</si>
  <si>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</si>
  <si>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</si>
  <si>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</si>
  <si>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</si>
  <si>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</si>
  <si>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</si>
  <si>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</si>
  <si>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</si>
  <si>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</si>
  <si>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</si>
  <si>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</si>
  <si>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</si>
  <si>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</si>
  <si>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</si>
  <si>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</si>
  <si>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</si>
  <si>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</si>
  <si>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</si>
  <si>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</si>
  <si>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</si>
  <si>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</si>
  <si>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</si>
  <si>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</si>
  <si>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</si>
  <si>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</si>
  <si>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</si>
  <si>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</si>
  <si>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</si>
  <si>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</si>
  <si>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</si>
  <si>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</si>
  <si>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</si>
  <si>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</si>
  <si>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</si>
  <si>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</si>
  <si>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</si>
  <si>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</si>
  <si>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</si>
  <si>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</si>
  <si>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</si>
  <si>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</si>
  <si>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</si>
  <si>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</si>
  <si>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</si>
  <si>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</si>
  <si>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</si>
  <si>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</si>
  <si>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</si>
  <si>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</si>
  <si>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</si>
  <si>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</si>
  <si>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</si>
  <si>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</si>
  <si>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</si>
  <si>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</si>
  <si>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</si>
  <si>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</si>
  <si>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</si>
  <si>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</si>
  <si>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</si>
  <si>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</si>
  <si>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</si>
  <si>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</si>
  <si>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</si>
  <si>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</si>
  <si>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</si>
  <si>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</si>
  <si>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</si>
  <si>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</si>
  <si>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</si>
  <si>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</si>
  <si>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</si>
  <si>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</si>
  <si>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</si>
  <si>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</si>
  <si>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</si>
  <si>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</si>
  <si>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</si>
  <si>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</si>
  <si>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</si>
  <si>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</si>
  <si>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</si>
  <si>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</si>
  <si>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</si>
  <si>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</si>
  <si>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</si>
  <si>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</si>
  <si>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</si>
  <si>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</si>
  <si>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</si>
  <si>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</si>
  <si>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</si>
  <si>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</si>
  <si>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</si>
  <si>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</si>
  <si>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</si>
  <si>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</si>
  <si>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</si>
  <si>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</si>
  <si>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</si>
  <si>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</si>
  <si>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</si>
  <si>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</si>
  <si>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</si>
  <si>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</si>
  <si>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</si>
  <si>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</si>
  <si>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</si>
  <si>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</si>
  <si>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</si>
  <si>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</si>
  <si>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</si>
  <si>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</si>
  <si>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</si>
  <si>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</si>
  <si>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</si>
  <si>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</si>
  <si>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</si>
  <si>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</si>
  <si>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</si>
  <si>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</si>
  <si>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</si>
  <si>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</si>
  <si>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</si>
  <si>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</si>
  <si>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</si>
  <si>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</si>
  <si>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</si>
  <si>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</si>
  <si>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</si>
  <si>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</si>
  <si>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</si>
  <si>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</si>
  <si>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</si>
  <si>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</si>
  <si>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</si>
  <si>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</si>
  <si>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</si>
  <si>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</si>
  <si>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</si>
  <si>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</si>
  <si>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</si>
  <si>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</si>
  <si>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</si>
  <si>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</si>
  <si>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</si>
  <si>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</si>
  <si>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</si>
  <si>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</si>
  <si>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</si>
  <si>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</si>
  <si>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</si>
  <si>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</si>
  <si>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</si>
  <si>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</si>
  <si>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</si>
  <si>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</si>
  <si>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</si>
  <si>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</si>
  <si>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</si>
  <si>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</si>
  <si>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</si>
  <si>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</si>
  <si>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</si>
  <si>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</si>
  <si>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</si>
  <si>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</si>
  <si>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</si>
  <si>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</si>
  <si>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</si>
  <si>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</si>
  <si>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</si>
  <si>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</si>
  <si>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</si>
  <si>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</si>
  <si>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</si>
  <si>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</si>
  <si>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</si>
  <si>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</si>
  <si>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</si>
  <si>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</si>
  <si>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</si>
  <si>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</si>
  <si>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</si>
  <si>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</si>
  <si>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</si>
  <si>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</si>
  <si>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</si>
  <si>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</si>
  <si>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</si>
  <si>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</si>
  <si>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</si>
  <si>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</si>
  <si>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</si>
  <si>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</si>
  <si>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</si>
  <si>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</si>
  <si>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</si>
  <si>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</si>
  <si>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</si>
  <si>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</si>
  <si>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</si>
  <si>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</si>
  <si>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</si>
  <si>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</si>
  <si>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</si>
  <si>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</si>
  <si>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</si>
  <si>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</si>
  <si>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</si>
  <si>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</si>
  <si>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</si>
  <si>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</si>
  <si>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</si>
  <si>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</si>
  <si>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</si>
  <si>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</si>
  <si>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</si>
  <si>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</si>
  <si>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</si>
  <si>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</si>
  <si>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</si>
  <si>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</si>
  <si>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</si>
  <si>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</si>
  <si>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</si>
  <si>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</si>
  <si>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</si>
  <si>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</si>
  <si>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</si>
  <si>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</si>
  <si>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</si>
  <si>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</si>
  <si>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</si>
  <si>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</si>
  <si>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</si>
  <si>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</si>
  <si>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</si>
  <si>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</si>
  <si>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</si>
  <si>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</si>
  <si>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</si>
  <si>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</si>
  <si>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</si>
  <si>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</si>
  <si>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</si>
  <si>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</si>
  <si>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</si>
  <si>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</si>
  <si>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</si>
  <si>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</si>
  <si>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</si>
  <si>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</si>
  <si>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</si>
  <si>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</si>
  <si>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</si>
  <si>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</si>
  <si>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</si>
  <si>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</si>
  <si>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</si>
  <si>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</si>
  <si>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</si>
  <si>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</si>
  <si>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</si>
  <si>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</si>
  <si>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</si>
  <si>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</si>
  <si>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</si>
  <si>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</si>
  <si>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</si>
  <si>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</si>
  <si>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</si>
  <si>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</si>
  <si>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</si>
  <si>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</si>
  <si>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</si>
  <si>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</si>
  <si>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</si>
  <si>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</si>
  <si>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</si>
  <si>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</si>
  <si>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</si>
  <si>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</si>
  <si>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</si>
  <si>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</si>
  <si>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</si>
  <si>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</si>
  <si>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</si>
  <si>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</si>
  <si>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</si>
  <si>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</si>
  <si>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</si>
  <si>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</si>
  <si>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</si>
  <si>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</si>
  <si>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</si>
  <si>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</si>
  <si>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</si>
  <si>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</si>
  <si>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</si>
  <si>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</si>
  <si>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</si>
  <si>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</si>
  <si>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</si>
  <si>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</si>
  <si>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</si>
  <si>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</si>
  <si>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</si>
  <si>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</si>
  <si>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</si>
  <si>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</si>
  <si>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</si>
  <si>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</si>
  <si>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</si>
  <si>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</si>
  <si>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</si>
  <si>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</si>
  <si>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</si>
  <si>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</si>
  <si>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</si>
  <si>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</si>
  <si>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</si>
  <si>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</si>
  <si>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</si>
  <si>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</si>
  <si>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</si>
  <si>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</si>
  <si>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</si>
  <si>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</si>
  <si>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</si>
  <si>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</si>
  <si>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</si>
  <si>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</si>
  <si>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</si>
  <si>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</si>
  <si>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</si>
  <si>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</si>
  <si>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</si>
  <si>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</si>
  <si>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</si>
  <si>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</si>
  <si>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</si>
  <si>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</si>
  <si>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</si>
  <si>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</si>
  <si>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</si>
  <si>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</si>
  <si>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</si>
  <si>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</si>
  <si>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</si>
  <si>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</si>
  <si>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</si>
  <si>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</si>
  <si>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</si>
  <si>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</si>
  <si>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</si>
  <si>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</si>
  <si>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</si>
  <si>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</si>
  <si>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</si>
  <si>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</si>
  <si>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</si>
  <si>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</si>
  <si>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</si>
  <si>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</si>
  <si>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</si>
  <si>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</si>
  <si>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</si>
  <si>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</si>
  <si>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</si>
  <si>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</si>
  <si>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</si>
  <si>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</si>
  <si>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</si>
  <si>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</si>
  <si>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</si>
  <si>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</si>
  <si>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</si>
  <si>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</si>
  <si>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</si>
  <si>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</si>
  <si>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</si>
  <si>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</si>
  <si>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</si>
  <si>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</si>
  <si>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</si>
  <si>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</si>
  <si>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</si>
  <si>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</si>
  <si>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</si>
  <si>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</si>
  <si>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</si>
  <si>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</si>
  <si>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</si>
  <si>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</si>
  <si>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</si>
  <si>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</si>
  <si>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</si>
  <si>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</si>
  <si>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</si>
  <si>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</si>
  <si>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</si>
  <si>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</si>
  <si>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</si>
  <si>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</si>
  <si>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</si>
  <si>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</si>
  <si>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</si>
  <si>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</si>
  <si>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</si>
  <si>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</si>
  <si>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</si>
  <si>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</si>
  <si>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</si>
  <si>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</si>
  <si>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</si>
  <si>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</si>
  <si>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</si>
  <si>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</si>
  <si>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</si>
  <si>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</si>
  <si>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</si>
  <si>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</si>
  <si>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</si>
  <si>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</si>
  <si>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</si>
  <si>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</si>
  <si>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</si>
  <si>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</si>
  <si>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</si>
  <si>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</si>
  <si>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</si>
  <si>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</si>
  <si>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</si>
  <si>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</si>
  <si>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</si>
  <si>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</si>
  <si>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</si>
  <si>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</si>
  <si>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</si>
  <si>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</si>
  <si>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</si>
  <si>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</si>
  <si>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</si>
  <si>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</si>
  <si>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</si>
  <si>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</si>
  <si>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</si>
  <si>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</si>
  <si>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</si>
  <si>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</si>
  <si>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</si>
  <si>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</si>
  <si>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</si>
  <si>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</si>
  <si>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</si>
  <si>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</si>
  <si>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</si>
  <si>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</si>
  <si>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</si>
  <si>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</si>
  <si>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</si>
  <si>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</si>
  <si>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</si>
  <si>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</si>
  <si>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</si>
  <si>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</si>
  <si>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</si>
  <si>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</si>
  <si>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</si>
  <si>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</si>
  <si>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</si>
  <si>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</si>
  <si>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</si>
  <si>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</si>
  <si>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</si>
  <si>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</si>
  <si>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</si>
  <si>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</si>
  <si>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</si>
  <si>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</si>
  <si>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</si>
  <si>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</si>
  <si>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</si>
  <si>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</si>
  <si>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</si>
  <si>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</si>
  <si>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</si>
  <si>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</si>
  <si>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</si>
  <si>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</si>
  <si>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</si>
  <si>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</si>
  <si>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</si>
  <si>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</si>
  <si>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</si>
  <si>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</si>
  <si>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</si>
  <si>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</si>
  <si>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</si>
  <si>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</si>
  <si>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</si>
  <si>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</si>
  <si>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</si>
  <si>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</si>
  <si>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</si>
  <si>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</si>
  <si>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</si>
  <si>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</si>
  <si>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</si>
  <si>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</si>
  <si>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</si>
  <si>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</si>
  <si>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</si>
  <si>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</si>
  <si>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</si>
  <si>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</si>
  <si>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</si>
  <si>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</si>
  <si>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</si>
  <si>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</si>
  <si>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</si>
  <si>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</si>
  <si>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</si>
  <si>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</si>
  <si>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</si>
  <si>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</si>
  <si>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</si>
  <si>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</si>
  <si>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</si>
  <si>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</si>
  <si>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</si>
  <si>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</si>
  <si>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</si>
  <si>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</si>
  <si>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</si>
  <si>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</si>
  <si>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</si>
  <si>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</si>
  <si>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</si>
  <si>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</si>
  <si>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</si>
  <si>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</si>
  <si>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</si>
  <si>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</si>
  <si>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</si>
  <si>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</si>
  <si>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</si>
  <si>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</si>
  <si>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</si>
  <si>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</si>
  <si>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</si>
  <si>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</si>
  <si>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</si>
  <si>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</si>
  <si>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</si>
  <si>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</si>
  <si>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</si>
  <si>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</si>
  <si>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</si>
  <si>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</si>
  <si>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</si>
  <si>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</si>
  <si>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</si>
  <si>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</si>
  <si>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</si>
  <si>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</si>
  <si>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</si>
  <si>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</si>
  <si>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</si>
  <si>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</si>
  <si>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</si>
  <si>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</si>
  <si>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</si>
  <si>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</si>
  <si>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</si>
  <si>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</si>
  <si>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</si>
  <si>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</si>
  <si>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</si>
  <si>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</si>
  <si>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</si>
  <si>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</si>
  <si>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</si>
  <si>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</si>
  <si>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</si>
  <si>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</si>
  <si>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</si>
  <si>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</si>
  <si>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</si>
  <si>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</si>
  <si>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</si>
  <si>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</si>
  <si>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</si>
  <si>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</si>
  <si>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</si>
  <si>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</si>
  <si>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</si>
  <si>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</si>
  <si>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</si>
  <si>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</si>
  <si>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</si>
  <si>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</si>
  <si>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</si>
  <si>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</si>
  <si>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</si>
  <si>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</si>
  <si>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</si>
  <si>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</si>
  <si>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</si>
  <si>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</si>
  <si>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</si>
  <si>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</si>
  <si>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</si>
  <si>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</si>
  <si>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</si>
  <si>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</si>
  <si>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</si>
  <si>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</si>
  <si>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</si>
  <si>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</si>
  <si>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</si>
  <si>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</si>
  <si>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</si>
  <si>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</si>
  <si>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</si>
  <si>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</si>
  <si>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</si>
  <si>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</si>
  <si>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</si>
  <si>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</si>
  <si>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</si>
  <si>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</si>
  <si>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</si>
  <si>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</si>
  <si>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</si>
  <si>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</si>
  <si>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</si>
  <si>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</si>
  <si>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</si>
  <si>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</si>
  <si>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</si>
  <si>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</si>
  <si>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</si>
  <si>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</si>
  <si>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</si>
  <si>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</si>
  <si>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</si>
  <si>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</si>
  <si>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</si>
  <si>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</si>
  <si>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</si>
  <si>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</si>
  <si>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</si>
  <si>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</si>
  <si>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</si>
  <si>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</si>
  <si>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</si>
  <si>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</si>
  <si>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</si>
  <si>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</si>
  <si>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</si>
  <si>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</si>
  <si>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</si>
  <si>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</si>
  <si>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</si>
  <si>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</si>
  <si>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</si>
  <si>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</si>
  <si>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</si>
  <si>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</si>
  <si>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</si>
  <si>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</si>
  <si>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</si>
  <si>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</si>
  <si>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</si>
  <si>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</si>
  <si>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</si>
  <si>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</si>
  <si>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</si>
  <si>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</si>
  <si>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</si>
  <si>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</si>
  <si>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</si>
  <si>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</si>
  <si>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</si>
  <si>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</si>
  <si>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</si>
  <si>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</si>
  <si>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</si>
  <si>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</si>
  <si>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</si>
  <si>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</si>
  <si>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</si>
  <si>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</si>
  <si>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</si>
  <si>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</si>
  <si>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</si>
  <si>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</si>
  <si>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</si>
  <si>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</si>
  <si>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</si>
  <si>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</si>
  <si>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</si>
  <si>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</si>
  <si>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</si>
  <si>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</si>
  <si>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</si>
  <si>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</si>
  <si>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</si>
  <si>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</si>
  <si>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</si>
  <si>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</si>
  <si>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</si>
  <si>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</si>
  <si>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</si>
  <si>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</si>
  <si>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</si>
  <si>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</si>
  <si>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</si>
  <si>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</si>
  <si>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</si>
  <si>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</si>
  <si>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</si>
  <si>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</si>
  <si>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</si>
  <si>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</si>
  <si>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</si>
  <si>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</si>
  <si>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</si>
  <si>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</si>
  <si>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</si>
  <si>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</si>
  <si>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</si>
  <si>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</si>
  <si>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</si>
  <si>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</si>
  <si>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</si>
  <si>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</si>
  <si>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</si>
  <si>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</si>
  <si>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</si>
  <si>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</si>
  <si>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</si>
  <si>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</si>
  <si>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</si>
  <si>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</si>
  <si>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</si>
  <si>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</si>
  <si>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</si>
  <si>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</si>
  <si>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</si>
  <si>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</si>
  <si>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</si>
  <si>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</si>
  <si>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</si>
  <si>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</si>
  <si>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</si>
  <si>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</si>
  <si>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</si>
  <si>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</si>
  <si>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</si>
  <si>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</si>
  <si>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</si>
  <si>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</si>
  <si>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</si>
  <si>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</si>
  <si>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</si>
  <si>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</si>
  <si>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</si>
  <si>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</si>
  <si>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</si>
  <si>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</si>
  <si>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</si>
  <si>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</si>
  <si>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</si>
  <si>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</si>
  <si>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</si>
  <si>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</si>
  <si>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</si>
  <si>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</si>
  <si>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</si>
  <si>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</si>
  <si>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</si>
  <si>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</si>
  <si>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</si>
  <si>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</si>
  <si>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</si>
  <si>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</si>
  <si>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</si>
  <si>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</si>
  <si>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</si>
  <si>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</si>
  <si>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</si>
  <si>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</si>
  <si>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</si>
  <si>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</si>
  <si>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</si>
  <si>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</si>
  <si>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</si>
  <si>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</si>
  <si>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</si>
  <si>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</si>
  <si>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</si>
  <si>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</si>
  <si>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</si>
  <si>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</si>
  <si>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</si>
  <si>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</si>
  <si>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</si>
  <si>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</si>
  <si>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</si>
  <si>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</si>
  <si>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</si>
  <si>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</si>
  <si>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</si>
  <si>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</si>
  <si>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</si>
  <si>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</si>
  <si>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</si>
  <si>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</si>
  <si>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</si>
  <si>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</si>
  <si>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</si>
  <si>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</si>
  <si>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</si>
  <si>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</si>
  <si>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</si>
  <si>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</si>
  <si>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</si>
  <si>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</si>
  <si>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</si>
  <si>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</si>
  <si>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</si>
  <si>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</si>
  <si>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</si>
  <si>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</si>
  <si>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</si>
  <si>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</si>
  <si>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</si>
  <si>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</si>
  <si>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</si>
  <si>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</si>
  <si>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</si>
  <si>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</si>
  <si>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</si>
  <si>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</si>
  <si>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</si>
  <si>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</si>
  <si>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</si>
  <si>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</si>
  <si>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</si>
  <si>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</si>
  <si>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</si>
  <si>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</si>
  <si>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</si>
  <si>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</si>
  <si>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</si>
  <si>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</si>
  <si>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</si>
  <si>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</si>
  <si>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</si>
  <si>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</si>
  <si>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</si>
  <si>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</si>
  <si>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</si>
  <si>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</si>
  <si>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</si>
  <si>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</si>
  <si>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</si>
  <si>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</si>
  <si>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</si>
  <si>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</si>
  <si>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</si>
  <si>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</si>
  <si>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</si>
  <si>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</si>
  <si>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</si>
  <si>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</si>
  <si>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</si>
  <si>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</si>
  <si>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</si>
  <si>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</si>
  <si>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</si>
  <si>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</si>
  <si>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</si>
  <si>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</si>
  <si>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</si>
  <si>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</si>
  <si>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</si>
  <si>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</si>
  <si>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</si>
  <si>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</si>
  <si>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</si>
  <si>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</si>
  <si>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</si>
  <si>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</si>
  <si>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</si>
  <si>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</si>
  <si>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</si>
  <si>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</si>
  <si>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</si>
  <si>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</si>
  <si>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</si>
  <si>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</si>
  <si>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</si>
  <si>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</si>
  <si>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</si>
  <si>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</si>
  <si>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</si>
  <si>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</si>
  <si>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</si>
  <si>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</si>
  <si>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</si>
  <si>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</si>
  <si>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</si>
  <si>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</si>
  <si>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</si>
  <si>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</si>
  <si>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</si>
  <si>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</si>
  <si>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</si>
  <si>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</si>
  <si>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</si>
  <si>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</si>
  <si>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</si>
  <si>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</si>
  <si>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</si>
  <si>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</si>
  <si>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</si>
  <si>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</si>
  <si>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</si>
  <si>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</si>
  <si>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</si>
  <si>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</si>
  <si>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</si>
  <si>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</si>
  <si>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</si>
  <si>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</si>
  <si>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</si>
  <si>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</si>
  <si>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</si>
  <si>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</si>
  <si>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</si>
  <si>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</si>
  <si>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</si>
  <si>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</si>
  <si>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</si>
  <si>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</si>
  <si>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</si>
  <si>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</si>
  <si>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</si>
  <si>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</si>
  <si>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</si>
  <si>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</si>
  <si>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</si>
  <si>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</si>
  <si>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</si>
  <si>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</si>
  <si>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</si>
  <si>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</si>
  <si>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</si>
  <si>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</si>
  <si>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</si>
  <si>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</si>
  <si>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</si>
  <si>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</si>
  <si>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</si>
  <si>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</si>
  <si>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</si>
  <si>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</si>
  <si>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</si>
  <si>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</si>
  <si>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</si>
  <si>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</si>
  <si>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</si>
  <si>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</si>
  <si>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</si>
  <si>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</si>
  <si>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</si>
  <si>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</si>
  <si>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</si>
  <si>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</si>
  <si>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</si>
  <si>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</si>
  <si>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</si>
  <si>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</si>
  <si>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</si>
  <si>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</si>
  <si>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</si>
  <si>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</si>
  <si>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</si>
  <si>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</si>
  <si>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</si>
  <si>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</si>
  <si>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</si>
  <si>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</si>
  <si>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</si>
  <si>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</si>
  <si>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</si>
  <si>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</si>
  <si>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</si>
  <si>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</si>
  <si>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</si>
  <si>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</si>
  <si>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</si>
  <si>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</si>
  <si>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</si>
  <si>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</si>
  <si>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</si>
  <si>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</si>
  <si>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</si>
  <si>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</si>
  <si>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</si>
  <si>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</si>
  <si>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</si>
  <si>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</si>
  <si>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</si>
  <si>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</si>
  <si>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</si>
  <si>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</si>
  <si>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</si>
  <si>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</si>
  <si>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</si>
  <si>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</si>
  <si>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</si>
  <si>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</si>
  <si>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</si>
  <si>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</si>
  <si>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</si>
  <si>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</si>
  <si>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</si>
  <si>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</si>
  <si>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</si>
  <si>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</si>
  <si>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</si>
  <si>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</si>
  <si>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</si>
  <si>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</si>
  <si>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</si>
  <si>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</si>
  <si>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</si>
  <si>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</si>
  <si>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</si>
  <si>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</si>
  <si>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</si>
  <si>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</si>
  <si>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</si>
  <si>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</si>
  <si>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</si>
  <si>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</si>
  <si>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</si>
  <si>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</si>
  <si>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</si>
  <si>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</si>
  <si>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</si>
  <si>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</si>
  <si>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</si>
  <si>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</si>
  <si>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</si>
  <si>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</si>
  <si>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</si>
  <si>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</si>
  <si>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</si>
  <si>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</si>
  <si>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</si>
  <si>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</si>
  <si>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</si>
  <si>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</si>
  <si>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</si>
  <si>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</si>
  <si>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</si>
  <si>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</si>
  <si>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</si>
  <si>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</si>
  <si>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</si>
  <si>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</si>
  <si>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</si>
  <si>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</si>
  <si>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</si>
  <si>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</si>
  <si>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</si>
  <si>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</si>
  <si>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</si>
  <si>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</si>
  <si>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</si>
  <si>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</si>
  <si>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</si>
  <si>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</si>
  <si>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</si>
  <si>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</si>
  <si>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</si>
  <si>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</si>
  <si>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</si>
  <si>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</si>
  <si>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</si>
  <si>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</si>
  <si>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</si>
  <si>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</si>
  <si>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</si>
  <si>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</si>
  <si>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</si>
  <si>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</si>
  <si>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</si>
  <si>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</si>
  <si>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</si>
  <si>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</si>
  <si>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</si>
  <si>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</si>
  <si>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</si>
  <si>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</si>
  <si>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</si>
  <si>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</si>
  <si>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</si>
  <si>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</si>
  <si>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</si>
  <si>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</si>
  <si>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</si>
  <si>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</si>
  <si>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</si>
  <si>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</si>
  <si>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</si>
  <si>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</si>
  <si>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</si>
  <si>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</si>
  <si>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</si>
  <si>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</si>
  <si>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</si>
  <si>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</si>
  <si>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</si>
  <si>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</si>
  <si>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</si>
  <si>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</si>
  <si>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</si>
  <si>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</si>
  <si>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</si>
  <si>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</si>
  <si>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</si>
  <si>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</si>
  <si>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</si>
  <si>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</si>
  <si>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</si>
  <si>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</si>
  <si>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</si>
  <si>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</si>
  <si>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</si>
  <si>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</si>
  <si>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</si>
  <si>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</si>
  <si>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</si>
  <si>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</si>
  <si>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</si>
  <si>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</si>
  <si>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</si>
  <si>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</si>
  <si>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</si>
  <si>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</si>
  <si>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</si>
  <si>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</si>
  <si>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</si>
  <si>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</si>
  <si>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</si>
  <si>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</si>
  <si>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</si>
  <si>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</si>
  <si>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</si>
  <si>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</si>
  <si>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</si>
  <si>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</si>
  <si>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</si>
  <si>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</si>
  <si>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</si>
  <si>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</si>
  <si>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</si>
  <si>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</si>
  <si>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</si>
  <si>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</si>
  <si>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</si>
  <si>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</si>
  <si>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</si>
  <si>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</si>
  <si>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</si>
  <si>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</si>
  <si>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</si>
  <si>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</si>
  <si>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</si>
  <si>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</si>
  <si>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</si>
  <si>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</si>
  <si>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</si>
  <si>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</si>
  <si>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</si>
  <si>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</si>
  <si>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</si>
  <si>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</si>
  <si>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</si>
  <si>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</si>
  <si>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</si>
  <si>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</si>
  <si>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</si>
  <si>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</si>
  <si>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</si>
  <si>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</si>
  <si>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</si>
  <si>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</si>
  <si>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</si>
  <si>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</si>
  <si>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</si>
  <si>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</si>
  <si>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</si>
  <si>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</si>
  <si>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</si>
  <si>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</si>
  <si>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</si>
  <si>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</si>
  <si>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</si>
  <si>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</si>
  <si>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</si>
  <si>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</si>
  <si>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</si>
  <si>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</si>
  <si>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</si>
  <si>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</si>
  <si>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</si>
  <si>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</si>
  <si>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</si>
  <si>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</si>
  <si>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</si>
  <si>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</si>
  <si>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</si>
  <si>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</si>
  <si>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</si>
  <si>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</si>
  <si>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</si>
  <si>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</si>
  <si>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</si>
  <si>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</si>
  <si>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</si>
  <si>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</si>
  <si>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</si>
  <si>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</si>
  <si>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</si>
  <si>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</si>
  <si>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</si>
  <si>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</si>
  <si>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</si>
  <si>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</si>
  <si>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</si>
  <si>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</si>
  <si>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</si>
  <si>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</si>
  <si>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</si>
  <si>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</si>
  <si>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</si>
  <si>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</si>
  <si>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</si>
  <si>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</si>
  <si>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</si>
  <si>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</si>
  <si>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</si>
  <si>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</si>
  <si>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</si>
  <si>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</si>
  <si>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</si>
  <si>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</si>
  <si>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</si>
  <si>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</si>
  <si>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</si>
  <si>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</si>
  <si>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</si>
  <si>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</si>
  <si>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</si>
  <si>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</si>
  <si>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</si>
  <si>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</si>
  <si>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</si>
  <si>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</si>
  <si>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</si>
  <si>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</si>
  <si>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</si>
  <si>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</si>
  <si>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</si>
  <si>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</si>
  <si>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</si>
  <si>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</si>
  <si>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</si>
  <si>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</si>
  <si>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</si>
  <si>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</si>
  <si>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</si>
  <si>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</si>
  <si>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</si>
  <si>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</si>
  <si>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</si>
  <si>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</si>
  <si>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</si>
  <si>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</si>
  <si>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</si>
  <si>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</si>
  <si>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</si>
  <si>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</si>
  <si>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</si>
  <si>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</si>
  <si>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</si>
  <si>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</si>
  <si>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</si>
  <si>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</si>
  <si>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</si>
  <si>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</si>
  <si>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Department of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</si>
</sst>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3"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
      <sz val="11"/>
      <color theme="1"/>
      <name val="Calibri"/>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52" fillId="0" borderId="0"/>
    <xf numFmtId="43" fontId="52" fillId="0" borderId="0" applyFont="0" applyFill="0" applyBorder="0" applyAlignment="0" applyProtection="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2" fillId="0" borderId="0" xfId="0" applyFont="1" applyAlignment="1">
      <alignment horizontal="left" vertical="top"/>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6">
    <cellStyle name="Comma" xfId="1" builtinId="3"/>
    <cellStyle name="Comma 4" xfId="5" xr:uid="{C9F3DEC1-CD64-421C-91D4-2746AAE859BB}"/>
    <cellStyle name="Currency" xfId="2" builtinId="4"/>
    <cellStyle name="Normal" xfId="0" builtinId="0"/>
    <cellStyle name="Normal 2" xfId="3" xr:uid="{00000000-0005-0000-0000-000003000000}"/>
    <cellStyle name="Normal 4" xfId="4" xr:uid="{9E1DAC05-5148-4BAC-8D1F-25FA1A0A0569}"/>
  </cellStyles>
  <dxfs count="6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 workbookViewId="1"/>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 workbookViewId="1"/>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activeCell="J16" sqref="J16"/>
    </sheetView>
    <sheetView workbookViewId="1">
      <selection activeCell="H16" sqref="H16"/>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51" zoomScale="70" zoomScaleNormal="70" workbookViewId="0">
      <selection activeCell="N22" sqref="N22:N24"/>
    </sheetView>
    <sheetView topLeftCell="A55" workbookViewId="1">
      <selection activeCell="K124" sqref="K12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1081</v>
      </c>
      <c r="G5" s="194"/>
      <c r="H5" s="194"/>
      <c r="I5" s="194"/>
      <c r="L5" s="12"/>
      <c r="M5" s="12"/>
      <c r="N5" s="12"/>
      <c r="O5" s="12"/>
      <c r="P5" s="12"/>
      <c r="Q5" s="12"/>
    </row>
    <row r="6" spans="1:20" ht="16.5" customHeight="1" x14ac:dyDescent="0.25">
      <c r="A6" s="188" t="s">
        <v>1634</v>
      </c>
      <c r="B6" s="188"/>
      <c r="C6" s="188"/>
      <c r="D6" s="188"/>
      <c r="E6" s="188"/>
      <c r="F6" s="195">
        <v>1</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EDUCATION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554335</v>
      </c>
      <c r="M17" s="143">
        <v>554335</v>
      </c>
      <c r="P17" s="143">
        <v>554335</v>
      </c>
      <c r="Q17" s="155"/>
      <c r="S17" s="154">
        <f t="shared" si="0"/>
        <v>0</v>
      </c>
      <c r="T17" s="180" t="s">
        <v>1684</v>
      </c>
    </row>
    <row r="18" spans="1:20" ht="16.5" customHeight="1" x14ac:dyDescent="0.25">
      <c r="A18" s="54"/>
      <c r="B18" s="9" t="s">
        <v>168</v>
      </c>
      <c r="C18" s="9"/>
      <c r="D18" s="9"/>
      <c r="E18" s="140"/>
      <c r="F18" s="141"/>
      <c r="G18" s="141"/>
      <c r="H18" s="142"/>
      <c r="I18" s="142"/>
      <c r="J18" s="178">
        <f>P18</f>
        <v>15709</v>
      </c>
      <c r="M18" s="143">
        <v>15709</v>
      </c>
      <c r="P18" s="152">
        <f>IF(SUM($Q$20:$Q$23)&gt;SUM($P$15:$P$17),SUM($Q$20:$Q$23)-SUM($P$15:$P$17),0)</f>
        <v>15709</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147822</v>
      </c>
      <c r="N22" s="143">
        <v>147822</v>
      </c>
      <c r="P22" s="155"/>
      <c r="Q22" s="143">
        <v>147822</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422222</v>
      </c>
      <c r="N23" s="143">
        <v>422222</v>
      </c>
      <c r="P23" s="155"/>
      <c r="Q23" s="143">
        <v>422222</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570044</v>
      </c>
      <c r="K26" s="107">
        <f>SUM(K15:K25)</f>
        <v>570044</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0810 - EDUCATION EXP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73911</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73911</v>
      </c>
    </row>
    <row r="59" spans="1:16" ht="16.5" customHeight="1" x14ac:dyDescent="0.25">
      <c r="A59" s="54"/>
      <c r="C59" s="16"/>
      <c r="D59" s="16"/>
      <c r="E59" s="16"/>
      <c r="F59" s="17"/>
      <c r="G59" s="17"/>
      <c r="H59" s="18"/>
      <c r="I59" s="18"/>
      <c r="J59" s="107">
        <f>SUM(J55:J58)</f>
        <v>73911</v>
      </c>
      <c r="K59" s="107">
        <f>SUM(K55:K58)</f>
        <v>73911</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70158</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3458</v>
      </c>
      <c r="K63" s="147"/>
    </row>
    <row r="64" spans="1:16" ht="16.5" customHeight="1" x14ac:dyDescent="0.25">
      <c r="A64" s="54"/>
      <c r="B64" s="9"/>
      <c r="C64" s="9" t="str">
        <f>IF($F$7="Proprietary","Cr: Acct 0870 - SERVICES &amp; CHARGES (MG ADJ)",VLOOKUP($F$9,'Drop Down Menus'!$F$2:$G$10,2,FALSE))</f>
        <v>Cr: Acct 0810 - EDUCATION EXP (GAAP ADJ)</v>
      </c>
      <c r="D64" s="140"/>
      <c r="E64" s="140"/>
      <c r="F64" s="141"/>
      <c r="G64" s="141"/>
      <c r="H64" s="142"/>
      <c r="I64" s="142"/>
      <c r="J64" s="147"/>
      <c r="K64" s="143">
        <v>73616</v>
      </c>
    </row>
    <row r="65" spans="1:12" ht="16.5" customHeight="1" x14ac:dyDescent="0.25">
      <c r="A65" s="54"/>
      <c r="C65" s="16"/>
      <c r="D65" s="16"/>
      <c r="E65" s="16"/>
      <c r="F65" s="17"/>
      <c r="G65" s="17"/>
      <c r="H65" s="18"/>
      <c r="I65" s="18"/>
      <c r="J65" s="107">
        <f>SUM(J62:J64)</f>
        <v>73616</v>
      </c>
      <c r="K65" s="107">
        <f>SUM(K62:K64)</f>
        <v>73616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70158</v>
      </c>
      <c r="K68" s="144"/>
    </row>
    <row r="69" spans="1:12" ht="16.5" customHeight="1" x14ac:dyDescent="0.25">
      <c r="A69" s="54"/>
      <c r="B69" s="9"/>
      <c r="C69" s="9" t="s">
        <v>185</v>
      </c>
      <c r="D69" s="140"/>
      <c r="E69" s="140"/>
      <c r="F69" s="141"/>
      <c r="G69" s="141"/>
      <c r="H69" s="142"/>
      <c r="I69" s="142"/>
      <c r="J69" s="144"/>
      <c r="K69" s="143">
        <v>70158</v>
      </c>
      <c r="L69" s="10" t="str">
        <f>IF($J$62=$K$69,"","&lt;- Accts 0848 must agree")</f>
        <v/>
      </c>
    </row>
    <row r="70" spans="1:12" ht="16.5" customHeight="1" x14ac:dyDescent="0.25">
      <c r="A70" s="54"/>
      <c r="C70" s="16"/>
      <c r="D70" s="16"/>
      <c r="E70" s="16"/>
      <c r="F70" s="17"/>
      <c r="G70" s="17"/>
      <c r="H70" s="18"/>
      <c r="I70" s="18"/>
      <c r="J70" s="107">
        <f>SUM(J68:J69)</f>
        <v>70158</v>
      </c>
      <c r="K70" s="107">
        <f>SUM(K68:K69)</f>
        <v>70158</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73012</v>
      </c>
      <c r="K75" s="144"/>
    </row>
    <row r="76" spans="1:12" ht="16.5" customHeight="1" x14ac:dyDescent="0.25">
      <c r="A76" s="54"/>
      <c r="B76" s="9"/>
      <c r="C76" s="9" t="s">
        <v>193</v>
      </c>
      <c r="D76" s="140"/>
      <c r="E76" s="140"/>
      <c r="F76" s="141"/>
      <c r="G76" s="141"/>
      <c r="H76" s="142"/>
      <c r="I76" s="142"/>
      <c r="J76" s="144"/>
      <c r="K76" s="143">
        <v>73012</v>
      </c>
    </row>
    <row r="77" spans="1:12" ht="16.5" customHeight="1" x14ac:dyDescent="0.2">
      <c r="A77" s="54"/>
      <c r="B77" s="191" t="s">
        <v>1672</v>
      </c>
      <c r="C77" s="191"/>
      <c r="D77" s="191"/>
      <c r="E77" s="191"/>
      <c r="F77" s="191"/>
      <c r="G77" s="191"/>
      <c r="H77" s="191"/>
      <c r="I77" s="191"/>
      <c r="J77" s="107">
        <f>SUM(J75:J76)</f>
        <v>73012</v>
      </c>
      <c r="K77" s="107">
        <f>SUM(K75:K76)</f>
        <v>73012</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0810 - EDUCATION EXP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0810 - EDUCATION EXP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554335</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-221733</v>
      </c>
    </row>
    <row r="128" spans="1:12" ht="16.5" customHeight="1" x14ac:dyDescent="0.25">
      <c r="D128" s="140" t="s">
        <v>1656</v>
      </c>
      <c r="H128" s="10"/>
      <c r="K128" s="169">
        <f>-K23-K48+J68+J75+J96-K113</f>
        <v>-279052</v>
      </c>
    </row>
    <row r="129" spans="4:11" ht="16.5" customHeight="1" x14ac:dyDescent="0.25">
      <c r="D129" s="140" t="s">
        <v>1657</v>
      </c>
      <c r="H129" s="10"/>
      <c r="K129" s="169">
        <f>-K76</f>
        <v>-73012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65" priority="12">
      <formula>$J$62&lt;&gt;$K$69</formula>
    </cfRule>
  </conditionalFormatting>
  <conditionalFormatting sqref="L26:P26">
    <cfRule type="expression" dxfId="64" priority="1">
      <formula>$J$26&lt;&gt;$K$26</formula>
    </cfRule>
  </conditionalFormatting>
  <conditionalFormatting sqref="L36:P36">
    <cfRule type="expression" dxfId="63" priority="2">
      <formula>$J$36&lt;&gt;$K$36</formula>
    </cfRule>
  </conditionalFormatting>
  <conditionalFormatting sqref="L43:P43">
    <cfRule type="expression" dxfId="62" priority="3">
      <formula>$J$43&lt;&gt;$K$43</formula>
    </cfRule>
  </conditionalFormatting>
  <conditionalFormatting sqref="L49:P49">
    <cfRule type="expression" dxfId="61" priority="4">
      <formula>$J$49&lt;&gt;$K$49</formula>
    </cfRule>
  </conditionalFormatting>
  <conditionalFormatting sqref="L59:P59">
    <cfRule type="expression" dxfId="60" priority="5">
      <formula>$J$59&lt;&gt;$K$59</formula>
    </cfRule>
  </conditionalFormatting>
  <conditionalFormatting sqref="L65:P65">
    <cfRule type="expression" dxfId="59" priority="6">
      <formula>$J$65&lt;&gt;$K$65</formula>
    </cfRule>
  </conditionalFormatting>
  <conditionalFormatting sqref="L70:P70">
    <cfRule type="expression" dxfId="58" priority="7">
      <formula>$J$70&lt;&gt;$K$70</formula>
    </cfRule>
  </conditionalFormatting>
  <conditionalFormatting sqref="L77:P77">
    <cfRule type="expression" dxfId="57" priority="8">
      <formula>$J$77&lt;&gt;$K$77</formula>
    </cfRule>
  </conditionalFormatting>
  <conditionalFormatting sqref="L91:P91">
    <cfRule type="expression" dxfId="56" priority="9">
      <formula>$J$91&lt;&gt;$K$91</formula>
    </cfRule>
  </conditionalFormatting>
  <conditionalFormatting sqref="L105:P105">
    <cfRule type="expression" dxfId="55" priority="10">
      <formula>$J$105&lt;&gt;$K$105</formula>
    </cfRule>
  </conditionalFormatting>
  <conditionalFormatting sqref="L114:P114">
    <cfRule type="expression" dxfId="54"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B2635-01A7-4EB1-84BA-2475156C2C7A}">
  <sheetPr>
    <tabColor theme="9" tint="0.59999389629810485"/>
    <pageSetUpPr fitToPage="1"/>
  </sheetPr>
  <dimension ref="A1:T193"/>
  <sheetViews>
    <sheetView topLeftCell="A44" zoomScale="70" zoomScaleNormal="70" workbookViewId="0">
      <selection activeCell="V80" sqref="V80"/>
    </sheetView>
    <sheetView topLeftCell="A106" workbookViewId="1">
      <selection activeCell="N29" sqref="N29"/>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1081</v>
      </c>
      <c r="G5" s="194"/>
      <c r="H5" s="194"/>
      <c r="I5" s="194"/>
      <c r="L5" s="12"/>
      <c r="M5" s="12"/>
      <c r="N5" s="12"/>
      <c r="O5" s="12"/>
      <c r="P5" s="12"/>
      <c r="Q5" s="12"/>
    </row>
    <row r="6" spans="1:20" ht="16.5" customHeight="1" x14ac:dyDescent="0.25">
      <c r="A6" s="188" t="s">
        <v>1634</v>
      </c>
      <c r="B6" s="188"/>
      <c r="C6" s="188"/>
      <c r="D6" s="188"/>
      <c r="E6" s="188"/>
      <c r="F6" s="195">
        <v>44</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EDUCATION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1066007</v>
      </c>
      <c r="M17" s="143">
        <v>1066007</v>
      </c>
      <c r="P17" s="143">
        <v>1066007</v>
      </c>
      <c r="Q17" s="155"/>
      <c r="S17" s="154">
        <f t="shared" si="0"/>
        <v>0</v>
      </c>
      <c r="T17" s="180" t="s">
        <v>1684</v>
      </c>
    </row>
    <row r="18" spans="1:20" ht="16.5" customHeight="1" x14ac:dyDescent="0.25">
      <c r="A18" s="54"/>
      <c r="B18" s="9" t="s">
        <v>168</v>
      </c>
      <c r="C18" s="9"/>
      <c r="D18" s="9"/>
      <c r="E18" s="140"/>
      <c r="F18" s="141"/>
      <c r="G18" s="141"/>
      <c r="H18" s="142"/>
      <c r="I18" s="142"/>
      <c r="J18" s="178">
        <f>P18</f>
        <v>11363</v>
      </c>
      <c r="M18" s="143">
        <v>11363</v>
      </c>
      <c r="P18" s="152">
        <f>IF(SUM($Q$20:$Q$23)&gt;SUM($P$15:$P$17),SUM($Q$20:$Q$23)-SUM($P$15:$P$17),0)</f>
        <v>11363</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556178</v>
      </c>
      <c r="N22" s="143">
        <v>556178</v>
      </c>
      <c r="P22" s="155"/>
      <c r="Q22" s="143">
        <v>556178</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521192</v>
      </c>
      <c r="N23" s="143">
        <v>521192</v>
      </c>
      <c r="P23" s="155"/>
      <c r="Q23" s="143">
        <v>521192</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1077370</v>
      </c>
      <c r="K26" s="107">
        <f>SUM(K15:K25)</f>
        <v>1077370</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0810 - EDUCATION EXP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278089</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278089</v>
      </c>
    </row>
    <row r="59" spans="1:16" ht="16.5" customHeight="1" x14ac:dyDescent="0.25">
      <c r="A59" s="54"/>
      <c r="C59" s="16"/>
      <c r="D59" s="16"/>
      <c r="E59" s="16"/>
      <c r="F59" s="17"/>
      <c r="G59" s="17"/>
      <c r="H59" s="18"/>
      <c r="I59" s="18"/>
      <c r="J59" s="107">
        <f>SUM(J55:J58)</f>
        <v>278089</v>
      </c>
      <c r="K59" s="107">
        <f>SUM(K55:K58)</f>
        <v>278089</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281484</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737</v>
      </c>
      <c r="K63" s="147"/>
    </row>
    <row r="64" spans="1:16" ht="16.5" customHeight="1" x14ac:dyDescent="0.25">
      <c r="A64" s="54"/>
      <c r="B64" s="9"/>
      <c r="C64" s="9" t="str">
        <f>IF($F$7="Proprietary","Cr: Acct 0870 - SERVICES &amp; CHARGES (MG ADJ)",VLOOKUP($F$9,'Drop Down Menus'!$F$2:$G$10,2,FALSE))</f>
        <v>Cr: Acct 0810 - EDUCATION EXP (GAAP ADJ)</v>
      </c>
      <c r="D64" s="140"/>
      <c r="E64" s="140"/>
      <c r="F64" s="141"/>
      <c r="G64" s="141"/>
      <c r="H64" s="142"/>
      <c r="I64" s="142"/>
      <c r="J64" s="147"/>
      <c r="K64" s="143">
        <v>282221</v>
      </c>
    </row>
    <row r="65" spans="1:12" ht="16.5" customHeight="1" x14ac:dyDescent="0.25">
      <c r="A65" s="54"/>
      <c r="C65" s="16"/>
      <c r="D65" s="16"/>
      <c r="E65" s="16"/>
      <c r="F65" s="17"/>
      <c r="G65" s="17"/>
      <c r="H65" s="18"/>
      <c r="I65" s="18"/>
      <c r="J65" s="107">
        <f>SUM(J62:J64)</f>
        <v>282221</v>
      </c>
      <c r="K65" s="107">
        <f>SUM(K62:K64)</f>
        <v>282221</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281484</v>
      </c>
      <c r="K68" s="144"/>
    </row>
    <row r="69" spans="1:12" ht="16.5" customHeight="1" x14ac:dyDescent="0.25">
      <c r="A69" s="54"/>
      <c r="B69" s="9"/>
      <c r="C69" s="9" t="s">
        <v>185</v>
      </c>
      <c r="D69" s="140"/>
      <c r="E69" s="140"/>
      <c r="F69" s="141"/>
      <c r="G69" s="141"/>
      <c r="H69" s="142"/>
      <c r="I69" s="142"/>
      <c r="J69" s="144"/>
      <c r="K69" s="143">
        <v>281484</v>
      </c>
      <c r="L69" s="10" t="str">
        <f>IF($J$62=$K$69,"","&lt;- Accts 0848 must agree")</f>
        <v/>
      </c>
    </row>
    <row r="70" spans="1:12" ht="16.5" customHeight="1" x14ac:dyDescent="0.25">
      <c r="A70" s="54"/>
      <c r="C70" s="16"/>
      <c r="D70" s="16"/>
      <c r="E70" s="16"/>
      <c r="F70" s="17"/>
      <c r="G70" s="17"/>
      <c r="H70" s="18"/>
      <c r="I70" s="18"/>
      <c r="J70" s="107">
        <f>SUM(J68:J69)</f>
        <v>281484</v>
      </c>
      <c r="K70" s="107">
        <f>SUM(K68:K69)</f>
        <v>281484</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239708</v>
      </c>
      <c r="K75" s="144"/>
    </row>
    <row r="76" spans="1:12" ht="16.5" customHeight="1" x14ac:dyDescent="0.25">
      <c r="A76" s="54"/>
      <c r="B76" s="9"/>
      <c r="C76" s="9" t="s">
        <v>193</v>
      </c>
      <c r="D76" s="140"/>
      <c r="E76" s="140"/>
      <c r="F76" s="141"/>
      <c r="G76" s="141"/>
      <c r="H76" s="142"/>
      <c r="I76" s="142"/>
      <c r="J76" s="144"/>
      <c r="K76" s="143">
        <v>239708</v>
      </c>
    </row>
    <row r="77" spans="1:12" ht="16.5" customHeight="1" x14ac:dyDescent="0.2">
      <c r="A77" s="54"/>
      <c r="B77" s="191" t="s">
        <v>1672</v>
      </c>
      <c r="C77" s="191"/>
      <c r="D77" s="191"/>
      <c r="E77" s="191"/>
      <c r="F77" s="191"/>
      <c r="G77" s="191"/>
      <c r="H77" s="191"/>
      <c r="I77" s="191"/>
      <c r="J77" s="107">
        <f>SUM(J75:J76)</f>
        <v>239708</v>
      </c>
      <c r="K77" s="107">
        <f>SUM(K75:K76)</f>
        <v>239708</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0810 - EDUCATION EXP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0810 - EDUCATION EXP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1066007</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-834267</v>
      </c>
    </row>
    <row r="128" spans="1:12" ht="16.5" customHeight="1" x14ac:dyDescent="0.25">
      <c r="D128" s="140" t="s">
        <v>1656</v>
      </c>
      <c r="H128" s="10"/>
      <c r="K128" s="169">
        <f>-K23-K48+J68+J75+J96-K113</f>
        <v>0</v>
      </c>
    </row>
    <row r="129" spans="4:11" ht="16.5" customHeight="1" x14ac:dyDescent="0.25">
      <c r="D129" s="140" t="s">
        <v>1657</v>
      </c>
      <c r="H129" s="10"/>
      <c r="K129" s="169">
        <f>-K76</f>
        <v>-239708</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53" priority="12">
      <formula>$J$62&lt;&gt;$K$69</formula>
    </cfRule>
  </conditionalFormatting>
  <conditionalFormatting sqref="L26:P26">
    <cfRule type="expression" dxfId="52" priority="1">
      <formula>$J$26&lt;&gt;$K$26</formula>
    </cfRule>
  </conditionalFormatting>
  <conditionalFormatting sqref="L36:P36">
    <cfRule type="expression" dxfId="51" priority="2">
      <formula>$J$36&lt;&gt;$K$36</formula>
    </cfRule>
  </conditionalFormatting>
  <conditionalFormatting sqref="L43:P43">
    <cfRule type="expression" dxfId="50" priority="3">
      <formula>$J$43&lt;&gt;$K$43</formula>
    </cfRule>
  </conditionalFormatting>
  <conditionalFormatting sqref="L49:P49">
    <cfRule type="expression" dxfId="49" priority="4">
      <formula>$J$49&lt;&gt;$K$49</formula>
    </cfRule>
  </conditionalFormatting>
  <conditionalFormatting sqref="L59:P59">
    <cfRule type="expression" dxfId="48" priority="5">
      <formula>$J$59&lt;&gt;$K$59</formula>
    </cfRule>
  </conditionalFormatting>
  <conditionalFormatting sqref="L65:P65">
    <cfRule type="expression" dxfId="47" priority="6">
      <formula>$J$65&lt;&gt;$K$65</formula>
    </cfRule>
  </conditionalFormatting>
  <conditionalFormatting sqref="L70:P70">
    <cfRule type="expression" dxfId="46" priority="7">
      <formula>$J$70&lt;&gt;$K$70</formula>
    </cfRule>
  </conditionalFormatting>
  <conditionalFormatting sqref="L77:P77">
    <cfRule type="expression" dxfId="45" priority="8">
      <formula>$J$77&lt;&gt;$K$77</formula>
    </cfRule>
  </conditionalFormatting>
  <conditionalFormatting sqref="L91:P91">
    <cfRule type="expression" dxfId="44" priority="9">
      <formula>$J$91&lt;&gt;$K$91</formula>
    </cfRule>
  </conditionalFormatting>
  <conditionalFormatting sqref="L105:P105">
    <cfRule type="expression" dxfId="43" priority="10">
      <formula>$J$105&lt;&gt;$K$105</formula>
    </cfRule>
  </conditionalFormatting>
  <conditionalFormatting sqref="L114:P114">
    <cfRule type="expression" dxfId="42" priority="11">
      <formula>$J$114&lt;&gt;$K$114</formula>
    </cfRule>
  </conditionalFormatting>
  <dataValidations count="3">
    <dataValidation type="textLength" operator="equal" allowBlank="1" showInputMessage="1" showErrorMessage="1" errorTitle="4-Digit Org Code" error="Enter the Org Code/BU as 4 digits." sqref="F5" xr:uid="{765EB53E-F30C-4737-A8D8-291B270662E8}">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EA419FD5-8AD6-4A04-9FDF-DFF6047EBFDE}">
      <formula1>0</formula1>
    </dataValidation>
    <dataValidation operator="lessThan" allowBlank="1" showInputMessage="1" showErrorMessage="1" sqref="A3:A8" xr:uid="{140C67DE-6511-4CAF-9CA3-EE8984771F1A}"/>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26DC4A5E-A0A5-4171-8A77-904455DC1D54}">
          <x14:formula1>
            <xm:f>'Drop Down Menus'!$E$1:$E$3</xm:f>
          </x14:formula1>
          <xm:sqref>F8</xm:sqref>
        </x14:dataValidation>
        <x14:dataValidation type="list" allowBlank="1" showInputMessage="1" showErrorMessage="1" xr:uid="{2833A913-0833-41D5-AF62-28D3B3471064}">
          <x14:formula1>
            <xm:f>'Drop Down Menus'!$B$1:$B$2</xm:f>
          </x14:formula1>
          <xm:sqref>F7</xm:sqref>
        </x14:dataValidation>
        <x14:dataValidation type="list" allowBlank="1" showInputMessage="1" showErrorMessage="1" xr:uid="{79195DD3-C6B5-4FC3-924B-776E4E24BD00}">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4084-2C84-430E-9176-A848489A98F1}">
  <sheetPr>
    <tabColor theme="9" tint="0.59999389629810485"/>
    <pageSetUpPr fitToPage="1"/>
  </sheetPr>
  <dimension ref="A1:T193"/>
  <sheetViews>
    <sheetView topLeftCell="A12" zoomScale="70" zoomScaleNormal="70" workbookViewId="0">
      <selection activeCell="Q34" sqref="Q34"/>
    </sheetView>
    <sheetView topLeftCell="A10" workbookViewId="1">
      <selection activeCell="K123" sqref="K123:K131"/>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1081</v>
      </c>
      <c r="G5" s="194"/>
      <c r="H5" s="194"/>
      <c r="I5" s="194"/>
      <c r="L5" s="12"/>
      <c r="M5" s="12"/>
      <c r="N5" s="12"/>
      <c r="O5" s="12"/>
      <c r="P5" s="12"/>
      <c r="Q5" s="12"/>
    </row>
    <row r="6" spans="1:20" ht="16.5" customHeight="1" x14ac:dyDescent="0.25">
      <c r="A6" s="188" t="s">
        <v>1634</v>
      </c>
      <c r="B6" s="188"/>
      <c r="C6" s="188"/>
      <c r="D6" s="188"/>
      <c r="E6" s="188"/>
      <c r="F6" s="195">
        <v>890</v>
      </c>
      <c r="G6" s="195"/>
      <c r="H6" s="195"/>
      <c r="I6" s="195"/>
      <c r="L6" s="13"/>
      <c r="M6" s="13"/>
      <c r="N6" s="13"/>
      <c r="O6" s="13"/>
      <c r="P6" s="12"/>
      <c r="Q6" s="12"/>
    </row>
    <row r="7" spans="1:20" ht="16.5" customHeight="1" x14ac:dyDescent="0.25">
      <c r="A7" s="188" t="s">
        <v>1</v>
      </c>
      <c r="B7" s="188"/>
      <c r="C7" s="188"/>
      <c r="D7" s="188"/>
      <c r="E7" s="188"/>
      <c r="F7" s="195" t="s">
        <v>120</v>
      </c>
      <c r="G7" s="195"/>
      <c r="H7" s="195"/>
      <c r="I7" s="195"/>
      <c r="K7" s="53"/>
      <c r="L7" s="13"/>
      <c r="M7" s="13"/>
      <c r="N7" s="13"/>
      <c r="O7" s="13"/>
      <c r="P7" s="12"/>
      <c r="Q7" s="12"/>
    </row>
    <row r="8" spans="1:20" ht="16.5" customHeight="1" x14ac:dyDescent="0.25">
      <c r="A8" s="188" t="s">
        <v>1616</v>
      </c>
      <c r="B8" s="188"/>
      <c r="C8" s="188"/>
      <c r="D8" s="188"/>
      <c r="E8" s="188"/>
      <c r="F8" s="195" t="s">
        <v>154</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EDUCATION</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3056973</v>
      </c>
      <c r="M17" s="143">
        <v>3056973</v>
      </c>
      <c r="P17" s="143">
        <v>3056973</v>
      </c>
      <c r="Q17" s="155"/>
      <c r="S17" s="154">
        <f t="shared" si="0"/>
        <v>0</v>
      </c>
      <c r="T17" s="180" t="s">
        <v>1684</v>
      </c>
    </row>
    <row r="18" spans="1:20" ht="16.5" customHeight="1" x14ac:dyDescent="0.25">
      <c r="A18" s="54"/>
      <c r="B18" s="9" t="s">
        <v>168</v>
      </c>
      <c r="C18" s="9"/>
      <c r="D18" s="9"/>
      <c r="E18" s="140"/>
      <c r="F18" s="141"/>
      <c r="G18" s="141"/>
      <c r="H18" s="142"/>
      <c r="I18" s="142"/>
      <c r="J18" s="178">
        <f>P18</f>
        <v>86636</v>
      </c>
      <c r="M18" s="143">
        <v>86636</v>
      </c>
      <c r="P18" s="152">
        <f>IF(SUM($Q$20:$Q$23)&gt;SUM($P$15:$P$17),SUM($Q$20:$Q$23)-SUM($P$15:$P$17),0)</f>
        <v>86636</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815192</v>
      </c>
      <c r="N22" s="143">
        <v>815192</v>
      </c>
      <c r="P22" s="155"/>
      <c r="Q22" s="143">
        <v>815192</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2328417</v>
      </c>
      <c r="N23" s="143">
        <v>2328417</v>
      </c>
      <c r="P23" s="155"/>
      <c r="Q23" s="143">
        <v>2328417</v>
      </c>
      <c r="S23" s="154">
        <f t="shared" si="1"/>
        <v>0</v>
      </c>
      <c r="T23" s="179" t="s">
        <v>1668</v>
      </c>
    </row>
    <row r="24" spans="1:20" ht="16.5" customHeight="1" x14ac:dyDescent="0.25">
      <c r="A24" s="54"/>
      <c r="B24" s="9"/>
      <c r="C24" s="9" t="s">
        <v>175</v>
      </c>
      <c r="D24" s="9"/>
      <c r="E24" s="140"/>
      <c r="F24" s="141"/>
      <c r="G24" s="141"/>
      <c r="H24" s="142"/>
      <c r="I24" s="142"/>
      <c r="J24" s="150"/>
      <c r="K24" s="178">
        <f>Q24</f>
        <v>0</v>
      </c>
      <c r="N24" s="143"/>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3143609</v>
      </c>
      <c r="K26" s="107">
        <f>SUM(K15:K25)</f>
        <v>3143609</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0810 - EDUCATION EXP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407596</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v>407596</v>
      </c>
    </row>
    <row r="59" spans="1:16" ht="16.5" customHeight="1" x14ac:dyDescent="0.25">
      <c r="A59" s="54"/>
      <c r="C59" s="16"/>
      <c r="D59" s="16"/>
      <c r="E59" s="16"/>
      <c r="F59" s="17"/>
      <c r="G59" s="17"/>
      <c r="H59" s="18"/>
      <c r="I59" s="18"/>
      <c r="J59" s="107">
        <f>SUM(J55:J58)</f>
        <v>407596</v>
      </c>
      <c r="K59" s="107">
        <f>SUM(K55:K58)</f>
        <v>407596</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386899</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19071</v>
      </c>
      <c r="K63" s="147"/>
    </row>
    <row r="64" spans="1:16" ht="16.5" customHeight="1" x14ac:dyDescent="0.25">
      <c r="A64" s="54"/>
      <c r="B64" s="9"/>
      <c r="C64" s="9" t="str">
        <f>IF($F$7="Proprietary","Cr: Acct 0870 - SERVICES &amp; CHARGES (MG ADJ)",VLOOKUP($F$9,'Drop Down Menus'!$F$2:$G$10,2,FALSE))</f>
        <v>Cr: Acct 0810 - EDUCATION EXP (GAAP ADJ)</v>
      </c>
      <c r="D64" s="140"/>
      <c r="E64" s="140"/>
      <c r="F64" s="141"/>
      <c r="G64" s="141"/>
      <c r="H64" s="142"/>
      <c r="I64" s="142"/>
      <c r="J64" s="147"/>
      <c r="K64" s="143">
        <v>405970</v>
      </c>
    </row>
    <row r="65" spans="1:12" ht="16.5" customHeight="1" x14ac:dyDescent="0.25">
      <c r="A65" s="54"/>
      <c r="C65" s="16"/>
      <c r="D65" s="16"/>
      <c r="E65" s="16"/>
      <c r="F65" s="17"/>
      <c r="G65" s="17"/>
      <c r="H65" s="18"/>
      <c r="I65" s="18"/>
      <c r="J65" s="107">
        <f>SUM(J62:J64)</f>
        <v>405970</v>
      </c>
      <c r="K65" s="107">
        <f>SUM(K62:K64)</f>
        <v>405970</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386899</v>
      </c>
      <c r="K68" s="144"/>
    </row>
    <row r="69" spans="1:12" ht="16.5" customHeight="1" x14ac:dyDescent="0.25">
      <c r="A69" s="54"/>
      <c r="B69" s="9"/>
      <c r="C69" s="9" t="s">
        <v>185</v>
      </c>
      <c r="D69" s="140"/>
      <c r="E69" s="140"/>
      <c r="F69" s="141"/>
      <c r="G69" s="141"/>
      <c r="H69" s="142"/>
      <c r="I69" s="142"/>
      <c r="J69" s="144"/>
      <c r="K69" s="143">
        <v>386899</v>
      </c>
      <c r="L69" s="10" t="str">
        <f>IF($J$62=$K$69,"","&lt;- Accts 0848 must agree")</f>
        <v/>
      </c>
    </row>
    <row r="70" spans="1:12" ht="16.5" customHeight="1" x14ac:dyDescent="0.25">
      <c r="A70" s="54"/>
      <c r="C70" s="16"/>
      <c r="D70" s="16"/>
      <c r="E70" s="16"/>
      <c r="F70" s="17"/>
      <c r="G70" s="17"/>
      <c r="H70" s="18"/>
      <c r="I70" s="18"/>
      <c r="J70" s="107">
        <f>SUM(J68:J69)</f>
        <v>386899</v>
      </c>
      <c r="K70" s="107">
        <f>SUM(K68:K69)</f>
        <v>386899</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402633</v>
      </c>
      <c r="K75" s="144"/>
    </row>
    <row r="76" spans="1:12" ht="16.5" customHeight="1" x14ac:dyDescent="0.25">
      <c r="A76" s="54"/>
      <c r="B76" s="9"/>
      <c r="C76" s="9" t="s">
        <v>193</v>
      </c>
      <c r="D76" s="140"/>
      <c r="E76" s="140"/>
      <c r="F76" s="141"/>
      <c r="G76" s="141"/>
      <c r="H76" s="142"/>
      <c r="I76" s="142"/>
      <c r="J76" s="144"/>
      <c r="K76" s="143">
        <v>402633</v>
      </c>
    </row>
    <row r="77" spans="1:12" ht="16.5" customHeight="1" x14ac:dyDescent="0.2">
      <c r="A77" s="54"/>
      <c r="B77" s="191" t="s">
        <v>1672</v>
      </c>
      <c r="C77" s="191"/>
      <c r="D77" s="191"/>
      <c r="E77" s="191"/>
      <c r="F77" s="191"/>
      <c r="G77" s="191"/>
      <c r="H77" s="191"/>
      <c r="I77" s="191"/>
      <c r="J77" s="107">
        <f>SUM(J75:J76)</f>
        <v>402633</v>
      </c>
      <c r="K77" s="107">
        <f>SUM(K75:K76)</f>
        <v>402633</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0810 - EDUCATION EXP (GAAP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0810 - EDUCATION EXP (GAAP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c r="K112" s="25"/>
    </row>
    <row r="113" spans="1:12" ht="16.5" customHeight="1" x14ac:dyDescent="0.2">
      <c r="A113" s="165" t="s">
        <v>1645</v>
      </c>
      <c r="B113" s="9"/>
      <c r="C113" s="9" t="s">
        <v>173</v>
      </c>
      <c r="D113" s="7"/>
      <c r="E113" s="25"/>
      <c r="F113" s="25"/>
      <c r="G113" s="25"/>
      <c r="H113" s="25"/>
      <c r="I113" s="25"/>
      <c r="J113" s="25"/>
      <c r="K113" s="143"/>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3056973</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-1222788</v>
      </c>
    </row>
    <row r="128" spans="1:12" ht="16.5" customHeight="1" x14ac:dyDescent="0.25">
      <c r="D128" s="140" t="s">
        <v>1656</v>
      </c>
      <c r="H128" s="10"/>
      <c r="K128" s="169">
        <f>-K23-K48+J68+J75+J96-K113</f>
        <v>-1538885</v>
      </c>
    </row>
    <row r="129" spans="4:11" ht="16.5" customHeight="1" x14ac:dyDescent="0.25">
      <c r="D129" s="140" t="s">
        <v>1657</v>
      </c>
      <c r="H129" s="10"/>
      <c r="K129" s="169">
        <f>-K76</f>
        <v>-402633</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41" priority="12">
      <formula>$J$62&lt;&gt;$K$69</formula>
    </cfRule>
  </conditionalFormatting>
  <conditionalFormatting sqref="L26:P26">
    <cfRule type="expression" dxfId="40" priority="1">
      <formula>$J$26&lt;&gt;$K$26</formula>
    </cfRule>
  </conditionalFormatting>
  <conditionalFormatting sqref="L36:P36">
    <cfRule type="expression" dxfId="39" priority="2">
      <formula>$J$36&lt;&gt;$K$36</formula>
    </cfRule>
  </conditionalFormatting>
  <conditionalFormatting sqref="L43:P43">
    <cfRule type="expression" dxfId="38" priority="3">
      <formula>$J$43&lt;&gt;$K$43</formula>
    </cfRule>
  </conditionalFormatting>
  <conditionalFormatting sqref="L49:P49">
    <cfRule type="expression" dxfId="37" priority="4">
      <formula>$J$49&lt;&gt;$K$49</formula>
    </cfRule>
  </conditionalFormatting>
  <conditionalFormatting sqref="L59:P59">
    <cfRule type="expression" dxfId="36" priority="5">
      <formula>$J$59&lt;&gt;$K$59</formula>
    </cfRule>
  </conditionalFormatting>
  <conditionalFormatting sqref="L65:P65">
    <cfRule type="expression" dxfId="35" priority="6">
      <formula>$J$65&lt;&gt;$K$65</formula>
    </cfRule>
  </conditionalFormatting>
  <conditionalFormatting sqref="L70:P70">
    <cfRule type="expression" dxfId="34" priority="7">
      <formula>$J$70&lt;&gt;$K$70</formula>
    </cfRule>
  </conditionalFormatting>
  <conditionalFormatting sqref="L77:P77">
    <cfRule type="expression" dxfId="33" priority="8">
      <formula>$J$77&lt;&gt;$K$77</formula>
    </cfRule>
  </conditionalFormatting>
  <conditionalFormatting sqref="L91:P91">
    <cfRule type="expression" dxfId="32" priority="9">
      <formula>$J$91&lt;&gt;$K$91</formula>
    </cfRule>
  </conditionalFormatting>
  <conditionalFormatting sqref="L105:P105">
    <cfRule type="expression" dxfId="31" priority="10">
      <formula>$J$105&lt;&gt;$K$105</formula>
    </cfRule>
  </conditionalFormatting>
  <conditionalFormatting sqref="L114:P114">
    <cfRule type="expression" dxfId="30" priority="11">
      <formula>$J$114&lt;&gt;$K$114</formula>
    </cfRule>
  </conditionalFormatting>
  <dataValidations count="3">
    <dataValidation operator="lessThan" allowBlank="1" showInputMessage="1" showErrorMessage="1" sqref="A3:A8" xr:uid="{43281F50-2CF9-468B-B32B-4E09826125D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5C0A30AC-95D5-4E73-BFE7-862FBD5F0FD1}">
      <formula1>0</formula1>
    </dataValidation>
    <dataValidation type="textLength" operator="equal" allowBlank="1" showInputMessage="1" showErrorMessage="1" errorTitle="4-Digit Org Code" error="Enter the Org Code/BU as 4 digits." sqref="F5" xr:uid="{EC2DBBCD-FAC6-4A5F-A2A8-4635F61B73F8}">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C06FB956-B21A-4118-A647-7D2D412BB4F7}">
          <x14:formula1>
            <xm:f>'Drop Down Menus'!$A$1:$A$101</xm:f>
          </x14:formula1>
          <xm:sqref>F3</xm:sqref>
        </x14:dataValidation>
        <x14:dataValidation type="list" allowBlank="1" showInputMessage="1" showErrorMessage="1" xr:uid="{730DB14D-BC2A-413B-91A9-D30091912266}">
          <x14:formula1>
            <xm:f>'Drop Down Menus'!$B$1:$B$2</xm:f>
          </x14:formula1>
          <xm:sqref>F7</xm:sqref>
        </x14:dataValidation>
        <x14:dataValidation type="list" allowBlank="1" showInputMessage="1" showErrorMessage="1" xr:uid="{97D8D177-49F9-4641-9119-1E06657E51E0}">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EA6E-ED6F-40F9-A040-5039E1B6A3EC}">
  <sheetPr>
    <tabColor theme="9" tint="0.59999389629810485"/>
    <pageSetUpPr fitToPage="1"/>
  </sheetPr>
  <dimension ref="A1:T193"/>
  <sheetViews>
    <sheetView tabSelected="1" zoomScale="70" zoomScaleNormal="70" workbookViewId="0">
      <selection activeCell="B13" sqref="B13"/>
    </sheetView>
    <sheetView topLeftCell="A101" workbookViewId="1">
      <selection activeCell="K128" sqref="K128"/>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2" t="s">
        <v>1629</v>
      </c>
      <c r="B1" s="192"/>
      <c r="C1" s="192"/>
      <c r="D1" s="192"/>
      <c r="E1" s="192"/>
      <c r="F1" s="192"/>
      <c r="G1" s="192"/>
      <c r="H1" s="192"/>
      <c r="I1" s="192"/>
      <c r="J1" s="192"/>
      <c r="K1" s="192"/>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88" t="s">
        <v>10</v>
      </c>
      <c r="B3" s="188"/>
      <c r="C3" s="188"/>
      <c r="D3" s="188"/>
      <c r="E3" s="188"/>
      <c r="F3" s="193" t="s">
        <v>21</v>
      </c>
      <c r="G3" s="193"/>
      <c r="H3" s="193"/>
      <c r="I3" s="193"/>
    </row>
    <row r="4" spans="1:20" ht="16.5" customHeight="1" x14ac:dyDescent="0.2">
      <c r="A4" s="188" t="s">
        <v>191</v>
      </c>
      <c r="B4" s="188"/>
      <c r="C4" s="188"/>
      <c r="D4" s="188"/>
      <c r="E4" s="188"/>
      <c r="F4" s="194" t="s">
        <v>1715</v>
      </c>
      <c r="G4" s="194"/>
      <c r="H4" s="194"/>
      <c r="I4" s="194"/>
    </row>
    <row r="5" spans="1:20" ht="16.5" customHeight="1" x14ac:dyDescent="0.2">
      <c r="A5" s="188" t="s">
        <v>1615</v>
      </c>
      <c r="B5" s="188"/>
      <c r="C5" s="188"/>
      <c r="D5" s="188"/>
      <c r="E5" s="188"/>
      <c r="F5" s="194" t="s">
        <v>1081</v>
      </c>
      <c r="G5" s="194"/>
      <c r="H5" s="194"/>
      <c r="I5" s="194"/>
      <c r="L5" s="12"/>
      <c r="M5" s="12"/>
      <c r="N5" s="12"/>
      <c r="O5" s="12"/>
      <c r="P5" s="12"/>
      <c r="Q5" s="12"/>
    </row>
    <row r="6" spans="1:20" ht="16.5" customHeight="1" x14ac:dyDescent="0.25">
      <c r="A6" s="188" t="s">
        <v>1634</v>
      </c>
      <c r="B6" s="188"/>
      <c r="C6" s="188"/>
      <c r="D6" s="188"/>
      <c r="E6" s="188"/>
      <c r="F6" s="195">
        <v>687</v>
      </c>
      <c r="G6" s="195"/>
      <c r="H6" s="195"/>
      <c r="I6" s="195"/>
      <c r="L6" s="13"/>
      <c r="M6" s="13"/>
      <c r="N6" s="13"/>
      <c r="O6" s="13"/>
      <c r="P6" s="12"/>
      <c r="Q6" s="12"/>
    </row>
    <row r="7" spans="1:20" ht="16.5" customHeight="1" x14ac:dyDescent="0.25">
      <c r="A7" s="188" t="s">
        <v>1</v>
      </c>
      <c r="B7" s="188"/>
      <c r="C7" s="188"/>
      <c r="D7" s="188"/>
      <c r="E7" s="188"/>
      <c r="F7" s="195" t="s">
        <v>121</v>
      </c>
      <c r="G7" s="195"/>
      <c r="H7" s="195"/>
      <c r="I7" s="195"/>
      <c r="K7" s="53"/>
      <c r="L7" s="13"/>
      <c r="M7" s="13"/>
      <c r="N7" s="13"/>
      <c r="O7" s="13"/>
      <c r="P7" s="12"/>
      <c r="Q7" s="12"/>
    </row>
    <row r="8" spans="1:20" ht="16.5" customHeight="1" x14ac:dyDescent="0.25">
      <c r="A8" s="188" t="s">
        <v>1616</v>
      </c>
      <c r="B8" s="188"/>
      <c r="C8" s="188"/>
      <c r="D8" s="188"/>
      <c r="E8" s="188"/>
      <c r="F8" s="195" t="s">
        <v>130</v>
      </c>
      <c r="G8" s="195"/>
      <c r="H8" s="195"/>
      <c r="I8" s="195"/>
      <c r="K8" s="53"/>
      <c r="L8" s="13"/>
      <c r="M8" s="13"/>
      <c r="N8" s="13"/>
      <c r="O8" s="13"/>
      <c r="P8" s="12"/>
      <c r="Q8" s="12"/>
    </row>
    <row r="9" spans="1:20" ht="16.5" customHeight="1" x14ac:dyDescent="0.25">
      <c r="A9" s="188" t="s">
        <v>1614</v>
      </c>
      <c r="B9" s="188"/>
      <c r="C9" s="188"/>
      <c r="D9" s="188"/>
      <c r="E9" s="188"/>
      <c r="F9" s="196" t="str">
        <f>IFERROR(IF(F7="Proprietary","Proprietary Fund",VLOOKUP(F5,qryIndex02a!$A$2:$K$654,4,FALSE)),"Unidentified")</f>
        <v>Proprietary Fund</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9" t="s">
        <v>1633</v>
      </c>
      <c r="N14" s="190"/>
      <c r="O14" s="135"/>
      <c r="P14" s="189" t="s">
        <v>1630</v>
      </c>
      <c r="Q14" s="190"/>
      <c r="R14" s="135"/>
      <c r="S14" s="153" t="s">
        <v>1631</v>
      </c>
    </row>
    <row r="15" spans="1:20" ht="16.5" customHeight="1" x14ac:dyDescent="0.25">
      <c r="A15" s="159" t="s">
        <v>1637</v>
      </c>
      <c r="B15" s="9" t="s">
        <v>170</v>
      </c>
      <c r="C15" s="9"/>
      <c r="D15" s="9"/>
      <c r="E15" s="140"/>
      <c r="F15" s="141"/>
      <c r="G15" s="141"/>
      <c r="H15" s="142"/>
      <c r="I15" s="142"/>
      <c r="J15" s="178">
        <f>M15</f>
        <v>0</v>
      </c>
      <c r="M15" s="143"/>
      <c r="P15" s="143"/>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c r="P16" s="143"/>
      <c r="Q16" s="155"/>
      <c r="S16" s="154">
        <f t="shared" si="0"/>
        <v>0</v>
      </c>
      <c r="T16" s="180" t="s">
        <v>1684</v>
      </c>
    </row>
    <row r="17" spans="1:20" ht="16.5" customHeight="1" x14ac:dyDescent="0.25">
      <c r="A17" s="159" t="s">
        <v>1637</v>
      </c>
      <c r="B17" s="9" t="s">
        <v>172</v>
      </c>
      <c r="C17" s="9"/>
      <c r="D17" s="9"/>
      <c r="E17" s="140"/>
      <c r="F17" s="141"/>
      <c r="G17" s="141"/>
      <c r="H17" s="142"/>
      <c r="I17" s="142"/>
      <c r="J17" s="178">
        <f>M17</f>
        <v>21702691</v>
      </c>
      <c r="M17" s="143">
        <v>21702691</v>
      </c>
      <c r="P17" s="143">
        <v>21702691</v>
      </c>
      <c r="Q17" s="155"/>
      <c r="S17" s="154">
        <f t="shared" si="0"/>
        <v>0</v>
      </c>
      <c r="T17" s="180" t="s">
        <v>1684</v>
      </c>
    </row>
    <row r="18" spans="1:20" ht="16.5" customHeight="1" x14ac:dyDescent="0.25">
      <c r="A18" s="54"/>
      <c r="B18" s="9" t="s">
        <v>168</v>
      </c>
      <c r="C18" s="9"/>
      <c r="D18" s="9"/>
      <c r="E18" s="140"/>
      <c r="F18" s="141"/>
      <c r="G18" s="141"/>
      <c r="H18" s="142"/>
      <c r="I18" s="142"/>
      <c r="J18" s="178">
        <f>P18</f>
        <v>0</v>
      </c>
      <c r="M18" s="143"/>
      <c r="P18" s="152">
        <f>IF(SUM($Q$20:$Q$23)&gt;SUM($P$15:$P$17),SUM($Q$20:$Q$23)-SUM($P$15:$P$17),0)</f>
        <v>0</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c r="P20" s="155"/>
      <c r="Q20" s="143"/>
      <c r="S20" s="154">
        <f>Q20-N20</f>
        <v>0</v>
      </c>
      <c r="T20" s="179" t="s">
        <v>1668</v>
      </c>
    </row>
    <row r="21" spans="1:20" ht="16.5" customHeight="1" x14ac:dyDescent="0.25">
      <c r="A21" s="54"/>
      <c r="B21" s="9"/>
      <c r="C21" s="9" t="s">
        <v>174</v>
      </c>
      <c r="D21" s="9"/>
      <c r="E21" s="140"/>
      <c r="F21" s="141"/>
      <c r="G21" s="141"/>
      <c r="H21" s="142"/>
      <c r="I21" s="142"/>
      <c r="J21" s="150"/>
      <c r="K21" s="178">
        <f>N21</f>
        <v>0</v>
      </c>
      <c r="N21" s="143"/>
      <c r="P21" s="155"/>
      <c r="Q21" s="143"/>
      <c r="S21" s="154">
        <f>Q21-N21</f>
        <v>0</v>
      </c>
      <c r="T21" s="179" t="s">
        <v>1668</v>
      </c>
    </row>
    <row r="22" spans="1:20" ht="16.5" customHeight="1" x14ac:dyDescent="0.25">
      <c r="A22" s="54"/>
      <c r="B22" s="9"/>
      <c r="C22" s="9" t="s">
        <v>178</v>
      </c>
      <c r="D22" s="9"/>
      <c r="E22" s="140"/>
      <c r="F22" s="141"/>
      <c r="G22" s="141"/>
      <c r="H22" s="142"/>
      <c r="I22" s="142"/>
      <c r="J22" s="150"/>
      <c r="K22" s="178">
        <f>N22</f>
        <v>2183141</v>
      </c>
      <c r="N22" s="143">
        <v>2183141</v>
      </c>
      <c r="P22" s="155"/>
      <c r="Q22" s="143">
        <v>2183141</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19441436</v>
      </c>
      <c r="N23" s="143">
        <v>19441436</v>
      </c>
      <c r="P23" s="155"/>
      <c r="Q23" s="143">
        <v>19441436</v>
      </c>
      <c r="S23" s="154">
        <f t="shared" si="1"/>
        <v>0</v>
      </c>
      <c r="T23" s="179" t="s">
        <v>1668</v>
      </c>
    </row>
    <row r="24" spans="1:20" ht="16.5" customHeight="1" x14ac:dyDescent="0.25">
      <c r="A24" s="54"/>
      <c r="B24" s="9"/>
      <c r="C24" s="9" t="s">
        <v>175</v>
      </c>
      <c r="D24" s="9"/>
      <c r="E24" s="140"/>
      <c r="F24" s="141"/>
      <c r="G24" s="141"/>
      <c r="H24" s="142"/>
      <c r="I24" s="142"/>
      <c r="J24" s="150"/>
      <c r="K24" s="178">
        <f>Q24</f>
        <v>78114</v>
      </c>
      <c r="N24" s="143">
        <v>78114</v>
      </c>
      <c r="P24" s="155"/>
      <c r="Q24" s="152">
        <f>IF(SUM($Q$20:$Q$23)&lt;SUM($P$15:$P$17),-SUM($Q$20:$Q$23)+SUM($P$15:$P$17),0)</f>
        <v>78114</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c r="P25" s="155"/>
      <c r="Q25" s="155"/>
      <c r="S25" s="154">
        <f t="shared" si="1"/>
        <v>0</v>
      </c>
      <c r="T25" s="179" t="s">
        <v>1668</v>
      </c>
    </row>
    <row r="26" spans="1:20" ht="16.5" customHeight="1" x14ac:dyDescent="0.25">
      <c r="A26" s="54"/>
      <c r="C26" s="20"/>
      <c r="D26" s="20"/>
      <c r="E26" s="20"/>
      <c r="F26" s="127"/>
      <c r="G26" s="127"/>
      <c r="H26" s="22"/>
      <c r="I26" s="22"/>
      <c r="J26" s="107">
        <f>SUM(J15:J25)</f>
        <v>21702691</v>
      </c>
      <c r="K26" s="107">
        <f>SUM(K15:K25)</f>
        <v>21702691</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c r="K33" s="144"/>
    </row>
    <row r="34" spans="1:12" ht="16.5" customHeight="1" x14ac:dyDescent="0.25">
      <c r="A34" s="54"/>
      <c r="B34" s="9"/>
      <c r="C34" s="9" t="s">
        <v>1673</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0870 - SERVICES &amp; CHARGES (MG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c r="K39" s="144"/>
    </row>
    <row r="40" spans="1:12" ht="16.5" customHeight="1" x14ac:dyDescent="0.25">
      <c r="A40" s="159" t="s">
        <v>1637</v>
      </c>
      <c r="B40" s="9" t="s">
        <v>171</v>
      </c>
      <c r="C40" s="9"/>
      <c r="D40" s="140"/>
      <c r="E40" s="140"/>
      <c r="F40" s="141"/>
      <c r="G40" s="141"/>
      <c r="H40" s="142"/>
      <c r="I40" s="142"/>
      <c r="J40" s="143"/>
      <c r="K40" s="144"/>
    </row>
    <row r="41" spans="1:12" ht="16.5" customHeight="1" x14ac:dyDescent="0.25">
      <c r="A41" s="159" t="s">
        <v>1637</v>
      </c>
      <c r="B41" s="9" t="s">
        <v>172</v>
      </c>
      <c r="C41" s="9"/>
      <c r="D41" s="140"/>
      <c r="E41" s="140"/>
      <c r="F41" s="141"/>
      <c r="G41" s="141"/>
      <c r="H41" s="142"/>
      <c r="I41" s="142"/>
      <c r="J41" s="143"/>
      <c r="K41" s="144"/>
    </row>
    <row r="42" spans="1:12" ht="16.5" customHeight="1" x14ac:dyDescent="0.25">
      <c r="A42" s="54"/>
      <c r="B42" s="9"/>
      <c r="C42" s="9" t="s">
        <v>180</v>
      </c>
      <c r="D42" s="140"/>
      <c r="E42" s="140"/>
      <c r="F42" s="141"/>
      <c r="G42" s="141"/>
      <c r="H42" s="142"/>
      <c r="I42" s="142"/>
      <c r="J42" s="144"/>
      <c r="K42" s="143"/>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c r="K47" s="144"/>
    </row>
    <row r="48" spans="1:12" ht="16.5" customHeight="1" x14ac:dyDescent="0.25">
      <c r="A48" s="165" t="s">
        <v>1645</v>
      </c>
      <c r="B48" s="9"/>
      <c r="C48" s="9" t="s">
        <v>173</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f>1626629+1924945</f>
        <v>3551574</v>
      </c>
      <c r="K55" s="144"/>
    </row>
    <row r="56" spans="1:16" ht="16.5" customHeight="1" x14ac:dyDescent="0.25">
      <c r="A56" s="54"/>
      <c r="B56" s="25"/>
      <c r="C56" s="9" t="s">
        <v>177</v>
      </c>
      <c r="D56" s="140"/>
      <c r="E56" s="140"/>
      <c r="F56" s="141"/>
      <c r="G56" s="141"/>
      <c r="H56" s="142"/>
      <c r="I56" s="142"/>
      <c r="J56" s="145"/>
      <c r="K56" s="143"/>
    </row>
    <row r="57" spans="1:16" ht="16.5" customHeight="1" x14ac:dyDescent="0.25">
      <c r="A57" s="54"/>
      <c r="B57" s="25"/>
      <c r="C57" s="9" t="s">
        <v>174</v>
      </c>
      <c r="D57" s="140"/>
      <c r="E57" s="140"/>
      <c r="F57" s="141"/>
      <c r="G57" s="141"/>
      <c r="H57" s="142"/>
      <c r="I57" s="142"/>
      <c r="J57" s="145"/>
      <c r="K57" s="143"/>
    </row>
    <row r="58" spans="1:16" ht="16.5" customHeight="1" x14ac:dyDescent="0.25">
      <c r="A58" s="54"/>
      <c r="B58" s="9"/>
      <c r="C58" s="9" t="s">
        <v>178</v>
      </c>
      <c r="D58" s="140"/>
      <c r="E58" s="140"/>
      <c r="F58" s="141"/>
      <c r="G58" s="141"/>
      <c r="H58" s="142"/>
      <c r="I58" s="142"/>
      <c r="J58" s="144"/>
      <c r="K58" s="143">
        <f>+J55</f>
        <v>3551574</v>
      </c>
    </row>
    <row r="59" spans="1:16" ht="16.5" customHeight="1" x14ac:dyDescent="0.25">
      <c r="A59" s="54"/>
      <c r="C59" s="16"/>
      <c r="D59" s="16"/>
      <c r="E59" s="16"/>
      <c r="F59" s="17"/>
      <c r="G59" s="17"/>
      <c r="H59" s="18"/>
      <c r="I59" s="18"/>
      <c r="J59" s="107">
        <f>SUM(J55:J58)</f>
        <v>3551574</v>
      </c>
      <c r="K59" s="107">
        <f>SUM(K55:K58)</f>
        <v>3551574</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f>+J68</f>
        <v>2102828</v>
      </c>
      <c r="K62" s="147"/>
      <c r="L62" s="10" t="str">
        <f>IF($J$62=$K$69,"","&lt;- Accts 0848 must agree")</f>
        <v/>
      </c>
    </row>
    <row r="63" spans="1:16" ht="16.5" customHeight="1" x14ac:dyDescent="0.25">
      <c r="A63" s="54"/>
      <c r="B63" s="9" t="str">
        <f>IF($F$7="Governmental","Dr: Acct 0851 - DEBT SERVICE - INTEREST LEASES","Dr: Acct 0894 - INTEREST EXPENSE AND FISCAL CHARGES")</f>
        <v>Dr: Acct 0894 - INTEREST EXPENSE AND FISCAL CHARGES</v>
      </c>
      <c r="C63" s="9"/>
      <c r="D63" s="140"/>
      <c r="E63" s="140"/>
      <c r="F63" s="141"/>
      <c r="G63" s="141"/>
      <c r="H63" s="142"/>
      <c r="I63" s="142"/>
      <c r="J63" s="146">
        <f>38201-6626+13033</f>
        <v>44608</v>
      </c>
      <c r="K63" s="147"/>
    </row>
    <row r="64" spans="1:16" ht="16.5" customHeight="1" x14ac:dyDescent="0.25">
      <c r="A64" s="54"/>
      <c r="B64" s="9"/>
      <c r="C64" s="9" t="str">
        <f>IF($F$7="Proprietary","Cr: Acct 0870 - SERVICES &amp; CHARGES (MG ADJ)",VLOOKUP($F$9,'Drop Down Menus'!$F$2:$G$10,2,FALSE))</f>
        <v>Cr: Acct 0870 - SERVICES &amp; CHARGES (MG ADJ)</v>
      </c>
      <c r="D64" s="140"/>
      <c r="E64" s="140"/>
      <c r="F64" s="141"/>
      <c r="G64" s="141"/>
      <c r="H64" s="142"/>
      <c r="I64" s="142"/>
      <c r="J64" s="147"/>
      <c r="K64" s="143">
        <f>+J62+J63</f>
        <v>2147436</v>
      </c>
    </row>
    <row r="65" spans="1:12" ht="16.5" customHeight="1" x14ac:dyDescent="0.25">
      <c r="A65" s="54"/>
      <c r="C65" s="16"/>
      <c r="D65" s="16"/>
      <c r="E65" s="16"/>
      <c r="F65" s="17"/>
      <c r="G65" s="17"/>
      <c r="H65" s="18"/>
      <c r="I65" s="18"/>
      <c r="J65" s="107">
        <f>SUM(J62:J64)</f>
        <v>2147436</v>
      </c>
      <c r="K65" s="107">
        <f>SUM(K62:K64)</f>
        <v>2147436</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f>1174036-194034+402763+720063</f>
        <v>2102828</v>
      </c>
      <c r="K68" s="144"/>
    </row>
    <row r="69" spans="1:12" ht="16.5" customHeight="1" x14ac:dyDescent="0.25">
      <c r="A69" s="54"/>
      <c r="B69" s="9"/>
      <c r="C69" s="9" t="s">
        <v>185</v>
      </c>
      <c r="D69" s="140"/>
      <c r="E69" s="140"/>
      <c r="F69" s="141"/>
      <c r="G69" s="141"/>
      <c r="H69" s="142"/>
      <c r="I69" s="142"/>
      <c r="J69" s="144"/>
      <c r="K69" s="143">
        <f>+J68</f>
        <v>2102828</v>
      </c>
      <c r="L69" s="10" t="str">
        <f>IF($J$62=$K$69,"","&lt;- Accts 0848 must agree")</f>
        <v/>
      </c>
    </row>
    <row r="70" spans="1:12" ht="16.5" customHeight="1" x14ac:dyDescent="0.25">
      <c r="A70" s="54"/>
      <c r="C70" s="16"/>
      <c r="D70" s="16"/>
      <c r="E70" s="16"/>
      <c r="F70" s="17"/>
      <c r="G70" s="17"/>
      <c r="H70" s="18"/>
      <c r="I70" s="18"/>
      <c r="J70" s="107">
        <f>SUM(J68:J69)</f>
        <v>2102828</v>
      </c>
      <c r="K70" s="107">
        <f>SUM(K68:K69)</f>
        <v>2102828</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2011870</v>
      </c>
      <c r="K75" s="144"/>
    </row>
    <row r="76" spans="1:12" ht="16.5" customHeight="1" x14ac:dyDescent="0.25">
      <c r="A76" s="54"/>
      <c r="B76" s="9"/>
      <c r="C76" s="9" t="s">
        <v>193</v>
      </c>
      <c r="D76" s="140"/>
      <c r="E76" s="140"/>
      <c r="F76" s="141"/>
      <c r="G76" s="141"/>
      <c r="H76" s="142"/>
      <c r="I76" s="142"/>
      <c r="J76" s="144"/>
      <c r="K76" s="143">
        <f>+J75</f>
        <v>2011870</v>
      </c>
    </row>
    <row r="77" spans="1:12" ht="16.5" customHeight="1" x14ac:dyDescent="0.2">
      <c r="A77" s="54"/>
      <c r="B77" s="191" t="s">
        <v>1672</v>
      </c>
      <c r="C77" s="191"/>
      <c r="D77" s="191"/>
      <c r="E77" s="191"/>
      <c r="F77" s="191"/>
      <c r="G77" s="191"/>
      <c r="H77" s="191"/>
      <c r="I77" s="191"/>
      <c r="J77" s="107">
        <f>SUM(J75:J76)</f>
        <v>2011870</v>
      </c>
      <c r="K77" s="107">
        <f>SUM(K75:K76)</f>
        <v>2011870</v>
      </c>
      <c r="L77" s="25" t="str">
        <f>IF(J77=K77,"&lt;- Debits and Credits equal each other.","&lt;- Debits and Credits do not equal each other.")</f>
        <v>&lt;- Debits and Credits equal each other.</v>
      </c>
    </row>
    <row r="78" spans="1:12" ht="16.5" customHeight="1" x14ac:dyDescent="0.2">
      <c r="A78" s="54"/>
      <c r="B78" s="191"/>
      <c r="C78" s="191"/>
      <c r="D78" s="191"/>
      <c r="E78" s="191"/>
      <c r="F78" s="191"/>
      <c r="G78" s="191"/>
      <c r="H78" s="191"/>
      <c r="I78" s="191"/>
      <c r="J78" s="107"/>
      <c r="K78" s="107"/>
      <c r="L78" s="8"/>
    </row>
    <row r="79" spans="1:12" ht="24.6" customHeight="1" x14ac:dyDescent="0.2">
      <c r="A79" s="54"/>
      <c r="B79" s="191"/>
      <c r="C79" s="191"/>
      <c r="D79" s="191"/>
      <c r="E79" s="191"/>
      <c r="F79" s="191"/>
      <c r="G79" s="191"/>
      <c r="H79" s="191"/>
      <c r="I79" s="191"/>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c r="K85" s="144"/>
      <c r="L85" s="8"/>
    </row>
    <row r="86" spans="1:16" ht="16.5" customHeight="1" x14ac:dyDescent="0.2">
      <c r="A86" s="54"/>
      <c r="B86" s="9" t="s">
        <v>162</v>
      </c>
      <c r="C86" s="25"/>
      <c r="D86" s="25"/>
      <c r="E86" s="25"/>
      <c r="F86" s="25"/>
      <c r="G86" s="25"/>
      <c r="H86" s="25"/>
      <c r="I86" s="25"/>
      <c r="J86" s="143"/>
      <c r="K86" s="148"/>
    </row>
    <row r="87" spans="1:16" ht="16.5" customHeight="1" x14ac:dyDescent="0.2">
      <c r="A87" s="54"/>
      <c r="B87" s="9" t="s">
        <v>187</v>
      </c>
      <c r="C87" s="25"/>
      <c r="D87" s="25"/>
      <c r="E87" s="25"/>
      <c r="F87" s="25"/>
      <c r="G87" s="25"/>
      <c r="H87" s="25"/>
      <c r="I87" s="25"/>
      <c r="J87" s="143"/>
      <c r="K87" s="148"/>
    </row>
    <row r="88" spans="1:16" ht="16.5" customHeight="1" x14ac:dyDescent="0.2">
      <c r="A88" s="159" t="s">
        <v>1637</v>
      </c>
      <c r="B88" s="25"/>
      <c r="C88" s="9" t="s">
        <v>188</v>
      </c>
      <c r="D88" s="25"/>
      <c r="E88" s="25"/>
      <c r="F88" s="25"/>
      <c r="G88" s="25"/>
      <c r="H88" s="25"/>
      <c r="I88" s="25"/>
      <c r="J88" s="148"/>
      <c r="K88" s="143"/>
    </row>
    <row r="89" spans="1:16" ht="16.5" customHeight="1" x14ac:dyDescent="0.2">
      <c r="A89" s="159" t="s">
        <v>1637</v>
      </c>
      <c r="B89" s="25"/>
      <c r="C89" s="9" t="s">
        <v>163</v>
      </c>
      <c r="D89" s="25"/>
      <c r="E89" s="25"/>
      <c r="F89" s="25"/>
      <c r="G89" s="25"/>
      <c r="H89" s="25"/>
      <c r="I89" s="25"/>
      <c r="J89" s="148"/>
      <c r="K89" s="143"/>
    </row>
    <row r="90" spans="1:16" ht="16.5" customHeight="1" x14ac:dyDescent="0.2">
      <c r="A90" s="159" t="s">
        <v>1637</v>
      </c>
      <c r="B90" s="25"/>
      <c r="C90" s="9" t="s">
        <v>189</v>
      </c>
      <c r="D90" s="25"/>
      <c r="E90" s="25"/>
      <c r="F90" s="25"/>
      <c r="G90" s="25"/>
      <c r="H90" s="25"/>
      <c r="I90" s="25"/>
      <c r="J90" s="148"/>
      <c r="K90" s="143"/>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c r="K96" s="149"/>
    </row>
    <row r="97" spans="1:12" ht="16.5" customHeight="1" x14ac:dyDescent="0.2">
      <c r="B97" s="9" t="s">
        <v>186</v>
      </c>
      <c r="C97" s="25"/>
      <c r="D97" s="25"/>
      <c r="E97" s="25"/>
      <c r="F97" s="25"/>
      <c r="G97" s="25"/>
      <c r="H97" s="25"/>
      <c r="I97" s="25"/>
      <c r="J97" s="143"/>
      <c r="K97" s="25"/>
    </row>
    <row r="98" spans="1:12" ht="16.5" customHeight="1" x14ac:dyDescent="0.2">
      <c r="B98" s="9" t="s">
        <v>162</v>
      </c>
      <c r="C98" s="25"/>
      <c r="D98" s="25"/>
      <c r="E98" s="25"/>
      <c r="F98" s="25"/>
      <c r="G98" s="25"/>
      <c r="H98" s="25"/>
      <c r="I98" s="25"/>
      <c r="J98" s="143"/>
      <c r="K98" s="25"/>
    </row>
    <row r="99" spans="1:12" ht="16.5" customHeight="1" x14ac:dyDescent="0.2">
      <c r="B99" s="9" t="s">
        <v>187</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0870 - SERVICES &amp; CHARGES (MG ADJ)</v>
      </c>
      <c r="C100" s="25"/>
      <c r="D100" s="25"/>
      <c r="E100" s="25"/>
      <c r="F100" s="25"/>
      <c r="G100" s="25"/>
      <c r="H100" s="25"/>
      <c r="I100" s="25"/>
      <c r="J100" s="143"/>
      <c r="K100" s="25"/>
    </row>
    <row r="101" spans="1:12" ht="16.5" customHeight="1" x14ac:dyDescent="0.2">
      <c r="A101" s="159" t="s">
        <v>1637</v>
      </c>
      <c r="B101" s="25"/>
      <c r="C101" s="9" t="s">
        <v>188</v>
      </c>
      <c r="D101" s="25"/>
      <c r="E101" s="25"/>
      <c r="F101" s="25"/>
      <c r="G101" s="25"/>
      <c r="H101" s="25"/>
      <c r="I101" s="25"/>
      <c r="J101" s="25"/>
      <c r="K101" s="143"/>
    </row>
    <row r="102" spans="1:12" ht="16.5" customHeight="1" x14ac:dyDescent="0.2">
      <c r="A102" s="159" t="s">
        <v>1637</v>
      </c>
      <c r="B102" s="25"/>
      <c r="C102" s="9" t="s">
        <v>163</v>
      </c>
      <c r="D102" s="25"/>
      <c r="E102" s="25"/>
      <c r="F102" s="25"/>
      <c r="G102" s="25"/>
      <c r="H102" s="25"/>
      <c r="I102" s="25"/>
      <c r="J102" s="25"/>
      <c r="K102" s="143"/>
    </row>
    <row r="103" spans="1:12" ht="16.5" customHeight="1" x14ac:dyDescent="0.2">
      <c r="A103" s="159" t="s">
        <v>1637</v>
      </c>
      <c r="B103" s="25"/>
      <c r="C103" s="9" t="s">
        <v>189</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Dr: Acct 0870 - SERVICES &amp; CHARGES (MG ADJ)</v>
      </c>
      <c r="D104" s="25"/>
      <c r="E104" s="25"/>
      <c r="F104" s="25"/>
      <c r="G104" s="25"/>
      <c r="H104" s="25"/>
      <c r="I104" s="25"/>
      <c r="J104" s="25"/>
      <c r="K104" s="143"/>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c r="K110" s="25"/>
    </row>
    <row r="111" spans="1:12" ht="16.5" customHeight="1" x14ac:dyDescent="0.2">
      <c r="A111" s="159" t="s">
        <v>1637</v>
      </c>
      <c r="B111" s="9" t="s">
        <v>171</v>
      </c>
      <c r="C111" s="9"/>
      <c r="D111" s="7"/>
      <c r="E111" s="25"/>
      <c r="F111" s="25"/>
      <c r="G111" s="25"/>
      <c r="H111" s="25"/>
      <c r="I111" s="25"/>
      <c r="J111" s="143"/>
      <c r="K111" s="25"/>
    </row>
    <row r="112" spans="1:12" ht="16.5" customHeight="1" x14ac:dyDescent="0.2">
      <c r="A112" s="159" t="s">
        <v>1637</v>
      </c>
      <c r="B112" s="9" t="s">
        <v>172</v>
      </c>
      <c r="C112" s="9"/>
      <c r="D112" s="7"/>
      <c r="E112" s="25"/>
      <c r="F112" s="25"/>
      <c r="G112" s="25"/>
      <c r="H112" s="25"/>
      <c r="I112" s="25"/>
      <c r="J112" s="143">
        <v>1924945</v>
      </c>
      <c r="K112" s="25"/>
    </row>
    <row r="113" spans="1:12" ht="16.5" customHeight="1" x14ac:dyDescent="0.2">
      <c r="A113" s="165" t="s">
        <v>1645</v>
      </c>
      <c r="B113" s="9"/>
      <c r="C113" s="9" t="s">
        <v>173</v>
      </c>
      <c r="D113" s="7"/>
      <c r="E113" s="25"/>
      <c r="F113" s="25"/>
      <c r="G113" s="25"/>
      <c r="H113" s="25"/>
      <c r="I113" s="25"/>
      <c r="J113" s="25"/>
      <c r="K113" s="143">
        <v>1924945</v>
      </c>
    </row>
    <row r="114" spans="1:12" ht="16.5" customHeight="1" x14ac:dyDescent="0.25">
      <c r="A114" s="6"/>
      <c r="B114" s="130" t="s">
        <v>1639</v>
      </c>
      <c r="C114" s="114"/>
      <c r="D114" s="114"/>
      <c r="H114" s="10"/>
      <c r="J114" s="108">
        <f>SUM(J110:J113)</f>
        <v>1924945</v>
      </c>
      <c r="K114" s="108">
        <f>SUM(K110:K113)</f>
        <v>1924945</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23627636</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-5734715</v>
      </c>
    </row>
    <row r="128" spans="1:12" ht="16.5" customHeight="1" x14ac:dyDescent="0.25">
      <c r="D128" s="140" t="s">
        <v>1656</v>
      </c>
      <c r="H128" s="10"/>
      <c r="K128" s="169">
        <f>-K23-K48+J68+J75+J96-K113</f>
        <v>-17251683</v>
      </c>
    </row>
    <row r="129" spans="4:11" ht="16.5" customHeight="1" x14ac:dyDescent="0.25">
      <c r="D129" s="140" t="s">
        <v>1657</v>
      </c>
      <c r="H129" s="10"/>
      <c r="K129" s="169">
        <f>-K76</f>
        <v>-2011870</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5:E5"/>
    <mergeCell ref="F5:I5"/>
    <mergeCell ref="A1:K1"/>
    <mergeCell ref="A3:E3"/>
    <mergeCell ref="F3:I3"/>
    <mergeCell ref="A4:E4"/>
    <mergeCell ref="F4:I4"/>
    <mergeCell ref="A6:E6"/>
    <mergeCell ref="F6:I6"/>
    <mergeCell ref="A7:E7"/>
    <mergeCell ref="F7:I7"/>
    <mergeCell ref="A8:E8"/>
    <mergeCell ref="F8:I8"/>
    <mergeCell ref="A9:E9"/>
    <mergeCell ref="F9:I9"/>
    <mergeCell ref="M14:N14"/>
    <mergeCell ref="P14:Q14"/>
    <mergeCell ref="B77:I79"/>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type="textLength" operator="equal" allowBlank="1" showInputMessage="1" showErrorMessage="1" errorTitle="4-Digit Org Code" error="Enter the Org Code/BU as 4 digits." sqref="F5" xr:uid="{69303793-22F7-46A3-AD64-275400FD6DA3}">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45EE61DA-F8E9-44D9-9029-A8AAE4995A98}">
      <formula1>0</formula1>
    </dataValidation>
    <dataValidation operator="lessThan" allowBlank="1" showInputMessage="1" showErrorMessage="1" sqref="A3:A8" xr:uid="{974764C0-B18B-47C3-8D98-DB83B7A9C0A4}"/>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1C13A7B1-77BB-4787-8F62-50DE8A610BC2}">
          <x14:formula1>
            <xm:f>'Drop Down Menus'!$E$1:$E$3</xm:f>
          </x14:formula1>
          <xm:sqref>F8</xm:sqref>
        </x14:dataValidation>
        <x14:dataValidation type="list" allowBlank="1" showInputMessage="1" showErrorMessage="1" xr:uid="{2B732546-E210-4F86-9B37-E69CF809964D}">
          <x14:formula1>
            <xm:f>'Drop Down Menus'!$B$1:$B$2</xm:f>
          </x14:formula1>
          <xm:sqref>F7</xm:sqref>
        </x14:dataValidation>
        <x14:dataValidation type="list" allowBlank="1" showInputMessage="1" showErrorMessage="1" xr:uid="{54B651ED-5D04-4467-9881-28CAEC868827}">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43" zoomScale="70" zoomScaleNormal="70" workbookViewId="0">
      <selection activeCell="D83" sqref="D83:F84"/>
    </sheetView>
    <sheetView tabSelected="1" topLeftCell="A2" workbookViewId="1">
      <selection activeCell="E6" sqref="E6"/>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6100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715353</v>
      </c>
      <c r="C13" s="55">
        <v>18509</v>
      </c>
      <c r="D13" s="202" t="s">
        <v>4</v>
      </c>
      <c r="E13" s="203"/>
      <c r="F13" s="203"/>
      <c r="G13" s="29"/>
      <c r="H13" s="29"/>
      <c r="I13" s="29"/>
      <c r="J13" s="29"/>
      <c r="K13" s="29"/>
      <c r="L13" s="29"/>
      <c r="M13" s="29"/>
    </row>
    <row r="14" spans="1:13" x14ac:dyDescent="0.2">
      <c r="A14" s="51" t="str">
        <f>LEFT(A13,4)+1&amp;"–"&amp;RIGHT(A13,4)+1</f>
        <v>2025–2026</v>
      </c>
      <c r="B14" s="55">
        <v>494835</v>
      </c>
      <c r="C14" s="55">
        <v>13959</v>
      </c>
      <c r="D14" s="202"/>
      <c r="E14" s="203"/>
      <c r="F14" s="203"/>
    </row>
    <row r="15" spans="1:13" ht="15.75" x14ac:dyDescent="0.2">
      <c r="A15" s="51" t="str">
        <f>LEFT(A14,4)+1&amp;"–"&amp;RIGHT(A14,4)+1</f>
        <v>2026–2027</v>
      </c>
      <c r="B15" s="55">
        <v>514644</v>
      </c>
      <c r="C15" s="55">
        <v>9413</v>
      </c>
      <c r="D15" s="198" t="s">
        <v>124</v>
      </c>
      <c r="E15" s="198"/>
      <c r="F15" s="198"/>
      <c r="G15" s="30"/>
      <c r="H15" s="30"/>
      <c r="I15" s="30"/>
      <c r="J15" s="30"/>
      <c r="K15" s="30"/>
      <c r="L15" s="30"/>
      <c r="M15" s="30"/>
    </row>
    <row r="16" spans="1:13" x14ac:dyDescent="0.2">
      <c r="A16" s="51" t="str">
        <f>LEFT(A15,4)+1&amp;"–"&amp;RIGHT(A15,4)+1</f>
        <v>2027–2028</v>
      </c>
      <c r="B16" s="55">
        <v>535093</v>
      </c>
      <c r="C16" s="55">
        <v>4686</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273365</v>
      </c>
      <c r="C17" s="55">
        <v>513</v>
      </c>
      <c r="D17" s="198"/>
      <c r="E17" s="198"/>
      <c r="F17" s="198"/>
      <c r="G17" s="31"/>
      <c r="H17" s="31"/>
      <c r="I17" s="31"/>
      <c r="J17" s="31"/>
      <c r="K17" s="31"/>
    </row>
    <row r="18" spans="1:13" ht="15" customHeight="1" x14ac:dyDescent="0.25">
      <c r="A18" s="51" t="str">
        <f>LEFT(A17,4)+1&amp;"–"&amp;RIGHT(A17,4)+5</f>
        <v>2029–2034</v>
      </c>
      <c r="B18" s="55"/>
      <c r="C18" s="55"/>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6100</v>
      </c>
      <c r="C40" s="213"/>
      <c r="E40" s="32"/>
    </row>
    <row r="41" spans="1:13" ht="15.75" x14ac:dyDescent="0.25">
      <c r="A41" s="5" t="s">
        <v>191</v>
      </c>
      <c r="B41" s="197" t="str">
        <f>B10</f>
        <v>Department of Education</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6100</v>
      </c>
      <c r="C71" s="213"/>
    </row>
    <row r="72" spans="1:13" ht="15.75" x14ac:dyDescent="0.25">
      <c r="A72" s="5" t="s">
        <v>191</v>
      </c>
      <c r="B72" s="197" t="str">
        <f>B10</f>
        <v>Department of Education</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f>1209752+802118</f>
        <v>2011870</v>
      </c>
      <c r="C75" s="55">
        <v>35821</v>
      </c>
      <c r="D75" s="202" t="s">
        <v>4</v>
      </c>
      <c r="E75" s="203"/>
      <c r="F75" s="203"/>
    </row>
    <row r="76" spans="1:13" x14ac:dyDescent="0.2">
      <c r="A76" s="51" t="str">
        <f>LEFT(A75,4)+1&amp;"–"&amp;RIGHT(A75,4)+1</f>
        <v>2025–2026</v>
      </c>
      <c r="B76" s="55">
        <v>1246459</v>
      </c>
      <c r="C76" s="55">
        <v>33368</v>
      </c>
      <c r="D76" s="202"/>
      <c r="E76" s="203"/>
      <c r="F76" s="203"/>
    </row>
    <row r="77" spans="1:13" x14ac:dyDescent="0.2">
      <c r="A77" s="51" t="str">
        <f>LEFT(A76,4)+1&amp;"–"&amp;RIGHT(A76,4)+1</f>
        <v>2026–2027</v>
      </c>
      <c r="B77" s="55">
        <v>1284183</v>
      </c>
      <c r="C77" s="55">
        <v>30840</v>
      </c>
      <c r="D77" s="198" t="s">
        <v>124</v>
      </c>
      <c r="E77" s="198"/>
      <c r="F77" s="198"/>
    </row>
    <row r="78" spans="1:13" ht="15" customHeight="1" x14ac:dyDescent="0.2">
      <c r="A78" s="51" t="str">
        <f>LEFT(A77,4)+1&amp;"–"&amp;RIGHT(A77,4)+1</f>
        <v>2027–2028</v>
      </c>
      <c r="B78" s="55">
        <v>1322948</v>
      </c>
      <c r="C78" s="55">
        <v>28237</v>
      </c>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v>1362785</v>
      </c>
      <c r="C79" s="55">
        <v>25555</v>
      </c>
      <c r="D79" s="198"/>
      <c r="E79" s="198"/>
      <c r="F79" s="198"/>
    </row>
    <row r="80" spans="1:13" ht="15" customHeight="1" x14ac:dyDescent="0.2">
      <c r="A80" s="51" t="str">
        <f>LEFT(A79,4)+1&amp;"–"&amp;RIGHT(A79,4)+5</f>
        <v>2029–2034</v>
      </c>
      <c r="B80" s="55">
        <v>9077278</v>
      </c>
      <c r="C80" s="55">
        <v>92324</v>
      </c>
      <c r="D80" s="202" t="s">
        <v>6</v>
      </c>
      <c r="E80" s="203"/>
      <c r="F80" s="203"/>
    </row>
    <row r="81" spans="1:6" x14ac:dyDescent="0.2">
      <c r="A81" s="51" t="str">
        <f t="shared" ref="A81:A94" si="2">LEFT(A80,4)+5&amp;"–"&amp;RIGHT(A80,4)+5</f>
        <v>2034–2039</v>
      </c>
      <c r="B81" s="55">
        <v>2958030</v>
      </c>
      <c r="C81" s="55">
        <v>5460</v>
      </c>
      <c r="D81" s="202"/>
      <c r="E81" s="203"/>
      <c r="F81" s="203"/>
    </row>
    <row r="82" spans="1:6" x14ac:dyDescent="0.2">
      <c r="A82" s="51" t="str">
        <f t="shared" si="2"/>
        <v>2039–2044</v>
      </c>
      <c r="B82" s="55"/>
      <c r="C82" s="55"/>
      <c r="D82" s="198" t="s">
        <v>124</v>
      </c>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t="s">
        <v>124</v>
      </c>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R14" sqref="R14"/>
    </sheetView>
    <sheetView workbookViewId="1">
      <selection activeCell="N10" sqref="N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6100 - Department of Education</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+'LS-Fund 0001 Journal Entries'!K23+'LS-Fund 0044 Journal Entries'!K23+'LS-Fund 0890 Journal Entries'!K23</f>
        <v>3271831</v>
      </c>
      <c r="G10" s="58"/>
      <c r="H10" s="61">
        <f>IF('LS-Fund 0001 Journal Entries'!$F$8="Governmental Fund",SUM('LS-Fund 0001 Journal Entries'!$K$48,'LS-Fund 0001 Journal Entries'!K113),0)</f>
        <v>0</v>
      </c>
      <c r="I10" s="58"/>
      <c r="J10" s="61">
        <f>+'LS-Fund 0001 Journal Entries'!J68+'LS-Fund 0044 Journal Entries'!J68+'LS-Fund 0890 Journal Entries'!J68</f>
        <v>738541</v>
      </c>
      <c r="K10" s="58"/>
      <c r="L10" s="63">
        <f>SUM(F10+H10-J10)</f>
        <v>2533290</v>
      </c>
      <c r="M10" s="58"/>
      <c r="N10" s="61">
        <f>+'LS-Fund 0001 Journal Entries'!J75+'LS-Fund 0044 Journal Entries'!J75+'LS-Fund 0890 Journal Entries'!J75</f>
        <v>715353</v>
      </c>
      <c r="O10" s="58"/>
      <c r="P10" s="63">
        <f>L10-N10</f>
        <v>1817937</v>
      </c>
      <c r="Q10" s="43"/>
    </row>
    <row r="11" spans="2:17" ht="19.5" thickTop="1" thickBot="1" x14ac:dyDescent="0.3">
      <c r="B11" s="41"/>
      <c r="C11" s="45" t="s">
        <v>18</v>
      </c>
      <c r="F11" s="62">
        <f>SUM(F10:F10)</f>
        <v>3271831</v>
      </c>
      <c r="G11" s="58"/>
      <c r="H11" s="62">
        <f>SUM(H10:H10)</f>
        <v>0</v>
      </c>
      <c r="I11" s="58"/>
      <c r="J11" s="62">
        <f>SUM(J10:J10)</f>
        <v>738541</v>
      </c>
      <c r="K11" s="58"/>
      <c r="L11" s="62">
        <f>SUM(L10:L10)</f>
        <v>2533290</v>
      </c>
      <c r="M11" s="58"/>
      <c r="N11" s="62">
        <f>SUM(N10:N10)</f>
        <v>715353</v>
      </c>
      <c r="O11" s="58"/>
      <c r="P11" s="62">
        <f>SUM(P10:P10)</f>
        <v>1817937</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+'LS-Fund 0687 Journal Entries'!K23</f>
        <v>19441436</v>
      </c>
      <c r="G18" s="58"/>
      <c r="H18" s="61">
        <f>+'LS-Fund 0687 Journal Entries'!K113</f>
        <v>1924945</v>
      </c>
      <c r="I18" s="58"/>
      <c r="J18" s="61">
        <f>+'LS-Fund 0687 Journal Entries'!J68</f>
        <v>2102828</v>
      </c>
      <c r="K18" s="58"/>
      <c r="L18" s="63">
        <f>SUM(F18+H18-J18)</f>
        <v>19263553</v>
      </c>
      <c r="M18" s="58"/>
      <c r="N18" s="61">
        <f>+'LS-Fund 0687 Journal Entries'!K76</f>
        <v>2011870</v>
      </c>
      <c r="O18" s="58"/>
      <c r="P18" s="63">
        <f>L18-N18</f>
        <v>17251683</v>
      </c>
      <c r="Q18" s="43"/>
    </row>
    <row r="19" spans="2:17" ht="19.5" thickTop="1" thickBot="1" x14ac:dyDescent="0.3">
      <c r="B19" s="41"/>
      <c r="C19" s="45" t="s">
        <v>136</v>
      </c>
      <c r="F19" s="62">
        <f>SUM(F18:F18)</f>
        <v>19441436</v>
      </c>
      <c r="G19" s="58"/>
      <c r="H19" s="62">
        <f>SUM(H18:H18)</f>
        <v>1924945</v>
      </c>
      <c r="I19" s="58"/>
      <c r="J19" s="62">
        <f>SUM(J18:J18)</f>
        <v>2102828</v>
      </c>
      <c r="K19" s="58"/>
      <c r="L19" s="62">
        <f>SUM(L18:L18)</f>
        <v>19263553</v>
      </c>
      <c r="M19" s="58"/>
      <c r="N19" s="62">
        <f>SUM(N18:N18)</f>
        <v>2011870</v>
      </c>
      <c r="O19" s="58"/>
      <c r="P19" s="62">
        <f>SUM(P18:P18)</f>
        <v>17251683</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opLeftCell="A9" zoomScale="112" zoomScaleNormal="112" workbookViewId="0">
      <selection activeCell="F33" sqref="F33"/>
    </sheetView>
    <sheetView topLeftCell="A49" workbookViewId="1">
      <selection activeCell="B42" sqref="B42"/>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+'LS-Fund 0001 Journal Entries'!N23+'LS-Fund 0044 Journal Entries'!N23+'LS-Fund 0890 Journal Entries'!N23</f>
        <v>3271831</v>
      </c>
      <c r="C16" s="116" t="s">
        <v>145</v>
      </c>
      <c r="D16" s="84">
        <f>IF('LS-Fund 0001 Journal Entries'!$F$8="Governmental Fund",'LS-Fund 0001 Journal Entries'!$K$48,0)</f>
        <v>0</v>
      </c>
      <c r="E16" s="118" t="s">
        <v>146</v>
      </c>
      <c r="F16" s="84">
        <f>+'LS-Fund 0001 Journal Entries'!J68+'LS-Fund 0044 Journal Entries'!J68+'LS-Fund 0890 Journal Entries'!J68</f>
        <v>738541</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2533290</v>
      </c>
      <c r="M16" s="86"/>
      <c r="N16" s="88">
        <f>SUM('LS-Department Note Disclosure'!B13:B36)</f>
        <v>2533290</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+'LS-Fund 0687 Journal Entries'!K23</f>
        <v>19441436</v>
      </c>
      <c r="C33" s="116" t="s">
        <v>145</v>
      </c>
      <c r="D33" s="84">
        <f>IF('LS-Fund 0001 Journal Entries'!$F$8="Proprietary - Enterprise Fund",'LS-Fund 0001 Journal Entries'!$K$48,0)</f>
        <v>0</v>
      </c>
      <c r="E33" s="118" t="s">
        <v>146</v>
      </c>
      <c r="F33" s="84">
        <f>+'LS-Fund 0687 Journal Entries'!K69</f>
        <v>2102828</v>
      </c>
      <c r="G33" s="117" t="s">
        <v>146</v>
      </c>
      <c r="H33" s="84">
        <f>IF('LS-Fund 0001 Journal Entries'!$F$8="Proprietary - Enterprise Fund",'LS-Fund 0001 Journal Entries'!$J$96,0)</f>
        <v>0</v>
      </c>
      <c r="I33" s="117" t="s">
        <v>145</v>
      </c>
      <c r="J33" s="84">
        <f>+'LS-Fund 0687 Journal Entries'!J112</f>
        <v>1924945</v>
      </c>
      <c r="K33" s="118" t="s">
        <v>149</v>
      </c>
      <c r="L33" s="87">
        <f>+B33+D33-F33-H33+J33</f>
        <v>19263553</v>
      </c>
      <c r="M33" s="86"/>
      <c r="N33" s="88">
        <f>SUM('LS-Department Note Disclosure'!B75:B98)</f>
        <v>19263553</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+'LS-Fund 0001 Journal Entries'!J75+'LS-Fund 0044 Journal Entries'!J75+'LS-Fund 0890 Journal Entries'!J75</f>
        <v>715353</v>
      </c>
      <c r="C42" s="92"/>
      <c r="E42" s="92"/>
      <c r="G42" s="115"/>
      <c r="H42" s="115"/>
      <c r="I42" s="115"/>
      <c r="J42" s="115"/>
      <c r="K42" s="92"/>
      <c r="L42" s="92"/>
      <c r="M42" s="93"/>
      <c r="N42" s="88">
        <f>'LS-Department Note Disclosure'!B13</f>
        <v>715353</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+'LS-Fund 0687 Journal Entries'!J75</f>
        <v>2011870</v>
      </c>
      <c r="C57" s="92"/>
      <c r="E57" s="92"/>
      <c r="G57" s="115"/>
      <c r="H57" s="115"/>
      <c r="I57" s="115"/>
      <c r="J57" s="115"/>
      <c r="K57" s="92"/>
      <c r="L57" s="92"/>
      <c r="M57" s="93"/>
      <c r="N57" s="88">
        <f>'LS-Department Note Disclosure'!B75</f>
        <v>2011870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3271831</v>
      </c>
      <c r="J66" s="97">
        <f>SUM(D66)</f>
        <v>3271831</v>
      </c>
      <c r="L66" s="98" t="str">
        <f>CONCATENATE("Balance July 1, ",LEFT('LS-Department Note Disclosure'!$B$8,4))</f>
        <v>Balance July 1, 2023</v>
      </c>
      <c r="N66" s="97">
        <f>'LS-Lease Liabilities'!F10</f>
        <v>3271831</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738541</v>
      </c>
      <c r="E68" s="119" t="s">
        <v>145</v>
      </c>
      <c r="F68" s="79" t="s">
        <v>1678</v>
      </c>
      <c r="H68" s="97">
        <f>$H$16</f>
        <v>0</v>
      </c>
      <c r="J68" s="97">
        <f>SUM(D68,H68)</f>
        <v>738541</v>
      </c>
      <c r="L68" s="98" t="s">
        <v>13</v>
      </c>
      <c r="N68" s="97">
        <f>'LS-Lease Liabilities'!J10</f>
        <v>738541</v>
      </c>
      <c r="P68" s="89">
        <f t="shared" si="0"/>
        <v>0</v>
      </c>
    </row>
    <row r="69" spans="1:17" x14ac:dyDescent="0.25">
      <c r="B69" s="79" t="s">
        <v>155</v>
      </c>
      <c r="D69" s="97">
        <f>$B$42</f>
        <v>715353</v>
      </c>
      <c r="J69" s="97">
        <f>SUM(D69)</f>
        <v>715353</v>
      </c>
      <c r="L69" s="98" t="s">
        <v>14</v>
      </c>
      <c r="N69" s="97">
        <f>'LS-Lease Liabilities'!N10</f>
        <v>715353</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19441436</v>
      </c>
      <c r="J88" s="97">
        <f>SUM(D88)</f>
        <v>19441436</v>
      </c>
      <c r="L88" s="98" t="str">
        <f>CONCATENATE("Balance July 1, ",LEFT('LS-Department Note Disclosure'!$B$8,4))</f>
        <v>Balance July 1, 2023</v>
      </c>
      <c r="N88" s="97">
        <f>'LS-Lease Liabilities'!F18</f>
        <v>19441436</v>
      </c>
      <c r="P88" s="89">
        <f>J88-N88</f>
        <v>0</v>
      </c>
    </row>
    <row r="89" spans="2:16" x14ac:dyDescent="0.25">
      <c r="B89" s="79" t="s">
        <v>156</v>
      </c>
      <c r="D89" s="97">
        <f>D33</f>
        <v>0</v>
      </c>
      <c r="E89" s="119" t="s">
        <v>145</v>
      </c>
      <c r="F89" s="79" t="s">
        <v>1681</v>
      </c>
      <c r="H89" s="97">
        <f>$J$33</f>
        <v>1924945</v>
      </c>
      <c r="J89" s="97">
        <f>SUM(D89,H89)</f>
        <v>1924945</v>
      </c>
      <c r="L89" s="98" t="s">
        <v>12</v>
      </c>
      <c r="N89" s="97">
        <f>'LS-Lease Liabilities'!H18</f>
        <v>1924945</v>
      </c>
      <c r="P89" s="89">
        <f t="shared" ref="P89:P91" si="2">J89-N89</f>
        <v>0</v>
      </c>
    </row>
    <row r="90" spans="2:16" x14ac:dyDescent="0.25">
      <c r="B90" s="79" t="s">
        <v>151</v>
      </c>
      <c r="D90" s="97">
        <f>F33</f>
        <v>2102828</v>
      </c>
      <c r="E90" s="119" t="s">
        <v>145</v>
      </c>
      <c r="F90" s="79" t="s">
        <v>1678</v>
      </c>
      <c r="H90" s="97">
        <f>$H$33</f>
        <v>0</v>
      </c>
      <c r="J90" s="97">
        <f>SUM(D90,H90)</f>
        <v>2102828</v>
      </c>
      <c r="L90" s="98" t="s">
        <v>13</v>
      </c>
      <c r="N90" s="97">
        <f>'LS-Lease Liabilities'!J18</f>
        <v>2102828</v>
      </c>
      <c r="P90" s="89">
        <f t="shared" si="2"/>
        <v>0</v>
      </c>
    </row>
    <row r="91" spans="2:16" x14ac:dyDescent="0.25">
      <c r="B91" s="79" t="s">
        <v>155</v>
      </c>
      <c r="D91" s="97">
        <f>B57</f>
        <v>2011870</v>
      </c>
      <c r="J91" s="97">
        <f>SUM(D91)</f>
        <v>2011870</v>
      </c>
      <c r="L91" s="98" t="s">
        <v>14</v>
      </c>
      <c r="N91" s="97">
        <f>'LS-Lease Liabilities'!N18</f>
        <v>2011870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Drop Down Menus</vt:lpstr>
      <vt:lpstr>qryIndex02a</vt:lpstr>
      <vt:lpstr>LS-Version Changes</vt:lpstr>
      <vt:lpstr>LS-Fund 0001 Journal Entries</vt:lpstr>
      <vt:lpstr>LS-Fund 0044 Journal Entries</vt:lpstr>
      <vt:lpstr>LS-Fund 0890 Journal Entries</vt:lpstr>
      <vt:lpstr>LS-Fund 0687 Journal Entries</vt:lpstr>
      <vt:lpstr>LS-Department Note Disclosure</vt:lpstr>
      <vt:lpstr>LS-Lease Liabilities</vt:lpstr>
      <vt:lpstr>LS-Check Figures  </vt:lpstr>
      <vt:lpstr>'LS-Department Note Disclosure'!Print_Area</vt:lpstr>
      <vt:lpstr>'LS-Fund 0001 Journal Entries'!Print_Area</vt:lpstr>
      <vt:lpstr>'LS-Fund 0044 Journal Entries'!Print_Area</vt:lpstr>
      <vt:lpstr>'LS-Fund 0687 Journal Entries'!Print_Area</vt:lpstr>
      <vt:lpstr>'LS-Fund 0890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2024-09-14T00:58:00Z</cp:lastPrinted>
  <dcterms:created xsi:type="dcterms:W3CDTF">2023-03-08T17:19:33Z</dcterms:created>
  <dcterms:modified xsi:type="dcterms:W3CDTF">2025-01-07T21:51:18Z</dcterms:modified>
</cp:coreProperties>
</file>