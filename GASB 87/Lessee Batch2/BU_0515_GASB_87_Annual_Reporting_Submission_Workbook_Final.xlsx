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updateLinks="always"/>
  <mc:AlternateContent xmlns:mc="http://schemas.openxmlformats.org/markup-compatibility/2006">
    <mc:Choice Requires="x15">
      <x15ac:absPath xmlns:x15ac="http://schemas.microsoft.com/office/spreadsheetml/2010/11/ac" url="O:\CFS\EXCEL\BU_0515_BCH\2023-2024 FY\GASB_87\"/>
    </mc:Choice>
  </mc:AlternateContent>
  <xr:revisionPtr revIDLastSave="0" documentId="13_ncr:1_{47148E61-4F95-466B-B3B3-512C607A3B7D}" xr6:coauthVersionLast="47" xr6:coauthVersionMax="47" xr10:uidLastSave="{00000000-0000-0000-0000-000000000000}"/>
  <bookViews>
    <workbookView xWindow="-120" yWindow="-120" windowWidth="29040" windowHeight="15720" tabRatio="921" firstSheet="2" activeTab="6"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4" i="2" l="1"/>
  <c r="B63" i="2" l="1"/>
  <c r="B57" i="8"/>
  <c r="L56" i="8"/>
  <c r="L63" i="8"/>
  <c r="K83" i="8"/>
  <c r="K82" i="8"/>
  <c r="K81" i="8"/>
  <c r="K80" i="8"/>
  <c r="K79" i="8"/>
  <c r="K78" i="8"/>
  <c r="K77" i="8"/>
  <c r="J18" i="4"/>
  <c r="J14" i="4"/>
  <c r="J10" i="4"/>
  <c r="H18" i="4"/>
  <c r="H14" i="4"/>
  <c r="H10" i="4"/>
  <c r="N18" i="4"/>
  <c r="N14" i="4"/>
  <c r="F18" i="4"/>
  <c r="F14" i="4"/>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K25" i="2" s="1"/>
  <c r="K17" i="5"/>
  <c r="K69" i="5" s="1"/>
  <c r="J14" i="5"/>
  <c r="S18" i="8"/>
  <c r="S24" i="8"/>
  <c r="S18" i="2"/>
  <c r="K23" i="8"/>
  <c r="K22" i="8"/>
  <c r="K21" i="8"/>
  <c r="J17" i="8"/>
  <c r="S21" i="8"/>
  <c r="S17" i="8"/>
  <c r="S16" i="8"/>
  <c r="S15" i="8"/>
  <c r="S23" i="8"/>
  <c r="J19" i="2" l="1"/>
  <c r="K67" i="5"/>
  <c r="B33" i="12"/>
  <c r="L33" i="12" s="1"/>
  <c r="P33" i="12" s="1"/>
  <c r="D35" i="12" s="1"/>
  <c r="J19" i="8"/>
  <c r="K25" i="8"/>
  <c r="J5" i="10"/>
  <c r="J5" i="4"/>
  <c r="N91" i="7" l="1"/>
  <c r="N90" i="7"/>
  <c r="N89" i="7"/>
  <c r="N88" i="7"/>
  <c r="N80" i="7"/>
  <c r="N79" i="7"/>
  <c r="N78" i="7"/>
  <c r="N77"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J70"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F33" i="7"/>
  <c r="D90" i="7" s="1"/>
  <c r="J90" i="7" s="1"/>
  <c r="P90" i="7" s="1"/>
  <c r="F24" i="7"/>
  <c r="D79" i="7" s="1"/>
  <c r="J79" i="7" s="1"/>
  <c r="P79" i="7" s="1"/>
  <c r="F16" i="7"/>
  <c r="N57" i="7"/>
  <c r="N49" i="7"/>
  <c r="N42" i="7"/>
  <c r="N33" i="7"/>
  <c r="N24" i="7"/>
  <c r="B33" i="7"/>
  <c r="B24" i="7"/>
  <c r="D77" i="7" l="1"/>
  <c r="J77" i="7" s="1"/>
  <c r="P77" i="7" s="1"/>
  <c r="L24" i="7"/>
  <c r="L16" i="7"/>
  <c r="D88" i="7"/>
  <c r="J88" i="7" s="1"/>
  <c r="P88" i="7" s="1"/>
  <c r="L33" i="7"/>
  <c r="D68" i="7"/>
  <c r="J68" i="7" s="1"/>
  <c r="P68" i="7" s="1"/>
  <c r="D67" i="7"/>
  <c r="J67" i="7" s="1"/>
  <c r="P67" i="7" s="1"/>
  <c r="D66" i="7"/>
  <c r="J66" i="7" s="1"/>
  <c r="P66" i="7" s="1"/>
  <c r="P33" i="7" l="1"/>
  <c r="D35" i="7" s="1"/>
  <c r="P24" i="7"/>
  <c r="D26" i="7" s="1"/>
  <c r="P49" i="7"/>
  <c r="D51" i="7" s="1"/>
  <c r="P16" i="7"/>
  <c r="D18" i="7" s="1"/>
  <c r="P57" i="7"/>
  <c r="D59" i="7" s="1"/>
  <c r="D93" i="7" l="1"/>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L43" i="5" l="1"/>
  <c r="L38" i="5"/>
  <c r="L33" i="5"/>
  <c r="L26" i="5"/>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S15" i="5"/>
  <c r="S18" i="5"/>
  <c r="J15" i="5"/>
  <c r="K18" i="5" l="1"/>
  <c r="J16" i="5" l="1"/>
  <c r="J20" i="5" s="1"/>
  <c r="K19" i="5"/>
  <c r="K20" i="5" s="1"/>
  <c r="L20" i="5" l="1"/>
  <c r="L62" i="2" l="1"/>
  <c r="K70" i="2"/>
  <c r="L70" i="2" s="1"/>
  <c r="L69" i="2"/>
  <c r="B42" i="7"/>
  <c r="D69" i="7" s="1"/>
  <c r="J69" i="7" s="1"/>
  <c r="N10" i="4"/>
  <c r="N69" i="7" s="1"/>
  <c r="K77" i="2"/>
  <c r="L77" i="2" s="1"/>
  <c r="K129" i="2"/>
  <c r="P69" i="7" l="1"/>
  <c r="D71" i="7" s="1"/>
  <c r="P10" i="4"/>
  <c r="P11" i="4" s="1"/>
  <c r="N11" i="4"/>
  <c r="P42" i="7"/>
  <c r="D44" i="7" s="1"/>
</calcChain>
</file>

<file path=xl/sharedStrings.xml><?xml version="1.0" encoding="utf-8"?>
<sst xmlns="http://schemas.openxmlformats.org/spreadsheetml/2006/main" count="8068" uniqueCount="1804">
  <si>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</si>
  <si>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</si>
  <si>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</si>
  <si>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</si>
  <si>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</si>
  <si>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</si>
  <si>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</si>
  <si>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</si>
  <si>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</si>
  <si>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</si>
  <si>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</si>
  <si>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</si>
  <si>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</si>
  <si>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</si>
  <si>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</si>
  <si>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</si>
  <si>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</si>
  <si>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</si>
  <si>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</si>
  <si>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</si>
  <si>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</si>
  <si>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</si>
  <si>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</si>
  <si>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</si>
  <si>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</si>
  <si>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</si>
  <si>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</si>
  <si>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</si>
  <si>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</si>
  <si>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</si>
  <si>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</si>
  <si>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</si>
  <si>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</si>
  <si>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</si>
  <si>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</si>
  <si>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</si>
  <si>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</si>
  <si>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</si>
  <si>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</si>
  <si>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</si>
  <si>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</si>
  <si>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</si>
  <si>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</si>
  <si>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</si>
  <si>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</si>
  <si>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</si>
  <si>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</si>
  <si>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</si>
  <si>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</si>
  <si>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</si>
  <si>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</si>
  <si>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</si>
  <si>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</si>
  <si>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</si>
  <si>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</si>
  <si>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</si>
  <si>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</si>
  <si>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</si>
  <si>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</si>
  <si>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</si>
  <si>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</si>
  <si>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</si>
  <si>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</si>
  <si>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</si>
  <si>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</si>
  <si>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</si>
  <si>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</si>
  <si>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</si>
  <si>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</si>
  <si>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</si>
  <si>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</si>
  <si>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</si>
  <si>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</si>
  <si>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</si>
  <si>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</si>
  <si>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</si>
  <si>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</si>
  <si>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</si>
  <si>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</si>
  <si>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</si>
  <si>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</si>
  <si>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</si>
  <si>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</si>
  <si>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</si>
  <si>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</si>
  <si>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</si>
  <si>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</si>
  <si>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</si>
  <si>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</si>
  <si>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</si>
  <si>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</si>
  <si>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</si>
  <si>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</si>
  <si>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</si>
  <si>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</si>
  <si>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</si>
  <si>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</si>
  <si>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</si>
  <si>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</si>
  <si>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</si>
  <si>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</si>
  <si>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</si>
  <si>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</si>
  <si>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</si>
  <si>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</si>
  <si>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</si>
  <si>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</si>
  <si>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</si>
  <si>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</si>
  <si>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</si>
  <si>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</si>
  <si>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</si>
  <si>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</si>
  <si>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</si>
  <si>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</si>
  <si>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</si>
  <si>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</si>
  <si>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</si>
  <si>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</si>
  <si>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</si>
  <si>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</si>
  <si>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</si>
  <si>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</si>
  <si>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</si>
  <si>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</si>
  <si>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</si>
  <si>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</si>
  <si>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</si>
  <si>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</si>
  <si>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</si>
  <si>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</si>
  <si>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</si>
  <si>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</si>
  <si>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</si>
  <si>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</si>
  <si>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</si>
  <si>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</si>
  <si>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</si>
  <si>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</si>
  <si>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</si>
  <si>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</si>
  <si>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</si>
  <si>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</si>
  <si>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</si>
  <si>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</si>
  <si>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</si>
  <si>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</si>
  <si>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</si>
  <si>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</si>
  <si>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</si>
  <si>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</si>
  <si>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</si>
  <si>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</si>
  <si>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</si>
  <si>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</si>
  <si>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</si>
  <si>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</si>
  <si>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</si>
  <si>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</si>
  <si>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</si>
  <si>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</si>
  <si>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</si>
  <si>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</si>
  <si>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</si>
  <si>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</si>
  <si>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</si>
  <si>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</si>
  <si>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</si>
  <si>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</si>
  <si>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</si>
  <si>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</si>
  <si>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</si>
  <si>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</si>
  <si>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</si>
  <si>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</si>
  <si>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</si>
  <si>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</si>
  <si>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</si>
  <si>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</si>
  <si>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</si>
  <si>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</si>
  <si>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</si>
  <si>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</si>
  <si>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</si>
  <si>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</si>
  <si>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</si>
  <si>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</si>
  <si>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</si>
  <si>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</si>
  <si>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</si>
  <si>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</si>
  <si>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</si>
  <si>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</si>
  <si>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</si>
  <si>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</si>
  <si>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</si>
  <si>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</si>
  <si>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</si>
  <si>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</si>
  <si>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</si>
  <si>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</si>
  <si>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</si>
  <si>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</si>
  <si>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</si>
  <si>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</si>
  <si>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</si>
  <si>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</si>
  <si>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</si>
  <si>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</si>
  <si>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</si>
  <si>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</si>
  <si>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</si>
  <si>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</si>
  <si>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</si>
  <si>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</si>
  <si>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</si>
  <si>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</si>
  <si>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</si>
  <si>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</si>
  <si>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</si>
  <si>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</si>
  <si>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</si>
  <si>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</si>
  <si>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</si>
  <si>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</si>
  <si>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</si>
  <si>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</si>
  <si>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</si>
  <si>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</si>
  <si>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</si>
  <si>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</si>
  <si>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</si>
  <si>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</si>
  <si>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</si>
  <si>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</si>
  <si>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</si>
  <si>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</si>
  <si>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</si>
  <si>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</si>
  <si>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</si>
  <si>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</si>
  <si>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</si>
  <si>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</si>
  <si>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</si>
  <si>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</si>
  <si>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</si>
  <si>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</si>
  <si>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</si>
  <si>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</si>
  <si>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</si>
  <si>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</si>
  <si>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</si>
  <si>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</si>
  <si>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</si>
  <si>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</si>
  <si>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</si>
  <si>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</si>
  <si>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</si>
  <si>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</si>
  <si>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</si>
  <si>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</si>
  <si>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</si>
  <si>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</si>
  <si>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</si>
  <si>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</si>
  <si>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</si>
  <si>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</si>
  <si>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</si>
  <si>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</si>
  <si>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</si>
  <si>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</si>
  <si>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</si>
  <si>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</si>
  <si>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</si>
  <si>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</si>
  <si>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</si>
  <si>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</si>
  <si>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</si>
  <si>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</si>
  <si>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</si>
  <si>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</si>
  <si>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</si>
  <si>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</si>
  <si>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</si>
  <si>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</si>
  <si>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</si>
  <si>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</si>
  <si>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</si>
  <si>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</si>
  <si>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</si>
  <si>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</si>
  <si>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</si>
  <si>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</si>
  <si>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</si>
  <si>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</si>
  <si>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</si>
  <si>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</si>
  <si>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</si>
  <si>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</si>
  <si>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</si>
  <si>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</si>
  <si>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</si>
  <si>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</si>
  <si>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</si>
  <si>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</si>
  <si>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</si>
  <si>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</si>
  <si>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</si>
  <si>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</si>
  <si>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</si>
  <si>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</si>
  <si>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</si>
  <si>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</si>
  <si>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</si>
  <si>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</si>
  <si>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</si>
  <si>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</si>
  <si>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</si>
  <si>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</si>
  <si>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</si>
  <si>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</si>
  <si>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</si>
  <si>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</si>
  <si>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</si>
  <si>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</si>
  <si>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</si>
  <si>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</si>
  <si>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</si>
  <si>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</si>
  <si>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</si>
  <si>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</si>
  <si>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</si>
  <si>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</si>
  <si>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</si>
  <si>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</si>
  <si>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</si>
  <si>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</si>
  <si>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</si>
  <si>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</si>
  <si>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</si>
  <si>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</si>
  <si>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</si>
  <si>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</si>
  <si>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</si>
  <si>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</si>
  <si>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</si>
  <si>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</si>
  <si>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</si>
  <si>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</si>
  <si>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</si>
  <si>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</si>
  <si>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</si>
  <si>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</si>
  <si>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</si>
  <si>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</si>
  <si>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</si>
  <si>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</si>
  <si>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</si>
  <si>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</si>
  <si>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</si>
  <si>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</si>
  <si>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</si>
  <si>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</si>
  <si>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</si>
  <si>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</si>
  <si>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</si>
  <si>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</si>
  <si>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</si>
  <si>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</si>
  <si>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</si>
  <si>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</si>
  <si>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</si>
  <si>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</si>
  <si>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</si>
  <si>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</si>
  <si>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</si>
  <si>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</si>
  <si>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</si>
  <si>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</si>
  <si>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</si>
  <si>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</si>
  <si>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</si>
  <si>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</si>
  <si>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</si>
  <si>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</si>
  <si>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</si>
  <si>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</si>
  <si>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</si>
  <si>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</si>
  <si>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</si>
  <si>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</si>
  <si>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</si>
  <si>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</si>
  <si>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</si>
  <si>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</si>
  <si>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</si>
  <si>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</si>
  <si>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</si>
  <si>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</si>
  <si>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</si>
  <si>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</si>
  <si>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</si>
  <si>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</si>
  <si>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</si>
  <si>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</si>
  <si>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</si>
  <si>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</si>
  <si>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</si>
  <si>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</si>
  <si>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</si>
  <si>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</si>
  <si>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</si>
  <si>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</si>
  <si>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</si>
  <si>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</si>
  <si>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</si>
  <si>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</si>
  <si>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</si>
  <si>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</si>
  <si>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</si>
  <si>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</si>
  <si>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</si>
  <si>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</si>
  <si>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</si>
  <si>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</si>
  <si>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</si>
  <si>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</si>
  <si>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</si>
  <si>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</si>
  <si>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</si>
  <si>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</si>
  <si>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</si>
  <si>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</si>
  <si>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</si>
  <si>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</si>
  <si>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</si>
  <si>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</si>
  <si>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</si>
  <si>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</si>
  <si>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</si>
  <si>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</si>
  <si>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</si>
  <si>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</si>
  <si>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</si>
  <si>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</si>
  <si>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</si>
  <si>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</si>
  <si>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</si>
  <si>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</si>
  <si>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</si>
  <si>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</si>
  <si>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</si>
  <si>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</si>
  <si>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</si>
  <si>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</si>
  <si>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</si>
  <si>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</si>
  <si>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</si>
  <si>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</si>
  <si>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</si>
  <si>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</si>
  <si>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</si>
  <si>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</si>
  <si>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</si>
  <si>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</si>
  <si>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</si>
  <si>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</si>
  <si>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</si>
  <si>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</si>
  <si>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</si>
  <si>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</si>
  <si>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</si>
  <si>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</si>
  <si>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</si>
  <si>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</si>
  <si>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</si>
  <si>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</si>
  <si>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</si>
  <si>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</si>
  <si>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</si>
  <si>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</si>
  <si>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</si>
  <si>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</si>
  <si>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</si>
  <si>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</si>
  <si>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</si>
  <si>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</si>
  <si>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</si>
  <si>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</si>
  <si>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</si>
  <si>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</si>
  <si>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</si>
  <si>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</si>
  <si>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</si>
  <si>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</si>
  <si>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</si>
  <si>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</si>
  <si>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</si>
  <si>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</si>
  <si>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</si>
  <si>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</si>
  <si>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</si>
  <si>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</si>
  <si>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</si>
  <si>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</si>
  <si>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</si>
  <si>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</si>
  <si>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</si>
  <si>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</si>
  <si>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</si>
  <si>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</si>
  <si>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</si>
  <si>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</si>
  <si>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</si>
  <si>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</si>
  <si>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</si>
  <si>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</si>
  <si>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</si>
  <si>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</si>
  <si>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</si>
  <si>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</si>
  <si>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</si>
  <si>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</si>
  <si>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</si>
  <si>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</si>
  <si>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</si>
  <si>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</si>
  <si>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</si>
  <si>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</si>
  <si>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</si>
  <si>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</si>
  <si>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</si>
  <si>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</si>
  <si>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</si>
  <si>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</si>
  <si>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</si>
  <si>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</si>
  <si>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</si>
  <si>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</si>
  <si>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</si>
  <si>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</si>
  <si>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</si>
  <si>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</si>
  <si>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</si>
  <si>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</si>
  <si>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</si>
  <si>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</si>
  <si>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</si>
  <si>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</si>
  <si>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</si>
  <si>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</si>
  <si>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</si>
  <si>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</si>
  <si>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</si>
  <si>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</si>
  <si>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</si>
  <si>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</si>
  <si>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</si>
  <si>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</si>
  <si>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</si>
  <si>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</si>
  <si>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</si>
  <si>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</si>
  <si>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</si>
  <si>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</si>
  <si>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</si>
  <si>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</si>
  <si>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</si>
  <si>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</si>
  <si>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</si>
  <si>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</si>
  <si>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</si>
  <si>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</si>
  <si>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</si>
  <si>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</si>
  <si>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</si>
  <si>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</si>
  <si>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</si>
  <si>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</si>
  <si>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</si>
  <si>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</si>
  <si>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</si>
  <si>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</si>
  <si>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</si>
  <si>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</si>
  <si>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</si>
  <si>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</si>
  <si>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</si>
  <si>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</si>
  <si>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</si>
  <si>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</si>
  <si>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</si>
  <si>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</si>
  <si>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</si>
  <si>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</si>
  <si>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</si>
  <si>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</si>
  <si>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</si>
  <si>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</si>
  <si>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</si>
  <si>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</si>
  <si>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</si>
  <si>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</si>
  <si>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</si>
  <si>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</si>
  <si>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</si>
  <si>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</si>
  <si>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</si>
  <si>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</si>
  <si>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</si>
  <si>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</si>
  <si>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</si>
  <si>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</si>
  <si>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</si>
  <si>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</si>
  <si>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</si>
  <si>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</si>
  <si>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</si>
  <si>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</si>
  <si>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</si>
  <si>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</si>
  <si>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</si>
  <si>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</si>
  <si>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</si>
  <si>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</si>
  <si>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</si>
  <si>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</si>
  <si>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</si>
  <si>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</si>
  <si>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</si>
  <si>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</si>
  <si>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</si>
  <si>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</si>
  <si>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</si>
  <si>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</si>
  <si>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</si>
  <si>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</si>
  <si>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</si>
  <si>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</si>
  <si>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</si>
  <si>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</si>
  <si>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</si>
  <si>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</si>
  <si>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</si>
  <si>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</si>
  <si>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</si>
  <si>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</si>
  <si>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</si>
  <si>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</si>
  <si>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</si>
  <si>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</si>
  <si>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</si>
  <si>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</si>
  <si>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</si>
  <si>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</si>
  <si>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</si>
  <si>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</si>
  <si>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</si>
  <si>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</si>
  <si>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</si>
  <si>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</si>
  <si>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</si>
  <si>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</si>
  <si>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</si>
  <si>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</si>
  <si>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</si>
  <si>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</si>
  <si>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</si>
  <si>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</si>
  <si>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</si>
  <si>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</si>
  <si>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</si>
  <si>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</si>
  <si>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</si>
  <si>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</si>
  <si>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</si>
  <si>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</si>
  <si>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</si>
  <si>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</si>
  <si>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</si>
  <si>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</si>
  <si>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</si>
  <si>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</si>
  <si>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</si>
  <si>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</si>
  <si>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</si>
  <si>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</si>
  <si>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</si>
  <si>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</si>
  <si>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</si>
  <si>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</si>
  <si>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</si>
  <si>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</si>
  <si>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</si>
  <si>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</si>
  <si>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</si>
  <si>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</si>
  <si>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</si>
  <si>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</si>
  <si>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</si>
  <si>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</si>
  <si>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</si>
  <si>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</si>
  <si>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</si>
  <si>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</si>
  <si>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</si>
  <si>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</si>
  <si>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</si>
  <si>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</si>
  <si>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</si>
  <si>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</si>
  <si>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</si>
  <si>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</si>
  <si>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</si>
  <si>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</si>
  <si>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</si>
  <si>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</si>
  <si>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</si>
  <si>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</si>
  <si>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</si>
  <si>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</si>
  <si>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</si>
  <si>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</si>
  <si>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</si>
  <si>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</si>
  <si>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</si>
  <si>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</si>
  <si>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</si>
  <si>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</si>
  <si>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</si>
  <si>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</si>
  <si>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</si>
  <si>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</si>
  <si>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</si>
  <si>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</si>
  <si>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</si>
  <si>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</si>
  <si>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</si>
  <si>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</si>
  <si>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</si>
  <si>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</si>
  <si>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</si>
  <si>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</si>
  <si>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</si>
  <si>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</si>
  <si>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</si>
  <si>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</si>
  <si>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</si>
  <si>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</si>
  <si>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</si>
  <si>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</si>
  <si>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</si>
  <si>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</si>
  <si>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</si>
  <si>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</si>
  <si>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</si>
  <si>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</si>
  <si>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</si>
  <si>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</si>
  <si>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</si>
  <si>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</si>
  <si>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</si>
  <si>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</si>
  <si>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</si>
  <si>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</si>
  <si>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</si>
  <si>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</si>
  <si>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</si>
  <si>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</si>
  <si>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</si>
  <si>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</si>
  <si>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</si>
  <si>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</si>
  <si>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</si>
  <si>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</si>
  <si>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</si>
  <si>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</si>
  <si>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</si>
  <si>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</si>
  <si>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</si>
  <si>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</si>
  <si>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</si>
  <si>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</si>
  <si>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</si>
  <si>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</si>
  <si>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</si>
  <si>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</si>
  <si>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</si>
  <si>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</si>
  <si>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</si>
  <si>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</si>
  <si>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</si>
  <si>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</si>
  <si>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</si>
  <si>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</si>
  <si>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</si>
  <si>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</si>
  <si>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</si>
  <si>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</si>
  <si>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</si>
  <si>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</si>
  <si>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</si>
  <si>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</si>
  <si>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</si>
  <si>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</si>
  <si>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</si>
  <si>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</si>
  <si>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</si>
  <si>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</si>
  <si>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</si>
  <si>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</si>
  <si>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</si>
  <si>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</si>
  <si>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</si>
  <si>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</si>
  <si>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</si>
  <si>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</si>
  <si>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</si>
  <si>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</si>
  <si>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</si>
  <si>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</si>
  <si>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</si>
  <si>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</si>
  <si>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</si>
  <si>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</si>
  <si>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</si>
  <si>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</si>
  <si>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</si>
  <si>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</si>
  <si>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</si>
  <si>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</si>
  <si>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</si>
  <si>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</si>
  <si>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</si>
  <si>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</si>
  <si>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</si>
  <si>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</si>
  <si>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</si>
  <si>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</si>
  <si>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</si>
  <si>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</si>
  <si>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</si>
  <si>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</si>
  <si>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</si>
  <si>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</si>
  <si>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</si>
  <si>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</si>
  <si>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</si>
  <si>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</si>
  <si>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</si>
  <si>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</si>
  <si>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</si>
  <si>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</si>
  <si>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</si>
  <si>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</si>
  <si>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</si>
  <si>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</si>
  <si>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</si>
  <si>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</si>
  <si>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</si>
  <si>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</si>
  <si>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</si>
  <si>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</si>
  <si>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</si>
  <si>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</si>
  <si>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</si>
  <si>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</si>
  <si>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</si>
  <si>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</si>
  <si>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</si>
  <si>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</si>
  <si>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</si>
  <si>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</si>
  <si>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</si>
  <si>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</si>
  <si>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</si>
  <si>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</si>
  <si>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</si>
  <si>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</si>
  <si>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</si>
  <si>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</si>
  <si>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</si>
  <si>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</si>
  <si>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</si>
  <si>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</si>
  <si>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</si>
  <si>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</si>
  <si>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</si>
  <si>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</si>
  <si>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</si>
  <si>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</si>
  <si>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</si>
  <si>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</si>
  <si>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</si>
  <si>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</si>
  <si>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</si>
  <si>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</si>
  <si>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</si>
  <si>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</si>
  <si>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</si>
  <si>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</si>
  <si>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</si>
  <si>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</si>
  <si>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</si>
  <si>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</si>
  <si>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</si>
  <si>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</si>
  <si>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</si>
  <si>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</si>
  <si>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</si>
  <si>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</si>
  <si>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</si>
  <si>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</si>
  <si>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</si>
  <si>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</si>
  <si>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</si>
  <si>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</si>
  <si>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</si>
  <si>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</si>
  <si>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</si>
  <si>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</si>
  <si>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</si>
  <si>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</si>
  <si>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</si>
  <si>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</si>
  <si>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</si>
  <si>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</si>
  <si>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</si>
  <si>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</si>
  <si>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</si>
  <si>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</si>
  <si>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</si>
  <si>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</si>
  <si>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</si>
  <si>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</si>
  <si>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</si>
  <si>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</si>
  <si>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</si>
  <si>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</si>
  <si>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</si>
  <si>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</si>
  <si>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</si>
  <si>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</si>
  <si>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</si>
  <si>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</si>
  <si>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</si>
  <si>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</si>
  <si>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</si>
  <si>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</si>
  <si>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</si>
  <si>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</si>
  <si>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</si>
  <si>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</si>
  <si>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</si>
  <si>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</si>
  <si>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</si>
  <si>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</si>
  <si>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</si>
  <si>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</si>
  <si>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</si>
  <si>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</si>
  <si>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</si>
  <si>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</si>
  <si>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</si>
  <si>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</si>
  <si>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</si>
  <si>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</si>
  <si>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</si>
  <si>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</si>
  <si>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</si>
  <si>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</si>
  <si>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</si>
  <si>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</si>
  <si>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</si>
  <si>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</si>
  <si>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</si>
  <si>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</si>
  <si>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</si>
  <si>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</si>
  <si>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</si>
  <si>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</si>
  <si>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</si>
  <si>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</si>
  <si>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</si>
  <si>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</si>
  <si>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</si>
  <si>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</si>
  <si>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</si>
  <si>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</si>
  <si>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</si>
  <si>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</si>
  <si>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</si>
  <si>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</si>
  <si>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</si>
  <si>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</si>
  <si>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</si>
  <si>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</si>
  <si>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</si>
  <si>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</si>
  <si>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</si>
  <si>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</si>
  <si>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</si>
  <si>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</si>
  <si>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</si>
  <si>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</si>
  <si>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</si>
  <si>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</si>
  <si>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</si>
  <si>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</si>
  <si>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</si>
  <si>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</si>
  <si>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</si>
  <si>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</si>
  <si>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</si>
  <si>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</si>
  <si>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</si>
  <si>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</si>
  <si>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</si>
  <si>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</si>
  <si>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</si>
  <si>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</si>
  <si>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</si>
  <si>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</si>
  <si>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</si>
  <si>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</si>
  <si>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</si>
  <si>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</si>
  <si>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</si>
  <si>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</si>
  <si>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</si>
  <si>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</si>
  <si>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</si>
  <si>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</si>
  <si>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</si>
  <si>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</si>
  <si>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</si>
  <si>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</si>
  <si>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</si>
  <si>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</si>
  <si>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</si>
  <si>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</si>
  <si>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</si>
  <si>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</si>
  <si>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</si>
  <si>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</si>
  <si>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</si>
  <si>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</si>
  <si>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</si>
  <si>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</si>
  <si>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</si>
  <si>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</si>
  <si>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</si>
  <si>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</si>
  <si>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</si>
  <si>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</si>
  <si>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</si>
  <si>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</si>
  <si>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</si>
  <si>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</si>
  <si>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</si>
  <si>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</si>
  <si>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</si>
  <si>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</si>
  <si>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</si>
  <si>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</si>
  <si>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</si>
  <si>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</si>
  <si>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</si>
  <si>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</si>
  <si>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</si>
  <si>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</si>
  <si>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</si>
  <si>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</si>
  <si>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</si>
  <si>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</si>
  <si>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</si>
  <si>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</si>
  <si>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</si>
  <si>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</si>
  <si>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</si>
  <si>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</si>
  <si>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</si>
  <si>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</si>
  <si>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</si>
  <si>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</si>
  <si>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</si>
  <si>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</si>
  <si>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</si>
  <si>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</si>
  <si>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</si>
  <si>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</si>
  <si>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</si>
  <si>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</si>
  <si>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</si>
  <si>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</si>
  <si>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</si>
  <si>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</si>
  <si>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</si>
  <si>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</si>
  <si>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</si>
  <si>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</si>
  <si>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</si>
  <si>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</si>
  <si>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</si>
  <si>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</si>
  <si>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</si>
  <si>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</si>
  <si>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</si>
  <si>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</si>
  <si>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</si>
  <si>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</si>
  <si>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</si>
  <si>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</si>
  <si>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</si>
  <si>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</si>
  <si>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</si>
  <si>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</si>
  <si>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</si>
  <si>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</si>
  <si>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</si>
  <si>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</si>
  <si>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</si>
  <si>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</si>
  <si>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</si>
  <si>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</si>
  <si>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</si>
  <si>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</si>
  <si>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</si>
  <si>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</si>
  <si>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</si>
  <si>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</si>
  <si>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</si>
  <si>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</si>
  <si>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</si>
  <si>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</si>
  <si>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</si>
  <si>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</si>
  <si>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</si>
  <si>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</si>
  <si>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</si>
  <si>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</si>
  <si>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</si>
  <si>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</si>
  <si>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</si>
  <si>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</si>
  <si>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</si>
  <si>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</si>
  <si>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</si>
  <si>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</si>
  <si>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</si>
  <si>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</si>
  <si>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</si>
  <si>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</si>
  <si>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</si>
  <si>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</si>
  <si>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</si>
  <si>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</si>
  <si>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</si>
  <si>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</si>
  <si>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</si>
  <si>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</si>
  <si>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</si>
  <si>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</si>
  <si>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</si>
  <si>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</si>
  <si>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</si>
  <si>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</si>
  <si>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</si>
  <si>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</si>
  <si>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</si>
  <si>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</si>
  <si>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</si>
  <si>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</si>
  <si>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</si>
  <si>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</si>
  <si>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</si>
  <si>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</si>
  <si>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</si>
  <si>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</si>
  <si>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</si>
  <si>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</si>
  <si>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</si>
  <si>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</si>
  <si>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</si>
  <si>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</si>
  <si>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</si>
  <si>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</si>
  <si>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</si>
  <si>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</si>
  <si>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</si>
  <si>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</si>
  <si>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</si>
  <si>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</si>
  <si>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</si>
  <si>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</si>
  <si>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</si>
  <si>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</si>
  <si>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</si>
  <si>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</si>
  <si>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</si>
  <si>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</si>
  <si>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</si>
  <si>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</si>
  <si>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</si>
  <si>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</si>
  <si>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</si>
  <si>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</si>
  <si>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</si>
  <si>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</si>
  <si>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</si>
  <si>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</si>
  <si>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</si>
  <si>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</si>
  <si>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</si>
  <si>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</si>
  <si>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</si>
  <si>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</si>
  <si>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</si>
  <si>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</si>
  <si>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</si>
  <si>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</si>
  <si>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</si>
  <si>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</si>
  <si>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</si>
  <si>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</si>
  <si>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</si>
  <si>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</si>
  <si>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</si>
  <si>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</si>
  <si>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</si>
  <si>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</si>
  <si>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</si>
  <si>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</si>
  <si>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</si>
  <si>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</si>
  <si>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</si>
  <si>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</si>
  <si>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</si>
  <si>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</si>
  <si>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</si>
  <si>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</si>
  <si>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</si>
  <si>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</si>
  <si>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</si>
  <si>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</si>
  <si>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</si>
  <si>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</si>
  <si>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</si>
  <si>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</si>
  <si>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</si>
  <si>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</si>
  <si>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</si>
  <si>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</si>
  <si>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</si>
  <si>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</si>
  <si>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</si>
  <si>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</si>
  <si>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</si>
  <si>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</si>
  <si>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</si>
  <si>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</si>
  <si>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</si>
  <si>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</si>
  <si>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</si>
  <si>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</si>
  <si>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</si>
  <si>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</si>
  <si>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</si>
  <si>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</si>
  <si>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</si>
  <si>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</si>
  <si>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</si>
  <si>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</si>
  <si>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</si>
  <si>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</si>
  <si>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</si>
  <si>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</si>
  <si>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</si>
  <si>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</si>
  <si>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</si>
  <si>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</si>
  <si>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</si>
  <si>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</si>
  <si>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</si>
  <si>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</si>
  <si>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</si>
  <si>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</si>
  <si>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</si>
  <si>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</si>
  <si>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</si>
  <si>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</si>
  <si>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</si>
  <si>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</si>
  <si>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</si>
  <si>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</si>
  <si>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</si>
  <si>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</si>
  <si>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</si>
  <si>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</si>
  <si>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</si>
  <si>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</si>
  <si>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</si>
  <si>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</si>
  <si>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</si>
  <si>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</si>
  <si>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</si>
  <si>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</si>
  <si>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</si>
  <si>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</si>
  <si>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</si>
  <si>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</si>
  <si>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</si>
  <si>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</si>
  <si>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</si>
  <si>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</si>
  <si>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</si>
  <si>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</si>
  <si>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</si>
  <si>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</si>
  <si>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</si>
  <si>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</si>
  <si>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</si>
  <si>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</si>
  <si>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</si>
  <si>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</si>
  <si>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</si>
  <si>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</si>
  <si>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</si>
  <si>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</si>
  <si>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</si>
  <si>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</si>
  <si>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</si>
  <si>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</si>
  <si>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</si>
  <si>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</si>
  <si>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</si>
  <si>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</si>
  <si>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</si>
  <si>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</si>
  <si>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</si>
  <si>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</si>
  <si>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</si>
  <si>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</si>
  <si>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</si>
  <si>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</si>
  <si>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</si>
  <si>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</si>
  <si>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</si>
  <si>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</si>
  <si>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</si>
  <si>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</si>
  <si>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</si>
  <si>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</si>
  <si>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</si>
  <si>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</si>
  <si>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</si>
  <si>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</si>
  <si>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</si>
  <si>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</si>
  <si>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</si>
  <si>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</si>
  <si>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</si>
  <si>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</si>
  <si>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</si>
  <si>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</si>
  <si>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</si>
  <si>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</si>
  <si>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</si>
  <si>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</si>
  <si>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</si>
  <si>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</si>
  <si>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</si>
  <si>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</si>
  <si>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</si>
  <si>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</si>
  <si>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</si>
  <si>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</si>
  <si>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</si>
  <si>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</si>
  <si>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</si>
  <si>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</si>
  <si>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</si>
  <si>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</si>
  <si>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</si>
  <si>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</si>
  <si>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</si>
  <si>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</si>
  <si>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</si>
  <si>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</si>
  <si>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</si>
  <si>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</si>
  <si>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</si>
  <si>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</si>
  <si>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</si>
  <si>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</si>
  <si>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</si>
  <si>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</si>
  <si>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</si>
  <si>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</si>
  <si>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</si>
  <si>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</si>
  <si>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</si>
  <si>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</si>
  <si>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</si>
  <si>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</si>
  <si>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</si>
  <si>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</si>
  <si>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</si>
  <si>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</si>
  <si>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</si>
  <si>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</si>
  <si>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</si>
  <si>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</si>
  <si>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</si>
  <si>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</si>
  <si>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</si>
  <si>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</si>
  <si>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</si>
  <si>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</si>
  <si>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</si>
  <si>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</si>
  <si>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</si>
  <si>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</si>
  <si>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</si>
  <si>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</si>
  <si>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</si>
  <si>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</si>
  <si>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</si>
  <si>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</si>
  <si>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</si>
  <si>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</si>
  <si>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</si>
  <si>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</si>
  <si>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</si>
  <si>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</si>
  <si>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</si>
  <si>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</si>
  <si>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</si>
  <si>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</si>
  <si>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</si>
  <si>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</si>
  <si>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</si>
  <si>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</si>
  <si>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</si>
  <si>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</si>
  <si>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</si>
  <si>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</si>
  <si>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</si>
  <si>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</si>
  <si>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</si>
  <si>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</si>
  <si>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</si>
  <si>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</si>
  <si>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</si>
  <si>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</si>
  <si>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</si>
  <si>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</si>
  <si>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</si>
  <si>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</si>
  <si>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</si>
  <si>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</si>
  <si>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</si>
  <si>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</si>
  <si>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</si>
  <si>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</si>
  <si>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</si>
  <si>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</si>
  <si>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</si>
  <si>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</si>
  <si>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</si>
  <si>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</si>
  <si>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</si>
  <si>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</si>
  <si>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</si>
  <si>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</si>
  <si>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</si>
  <si>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</si>
  <si>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</si>
  <si>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</si>
  <si>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</si>
  <si>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</si>
  <si>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</si>
  <si>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</si>
  <si>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</si>
  <si>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</si>
  <si>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</si>
  <si>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</si>
  <si>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</si>
  <si>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</si>
  <si>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</si>
  <si>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</si>
  <si>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</si>
  <si>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</si>
  <si>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</si>
  <si>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</si>
  <si>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</si>
  <si>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</si>
  <si>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</si>
  <si>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</si>
  <si>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</si>
  <si>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</si>
  <si>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</si>
  <si>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</si>
  <si>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</si>
  <si>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</si>
  <si>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</si>
  <si>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</si>
  <si>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</si>
  <si>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</si>
  <si>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</si>
  <si>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</si>
  <si>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</si>
  <si>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</si>
  <si>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</si>
  <si>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</si>
  <si>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</si>
  <si>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</si>
  <si>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</si>
  <si>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</si>
  <si>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</si>
  <si>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</si>
  <si>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</si>
  <si>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</si>
  <si>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</si>
  <si>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</si>
  <si>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</si>
  <si>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</si>
  <si>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</si>
  <si>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</si>
  <si>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</si>
  <si>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</si>
  <si>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</si>
  <si>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</si>
  <si>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</si>
  <si>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</si>
  <si>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</si>
  <si>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</si>
  <si>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</si>
  <si>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</si>
  <si>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</si>
  <si>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</si>
  <si>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</si>
  <si>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</si>
  <si>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</si>
  <si>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</si>
  <si>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</si>
  <si>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</si>
  <si>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</si>
  <si>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</si>
  <si>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</si>
  <si>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</si>
  <si>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</si>
  <si>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</si>
  <si>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</si>
  <si>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</si>
  <si>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</si>
  <si>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</si>
  <si>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</si>
  <si>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</si>
  <si>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</si>
  <si>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</si>
  <si>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</si>
  <si>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</si>
  <si>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</si>
  <si>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</si>
  <si>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</si>
  <si>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</si>
  <si>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</si>
  <si>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</si>
  <si>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</si>
  <si>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</si>
  <si>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</si>
  <si>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</si>
  <si>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</si>
  <si>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</si>
  <si>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</si>
  <si>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</si>
  <si>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</si>
  <si>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</si>
  <si>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</si>
  <si>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</si>
  <si>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</si>
  <si>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</si>
  <si>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</si>
  <si>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</si>
  <si>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</si>
  <si>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</si>
  <si>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</si>
  <si>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</si>
  <si>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</si>
  <si>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</si>
  <si>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</si>
  <si>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</si>
  <si>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</si>
  <si>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</si>
  <si>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</si>
  <si>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</si>
  <si>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</si>
  <si>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</si>
  <si>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</si>
  <si>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</si>
  <si>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</si>
  <si>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</si>
  <si>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</si>
  <si>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</si>
  <si>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</si>
  <si>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</si>
  <si>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</si>
  <si>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</si>
  <si>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</si>
  <si>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</si>
  <si>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</si>
  <si>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</si>
  <si>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</si>
  <si>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</si>
  <si>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</si>
  <si>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</si>
  <si>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</si>
  <si>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</si>
  <si>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</si>
  <si>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</si>
  <si>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</si>
  <si>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</si>
  <si>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</si>
  <si>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</si>
  <si>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</si>
  <si>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</si>
  <si>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</si>
  <si>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</si>
  <si>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</si>
  <si>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</si>
  <si>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</si>
  <si>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</si>
  <si>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</si>
  <si>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</si>
  <si>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</si>
  <si>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</si>
  <si>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</si>
  <si>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</si>
  <si>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</si>
  <si>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</si>
  <si>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</si>
  <si>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</si>
  <si>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</si>
  <si>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</si>
  <si>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</si>
  <si>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</si>
  <si>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</si>
  <si>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</si>
  <si>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</si>
  <si>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</si>
  <si>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</si>
  <si>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</si>
  <si>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</si>
  <si>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</si>
  <si>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</si>
  <si>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</si>
  <si>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</si>
  <si>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</si>
  <si>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</si>
  <si>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</si>
  <si>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</si>
  <si>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</si>
  <si>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</si>
  <si>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</si>
  <si>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</si>
  <si>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</si>
  <si>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</si>
  <si>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</si>
  <si>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</si>
  <si>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</si>
  <si>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</si>
  <si>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</si>
  <si>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</si>
  <si>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</si>
  <si>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</si>
  <si>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</si>
  <si>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</si>
  <si>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</si>
  <si>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</si>
  <si>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</si>
  <si>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</si>
  <si>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</si>
  <si>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</si>
  <si>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</si>
  <si>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</si>
  <si>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</si>
  <si>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</si>
  <si>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</si>
  <si>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</si>
  <si>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</si>
  <si>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</si>
  <si>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</si>
  <si>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</si>
  <si>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</si>
  <si>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</si>
  <si>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</si>
  <si>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</si>
  <si>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</si>
  <si>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</si>
  <si>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</si>
  <si>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</si>
  <si>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</si>
  <si>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</si>
  <si>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</si>
  <si>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</si>
  <si>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</si>
  <si>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</si>
  <si>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</si>
  <si>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</si>
  <si>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</si>
  <si>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</si>
  <si>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</si>
  <si>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</si>
  <si>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</si>
  <si>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</si>
  <si>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</si>
  <si>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</si>
  <si>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</si>
  <si>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</si>
  <si>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</si>
  <si>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</si>
  <si>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</si>
  <si>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</si>
  <si>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</si>
  <si>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</si>
  <si>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</si>
  <si>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</si>
  <si>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</si>
  <si>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</si>
  <si>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</si>
  <si>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</si>
  <si>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</si>
  <si>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</si>
  <si>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</si>
  <si>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</si>
  <si>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</si>
  <si>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</si>
  <si>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</si>
  <si>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</si>
  <si>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</si>
  <si>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</si>
  <si>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</si>
  <si>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</si>
  <si>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</si>
  <si>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</si>
  <si>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</si>
  <si>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</si>
  <si>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</si>
  <si>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</si>
  <si>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</si>
  <si>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</si>
  <si>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</si>
  <si>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</si>
  <si>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</si>
  <si>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</si>
  <si>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</si>
  <si>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</si>
  <si>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</si>
  <si>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</si>
  <si>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</si>
  <si>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</si>
  <si>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</si>
  <si>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</si>
  <si>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</si>
  <si>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</si>
  <si>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</si>
  <si>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</si>
  <si>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</si>
  <si>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</si>
  <si>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</si>
  <si>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</si>
  <si>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</si>
  <si>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</si>
  <si>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</si>
  <si>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</si>
  <si>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</si>
  <si>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</si>
  <si>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</si>
  <si>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</si>
  <si>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</si>
  <si>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</si>
  <si>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</si>
  <si>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</si>
  <si>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</si>
  <si>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</si>
  <si>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</si>
  <si>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</si>
  <si>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</si>
  <si>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</si>
  <si>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</si>
  <si>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</si>
  <si>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</si>
  <si>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</si>
  <si>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</si>
  <si>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</si>
  <si>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</si>
  <si>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</si>
  <si>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</si>
  <si>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</si>
  <si>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</si>
  <si>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</si>
  <si>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</si>
  <si>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Business, Consumer Services and Housing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</si>
</sst>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2">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49"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B24" sqref="B2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100" zoomScale="90" zoomScaleNormal="90" workbookViewId="0">
      <selection activeCell="N54" sqref="N54"/>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t="s">
        <v>1803</v>
      </c>
      <c r="G4" s="266"/>
      <c r="H4" s="266"/>
      <c r="I4" s="266"/>
    </row>
    <row r="5" spans="1:20" ht="16.5" customHeight="1" x14ac:dyDescent="0.2">
      <c r="A5" s="264" t="s">
        <v>1639</v>
      </c>
      <c r="B5" s="264"/>
      <c r="C5" s="264"/>
      <c r="D5" s="264"/>
      <c r="E5" s="264"/>
      <c r="F5" s="266" t="s">
        <v>323</v>
      </c>
      <c r="G5" s="266"/>
      <c r="H5" s="266"/>
      <c r="I5" s="266"/>
      <c r="L5" s="39"/>
      <c r="M5" s="39"/>
      <c r="N5" s="39"/>
      <c r="O5" s="39"/>
      <c r="P5" s="39"/>
      <c r="Q5" s="39"/>
    </row>
    <row r="6" spans="1:20" ht="16.5" customHeight="1" x14ac:dyDescent="0.25">
      <c r="A6" s="264" t="s">
        <v>1682</v>
      </c>
      <c r="B6" s="264"/>
      <c r="C6" s="264"/>
      <c r="D6" s="264"/>
      <c r="E6" s="264"/>
      <c r="F6" s="267">
        <v>1</v>
      </c>
      <c r="G6" s="267"/>
      <c r="H6" s="267"/>
      <c r="I6" s="267"/>
      <c r="L6" s="40"/>
      <c r="M6" s="40"/>
      <c r="N6" s="40"/>
      <c r="O6" s="40"/>
      <c r="P6" s="39"/>
      <c r="Q6" s="39"/>
    </row>
    <row r="7" spans="1:20" ht="16.5" customHeight="1" x14ac:dyDescent="0.25">
      <c r="A7" s="264" t="s">
        <v>3</v>
      </c>
      <c r="B7" s="264"/>
      <c r="C7" s="264"/>
      <c r="D7" s="264"/>
      <c r="E7" s="264"/>
      <c r="F7" s="267" t="s">
        <v>123</v>
      </c>
      <c r="G7" s="267"/>
      <c r="H7" s="267"/>
      <c r="I7" s="267"/>
      <c r="K7" s="96"/>
      <c r="L7" s="40"/>
      <c r="M7" s="40"/>
      <c r="N7" s="40"/>
      <c r="O7" s="40"/>
      <c r="P7" s="39"/>
      <c r="Q7" s="39"/>
    </row>
    <row r="8" spans="1:20" ht="16.5" customHeight="1" x14ac:dyDescent="0.25">
      <c r="A8" s="264" t="s">
        <v>1640</v>
      </c>
      <c r="B8" s="264"/>
      <c r="C8" s="264"/>
      <c r="D8" s="264"/>
      <c r="E8" s="264"/>
      <c r="F8" s="267" t="s">
        <v>164</v>
      </c>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BUS, CONSUMER SERV, HOUSING</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v>0</v>
      </c>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v>0</v>
      </c>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2485655</v>
      </c>
      <c r="M17" s="196">
        <v>2485655</v>
      </c>
      <c r="P17" s="196">
        <v>2485655</v>
      </c>
      <c r="Q17" s="224"/>
      <c r="S17" s="223">
        <f t="shared" si="0"/>
        <v>0</v>
      </c>
      <c r="T17" s="251" t="s">
        <v>1760</v>
      </c>
    </row>
    <row r="18" spans="1:20" ht="16.5" customHeight="1" x14ac:dyDescent="0.25">
      <c r="A18" s="99"/>
      <c r="B18" s="26" t="s">
        <v>178</v>
      </c>
      <c r="C18" s="26"/>
      <c r="D18" s="26"/>
      <c r="E18" s="193"/>
      <c r="F18" s="194"/>
      <c r="G18" s="194"/>
      <c r="H18" s="195"/>
      <c r="I18" s="195"/>
      <c r="J18" s="248">
        <f>P18</f>
        <v>52576</v>
      </c>
      <c r="M18" s="196">
        <v>52576</v>
      </c>
      <c r="P18" s="221">
        <f>IF(SUM($Q$20:$Q$23)&gt;SUM($P$15:$P$17),SUM($Q$20:$Q$23)-SUM($P$15:$P$17),0)</f>
        <v>52576</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v>0</v>
      </c>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v>0</v>
      </c>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v>0</v>
      </c>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491953</v>
      </c>
      <c r="N22" s="196">
        <v>491953</v>
      </c>
      <c r="P22" s="224"/>
      <c r="Q22" s="196">
        <v>491953</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2046278</v>
      </c>
      <c r="N23" s="196">
        <v>2046278</v>
      </c>
      <c r="P23" s="224"/>
      <c r="Q23" s="196">
        <v>2046278</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v>0</v>
      </c>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v>0</v>
      </c>
      <c r="P25" s="224"/>
      <c r="Q25" s="224"/>
      <c r="S25" s="223">
        <f t="shared" si="1"/>
        <v>0</v>
      </c>
      <c r="T25" s="250" t="s">
        <v>1730</v>
      </c>
    </row>
    <row r="26" spans="1:20" ht="16.5" customHeight="1" x14ac:dyDescent="0.25">
      <c r="A26" s="99"/>
      <c r="C26" s="47"/>
      <c r="D26" s="47"/>
      <c r="E26" s="47"/>
      <c r="F26" s="179"/>
      <c r="G26" s="179"/>
      <c r="H26" s="49"/>
      <c r="I26" s="49"/>
      <c r="J26" s="155">
        <f>SUM(J15:J25)</f>
        <v>2538231</v>
      </c>
      <c r="K26" s="155">
        <f>SUM(K15:K25)</f>
        <v>2538231</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0825 - BUS, CONSUMER SERV, HOUSING</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310707</v>
      </c>
      <c r="K55" s="197"/>
    </row>
    <row r="56" spans="1:16" ht="16.5" customHeight="1" x14ac:dyDescent="0.25">
      <c r="A56" s="99"/>
      <c r="B56" s="53"/>
      <c r="C56" s="26" t="s">
        <v>187</v>
      </c>
      <c r="D56" s="193"/>
      <c r="E56" s="193"/>
      <c r="F56" s="194"/>
      <c r="G56" s="194"/>
      <c r="H56" s="195"/>
      <c r="I56" s="195"/>
      <c r="J56" s="198"/>
      <c r="K56" s="196">
        <v>0</v>
      </c>
    </row>
    <row r="57" spans="1:16" ht="16.5" customHeight="1" x14ac:dyDescent="0.25">
      <c r="A57" s="99"/>
      <c r="B57" s="53"/>
      <c r="C57" s="26" t="s">
        <v>184</v>
      </c>
      <c r="D57" s="193"/>
      <c r="E57" s="193"/>
      <c r="F57" s="194"/>
      <c r="G57" s="194"/>
      <c r="H57" s="195"/>
      <c r="I57" s="195"/>
      <c r="J57" s="198"/>
      <c r="K57" s="196">
        <v>0</v>
      </c>
    </row>
    <row r="58" spans="1:16" ht="16.5" customHeight="1" x14ac:dyDescent="0.25">
      <c r="A58" s="99"/>
      <c r="B58" s="26"/>
      <c r="C58" s="26" t="s">
        <v>188</v>
      </c>
      <c r="D58" s="193"/>
      <c r="E58" s="193"/>
      <c r="F58" s="194"/>
      <c r="G58" s="194"/>
      <c r="H58" s="195"/>
      <c r="I58" s="195"/>
      <c r="J58" s="197"/>
      <c r="K58" s="196">
        <v>310707</v>
      </c>
    </row>
    <row r="59" spans="1:16" ht="16.5" customHeight="1" x14ac:dyDescent="0.25">
      <c r="A59" s="99"/>
      <c r="C59" s="43"/>
      <c r="D59" s="43"/>
      <c r="E59" s="43"/>
      <c r="F59" s="44"/>
      <c r="G59" s="44"/>
      <c r="H59" s="45"/>
      <c r="I59" s="45"/>
      <c r="J59" s="155">
        <f>SUM(J55:J58)</f>
        <v>310707</v>
      </c>
      <c r="K59" s="155">
        <f>SUM(K55:K58)</f>
        <v>310707</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289753</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17231</v>
      </c>
      <c r="K63" s="200"/>
    </row>
    <row r="64" spans="1:16" ht="16.5" customHeight="1" x14ac:dyDescent="0.25">
      <c r="A64" s="99"/>
      <c r="B64" s="26"/>
      <c r="C64" s="26" t="str">
        <f>IF($F$7="Proprietary","Cr: Acct 0870 - SERVICES &amp; CHARGES (MG ADJ)",VLOOKUP($F$9,'Drop Down Menus'!$F$2:$G$10,2,FALSE))</f>
        <v>Cr: Acct 0825 - BUS, CONSUMER SERV, HOUSING</v>
      </c>
      <c r="D64" s="193"/>
      <c r="E64" s="193"/>
      <c r="F64" s="194"/>
      <c r="G64" s="194"/>
      <c r="H64" s="195"/>
      <c r="I64" s="195"/>
      <c r="J64" s="200"/>
      <c r="K64" s="196">
        <f>SUM(J62:J63)</f>
        <v>306984</v>
      </c>
    </row>
    <row r="65" spans="1:12" ht="16.5" customHeight="1" x14ac:dyDescent="0.25">
      <c r="A65" s="99"/>
      <c r="C65" s="43"/>
      <c r="D65" s="43"/>
      <c r="E65" s="43"/>
      <c r="F65" s="44"/>
      <c r="G65" s="44"/>
      <c r="H65" s="45"/>
      <c r="I65" s="45"/>
      <c r="J65" s="155">
        <f>SUM(J62:J64)</f>
        <v>306984</v>
      </c>
      <c r="K65" s="155">
        <f>SUM(K62:K64)</f>
        <v>306984</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289753</v>
      </c>
      <c r="K68" s="197"/>
    </row>
    <row r="69" spans="1:12" ht="16.5" customHeight="1" x14ac:dyDescent="0.25">
      <c r="A69" s="99"/>
      <c r="B69" s="26"/>
      <c r="C69" s="26" t="s">
        <v>202</v>
      </c>
      <c r="D69" s="193"/>
      <c r="E69" s="193"/>
      <c r="F69" s="194"/>
      <c r="G69" s="194"/>
      <c r="H69" s="195"/>
      <c r="I69" s="195"/>
      <c r="J69" s="197"/>
      <c r="K69" s="196">
        <v>289753</v>
      </c>
      <c r="L69" s="37" t="str">
        <f>IF($J$62=$K$69,"","&lt;- Accts 0848 must agree")</f>
        <v/>
      </c>
    </row>
    <row r="70" spans="1:12" ht="16.5" customHeight="1" x14ac:dyDescent="0.25">
      <c r="A70" s="99"/>
      <c r="C70" s="43"/>
      <c r="D70" s="43"/>
      <c r="E70" s="43"/>
      <c r="F70" s="44"/>
      <c r="G70" s="44"/>
      <c r="H70" s="45"/>
      <c r="I70" s="45"/>
      <c r="J70" s="155">
        <f>SUM(J68:J69)</f>
        <v>289753</v>
      </c>
      <c r="K70" s="155">
        <f>SUM(K68:K69)</f>
        <v>289753</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300217</v>
      </c>
      <c r="K75" s="197"/>
    </row>
    <row r="76" spans="1:12" ht="16.5" customHeight="1" x14ac:dyDescent="0.25">
      <c r="A76" s="99"/>
      <c r="B76" s="26"/>
      <c r="C76" s="26" t="s">
        <v>210</v>
      </c>
      <c r="D76" s="193"/>
      <c r="E76" s="193"/>
      <c r="F76" s="194"/>
      <c r="G76" s="194"/>
      <c r="H76" s="195"/>
      <c r="I76" s="195"/>
      <c r="J76" s="197"/>
      <c r="K76" s="196">
        <v>300217</v>
      </c>
    </row>
    <row r="77" spans="1:12" ht="16.5" customHeight="1" x14ac:dyDescent="0.2">
      <c r="A77" s="99"/>
      <c r="B77" s="262" t="s">
        <v>1737</v>
      </c>
      <c r="C77" s="262"/>
      <c r="D77" s="262"/>
      <c r="E77" s="262"/>
      <c r="F77" s="262"/>
      <c r="G77" s="262"/>
      <c r="H77" s="262"/>
      <c r="I77" s="262"/>
      <c r="J77" s="155">
        <f>SUM(J75:J76)</f>
        <v>300217</v>
      </c>
      <c r="K77" s="155">
        <f>SUM(K75:K76)</f>
        <v>300217</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0825 - BUS, CONSUMER SERV, HOUSING</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0825 - BUS, CONSUMER SERV, HOUSING</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2485655</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-802660</v>
      </c>
    </row>
    <row r="128" spans="1:12" ht="16.5" customHeight="1" x14ac:dyDescent="0.25">
      <c r="D128" s="193" t="s">
        <v>1708</v>
      </c>
      <c r="H128" s="37"/>
      <c r="K128" s="238">
        <f>-K23-K48+J68+J75+J96-K113</f>
        <v>-1456308</v>
      </c>
    </row>
    <row r="129" spans="4:11" ht="16.5" customHeight="1" x14ac:dyDescent="0.25">
      <c r="D129" s="193" t="s">
        <v>1709</v>
      </c>
      <c r="H129" s="37"/>
      <c r="K129" s="238">
        <f>-K76</f>
        <v>-300217</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90" zoomScaleNormal="90" workbookViewId="0">
      <selection activeCell="B15" sqref="B15"/>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5" t="s">
        <v>211</v>
      </c>
      <c r="B3" s="285"/>
      <c r="C3" s="285"/>
      <c r="D3" s="52"/>
      <c r="E3" s="5"/>
      <c r="F3" s="5"/>
      <c r="G3" s="5"/>
      <c r="H3" s="5"/>
      <c r="I3" s="5"/>
      <c r="J3" s="5"/>
      <c r="K3" s="5"/>
      <c r="L3" s="5"/>
      <c r="M3" s="5"/>
    </row>
    <row r="4" spans="1:13" ht="31.15" customHeight="1" x14ac:dyDescent="0.25">
      <c r="A4" s="286" t="s">
        <v>7</v>
      </c>
      <c r="B4" s="286"/>
      <c r="C4" s="286"/>
      <c r="D4" s="52"/>
      <c r="E4" s="5"/>
      <c r="F4" s="5"/>
      <c r="G4" s="5"/>
      <c r="H4" s="5"/>
      <c r="I4" s="5"/>
      <c r="J4" s="5"/>
      <c r="K4" s="5"/>
      <c r="L4" s="5"/>
      <c r="M4" s="5"/>
    </row>
    <row r="5" spans="1:13" ht="31.15" customHeight="1" x14ac:dyDescent="0.25">
      <c r="A5" s="286" t="s">
        <v>9</v>
      </c>
      <c r="B5" s="286"/>
      <c r="C5" s="286"/>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v>515</v>
      </c>
      <c r="C9" s="282"/>
      <c r="D9" s="5"/>
      <c r="E9" s="5"/>
      <c r="F9" s="5"/>
    </row>
    <row r="10" spans="1:13" ht="15.75" x14ac:dyDescent="0.25">
      <c r="A10" s="12" t="s">
        <v>208</v>
      </c>
      <c r="B10" s="283" t="s">
        <v>1803</v>
      </c>
      <c r="C10" s="284"/>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v>300217</v>
      </c>
      <c r="C13" s="100">
        <v>14581</v>
      </c>
      <c r="D13" s="272" t="s">
        <v>6</v>
      </c>
      <c r="E13" s="273"/>
      <c r="F13" s="273"/>
      <c r="G13" s="57"/>
      <c r="H13" s="57"/>
      <c r="I13" s="57"/>
      <c r="J13" s="57"/>
      <c r="K13" s="57"/>
      <c r="L13" s="57"/>
      <c r="M13" s="57"/>
    </row>
    <row r="14" spans="1:13" x14ac:dyDescent="0.2">
      <c r="A14" s="84" t="str">
        <f>LEFT(A13,4)+1&amp;"–"&amp;RIGHT(A13,4)+1</f>
        <v>2025–2026</v>
      </c>
      <c r="B14" s="100">
        <v>311083</v>
      </c>
      <c r="C14" s="100">
        <v>11835</v>
      </c>
      <c r="D14" s="272"/>
      <c r="E14" s="273"/>
      <c r="F14" s="273"/>
    </row>
    <row r="15" spans="1:13" ht="15.75" x14ac:dyDescent="0.2">
      <c r="A15" s="84" t="str">
        <f>LEFT(A14,4)+1&amp;"–"&amp;RIGHT(A14,4)+1</f>
        <v>2026–2027</v>
      </c>
      <c r="B15" s="100">
        <v>322050</v>
      </c>
      <c r="C15" s="100">
        <v>8990</v>
      </c>
      <c r="D15" s="269" t="s">
        <v>130</v>
      </c>
      <c r="E15" s="269"/>
      <c r="F15" s="269"/>
      <c r="G15" s="58"/>
      <c r="H15" s="58"/>
      <c r="I15" s="58"/>
      <c r="J15" s="58"/>
      <c r="K15" s="58"/>
      <c r="L15" s="58"/>
      <c r="M15" s="58"/>
    </row>
    <row r="16" spans="1:13" x14ac:dyDescent="0.2">
      <c r="A16" s="84" t="str">
        <f>LEFT(A15,4)+1&amp;"–"&amp;RIGHT(A15,4)+1</f>
        <v>2027–2028</v>
      </c>
      <c r="B16" s="100">
        <v>333114</v>
      </c>
      <c r="C16" s="100">
        <v>6046</v>
      </c>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v>344279</v>
      </c>
      <c r="C17" s="100">
        <v>3002</v>
      </c>
      <c r="D17" s="269"/>
      <c r="E17" s="269"/>
      <c r="F17" s="269"/>
      <c r="G17" s="59"/>
      <c r="H17" s="59"/>
      <c r="I17" s="59"/>
      <c r="J17" s="59"/>
      <c r="K17" s="59"/>
    </row>
    <row r="18" spans="1:13" ht="15" customHeight="1" x14ac:dyDescent="0.25">
      <c r="A18" s="84" t="str">
        <f>LEFT(A17,4)+1&amp;"–"&amp;RIGHT(A17,4)+5</f>
        <v>2029–2034</v>
      </c>
      <c r="B18" s="100">
        <v>145782</v>
      </c>
      <c r="C18" s="100">
        <v>328</v>
      </c>
      <c r="D18" s="272" t="s">
        <v>8</v>
      </c>
      <c r="E18" s="273"/>
      <c r="F18" s="273"/>
      <c r="G18" s="57"/>
      <c r="H18" s="57"/>
      <c r="I18" s="57"/>
      <c r="J18" s="57"/>
      <c r="K18" s="57"/>
      <c r="L18" s="57"/>
      <c r="M18" s="57"/>
    </row>
    <row r="19" spans="1:13" x14ac:dyDescent="0.2">
      <c r="A19" s="84" t="str">
        <f t="shared" ref="A19:A32" si="0">LEFT(A18,4)+5&amp;"–"&amp;RIGHT(A18,4)+5</f>
        <v>2034–2039</v>
      </c>
      <c r="B19" s="100"/>
      <c r="C19" s="100"/>
      <c r="D19" s="272"/>
      <c r="E19" s="273"/>
      <c r="F19" s="273"/>
    </row>
    <row r="20" spans="1:13" ht="15.75" x14ac:dyDescent="0.2">
      <c r="A20" s="84" t="str">
        <f t="shared" si="0"/>
        <v>2039–2044</v>
      </c>
      <c r="B20" s="100"/>
      <c r="C20" s="100"/>
      <c r="D20" s="269" t="s">
        <v>130</v>
      </c>
      <c r="E20" s="269"/>
      <c r="F20" s="269"/>
      <c r="G20" s="58"/>
      <c r="H20" s="58"/>
      <c r="I20" s="58"/>
      <c r="J20" s="58"/>
      <c r="K20" s="58"/>
      <c r="L20" s="58"/>
      <c r="M20" s="58"/>
    </row>
    <row r="21" spans="1:13" ht="15" customHeight="1" x14ac:dyDescent="0.2">
      <c r="A21" s="84" t="str">
        <f t="shared" si="0"/>
        <v>2044–2049</v>
      </c>
      <c r="B21" s="100"/>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c r="C22" s="100"/>
      <c r="D22" s="270"/>
      <c r="E22" s="271"/>
      <c r="F22" s="271"/>
    </row>
    <row r="23" spans="1:13" x14ac:dyDescent="0.2">
      <c r="A23" s="84" t="str">
        <f t="shared" si="0"/>
        <v>2054–2059</v>
      </c>
      <c r="B23" s="100"/>
      <c r="C23" s="100"/>
      <c r="D23" s="269"/>
      <c r="E23" s="269"/>
      <c r="F23" s="269"/>
    </row>
    <row r="24" spans="1:13" x14ac:dyDescent="0.2">
      <c r="A24" s="84" t="str">
        <f t="shared" si="0"/>
        <v>2059–2064</v>
      </c>
      <c r="B24" s="100"/>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c r="C25" s="100"/>
      <c r="D25" s="270"/>
      <c r="E25" s="271"/>
      <c r="F25" s="271"/>
    </row>
    <row r="26" spans="1:13" x14ac:dyDescent="0.2">
      <c r="A26" s="84" t="str">
        <f t="shared" si="0"/>
        <v>2069–2074</v>
      </c>
      <c r="B26" s="100"/>
      <c r="C26" s="100"/>
      <c r="D26" s="269">
        <v>0</v>
      </c>
      <c r="E26" s="269"/>
      <c r="F26" s="269"/>
    </row>
    <row r="27" spans="1:13" ht="15" customHeight="1" x14ac:dyDescent="0.2">
      <c r="A27" s="84" t="str">
        <f t="shared" si="0"/>
        <v>2074–2079</v>
      </c>
      <c r="B27" s="100"/>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c r="C28" s="100"/>
      <c r="D28" s="272"/>
      <c r="E28" s="273"/>
      <c r="F28" s="273"/>
      <c r="G28" s="61"/>
      <c r="H28" s="61"/>
      <c r="I28" s="61"/>
      <c r="J28" s="61"/>
      <c r="K28" s="61"/>
      <c r="L28" s="61"/>
      <c r="M28" s="61"/>
    </row>
    <row r="29" spans="1:13" ht="15.75" x14ac:dyDescent="0.2">
      <c r="A29" s="84" t="str">
        <f t="shared" si="0"/>
        <v>2084–2089</v>
      </c>
      <c r="B29" s="100"/>
      <c r="C29" s="100"/>
      <c r="D29" s="269" t="s">
        <v>130</v>
      </c>
      <c r="E29" s="269"/>
      <c r="F29" s="269"/>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9" t="s">
        <v>130</v>
      </c>
      <c r="E31" s="269"/>
      <c r="F31" s="269"/>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9"/>
      <c r="E33" s="269"/>
      <c r="F33" s="269"/>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f>B9</f>
        <v>515</v>
      </c>
      <c r="C40" s="278"/>
      <c r="E40" s="60"/>
    </row>
    <row r="41" spans="1:13" ht="15.75" x14ac:dyDescent="0.25">
      <c r="A41" s="12" t="s">
        <v>208</v>
      </c>
      <c r="B41" s="276" t="str">
        <f>B10</f>
        <v>Business, Consumer Services and Housing Agency</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f>B9</f>
        <v>515</v>
      </c>
      <c r="C71" s="278"/>
    </row>
    <row r="72" spans="1:13" ht="15.75" x14ac:dyDescent="0.25">
      <c r="A72" s="12" t="s">
        <v>208</v>
      </c>
      <c r="B72" s="276" t="str">
        <f>B10</f>
        <v>Business, Consumer Services and Housing Agency</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J29" sqref="J29"/>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0001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515 - Business, Consumer Services and Housing Agency</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v>2046278</v>
      </c>
      <c r="G10" s="103"/>
      <c r="H10" s="107">
        <f>IF('LS-Fund 0001 Journal Entries'!$F$8="Governmental Fund",SUM('LS-Fund 0001 Journal Entries'!$K$48,'LS-Fund 0001 Journal Entries'!K113),0)</f>
        <v>0</v>
      </c>
      <c r="I10" s="103"/>
      <c r="J10" s="107">
        <f>IF('LS-Fund 0001 Journal Entries'!$F$8="Governmental Fund",SUM('LS-Fund 0001 Journal Entries'!$J$68,'LS-Fund 0001 Journal Entries'!J96),0)</f>
        <v>289753</v>
      </c>
      <c r="K10" s="103"/>
      <c r="L10" s="109">
        <f>SUM(F10+H10-J10)</f>
        <v>1756525</v>
      </c>
      <c r="M10" s="103"/>
      <c r="N10" s="107">
        <f>IF('LS-Fund 0001 Journal Entries'!$F$8="Governmental Fund",'LS-Fund 0001 Journal Entries'!$K$76,0)</f>
        <v>300217</v>
      </c>
      <c r="O10" s="103"/>
      <c r="P10" s="109">
        <f>L10-N10</f>
        <v>1456308</v>
      </c>
      <c r="Q10" s="71"/>
    </row>
    <row r="11" spans="2:17" ht="19.5" thickTop="1" thickBot="1" x14ac:dyDescent="0.3">
      <c r="B11" s="69"/>
      <c r="C11" s="73" t="s">
        <v>21</v>
      </c>
      <c r="F11" s="108">
        <f>SUM(F10:F10)</f>
        <v>2046278</v>
      </c>
      <c r="G11" s="103"/>
      <c r="H11" s="108">
        <f>SUM(H10:H10)</f>
        <v>0</v>
      </c>
      <c r="I11" s="103"/>
      <c r="J11" s="108">
        <f>SUM(J10:J10)</f>
        <v>289753</v>
      </c>
      <c r="K11" s="103"/>
      <c r="L11" s="108">
        <f>SUM(L10:L10)</f>
        <v>1756525</v>
      </c>
      <c r="M11" s="103"/>
      <c r="N11" s="108">
        <f>SUM(N10:N10)</f>
        <v>300217</v>
      </c>
      <c r="O11" s="103"/>
      <c r="P11" s="108">
        <f>SUM(P10:P10)</f>
        <v>1456308</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0001 Journal Entries'!$F$8="Proprietary - Internal Service Fund",'LS-Fund 0001 Journal Entries'!$K$23,0)</f>
        <v>0</v>
      </c>
      <c r="G14" s="103"/>
      <c r="H14" s="107">
        <f>IF('LS-Fund 0001 Journal Entries'!$F$8="Proprietary - Internal Service Fund",SUM('LS-Fund 0001 Journal Entries'!$K$48,'LS-Fund 0001 Journal Entries'!K113),0)</f>
        <v>0</v>
      </c>
      <c r="I14" s="103"/>
      <c r="J14" s="107">
        <f>IF('LS-Fund 0001 Journal Entries'!$F$8="Proprietary - Internal Service Fund",SUM('LS-Fund 0001 Journal Entries'!$J$68,'LS-Fund 0001 Journal Entries'!J96),0)</f>
        <v>0</v>
      </c>
      <c r="K14" s="103"/>
      <c r="L14" s="109">
        <f>SUM(F14+H14-J14)</f>
        <v>0</v>
      </c>
      <c r="M14" s="103"/>
      <c r="N14" s="107">
        <f>IF('LS-Fund 0001 Journal Entries'!$F$8="Proprietary - Internal Service Fund",'LS-Fund 0001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0001 Journal Entries'!$F$8="Proprietary - Enterprise Fund",'LS-Fund 0001 Journal Entries'!$K$23,0)</f>
        <v>0</v>
      </c>
      <c r="G18" s="103"/>
      <c r="H18" s="107">
        <f>IF('LS-Fund 0001 Journal Entries'!$F$8="Proprietary - Enterprise Fund",SUM('LS-Fund 0001 Journal Entries'!$K$48,'LS-Fund 0001 Journal Entries'!K113),0)</f>
        <v>0</v>
      </c>
      <c r="I18" s="103"/>
      <c r="J18" s="107">
        <f>IF('LS-Fund 0001 Journal Entries'!$F$8="Proprietary - Enterprise Fund",SUM('LS-Fund 0001 Journal Entries'!$J$68,'LS-Fund 0001 Journal Entries'!J96),0)</f>
        <v>0</v>
      </c>
      <c r="K18" s="103"/>
      <c r="L18" s="109">
        <f>SUM(F18+H18-J18)</f>
        <v>0</v>
      </c>
      <c r="M18" s="103"/>
      <c r="N18" s="107">
        <f>IF('LS-Fund 0001 Journal Entries'!$F$8="Proprietary - Enterprise Fund",'LS-Fund 0001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abSelected="1" zoomScale="112" zoomScaleNormal="112" workbookViewId="0">
      <selection activeCell="M37" sqref="M37"/>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7" t="s">
        <v>163</v>
      </c>
      <c r="B5" s="287"/>
      <c r="C5" s="287"/>
      <c r="D5" s="287"/>
      <c r="E5" s="287"/>
      <c r="F5" s="287"/>
      <c r="G5" s="287"/>
      <c r="H5" s="287"/>
      <c r="I5" s="287"/>
      <c r="J5" s="287"/>
      <c r="K5" s="287"/>
      <c r="L5" s="287"/>
      <c r="M5" s="287"/>
      <c r="N5" s="287"/>
      <c r="O5" s="287"/>
      <c r="P5" s="287"/>
      <c r="Q5" s="287"/>
    </row>
    <row r="6" spans="1:17" ht="15" customHeight="1" x14ac:dyDescent="0.25">
      <c r="A6" s="287"/>
      <c r="B6" s="287"/>
      <c r="C6" s="287"/>
      <c r="D6" s="287"/>
      <c r="E6" s="287"/>
      <c r="F6" s="287"/>
      <c r="G6" s="287"/>
      <c r="H6" s="287"/>
      <c r="I6" s="287"/>
      <c r="J6" s="287"/>
      <c r="K6" s="287"/>
      <c r="L6" s="287"/>
      <c r="M6" s="287"/>
      <c r="N6" s="287"/>
      <c r="O6" s="287"/>
      <c r="P6" s="287"/>
      <c r="Q6" s="287"/>
    </row>
    <row r="7" spans="1:17" x14ac:dyDescent="0.25">
      <c r="A7" s="287"/>
      <c r="B7" s="287"/>
      <c r="C7" s="287"/>
      <c r="D7" s="287"/>
      <c r="E7" s="287"/>
      <c r="F7" s="287"/>
      <c r="G7" s="287"/>
      <c r="H7" s="287"/>
      <c r="I7" s="287"/>
      <c r="J7" s="287"/>
      <c r="K7" s="287"/>
      <c r="L7" s="287"/>
      <c r="M7" s="287"/>
      <c r="N7" s="287"/>
      <c r="O7" s="287"/>
      <c r="P7" s="287"/>
      <c r="Q7" s="287"/>
    </row>
    <row r="8" spans="1:17" ht="15" customHeight="1" x14ac:dyDescent="0.25">
      <c r="A8" s="288" t="s">
        <v>1659</v>
      </c>
      <c r="B8" s="288"/>
      <c r="C8" s="288"/>
      <c r="D8" s="288"/>
      <c r="E8" s="288"/>
      <c r="F8" s="288"/>
      <c r="G8" s="288"/>
      <c r="H8" s="288"/>
      <c r="I8" s="288"/>
      <c r="J8" s="288"/>
      <c r="K8" s="288"/>
      <c r="L8" s="288"/>
      <c r="M8" s="288"/>
      <c r="N8" s="288"/>
      <c r="O8" s="288"/>
      <c r="P8" s="288"/>
      <c r="Q8" s="288"/>
    </row>
    <row r="9" spans="1:17" x14ac:dyDescent="0.25">
      <c r="A9" s="288"/>
      <c r="B9" s="288"/>
      <c r="C9" s="288"/>
      <c r="D9" s="288"/>
      <c r="E9" s="288"/>
      <c r="F9" s="288"/>
      <c r="G9" s="288"/>
      <c r="H9" s="288"/>
      <c r="I9" s="288"/>
      <c r="J9" s="288"/>
      <c r="K9" s="288"/>
      <c r="L9" s="288"/>
      <c r="M9" s="288"/>
      <c r="N9" s="288"/>
      <c r="O9" s="288"/>
      <c r="P9" s="288"/>
      <c r="Q9" s="288"/>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9" t="s">
        <v>152</v>
      </c>
      <c r="C13" s="289"/>
      <c r="D13" s="289"/>
      <c r="E13" s="289"/>
      <c r="F13" s="289"/>
      <c r="G13" s="289"/>
      <c r="H13" s="289"/>
      <c r="I13" s="289"/>
      <c r="J13" s="289"/>
      <c r="K13" s="289"/>
      <c r="L13" s="289"/>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v>2046278</v>
      </c>
      <c r="C16" s="168" t="s">
        <v>155</v>
      </c>
      <c r="D16" s="130">
        <f>IF('LS-Fund 0001 Journal Entries'!$F$8="Governmental Fund",'LS-Fund 0001 Journal Entries'!$K$48,0)</f>
        <v>0</v>
      </c>
      <c r="E16" s="170" t="s">
        <v>156</v>
      </c>
      <c r="F16" s="130">
        <f>IF('LS-Fund 0001 Journal Entries'!$F$8="Governmental Fund",'LS-Fund 0001 Journal Entries'!$J$68,0)</f>
        <v>289753</v>
      </c>
      <c r="G16" s="169" t="s">
        <v>156</v>
      </c>
      <c r="H16" s="130">
        <f>IF('LS-Fund 0001 Journal Entries'!$F$8="Governmental Fund",'LS-Fund 0001 Journal Entries'!$J$96,0)</f>
        <v>0</v>
      </c>
      <c r="I16" s="169" t="s">
        <v>155</v>
      </c>
      <c r="J16" s="130">
        <f>IF('LS-Fund 0001 Journal Entries'!$F$8="Governmental Fund",'LS-Fund 0001 Journal Entries'!$K$113,0)</f>
        <v>0</v>
      </c>
      <c r="K16" s="170" t="s">
        <v>159</v>
      </c>
      <c r="L16" s="133">
        <f>+B16+D16-F16-H16+J16</f>
        <v>1756525</v>
      </c>
      <c r="M16" s="132"/>
      <c r="N16" s="134">
        <f>SUM('LS-Department Note Disclosure'!B13:B36)</f>
        <v>1756525</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9" t="s">
        <v>152</v>
      </c>
      <c r="C21" s="289"/>
      <c r="D21" s="289"/>
      <c r="E21" s="289"/>
      <c r="F21" s="289"/>
      <c r="G21" s="289"/>
      <c r="H21" s="289"/>
      <c r="I21" s="289"/>
      <c r="J21" s="289"/>
      <c r="K21" s="289"/>
      <c r="L21" s="289"/>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0001 Journal Entries'!$F$8="Proprietary - Internal Service Fund",'LS-Fund 0001 Journal Entries'!$K$23,0)</f>
        <v>0</v>
      </c>
      <c r="C24" s="168" t="s">
        <v>155</v>
      </c>
      <c r="D24" s="130">
        <f>IF('LS-Fund 0001 Journal Entries'!$F$8="Proprietary - Internal Service Fund",'LS-Fund 0001 Journal Entries'!$K$48,0)</f>
        <v>0</v>
      </c>
      <c r="E24" s="170" t="s">
        <v>156</v>
      </c>
      <c r="F24" s="130">
        <f>IF('LS-Fund 0001 Journal Entries'!$F$8="Proprietary - Internal Service Fund",'LS-Fund 0001 Journal Entries'!$J$68,0)</f>
        <v>0</v>
      </c>
      <c r="G24" s="169" t="s">
        <v>156</v>
      </c>
      <c r="H24" s="130">
        <f>IF('LS-Fund 0001 Journal Entries'!$F$8="Proprietary - Internal Service Fund",'LS-Fund 0001 Journal Entries'!$J$96,0)</f>
        <v>0</v>
      </c>
      <c r="I24" s="169" t="s">
        <v>155</v>
      </c>
      <c r="J24" s="130">
        <f>IF('LS-Fund 0001 Journal Entries'!$F$8="Proprietary - Internal Service Fund",'LS-Fund 0001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9" t="s">
        <v>152</v>
      </c>
      <c r="C30" s="289"/>
      <c r="D30" s="289"/>
      <c r="E30" s="289"/>
      <c r="F30" s="289"/>
      <c r="G30" s="289"/>
      <c r="H30" s="289"/>
      <c r="I30" s="289"/>
      <c r="J30" s="289"/>
      <c r="K30" s="289"/>
      <c r="L30" s="289"/>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0001 Journal Entries'!$F$8="Proprietary - Enterprise Fund",'LS-Fund 0001 Journal Entries'!$K$23,0)</f>
        <v>0</v>
      </c>
      <c r="C33" s="168" t="s">
        <v>155</v>
      </c>
      <c r="D33" s="130">
        <f>IF('LS-Fund 0001 Journal Entries'!$F$8="Proprietary - Enterprise Fund",'LS-Fund 0001 Journal Entries'!$K$48,0)</f>
        <v>0</v>
      </c>
      <c r="E33" s="170" t="s">
        <v>156</v>
      </c>
      <c r="F33" s="130">
        <f>IF('LS-Fund 0001 Journal Entries'!$F$8="Proprietary - Enterprise Fund",'LS-Fund 0001 Journal Entries'!$J$68,0)</f>
        <v>0</v>
      </c>
      <c r="G33" s="169" t="s">
        <v>156</v>
      </c>
      <c r="H33" s="130">
        <f>IF('LS-Fund 0001 Journal Entries'!$F$8="Proprietary - Enterprise Fund",'LS-Fund 0001 Journal Entries'!$J$96,0)</f>
        <v>0</v>
      </c>
      <c r="I33" s="169" t="s">
        <v>155</v>
      </c>
      <c r="J33" s="130">
        <f>IF('LS-Fund 0001 Journal Entries'!$F$8="Proprietary - Enterprise Fund",'LS-Fund 0001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9" t="s">
        <v>152</v>
      </c>
      <c r="C40" s="289"/>
      <c r="D40" s="289"/>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0001 Journal Entries'!$F$8="Governmental Fund",'LS-Fund 0001 Journal Entries'!$K$76,0)</f>
        <v>300217</v>
      </c>
      <c r="C42" s="138"/>
      <c r="E42" s="138"/>
      <c r="G42" s="167"/>
      <c r="H42" s="167"/>
      <c r="I42" s="167"/>
      <c r="J42" s="167"/>
      <c r="K42" s="138"/>
      <c r="L42" s="138"/>
      <c r="M42" s="139"/>
      <c r="N42" s="134">
        <f>'LS-Department Note Disclosure'!B13</f>
        <v>300217</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9" t="s">
        <v>152</v>
      </c>
      <c r="C47" s="289"/>
      <c r="D47" s="289"/>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9" t="s">
        <v>152</v>
      </c>
      <c r="C55" s="289"/>
      <c r="D55" s="289"/>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90" t="s">
        <v>152</v>
      </c>
      <c r="C64" s="290"/>
      <c r="D64" s="290"/>
      <c r="E64" s="290"/>
      <c r="F64" s="290"/>
      <c r="G64" s="290"/>
      <c r="H64" s="290"/>
      <c r="I64" s="141"/>
      <c r="J64" s="123" t="s">
        <v>1658</v>
      </c>
      <c r="K64" s="141"/>
      <c r="L64" s="290" t="s">
        <v>13</v>
      </c>
      <c r="M64" s="290"/>
      <c r="N64" s="290"/>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2046278</v>
      </c>
      <c r="J66" s="143">
        <f>SUM(D66)</f>
        <v>2046278</v>
      </c>
      <c r="L66" s="144" t="str">
        <f>CONCATENATE("Balance July 1, ",LEFT('LS-Department Note Disclosure'!$B$8,4))</f>
        <v>Balance July 1, 2023</v>
      </c>
      <c r="N66" s="143">
        <f>'LS-Lease Liabilities'!F10</f>
        <v>2046278</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289753</v>
      </c>
      <c r="E68" s="171" t="s">
        <v>155</v>
      </c>
      <c r="F68" s="125" t="s">
        <v>1750</v>
      </c>
      <c r="H68" s="143">
        <f>$H$16</f>
        <v>0</v>
      </c>
      <c r="J68" s="143">
        <f>SUM(D68,H68)</f>
        <v>289753</v>
      </c>
      <c r="L68" s="144" t="s">
        <v>15</v>
      </c>
      <c r="N68" s="143">
        <f>'LS-Lease Liabilities'!J10</f>
        <v>289753</v>
      </c>
      <c r="P68" s="135">
        <f t="shared" si="0"/>
        <v>0</v>
      </c>
    </row>
    <row r="69" spans="1:17" x14ac:dyDescent="0.25">
      <c r="B69" s="125" t="s">
        <v>165</v>
      </c>
      <c r="D69" s="143">
        <f>$B$42</f>
        <v>300217</v>
      </c>
      <c r="J69" s="143">
        <f>SUM(D69)</f>
        <v>300217</v>
      </c>
      <c r="L69" s="144" t="s">
        <v>16</v>
      </c>
      <c r="N69" s="143">
        <f>'LS-Lease Liabilities'!N10</f>
        <v>300217</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90" t="s">
        <v>152</v>
      </c>
      <c r="C75" s="290"/>
      <c r="D75" s="290"/>
      <c r="E75" s="290"/>
      <c r="F75" s="290"/>
      <c r="G75" s="290"/>
      <c r="H75" s="290"/>
      <c r="I75" s="141"/>
      <c r="J75" s="123" t="s">
        <v>1658</v>
      </c>
      <c r="K75" s="141"/>
      <c r="L75" s="290" t="s">
        <v>13</v>
      </c>
      <c r="M75" s="290"/>
      <c r="N75" s="290"/>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90" t="s">
        <v>152</v>
      </c>
      <c r="C86" s="290"/>
      <c r="D86" s="290"/>
      <c r="E86" s="290"/>
      <c r="F86" s="290"/>
      <c r="G86" s="290"/>
      <c r="H86" s="290"/>
      <c r="I86" s="141"/>
      <c r="J86" s="123" t="s">
        <v>1658</v>
      </c>
      <c r="K86" s="141"/>
      <c r="L86" s="290" t="s">
        <v>13</v>
      </c>
      <c r="M86" s="290"/>
      <c r="N86" s="290"/>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N39" activeCellId="1" sqref="E23 N39"/>
      <selection pane="bottomLeft" activeCell="N39" activeCellId="1" sqref="E23 N39"/>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N39" activeCellId="1" sqref="E23 N39"/>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3" t="s">
        <v>1666</v>
      </c>
      <c r="B1" s="263"/>
      <c r="C1" s="263"/>
      <c r="D1" s="263"/>
      <c r="E1" s="263"/>
      <c r="F1" s="263"/>
      <c r="G1" s="263"/>
      <c r="H1" s="263"/>
      <c r="I1" s="263"/>
      <c r="J1" s="263"/>
      <c r="K1" s="263"/>
      <c r="L1" s="5"/>
      <c r="M1" s="5"/>
      <c r="N1" s="5"/>
      <c r="O1" s="5"/>
      <c r="P1" s="5"/>
      <c r="Q1" s="5"/>
      <c r="R1" s="5"/>
      <c r="S1" s="5"/>
    </row>
    <row r="2" spans="1:20" ht="17.45" customHeight="1" x14ac:dyDescent="0.25">
      <c r="A2" s="295" t="s">
        <v>0</v>
      </c>
      <c r="B2" s="295"/>
      <c r="C2" s="295"/>
      <c r="D2" s="295"/>
      <c r="E2" s="295"/>
      <c r="F2" s="295"/>
      <c r="G2" s="295"/>
      <c r="H2" s="295"/>
      <c r="I2" s="295"/>
      <c r="J2" s="36"/>
      <c r="L2" s="5"/>
      <c r="M2" s="5"/>
      <c r="N2" s="5"/>
      <c r="O2" s="5"/>
      <c r="P2" s="5"/>
      <c r="Q2" s="5"/>
      <c r="R2" s="5"/>
      <c r="S2" s="5"/>
    </row>
    <row r="3" spans="1:20" ht="17.45" customHeight="1" x14ac:dyDescent="0.25">
      <c r="A3" s="294" t="s">
        <v>1</v>
      </c>
      <c r="B3" s="294"/>
      <c r="C3" s="294"/>
      <c r="D3" s="294"/>
      <c r="E3" s="95" t="s">
        <v>24</v>
      </c>
      <c r="H3" s="7"/>
      <c r="I3" s="7"/>
      <c r="J3" s="7"/>
      <c r="K3" s="7"/>
      <c r="L3" s="7"/>
      <c r="M3" s="7"/>
      <c r="N3" s="7"/>
      <c r="O3" s="7"/>
      <c r="P3" s="7"/>
      <c r="Q3" s="7"/>
      <c r="R3" s="7"/>
    </row>
    <row r="4" spans="1:20" ht="17.45" customHeight="1" x14ac:dyDescent="0.25">
      <c r="A4" s="294" t="s">
        <v>208</v>
      </c>
      <c r="B4" s="294"/>
      <c r="C4" s="294"/>
      <c r="D4" s="294"/>
      <c r="E4" s="97"/>
      <c r="H4" s="7"/>
      <c r="I4" s="7"/>
      <c r="J4" s="7"/>
      <c r="K4" s="7"/>
      <c r="L4" s="7"/>
      <c r="M4" s="7"/>
      <c r="N4" s="7"/>
      <c r="O4" s="7"/>
      <c r="P4" s="7"/>
      <c r="Q4" s="7"/>
      <c r="R4" s="7"/>
    </row>
    <row r="5" spans="1:20" ht="17.45" customHeight="1" x14ac:dyDescent="0.25">
      <c r="A5" s="294" t="s">
        <v>1683</v>
      </c>
      <c r="B5" s="294"/>
      <c r="C5" s="294"/>
      <c r="D5" s="294"/>
      <c r="E5" s="161"/>
      <c r="H5" s="7"/>
      <c r="I5" s="7"/>
      <c r="J5" s="8"/>
      <c r="K5" s="8"/>
      <c r="L5" s="8"/>
      <c r="M5" s="8"/>
      <c r="N5" s="8"/>
      <c r="O5" s="8"/>
      <c r="P5" s="8"/>
      <c r="Q5" s="7"/>
      <c r="R5" s="7"/>
    </row>
    <row r="6" spans="1:20" ht="17.45" customHeight="1" x14ac:dyDescent="0.25">
      <c r="A6" s="294" t="s">
        <v>1684</v>
      </c>
      <c r="B6" s="294"/>
      <c r="C6" s="294"/>
      <c r="D6" s="294"/>
      <c r="E6" s="97"/>
      <c r="G6" s="8"/>
      <c r="H6" s="8"/>
      <c r="I6" s="8"/>
      <c r="J6" s="8"/>
      <c r="K6" s="8"/>
      <c r="L6" s="8"/>
      <c r="M6" s="8"/>
      <c r="N6" s="8"/>
      <c r="O6" s="8"/>
      <c r="P6" s="8"/>
      <c r="Q6" s="7"/>
      <c r="R6" s="7"/>
    </row>
    <row r="7" spans="1:20" ht="17.45" customHeight="1" x14ac:dyDescent="0.25">
      <c r="A7" s="294" t="s">
        <v>3</v>
      </c>
      <c r="B7" s="294"/>
      <c r="C7" s="294"/>
      <c r="D7" s="294"/>
      <c r="E7" s="35"/>
      <c r="G7" s="8"/>
      <c r="H7" s="8"/>
      <c r="I7" s="8"/>
      <c r="J7" s="8"/>
      <c r="K7" s="8"/>
      <c r="L7" s="8"/>
      <c r="M7" s="8"/>
      <c r="N7" s="8"/>
      <c r="O7" s="8"/>
      <c r="P7" s="8"/>
      <c r="Q7" s="7"/>
      <c r="R7" s="7"/>
    </row>
    <row r="8" spans="1:20" ht="17.45" customHeight="1" x14ac:dyDescent="0.25">
      <c r="A8" s="294" t="s">
        <v>1640</v>
      </c>
      <c r="B8" s="294"/>
      <c r="C8" s="294"/>
      <c r="D8" s="294"/>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0" t="s">
        <v>1671</v>
      </c>
      <c r="N13" s="261"/>
      <c r="O13" s="188"/>
      <c r="P13" s="260" t="s">
        <v>1667</v>
      </c>
      <c r="Q13" s="261"/>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1"/>
      <c r="P29" s="291"/>
      <c r="Q29" s="291"/>
      <c r="R29" s="291"/>
      <c r="S29" s="291"/>
      <c r="T29" s="291"/>
      <c r="U29" s="291"/>
      <c r="V29" s="291"/>
    </row>
    <row r="30" spans="1:22" ht="17.45" customHeight="1" x14ac:dyDescent="0.2">
      <c r="B30" s="292" t="str">
        <f>IF($E$7="Governmental","Dr: Acct 0775 - OTHER INCOME","Dr: Acct 0755 - SALES &amp; SERVICES")</f>
        <v>Dr: Acct 0755 - SALES &amp; SERVICES</v>
      </c>
      <c r="C30" s="292"/>
      <c r="D30" s="292"/>
      <c r="E30" s="292"/>
      <c r="F30" s="292"/>
      <c r="G30" s="292"/>
      <c r="H30" s="292"/>
      <c r="I30" s="292"/>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c r="O42" s="9"/>
      <c r="P42" s="9"/>
      <c r="Q42" s="9"/>
      <c r="R42" s="9"/>
      <c r="S42" s="9"/>
      <c r="T42" s="9"/>
      <c r="U42" s="9"/>
      <c r="V42" s="9"/>
    </row>
    <row r="43" spans="1:22" ht="17.45" customHeight="1" x14ac:dyDescent="0.2">
      <c r="A43" s="15"/>
      <c r="B43" s="293" t="s">
        <v>1738</v>
      </c>
      <c r="C43" s="293"/>
      <c r="D43" s="293"/>
      <c r="E43" s="293"/>
      <c r="F43" s="293"/>
      <c r="G43" s="293"/>
      <c r="H43" s="293"/>
      <c r="I43" s="293"/>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3"/>
      <c r="C44" s="293"/>
      <c r="D44" s="293"/>
      <c r="E44" s="293"/>
      <c r="F44" s="293"/>
      <c r="G44" s="293"/>
      <c r="H44" s="293"/>
      <c r="I44" s="293"/>
      <c r="K44" s="27"/>
      <c r="L44" s="9"/>
      <c r="M44" s="19"/>
      <c r="O44" s="28"/>
    </row>
    <row r="45" spans="1:22" ht="17.45" customHeight="1" x14ac:dyDescent="0.25">
      <c r="A45" s="15"/>
      <c r="B45" s="293"/>
      <c r="C45" s="293"/>
      <c r="D45" s="293"/>
      <c r="E45" s="293"/>
      <c r="F45" s="293"/>
      <c r="G45" s="293"/>
      <c r="H45" s="293"/>
      <c r="I45" s="293"/>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N39" activeCellId="1" sqref="E23 N39"/>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300" t="s">
        <v>211</v>
      </c>
      <c r="B3" s="300"/>
      <c r="C3" s="300"/>
      <c r="E3" s="57"/>
      <c r="F3" s="57"/>
      <c r="G3" s="57"/>
      <c r="H3" s="57"/>
      <c r="I3" s="57"/>
      <c r="J3" s="57"/>
      <c r="K3" s="57"/>
      <c r="L3" s="57"/>
      <c r="M3" s="57"/>
      <c r="N3" s="57"/>
      <c r="O3" s="57"/>
      <c r="P3" s="6"/>
      <c r="Q3" s="6"/>
      <c r="R3" s="6"/>
      <c r="S3" s="6"/>
    </row>
    <row r="4" spans="1:19" ht="31.15" customHeight="1" x14ac:dyDescent="0.25">
      <c r="A4" s="286" t="s">
        <v>7</v>
      </c>
      <c r="B4" s="286"/>
      <c r="C4" s="286"/>
      <c r="E4" s="57"/>
      <c r="F4" s="57"/>
      <c r="G4" s="57"/>
      <c r="H4" s="57"/>
      <c r="I4" s="57"/>
      <c r="J4" s="57"/>
      <c r="K4" s="57"/>
      <c r="L4" s="57"/>
      <c r="M4" s="57"/>
      <c r="N4" s="57"/>
      <c r="O4" s="57"/>
      <c r="P4" s="6"/>
      <c r="Q4" s="6"/>
      <c r="R4" s="6"/>
      <c r="S4" s="6"/>
    </row>
    <row r="5" spans="1:19" ht="30.6" customHeight="1" x14ac:dyDescent="0.25">
      <c r="A5" s="286" t="s">
        <v>9</v>
      </c>
      <c r="B5" s="286"/>
      <c r="C5" s="286"/>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8" t="s">
        <v>24</v>
      </c>
      <c r="C9" s="298"/>
      <c r="D9" s="52"/>
      <c r="F9" s="81"/>
      <c r="G9" s="81"/>
      <c r="H9" s="81"/>
      <c r="I9" s="81"/>
      <c r="J9" s="81"/>
      <c r="K9" s="81"/>
      <c r="L9" s="81"/>
      <c r="M9" s="81"/>
      <c r="N9" s="81"/>
      <c r="O9" s="81"/>
      <c r="P9" s="6"/>
      <c r="Q9" s="6"/>
      <c r="R9" s="6"/>
      <c r="S9" s="6"/>
    </row>
    <row r="10" spans="1:19" ht="15.75" x14ac:dyDescent="0.25">
      <c r="A10" s="12" t="s">
        <v>209</v>
      </c>
      <c r="B10" s="299"/>
      <c r="C10" s="299"/>
      <c r="D10" s="82"/>
      <c r="F10" s="38"/>
      <c r="G10" s="38"/>
      <c r="H10" s="38"/>
      <c r="I10" s="38"/>
      <c r="J10" s="38"/>
      <c r="K10" s="38"/>
      <c r="L10" s="38"/>
      <c r="M10" s="38"/>
      <c r="N10" s="38"/>
      <c r="O10" s="38"/>
      <c r="P10" s="6"/>
      <c r="Q10" s="6"/>
      <c r="R10" s="6"/>
      <c r="S10" s="6"/>
    </row>
    <row r="11" spans="1:19" ht="15.75" x14ac:dyDescent="0.25">
      <c r="A11" s="12" t="s">
        <v>208</v>
      </c>
      <c r="B11" s="298"/>
      <c r="C11" s="298"/>
      <c r="D11" s="82"/>
      <c r="F11" s="5"/>
      <c r="G11" s="5"/>
      <c r="H11" s="5"/>
      <c r="I11" s="5"/>
      <c r="J11" s="5"/>
      <c r="K11" s="5"/>
      <c r="L11" s="5"/>
      <c r="M11" s="5"/>
      <c r="N11" s="5"/>
      <c r="O11" s="5"/>
      <c r="P11" s="5"/>
      <c r="Q11" s="5"/>
      <c r="R11" s="5"/>
      <c r="S11" s="5"/>
    </row>
    <row r="12" spans="1:19" ht="30" customHeight="1" x14ac:dyDescent="0.25">
      <c r="A12" s="296" t="s">
        <v>1761</v>
      </c>
      <c r="B12" s="297"/>
      <c r="C12" s="297"/>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1"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1"/>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1"/>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1"/>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1"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1"/>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2023–2024</v>
      </c>
      <c r="C40" s="276"/>
      <c r="D40" s="20"/>
      <c r="F40" s="89"/>
      <c r="G40" s="89"/>
      <c r="H40" s="89"/>
      <c r="I40" s="89"/>
    </row>
    <row r="41" spans="1:19" ht="15.75" x14ac:dyDescent="0.25">
      <c r="A41" s="12" t="s">
        <v>209</v>
      </c>
      <c r="B41" s="278">
        <f>B10</f>
        <v>0</v>
      </c>
      <c r="C41" s="278"/>
      <c r="D41" s="91"/>
    </row>
    <row r="42" spans="1:19" ht="15.75" x14ac:dyDescent="0.25">
      <c r="A42" s="12" t="s">
        <v>208</v>
      </c>
      <c r="B42" s="276">
        <f>B11</f>
        <v>0</v>
      </c>
      <c r="C42" s="276"/>
      <c r="D42" s="55"/>
    </row>
    <row r="43" spans="1:19" ht="30" customHeight="1" x14ac:dyDescent="0.25">
      <c r="A43" s="296" t="s">
        <v>1761</v>
      </c>
      <c r="B43" s="297"/>
      <c r="C43" s="297"/>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1" t="s">
        <v>218</v>
      </c>
    </row>
    <row r="46" spans="1:19" x14ac:dyDescent="0.2">
      <c r="A46" s="84" t="str">
        <f>LEFT(A45,4)+1&amp;"–"&amp;RIGHT(A45,4)+1</f>
        <v>2025–2026</v>
      </c>
      <c r="B46" s="2"/>
      <c r="C46" s="2"/>
      <c r="D46" s="62"/>
      <c r="E46" s="271"/>
    </row>
    <row r="47" spans="1:19" x14ac:dyDescent="0.2">
      <c r="A47" s="84" t="str">
        <f>LEFT(A46,4)+1&amp;"–"&amp;RIGHT(A46,4)+1</f>
        <v>2026–2027</v>
      </c>
      <c r="B47" s="2"/>
      <c r="C47" s="2"/>
      <c r="D47" s="62"/>
      <c r="E47" s="271"/>
    </row>
    <row r="48" spans="1:19" ht="15" customHeight="1" x14ac:dyDescent="0.2">
      <c r="A48" s="84" t="str">
        <f>LEFT(A47,4)+1&amp;"–"&amp;RIGHT(A47,4)+1</f>
        <v>2027–2028</v>
      </c>
      <c r="B48" s="2"/>
      <c r="C48" s="2"/>
      <c r="D48" s="87"/>
      <c r="E48" s="271"/>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1"/>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6" t="str">
        <f>B40</f>
        <v>2023–2024</v>
      </c>
      <c r="C71" s="276"/>
      <c r="D71" s="20"/>
    </row>
    <row r="72" spans="1:19" ht="15.75" x14ac:dyDescent="0.25">
      <c r="A72" s="12" t="s">
        <v>209</v>
      </c>
      <c r="B72" s="278">
        <f>B41</f>
        <v>0</v>
      </c>
      <c r="C72" s="278"/>
      <c r="D72" s="91"/>
    </row>
    <row r="73" spans="1:19" ht="15.75" x14ac:dyDescent="0.25">
      <c r="A73" s="12" t="s">
        <v>208</v>
      </c>
      <c r="B73" s="276">
        <f>B42</f>
        <v>0</v>
      </c>
      <c r="C73" s="276"/>
      <c r="D73" s="55"/>
    </row>
    <row r="74" spans="1:19" ht="30" customHeight="1" x14ac:dyDescent="0.25">
      <c r="A74" s="296" t="s">
        <v>1761</v>
      </c>
      <c r="B74" s="297"/>
      <c r="C74" s="297"/>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1" t="s">
        <v>218</v>
      </c>
    </row>
    <row r="77" spans="1:19" x14ac:dyDescent="0.2">
      <c r="A77" s="84" t="str">
        <f>LEFT(A76,4)+1&amp;"–"&amp;RIGHT(A76,4)+1</f>
        <v>2025–2026</v>
      </c>
      <c r="B77" s="2"/>
      <c r="C77" s="2"/>
      <c r="D77" s="62"/>
      <c r="E77" s="271"/>
    </row>
    <row r="78" spans="1:19" x14ac:dyDescent="0.2">
      <c r="A78" s="84" t="str">
        <f>LEFT(A77,4)+1&amp;"–"&amp;RIGHT(A77,4)+1</f>
        <v>2026–2027</v>
      </c>
      <c r="B78" s="2"/>
      <c r="C78" s="2"/>
      <c r="D78" s="62"/>
      <c r="E78" s="271"/>
    </row>
    <row r="79" spans="1:19" x14ac:dyDescent="0.2">
      <c r="A79" s="84" t="str">
        <f>LEFT(A78,4)+1&amp;"–"&amp;RIGHT(A78,4)+1</f>
        <v>2027–2028</v>
      </c>
      <c r="B79" s="2"/>
      <c r="C79" s="2"/>
      <c r="D79" s="87"/>
      <c r="E79" s="271"/>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1"/>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N39" activeCellId="1" sqref="E23 N39"/>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7" t="s">
        <v>1674</v>
      </c>
      <c r="B5" s="287"/>
      <c r="C5" s="287"/>
      <c r="D5" s="287"/>
      <c r="E5" s="287"/>
      <c r="F5" s="287"/>
      <c r="G5" s="287"/>
      <c r="H5" s="287"/>
      <c r="I5" s="287"/>
      <c r="J5" s="287"/>
      <c r="K5" s="287"/>
      <c r="L5" s="287"/>
      <c r="M5" s="287"/>
      <c r="N5" s="287"/>
      <c r="O5" s="287"/>
      <c r="P5" s="287"/>
      <c r="Q5" s="287"/>
    </row>
    <row r="6" spans="1:17" ht="15" customHeight="1" x14ac:dyDescent="0.25">
      <c r="A6" s="287"/>
      <c r="B6" s="287"/>
      <c r="C6" s="287"/>
      <c r="D6" s="287"/>
      <c r="E6" s="287"/>
      <c r="F6" s="287"/>
      <c r="G6" s="287"/>
      <c r="H6" s="287"/>
      <c r="I6" s="287"/>
      <c r="J6" s="287"/>
      <c r="K6" s="287"/>
      <c r="L6" s="287"/>
      <c r="M6" s="287"/>
      <c r="N6" s="287"/>
      <c r="O6" s="287"/>
      <c r="P6" s="287"/>
      <c r="Q6" s="287"/>
    </row>
    <row r="7" spans="1:17" x14ac:dyDescent="0.25">
      <c r="A7" s="287"/>
      <c r="B7" s="287"/>
      <c r="C7" s="287"/>
      <c r="D7" s="287"/>
      <c r="E7" s="287"/>
      <c r="F7" s="287"/>
      <c r="G7" s="287"/>
      <c r="H7" s="287"/>
      <c r="I7" s="287"/>
      <c r="J7" s="287"/>
      <c r="K7" s="287"/>
      <c r="L7" s="287"/>
      <c r="M7" s="287"/>
      <c r="N7" s="287"/>
      <c r="O7" s="287"/>
      <c r="P7" s="287"/>
      <c r="Q7" s="287"/>
    </row>
    <row r="8" spans="1:17" ht="15" customHeight="1" x14ac:dyDescent="0.25">
      <c r="A8" s="288" t="s">
        <v>1659</v>
      </c>
      <c r="B8" s="288"/>
      <c r="C8" s="288"/>
      <c r="D8" s="288"/>
      <c r="E8" s="288"/>
      <c r="F8" s="288"/>
      <c r="G8" s="288"/>
      <c r="H8" s="288"/>
      <c r="I8" s="288"/>
      <c r="J8" s="288"/>
      <c r="K8" s="288"/>
      <c r="L8" s="288"/>
      <c r="M8" s="288"/>
      <c r="N8" s="288"/>
      <c r="O8" s="288"/>
      <c r="P8" s="288"/>
      <c r="Q8" s="288"/>
    </row>
    <row r="9" spans="1:17" x14ac:dyDescent="0.25">
      <c r="A9" s="288"/>
      <c r="B9" s="288"/>
      <c r="C9" s="288"/>
      <c r="D9" s="288"/>
      <c r="E9" s="288"/>
      <c r="F9" s="288"/>
      <c r="G9" s="288"/>
      <c r="H9" s="288"/>
      <c r="I9" s="288"/>
      <c r="J9" s="288"/>
      <c r="K9" s="288"/>
      <c r="L9" s="288"/>
      <c r="M9" s="288"/>
      <c r="N9" s="288"/>
      <c r="O9" s="288"/>
      <c r="P9" s="288"/>
      <c r="Q9" s="288"/>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9" t="s">
        <v>152</v>
      </c>
      <c r="C13" s="289"/>
      <c r="D13" s="289"/>
      <c r="E13" s="289"/>
      <c r="F13" s="289"/>
      <c r="G13" s="289"/>
      <c r="H13" s="289"/>
      <c r="I13" s="289"/>
      <c r="J13" s="289"/>
      <c r="K13" s="289"/>
      <c r="L13" s="289"/>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9" t="s">
        <v>152</v>
      </c>
      <c r="C21" s="289"/>
      <c r="D21" s="289"/>
      <c r="E21" s="289"/>
      <c r="F21" s="289"/>
      <c r="G21" s="289"/>
      <c r="H21" s="289"/>
      <c r="I21" s="289"/>
      <c r="J21" s="289"/>
      <c r="K21" s="289"/>
      <c r="L21" s="289"/>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9" t="s">
        <v>152</v>
      </c>
      <c r="C30" s="289"/>
      <c r="D30" s="289"/>
      <c r="E30" s="289"/>
      <c r="F30" s="289"/>
      <c r="G30" s="289"/>
      <c r="H30" s="289"/>
      <c r="I30" s="289"/>
      <c r="J30" s="289"/>
      <c r="K30" s="289"/>
      <c r="L30" s="289"/>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9" t="s">
        <v>152</v>
      </c>
      <c r="C40" s="289"/>
      <c r="D40" s="289"/>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9" t="s">
        <v>152</v>
      </c>
      <c r="C47" s="289"/>
      <c r="D47" s="289"/>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9" t="s">
        <v>152</v>
      </c>
      <c r="C55" s="289"/>
      <c r="D55" s="289"/>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N39" activeCellId="1" sqref="E23 N39"/>
      <selection pane="bottomLeft" activeCell="N39" activeCellId="1" sqref="E23 N39"/>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N39" activeCellId="1" sqref="E23 N39"/>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3" t="s">
        <v>1665</v>
      </c>
      <c r="B1" s="263"/>
      <c r="C1" s="263"/>
      <c r="D1" s="263"/>
      <c r="E1" s="263"/>
      <c r="F1" s="263"/>
      <c r="G1" s="263"/>
      <c r="H1" s="263"/>
      <c r="I1" s="263"/>
      <c r="J1" s="263"/>
      <c r="K1" s="263"/>
      <c r="L1" s="151"/>
      <c r="M1" s="151"/>
      <c r="N1" s="151"/>
      <c r="O1" s="151"/>
    </row>
    <row r="2" spans="1:20" ht="15" customHeight="1" x14ac:dyDescent="0.25">
      <c r="A2" s="295" t="s">
        <v>0</v>
      </c>
      <c r="B2" s="295"/>
      <c r="C2" s="295"/>
      <c r="D2" s="295"/>
      <c r="E2" s="295"/>
      <c r="F2" s="295"/>
      <c r="G2" s="295"/>
      <c r="H2" s="295"/>
      <c r="I2" s="295"/>
      <c r="J2" s="295"/>
      <c r="K2" s="295"/>
      <c r="L2" s="165"/>
      <c r="M2" s="165"/>
      <c r="N2" s="165"/>
      <c r="O2" s="165"/>
    </row>
    <row r="3" spans="1:20" ht="15.75" x14ac:dyDescent="0.25">
      <c r="A3" s="264" t="s">
        <v>12</v>
      </c>
      <c r="B3" s="264"/>
      <c r="C3" s="264"/>
      <c r="D3" s="264"/>
      <c r="E3" s="264"/>
      <c r="F3" s="265" t="s">
        <v>24</v>
      </c>
      <c r="G3" s="265"/>
      <c r="H3" s="265"/>
      <c r="I3" s="265"/>
    </row>
    <row r="4" spans="1:20" ht="15.75" x14ac:dyDescent="0.2">
      <c r="A4" s="264" t="s">
        <v>208</v>
      </c>
      <c r="B4" s="264"/>
      <c r="C4" s="264"/>
      <c r="D4" s="264"/>
      <c r="E4" s="264"/>
      <c r="F4" s="266"/>
      <c r="G4" s="266"/>
      <c r="H4" s="266"/>
      <c r="I4" s="266"/>
      <c r="L4" s="39"/>
      <c r="M4" s="39"/>
      <c r="N4" s="39"/>
      <c r="O4" s="39"/>
      <c r="P4" s="39"/>
      <c r="Q4" s="39"/>
    </row>
    <row r="5" spans="1:20" ht="15.75" x14ac:dyDescent="0.2">
      <c r="A5" s="264" t="s">
        <v>1639</v>
      </c>
      <c r="B5" s="264"/>
      <c r="C5" s="264"/>
      <c r="D5" s="264"/>
      <c r="E5" s="264"/>
      <c r="F5" s="266"/>
      <c r="G5" s="266"/>
      <c r="H5" s="266"/>
      <c r="I5" s="266"/>
      <c r="L5" s="40"/>
      <c r="M5" s="40"/>
      <c r="N5" s="40"/>
      <c r="O5" s="40"/>
      <c r="P5" s="39"/>
      <c r="Q5" s="39"/>
    </row>
    <row r="6" spans="1:20" ht="18" x14ac:dyDescent="0.25">
      <c r="A6" s="264" t="s">
        <v>2</v>
      </c>
      <c r="B6" s="264"/>
      <c r="C6" s="264"/>
      <c r="D6" s="264"/>
      <c r="E6" s="264"/>
      <c r="F6" s="267"/>
      <c r="G6" s="267"/>
      <c r="H6" s="267"/>
      <c r="I6" s="267"/>
      <c r="K6" s="96"/>
      <c r="L6" s="40"/>
      <c r="M6" s="40"/>
      <c r="N6" s="40"/>
      <c r="O6" s="40"/>
      <c r="P6" s="39"/>
      <c r="Q6" s="39"/>
    </row>
    <row r="7" spans="1:20" ht="18" x14ac:dyDescent="0.25">
      <c r="A7" s="264" t="s">
        <v>3</v>
      </c>
      <c r="B7" s="264"/>
      <c r="C7" s="264"/>
      <c r="D7" s="264"/>
      <c r="E7" s="264"/>
      <c r="F7" s="267"/>
      <c r="G7" s="267"/>
      <c r="H7" s="267"/>
      <c r="I7" s="267"/>
      <c r="K7" s="96"/>
      <c r="L7" s="40"/>
      <c r="M7" s="40"/>
      <c r="N7" s="40"/>
      <c r="O7" s="40"/>
      <c r="P7" s="39"/>
      <c r="Q7" s="39"/>
    </row>
    <row r="8" spans="1:20" ht="18" x14ac:dyDescent="0.25">
      <c r="A8" s="264" t="s">
        <v>1640</v>
      </c>
      <c r="B8" s="264"/>
      <c r="C8" s="264"/>
      <c r="D8" s="264"/>
      <c r="E8" s="264"/>
      <c r="F8" s="267"/>
      <c r="G8" s="267"/>
      <c r="H8" s="267"/>
      <c r="I8" s="267"/>
      <c r="K8" s="96"/>
      <c r="L8" s="40"/>
      <c r="M8" s="40"/>
      <c r="N8" s="40"/>
      <c r="O8" s="40"/>
      <c r="P8" s="39"/>
      <c r="Q8" s="39"/>
    </row>
    <row r="9" spans="1:20" ht="15.75" x14ac:dyDescent="0.25">
      <c r="A9" s="264" t="s">
        <v>1638</v>
      </c>
      <c r="B9" s="264"/>
      <c r="C9" s="264"/>
      <c r="D9" s="264"/>
      <c r="E9" s="264"/>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0" t="s">
        <v>1670</v>
      </c>
      <c r="N14" s="261"/>
      <c r="P14" s="260" t="s">
        <v>1667</v>
      </c>
      <c r="Q14" s="261"/>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1" t="s">
        <v>1737</v>
      </c>
      <c r="C69" s="301"/>
      <c r="D69" s="301"/>
      <c r="E69" s="301"/>
      <c r="F69" s="301"/>
      <c r="G69" s="301"/>
      <c r="H69" s="301"/>
      <c r="I69" s="301"/>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1"/>
      <c r="C70" s="301"/>
      <c r="D70" s="301"/>
      <c r="E70" s="301"/>
      <c r="F70" s="301"/>
      <c r="G70" s="301"/>
      <c r="H70" s="301"/>
      <c r="I70" s="301"/>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N39" activeCellId="1" sqref="E23 N39"/>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Starr, Meghan@DGS</cp:lastModifiedBy>
  <cp:lastPrinted>2024-09-14T00:58:00Z</cp:lastPrinted>
  <dcterms:created xsi:type="dcterms:W3CDTF">2023-03-08T17:19:33Z</dcterms:created>
  <dcterms:modified xsi:type="dcterms:W3CDTF">2024-12-03T19:28:47Z</dcterms:modified>
</cp:coreProperties>
</file>