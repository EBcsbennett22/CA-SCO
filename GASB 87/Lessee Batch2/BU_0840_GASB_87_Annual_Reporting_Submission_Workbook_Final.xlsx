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hared\Universal\GASB Reporting\GASB 96\FY 2023-24\Review and Approve\"/>
    </mc:Choice>
  </mc:AlternateContent>
  <xr:revisionPtr revIDLastSave="0" documentId="8_{42D874BC-B5BE-4591-813A-BB9787CEE85A}" xr6:coauthVersionLast="47" xr6:coauthVersionMax="47" xr10:uidLastSave="{00000000-0000-0000-0000-000000000000}"/>
  <bookViews>
    <workbookView xWindow="20370" yWindow="-120" windowWidth="29040" windowHeight="15840" tabRatio="921" firstSheet="3"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3" l="1"/>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tc={02520F1F-D0D9-47F5-8003-75880BBA6D64}</author>
  </authors>
  <commentList>
    <comment ref="M17" authorId="0" shapeId="0" xr:uid="{02520F1F-D0D9-47F5-8003-75880BBA6D64}">
      <text>
        <t>[Threaded comment]
Your version of Excel allows you to read this threaded comment; however, any edits to it will get removed if the file is opened in a newer version of Excel. Learn more: https://go.microsoft.com/fwlink/?linkid=870924
Comment:
    From WB</t>
      </text>
    </comment>
  </commentList>
</comments>
</file>

<file path=xl/sharedStrings.xml><?xml version="1.0" encoding="utf-8"?>
<sst xmlns="http://schemas.openxmlformats.org/spreadsheetml/2006/main" count="8068" uniqueCount="1806">
  <si>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</si>
  <si>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</si>
  <si>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</si>
  <si>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</si>
  <si>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</si>
  <si>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</si>
  <si>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</si>
  <si>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</si>
  <si>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</si>
  <si>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</si>
  <si>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</si>
  <si>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</si>
  <si>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</si>
  <si>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</si>
  <si>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</si>
  <si>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</si>
  <si>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</si>
  <si>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</si>
  <si>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</si>
  <si>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</si>
  <si>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</si>
  <si>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</si>
  <si>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</si>
  <si>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</si>
  <si>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</si>
  <si>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</si>
  <si>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</si>
  <si>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</si>
  <si>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</si>
  <si>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</si>
  <si>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</si>
  <si>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</si>
  <si>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</si>
  <si>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</si>
  <si>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</si>
  <si>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</si>
  <si>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</si>
  <si>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</si>
  <si>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</si>
  <si>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</si>
  <si>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</si>
  <si>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</si>
  <si>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</si>
  <si>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</si>
  <si>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</si>
  <si>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</si>
  <si>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</si>
  <si>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</si>
  <si>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</si>
  <si>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</si>
  <si>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</si>
  <si>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</si>
  <si>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</si>
  <si>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</si>
  <si>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</si>
  <si>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</si>
  <si>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</si>
  <si>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</si>
  <si>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</si>
  <si>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</si>
  <si>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</si>
  <si>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</si>
  <si>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</si>
  <si>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</si>
  <si>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</si>
  <si>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</si>
  <si>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</si>
  <si>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</si>
  <si>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</si>
  <si>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</si>
  <si>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</si>
  <si>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</si>
  <si>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</si>
  <si>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</si>
  <si>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</si>
  <si>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</si>
  <si>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</si>
  <si>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</si>
  <si>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</si>
  <si>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</si>
  <si>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</si>
  <si>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</si>
  <si>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</si>
  <si>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</si>
  <si>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</si>
  <si>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</si>
  <si>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</si>
  <si>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</si>
  <si>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</si>
  <si>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</si>
  <si>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</si>
  <si>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</si>
  <si>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</si>
  <si>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</si>
  <si>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</si>
  <si>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</si>
  <si>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</si>
  <si>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</si>
  <si>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</si>
  <si>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</si>
  <si>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</si>
  <si>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</si>
  <si>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</si>
  <si>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</si>
  <si>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</si>
  <si>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</si>
  <si>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</si>
  <si>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</si>
  <si>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</si>
  <si>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</si>
  <si>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</si>
  <si>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</si>
  <si>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</si>
  <si>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</si>
  <si>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</si>
  <si>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</si>
  <si>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</si>
  <si>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</si>
  <si>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</si>
  <si>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</si>
  <si>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</si>
  <si>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</si>
  <si>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</si>
  <si>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</si>
  <si>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</si>
  <si>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</si>
  <si>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</si>
  <si>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</si>
  <si>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</si>
  <si>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</si>
  <si>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</si>
  <si>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</si>
  <si>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</si>
  <si>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</si>
  <si>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</si>
  <si>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</si>
  <si>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</si>
  <si>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</si>
  <si>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</si>
  <si>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</si>
  <si>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</si>
  <si>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</si>
  <si>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</si>
  <si>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</si>
  <si>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</si>
  <si>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</si>
  <si>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</si>
  <si>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</si>
  <si>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</si>
  <si>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</si>
  <si>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</si>
  <si>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</si>
  <si>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</si>
  <si>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</si>
  <si>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</si>
  <si>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</si>
  <si>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</si>
  <si>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</si>
  <si>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</si>
  <si>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</si>
  <si>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</si>
  <si>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</si>
  <si>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</si>
  <si>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</si>
  <si>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</si>
  <si>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</si>
  <si>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</si>
  <si>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</si>
  <si>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</si>
  <si>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</si>
  <si>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</si>
  <si>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</si>
  <si>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</si>
  <si>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</si>
  <si>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</si>
  <si>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</si>
  <si>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</si>
  <si>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</si>
  <si>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</si>
  <si>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</si>
  <si>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</si>
  <si>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</si>
  <si>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</si>
  <si>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</si>
  <si>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</si>
  <si>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</si>
  <si>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</si>
  <si>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</si>
  <si>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</si>
  <si>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</si>
  <si>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</si>
  <si>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</si>
  <si>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</si>
  <si>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</si>
  <si>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</si>
  <si>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</si>
  <si>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</si>
  <si>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</si>
  <si>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</si>
  <si>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</si>
  <si>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</si>
  <si>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</si>
  <si>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</si>
  <si>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</si>
  <si>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</si>
  <si>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</si>
  <si>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</si>
  <si>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</si>
  <si>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</si>
  <si>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</si>
  <si>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</si>
  <si>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</si>
  <si>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</si>
  <si>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</si>
  <si>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</si>
  <si>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</si>
  <si>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</si>
  <si>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</si>
  <si>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</si>
  <si>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</si>
  <si>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</si>
  <si>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</si>
  <si>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</si>
  <si>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</si>
  <si>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</si>
  <si>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</si>
  <si>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</si>
  <si>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</si>
  <si>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</si>
  <si>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</si>
  <si>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</si>
  <si>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</si>
  <si>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</si>
  <si>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</si>
  <si>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</si>
  <si>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</si>
  <si>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</si>
  <si>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</si>
  <si>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</si>
  <si>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</si>
  <si>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</si>
  <si>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</si>
  <si>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</si>
  <si>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</si>
  <si>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</si>
  <si>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</si>
  <si>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</si>
  <si>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</si>
  <si>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</si>
  <si>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</si>
  <si>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</si>
  <si>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</si>
  <si>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</si>
  <si>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</si>
  <si>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</si>
  <si>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</si>
  <si>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</si>
  <si>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</si>
  <si>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</si>
  <si>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</si>
  <si>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</si>
  <si>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</si>
  <si>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</si>
  <si>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</si>
  <si>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</si>
  <si>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</si>
  <si>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</si>
  <si>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</si>
  <si>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</si>
  <si>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</si>
  <si>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</si>
  <si>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</si>
  <si>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</si>
  <si>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</si>
  <si>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</si>
  <si>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</si>
  <si>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</si>
  <si>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</si>
  <si>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</si>
  <si>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</si>
  <si>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</si>
  <si>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</si>
  <si>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</si>
  <si>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</si>
  <si>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</si>
  <si>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</si>
  <si>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</si>
  <si>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</si>
  <si>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</si>
  <si>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</si>
  <si>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</si>
  <si>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</si>
  <si>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</si>
  <si>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</si>
  <si>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</si>
  <si>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</si>
  <si>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</si>
  <si>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</si>
  <si>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</si>
  <si>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</si>
  <si>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</si>
  <si>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</si>
  <si>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</si>
  <si>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</si>
  <si>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</si>
  <si>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</si>
  <si>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</si>
  <si>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</si>
  <si>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</si>
  <si>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</si>
  <si>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</si>
  <si>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</si>
  <si>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</si>
  <si>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</si>
  <si>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</si>
  <si>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</si>
  <si>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</si>
  <si>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</si>
  <si>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</si>
  <si>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</si>
  <si>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</si>
  <si>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</si>
  <si>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</si>
  <si>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</si>
  <si>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</si>
  <si>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</si>
  <si>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</si>
  <si>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</si>
  <si>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</si>
  <si>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</si>
  <si>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</si>
  <si>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</si>
  <si>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</si>
  <si>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</si>
  <si>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</si>
  <si>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</si>
  <si>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</si>
  <si>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</si>
  <si>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</si>
  <si>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</si>
  <si>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</si>
  <si>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</si>
  <si>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</si>
  <si>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</si>
  <si>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</si>
  <si>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</si>
  <si>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</si>
  <si>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</si>
  <si>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</si>
  <si>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</si>
  <si>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</si>
  <si>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</si>
  <si>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</si>
  <si>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</si>
  <si>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</si>
  <si>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</si>
  <si>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</si>
  <si>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</si>
  <si>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</si>
  <si>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</si>
  <si>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</si>
  <si>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</si>
  <si>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</si>
  <si>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</si>
  <si>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</si>
  <si>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</si>
  <si>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</si>
  <si>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</si>
  <si>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</si>
  <si>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</si>
  <si>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</si>
  <si>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</si>
  <si>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</si>
  <si>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</si>
  <si>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</si>
  <si>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</si>
  <si>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</si>
  <si>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</si>
  <si>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</si>
  <si>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</si>
  <si>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</si>
  <si>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</si>
  <si>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</si>
  <si>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</si>
  <si>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</si>
  <si>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</si>
  <si>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</si>
  <si>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</si>
  <si>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</si>
  <si>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</si>
  <si>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</si>
  <si>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</si>
  <si>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</si>
  <si>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</si>
  <si>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</si>
  <si>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</si>
  <si>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</si>
  <si>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</si>
  <si>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</si>
  <si>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</si>
  <si>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</si>
  <si>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</si>
  <si>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</si>
  <si>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</si>
  <si>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</si>
  <si>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</si>
  <si>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</si>
  <si>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</si>
  <si>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</si>
  <si>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</si>
  <si>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</si>
  <si>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</si>
  <si>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</si>
  <si>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</si>
  <si>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</si>
  <si>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</si>
  <si>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</si>
  <si>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</si>
  <si>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</si>
  <si>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</si>
  <si>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</si>
  <si>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</si>
  <si>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</si>
  <si>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</si>
  <si>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</si>
  <si>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</si>
  <si>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</si>
  <si>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</si>
  <si>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</si>
  <si>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</si>
  <si>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</si>
  <si>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</si>
  <si>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</si>
  <si>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</si>
  <si>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</si>
  <si>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</si>
  <si>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</si>
  <si>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</si>
  <si>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</si>
  <si>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</si>
  <si>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</si>
  <si>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</si>
  <si>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</si>
  <si>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</si>
  <si>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</si>
  <si>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</si>
  <si>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</si>
  <si>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</si>
  <si>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</si>
  <si>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</si>
  <si>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</si>
  <si>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</si>
  <si>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</si>
  <si>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</si>
  <si>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</si>
  <si>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</si>
  <si>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</si>
  <si>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</si>
  <si>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</si>
  <si>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</si>
  <si>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</si>
  <si>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</si>
  <si>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</si>
  <si>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</si>
  <si>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</si>
  <si>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</si>
  <si>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</si>
  <si>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</si>
  <si>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</si>
  <si>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</si>
  <si>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</si>
  <si>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</si>
  <si>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</si>
  <si>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</si>
  <si>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</si>
  <si>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</si>
  <si>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</si>
  <si>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</si>
  <si>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</si>
  <si>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</si>
  <si>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</si>
  <si>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</si>
  <si>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</si>
  <si>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</si>
  <si>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</si>
  <si>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</si>
  <si>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</si>
  <si>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</si>
  <si>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</si>
  <si>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</si>
  <si>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</si>
  <si>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</si>
  <si>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</si>
  <si>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</si>
  <si>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</si>
  <si>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</si>
  <si>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</si>
  <si>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</si>
  <si>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</si>
  <si>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</si>
  <si>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</si>
  <si>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</si>
  <si>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</si>
  <si>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</si>
  <si>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</si>
  <si>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</si>
  <si>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</si>
  <si>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</si>
  <si>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</si>
  <si>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</si>
  <si>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</si>
  <si>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</si>
  <si>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</si>
  <si>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</si>
  <si>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</si>
  <si>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</si>
  <si>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</si>
  <si>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</si>
  <si>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</si>
  <si>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</si>
  <si>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</si>
  <si>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</si>
  <si>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</si>
  <si>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</si>
  <si>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</si>
  <si>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</si>
  <si>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</si>
  <si>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</si>
  <si>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</si>
  <si>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</si>
  <si>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</si>
  <si>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</si>
  <si>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</si>
  <si>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</si>
  <si>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</si>
  <si>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</si>
  <si>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</si>
  <si>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</si>
  <si>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</si>
  <si>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</si>
  <si>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</si>
  <si>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</si>
  <si>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</si>
  <si>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</si>
  <si>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</si>
  <si>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</si>
  <si>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</si>
  <si>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</si>
  <si>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</si>
  <si>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</si>
  <si>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</si>
  <si>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</si>
  <si>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</si>
  <si>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</si>
  <si>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</si>
  <si>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</si>
  <si>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</si>
  <si>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</si>
  <si>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</si>
  <si>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</si>
  <si>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</si>
  <si>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</si>
  <si>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</si>
  <si>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</si>
  <si>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</si>
  <si>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</si>
  <si>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</si>
  <si>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</si>
  <si>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</si>
  <si>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</si>
  <si>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</si>
  <si>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</si>
  <si>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</si>
  <si>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</si>
  <si>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</si>
  <si>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</si>
  <si>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</si>
  <si>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</si>
  <si>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</si>
  <si>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</si>
  <si>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</si>
  <si>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</si>
  <si>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</si>
  <si>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</si>
  <si>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</si>
  <si>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</si>
  <si>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</si>
  <si>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</si>
  <si>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</si>
  <si>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</si>
  <si>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</si>
  <si>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</si>
  <si>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</si>
  <si>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</si>
  <si>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</si>
  <si>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</si>
  <si>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</si>
  <si>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</si>
  <si>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</si>
  <si>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</si>
  <si>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</si>
  <si>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</si>
  <si>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</si>
  <si>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</si>
  <si>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</si>
  <si>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</si>
  <si>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</si>
  <si>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</si>
  <si>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</si>
  <si>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</si>
  <si>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</si>
  <si>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</si>
  <si>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</si>
  <si>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</si>
  <si>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</si>
  <si>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</si>
  <si>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</si>
  <si>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</si>
  <si>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</si>
  <si>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</si>
  <si>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</si>
  <si>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</si>
  <si>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</si>
  <si>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</si>
  <si>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</si>
  <si>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</si>
  <si>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</si>
  <si>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</si>
  <si>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</si>
  <si>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</si>
  <si>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</si>
  <si>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</si>
  <si>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</si>
  <si>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</si>
  <si>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</si>
  <si>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</si>
  <si>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</si>
  <si>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</si>
  <si>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</si>
  <si>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</si>
  <si>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</si>
  <si>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</si>
  <si>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</si>
  <si>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</si>
  <si>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</si>
  <si>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</si>
  <si>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</si>
  <si>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</si>
  <si>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</si>
  <si>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</si>
  <si>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</si>
  <si>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</si>
  <si>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</si>
  <si>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</si>
  <si>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</si>
  <si>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</si>
  <si>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</si>
  <si>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</si>
  <si>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</si>
  <si>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</si>
  <si>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</si>
  <si>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</si>
  <si>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</si>
  <si>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</si>
  <si>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</si>
  <si>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</si>
  <si>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</si>
  <si>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</si>
  <si>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</si>
  <si>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</si>
  <si>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</si>
  <si>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</si>
  <si>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</si>
  <si>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</si>
  <si>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</si>
  <si>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</si>
  <si>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</si>
  <si>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</si>
  <si>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</si>
  <si>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</si>
  <si>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</si>
  <si>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</si>
  <si>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</si>
  <si>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</si>
  <si>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</si>
  <si>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</si>
  <si>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</si>
  <si>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</si>
  <si>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</si>
  <si>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</si>
  <si>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</si>
  <si>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</si>
  <si>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</si>
  <si>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</si>
  <si>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</si>
  <si>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</si>
  <si>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</si>
  <si>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</si>
  <si>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</si>
  <si>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</si>
  <si>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</si>
  <si>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</si>
  <si>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</si>
  <si>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</si>
  <si>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</si>
  <si>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</si>
  <si>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</si>
  <si>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</si>
  <si>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</si>
  <si>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</si>
  <si>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</si>
  <si>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</si>
  <si>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</si>
  <si>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</si>
  <si>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</si>
  <si>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</si>
  <si>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</si>
  <si>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</si>
  <si>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</si>
  <si>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</si>
  <si>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</si>
  <si>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</si>
  <si>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</si>
  <si>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</si>
  <si>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</si>
  <si>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</si>
  <si>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</si>
  <si>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</si>
  <si>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</si>
  <si>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</si>
  <si>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</si>
  <si>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</si>
  <si>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</si>
  <si>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</si>
  <si>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</si>
  <si>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</si>
  <si>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</si>
  <si>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</si>
  <si>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</si>
  <si>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</si>
  <si>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</si>
  <si>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</si>
  <si>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</si>
  <si>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</si>
  <si>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</si>
  <si>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</si>
  <si>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</si>
  <si>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</si>
  <si>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</si>
  <si>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</si>
  <si>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</si>
  <si>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</si>
  <si>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</si>
  <si>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</si>
  <si>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</si>
  <si>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</si>
  <si>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</si>
  <si>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</si>
  <si>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</si>
  <si>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</si>
  <si>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</si>
  <si>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</si>
  <si>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</si>
  <si>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</si>
  <si>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</si>
  <si>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</si>
  <si>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</si>
  <si>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</si>
  <si>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</si>
  <si>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</si>
  <si>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</si>
  <si>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</si>
  <si>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</si>
  <si>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</si>
  <si>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</si>
  <si>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</si>
  <si>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</si>
  <si>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</si>
  <si>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</si>
  <si>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</si>
  <si>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</si>
  <si>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</si>
  <si>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</si>
  <si>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</si>
  <si>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</si>
  <si>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</si>
  <si>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</si>
  <si>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</si>
  <si>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</si>
  <si>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</si>
  <si>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</si>
  <si>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</si>
  <si>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</si>
  <si>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</si>
  <si>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</si>
  <si>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</si>
  <si>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</si>
  <si>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</si>
  <si>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</si>
  <si>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</si>
  <si>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</si>
  <si>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</si>
  <si>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</si>
  <si>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</si>
  <si>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</si>
  <si>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</si>
  <si>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</si>
  <si>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</si>
  <si>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</si>
  <si>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</si>
  <si>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</si>
  <si>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</si>
  <si>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</si>
  <si>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</si>
  <si>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</si>
  <si>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</si>
  <si>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</si>
  <si>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</si>
  <si>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</si>
  <si>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</si>
  <si>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</si>
  <si>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</si>
  <si>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</si>
  <si>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</si>
  <si>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</si>
  <si>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</si>
  <si>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</si>
  <si>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</si>
  <si>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</si>
  <si>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</si>
  <si>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</si>
  <si>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</si>
  <si>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</si>
  <si>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</si>
  <si>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</si>
  <si>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</si>
  <si>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</si>
  <si>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</si>
  <si>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</si>
  <si>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</si>
  <si>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</si>
  <si>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</si>
  <si>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</si>
  <si>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</si>
  <si>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</si>
  <si>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</si>
  <si>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</si>
  <si>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</si>
  <si>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</si>
  <si>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</si>
  <si>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</si>
  <si>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</si>
  <si>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</si>
  <si>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</si>
  <si>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</si>
  <si>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</si>
  <si>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</si>
  <si>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</si>
  <si>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</si>
  <si>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</si>
  <si>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</si>
  <si>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</si>
  <si>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</si>
  <si>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</si>
  <si>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</si>
  <si>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</si>
  <si>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</si>
  <si>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</si>
  <si>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</si>
  <si>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</si>
  <si>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</si>
  <si>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</si>
  <si>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</si>
  <si>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</si>
  <si>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</si>
  <si>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</si>
  <si>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</si>
  <si>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</si>
  <si>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</si>
  <si>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</si>
  <si>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</si>
  <si>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</si>
  <si>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</si>
  <si>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</si>
  <si>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</si>
  <si>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</si>
  <si>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</si>
  <si>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</si>
  <si>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</si>
  <si>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</si>
  <si>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</si>
  <si>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</si>
  <si>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</si>
  <si>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</si>
  <si>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</si>
  <si>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</si>
  <si>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</si>
  <si>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</si>
  <si>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</si>
  <si>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</si>
  <si>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</si>
  <si>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</si>
  <si>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</si>
  <si>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</si>
  <si>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</si>
  <si>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</si>
  <si>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</si>
  <si>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</si>
  <si>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</si>
  <si>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</si>
  <si>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</si>
  <si>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</si>
  <si>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</si>
  <si>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</si>
  <si>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</si>
  <si>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</si>
  <si>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</si>
  <si>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</si>
  <si>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</si>
  <si>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</si>
  <si>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</si>
  <si>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</si>
  <si>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</si>
  <si>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</si>
  <si>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</si>
  <si>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</si>
  <si>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</si>
  <si>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</si>
  <si>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</si>
  <si>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</si>
  <si>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</si>
  <si>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</si>
  <si>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</si>
  <si>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</si>
  <si>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</si>
  <si>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</si>
  <si>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</si>
  <si>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</si>
  <si>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</si>
  <si>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</si>
  <si>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</si>
  <si>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</si>
  <si>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</si>
  <si>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</si>
  <si>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</si>
  <si>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</si>
  <si>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</si>
  <si>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</si>
  <si>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</si>
  <si>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</si>
  <si>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</si>
  <si>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</si>
  <si>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</si>
  <si>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</si>
  <si>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</si>
  <si>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</si>
  <si>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</si>
  <si>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</si>
  <si>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</si>
  <si>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</si>
  <si>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</si>
  <si>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</si>
  <si>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</si>
  <si>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</si>
  <si>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</si>
  <si>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</si>
  <si>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</si>
  <si>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</si>
  <si>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</si>
  <si>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</si>
  <si>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</si>
  <si>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</si>
  <si>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</si>
  <si>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</si>
  <si>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</si>
  <si>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</si>
  <si>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</si>
  <si>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</si>
  <si>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</si>
  <si>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</si>
  <si>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</si>
  <si>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</si>
  <si>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</si>
  <si>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</si>
  <si>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</si>
  <si>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</si>
  <si>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</si>
  <si>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</si>
  <si>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</si>
  <si>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</si>
  <si>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</si>
  <si>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</si>
  <si>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</si>
  <si>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</si>
  <si>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</si>
  <si>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</si>
  <si>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</si>
  <si>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</si>
  <si>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</si>
  <si>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</si>
  <si>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</si>
  <si>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</si>
  <si>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</si>
  <si>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</si>
  <si>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</si>
  <si>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</si>
  <si>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</si>
  <si>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</si>
  <si>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</si>
  <si>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</si>
  <si>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</si>
  <si>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</si>
  <si>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</si>
  <si>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</si>
  <si>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</si>
  <si>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</si>
  <si>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</si>
  <si>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</si>
  <si>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</si>
  <si>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</si>
  <si>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</si>
  <si>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</si>
  <si>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</si>
  <si>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</si>
  <si>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</si>
  <si>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</si>
  <si>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</si>
  <si>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</si>
  <si>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</si>
  <si>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</si>
  <si>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</si>
  <si>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</si>
  <si>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</si>
  <si>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</si>
  <si>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</si>
  <si>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</si>
  <si>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</si>
  <si>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</si>
  <si>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</si>
  <si>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</si>
  <si>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</si>
  <si>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</si>
  <si>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</si>
  <si>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</si>
  <si>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</si>
  <si>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</si>
  <si>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</si>
  <si>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</si>
  <si>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</si>
  <si>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</si>
  <si>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</si>
  <si>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</si>
  <si>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</si>
  <si>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</si>
  <si>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</si>
  <si>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</si>
  <si>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</si>
  <si>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</si>
  <si>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</si>
  <si>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</si>
  <si>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</si>
  <si>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</si>
  <si>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</si>
  <si>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</si>
  <si>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</si>
  <si>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</si>
  <si>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</si>
  <si>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</si>
  <si>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</si>
  <si>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</si>
  <si>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</si>
  <si>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</si>
  <si>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</si>
  <si>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</si>
  <si>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</si>
  <si>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</si>
  <si>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</si>
  <si>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</si>
  <si>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</si>
  <si>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</si>
  <si>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</si>
  <si>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</si>
  <si>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</si>
  <si>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</si>
  <si>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</si>
  <si>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</si>
  <si>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</si>
  <si>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</si>
  <si>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</si>
  <si>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</si>
  <si>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</si>
  <si>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</si>
  <si>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</si>
  <si>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</si>
  <si>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</si>
  <si>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</si>
  <si>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</si>
  <si>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</si>
  <si>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</si>
  <si>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</si>
  <si>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</si>
  <si>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</si>
  <si>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</si>
  <si>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</si>
  <si>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</si>
  <si>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</si>
  <si>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</si>
  <si>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</si>
  <si>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</si>
  <si>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</si>
  <si>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</si>
  <si>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</si>
  <si>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</si>
  <si>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</si>
  <si>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</si>
  <si>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</si>
  <si>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</si>
  <si>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</si>
  <si>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</si>
  <si>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</si>
  <si>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</si>
  <si>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</si>
  <si>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</si>
  <si>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</si>
  <si>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</si>
  <si>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</si>
  <si>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</si>
  <si>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</si>
  <si>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</si>
  <si>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</si>
  <si>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</si>
  <si>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</si>
  <si>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</si>
  <si>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</si>
  <si>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</si>
  <si>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</si>
  <si>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</si>
  <si>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</si>
  <si>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</si>
  <si>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</si>
  <si>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</si>
  <si>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</si>
  <si>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</si>
  <si>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</si>
  <si>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</si>
  <si>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</si>
  <si>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</si>
  <si>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</si>
  <si>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</si>
  <si>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</si>
  <si>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</si>
  <si>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</si>
  <si>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</si>
  <si>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</si>
  <si>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</si>
  <si>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</si>
  <si>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</si>
  <si>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</si>
  <si>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</si>
  <si>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</si>
  <si>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</si>
  <si>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</si>
  <si>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</si>
  <si>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</si>
  <si>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</si>
  <si>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</si>
  <si>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</si>
  <si>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</si>
  <si>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</si>
  <si>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</si>
  <si>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</si>
  <si>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</si>
  <si>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</si>
  <si>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</si>
  <si>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</si>
  <si>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</si>
  <si>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</si>
  <si>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</si>
  <si>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</si>
  <si>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</si>
  <si>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</si>
  <si>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</si>
  <si>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</si>
  <si>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</si>
  <si>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</si>
  <si>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</si>
  <si>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</si>
  <si>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</si>
  <si>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</si>
  <si>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</si>
  <si>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</si>
  <si>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</si>
  <si>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</si>
  <si>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</si>
  <si>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</si>
  <si>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</si>
  <si>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</si>
  <si>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</si>
  <si>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</si>
  <si>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</si>
  <si>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</si>
  <si>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</si>
  <si>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</si>
  <si>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</si>
  <si>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</si>
  <si>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</si>
  <si>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</si>
  <si>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</si>
  <si>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</si>
  <si>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</si>
  <si>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</si>
  <si>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</si>
  <si>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</si>
  <si>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</si>
  <si>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</si>
  <si>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</si>
  <si>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</si>
  <si>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</si>
  <si>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</si>
  <si>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</si>
  <si>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</si>
  <si>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</si>
  <si>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</si>
  <si>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</si>
  <si>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</si>
  <si>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</si>
  <si>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</si>
  <si>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</si>
  <si>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</si>
  <si>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</si>
  <si>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</si>
  <si>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</si>
  <si>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</si>
  <si>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</si>
  <si>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</si>
  <si>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</si>
  <si>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</si>
  <si>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</si>
  <si>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</si>
  <si>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</si>
  <si>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</si>
  <si>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</si>
  <si>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</si>
  <si>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</si>
  <si>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</si>
  <si>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</si>
  <si>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</si>
  <si>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</si>
  <si>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</si>
  <si>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</si>
  <si>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</si>
  <si>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</si>
  <si>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</si>
  <si>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</si>
  <si>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</si>
  <si>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</si>
  <si>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</si>
  <si>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</si>
  <si>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</si>
  <si>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</si>
  <si>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</si>
  <si>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</si>
  <si>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</si>
  <si>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</si>
  <si>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</si>
  <si>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</si>
  <si>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</si>
  <si>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</si>
  <si>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</si>
  <si>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</si>
  <si>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</si>
  <si>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</si>
  <si>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</si>
  <si>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</si>
  <si>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</si>
  <si>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</si>
  <si>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</si>
  <si>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</si>
  <si>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</si>
  <si>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</si>
  <si>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</si>
  <si>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</si>
  <si>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</si>
  <si>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</si>
  <si>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</si>
  <si>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</si>
  <si>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</si>
  <si>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</si>
  <si>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</si>
  <si>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</si>
  <si>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</si>
  <si>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</si>
  <si>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</si>
  <si>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</si>
  <si>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</si>
  <si>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</si>
  <si>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</si>
  <si>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</si>
  <si>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</si>
  <si>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</si>
  <si>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</si>
  <si>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</si>
  <si>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</si>
  <si>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</si>
  <si>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</si>
  <si>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</si>
  <si>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</si>
  <si>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</si>
  <si>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</si>
  <si>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</si>
  <si>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</si>
  <si>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</si>
  <si>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</si>
  <si>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</si>
  <si>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</si>
  <si>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</si>
  <si>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</si>
  <si>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</si>
  <si>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</si>
  <si>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</si>
  <si>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</si>
  <si>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</si>
  <si>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</si>
  <si>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</si>
  <si>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</si>
  <si>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</si>
  <si>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</si>
  <si>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</si>
  <si>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</si>
  <si>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</si>
  <si>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</si>
  <si>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</si>
  <si>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</si>
  <si>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</si>
  <si>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</si>
  <si>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</si>
  <si>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</si>
  <si>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</si>
  <si>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</si>
  <si>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</si>
  <si>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</si>
  <si>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</si>
  <si>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</si>
  <si>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</si>
  <si>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</si>
  <si>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</si>
  <si>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</si>
  <si>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</si>
  <si>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</si>
  <si>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</si>
  <si>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</si>
  <si>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</si>
  <si>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</si>
  <si>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</si>
  <si>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</si>
  <si>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</si>
  <si>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</si>
  <si>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</si>
  <si>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</si>
  <si>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</si>
  <si>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</si>
  <si>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</si>
  <si>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</si>
  <si>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</si>
  <si>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</si>
  <si>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</si>
  <si>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</si>
  <si>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</si>
  <si>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</si>
  <si>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</si>
  <si>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</si>
  <si>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</si>
  <si>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</si>
  <si>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</si>
  <si>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</si>
  <si>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</si>
  <si>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</si>
  <si>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</si>
  <si>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</si>
  <si>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</si>
  <si>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</si>
  <si>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</si>
  <si>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</si>
  <si>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</si>
  <si>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</si>
  <si>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</si>
  <si>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</si>
  <si>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</si>
  <si>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</si>
  <si>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</si>
  <si>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</si>
  <si>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</si>
  <si>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</si>
  <si>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</si>
  <si>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</si>
  <si>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</si>
  <si>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</si>
  <si>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</si>
  <si>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</si>
  <si>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</si>
  <si>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</si>
  <si>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</si>
  <si>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</si>
  <si>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</si>
  <si>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</si>
  <si>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</si>
  <si>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</si>
  <si>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</si>
  <si>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</si>
  <si>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</si>
  <si>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</si>
  <si>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</si>
  <si>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</si>
  <si>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</si>
  <si>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</si>
  <si>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</si>
  <si>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</si>
  <si>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</si>
  <si>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</si>
  <si>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</si>
  <si>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</si>
  <si>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</si>
  <si>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</si>
  <si>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</si>
  <si>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</si>
  <si>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</si>
  <si>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</si>
  <si>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</si>
  <si>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</si>
  <si>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</si>
  <si>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</si>
  <si>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</si>
  <si>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</si>
  <si>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</si>
  <si>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</si>
  <si>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</si>
  <si>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</si>
  <si>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</si>
  <si>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</si>
  <si>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</si>
  <si>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</si>
  <si>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</si>
  <si>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</si>
  <si>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</si>
  <si>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</si>
  <si>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</si>
  <si>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</si>
  <si>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</si>
  <si>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</si>
  <si>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</si>
  <si>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</si>
  <si>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</si>
  <si>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</si>
  <si>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</si>
  <si>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</si>
  <si>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</si>
  <si>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</si>
  <si>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</si>
  <si>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</si>
  <si>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</si>
  <si>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</si>
  <si>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</si>
  <si>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</si>
  <si>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</si>
  <si>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</si>
  <si>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</si>
  <si>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</si>
  <si>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</si>
  <si>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</si>
  <si>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</si>
  <si>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</si>
  <si>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</si>
  <si>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</si>
  <si>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</si>
  <si>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</si>
  <si>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</si>
  <si>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</si>
  <si>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</si>
  <si>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</si>
  <si>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</si>
  <si>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</si>
  <si>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</si>
  <si>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</si>
  <si>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</si>
  <si>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</si>
  <si>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</si>
  <si>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</si>
  <si>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</si>
  <si>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</si>
  <si>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</si>
  <si>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</si>
  <si>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</si>
  <si>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</si>
  <si>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</si>
  <si>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</si>
  <si>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</si>
  <si>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</si>
  <si>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</si>
  <si>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</si>
  <si>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</si>
  <si>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</si>
  <si>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</si>
  <si>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</si>
  <si>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</si>
  <si>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</si>
  <si>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</si>
  <si>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</si>
  <si>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</si>
  <si>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</si>
  <si>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</si>
  <si>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</si>
  <si>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</si>
  <si>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</si>
  <si>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</si>
  <si>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</si>
  <si>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</si>
  <si>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</si>
  <si>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</si>
  <si>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</si>
  <si>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</si>
  <si>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</si>
  <si>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</si>
  <si>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</si>
  <si>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</si>
  <si>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</si>
  <si>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</si>
  <si>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</si>
  <si>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</si>
  <si>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</si>
  <si>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</si>
  <si>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</si>
  <si>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</si>
  <si>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</si>
  <si>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</si>
  <si>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</si>
  <si>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</si>
  <si>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</si>
  <si>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</si>
  <si>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</si>
  <si>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</si>
  <si>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</si>
  <si>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</si>
  <si>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</si>
  <si>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</si>
  <si>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</si>
  <si>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</si>
  <si>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</si>
  <si>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</si>
  <si>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</si>
  <si>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</si>
  <si>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</si>
  <si>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</si>
  <si>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</si>
  <si>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</si>
  <si>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</si>
  <si>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</si>
  <si>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</si>
  <si>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</si>
  <si>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</si>
  <si>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</si>
  <si>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</si>
  <si>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</si>
  <si>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</si>
  <si>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</si>
  <si>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</si>
  <si>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</si>
  <si>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</si>
  <si>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</si>
  <si>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</si>
  <si>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</si>
  <si>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</si>
  <si>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</si>
  <si>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</si>
  <si>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</si>
  <si>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</si>
  <si>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</si>
  <si>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</si>
  <si>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</si>
  <si>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</si>
  <si>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</si>
  <si>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</si>
  <si>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</si>
  <si>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</si>
  <si>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</si>
  <si>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</si>
  <si>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</si>
  <si>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</si>
  <si>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</si>
  <si>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</si>
  <si>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</si>
  <si>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</si>
  <si>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</si>
  <si>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</si>
  <si>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</si>
  <si>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</si>
  <si>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</si>
  <si>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</si>
  <si>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</si>
  <si>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</si>
  <si>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</si>
  <si>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</si>
  <si>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</si>
  <si>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</si>
  <si>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</si>
  <si>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</si>
  <si>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</si>
  <si>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</si>
  <si>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</si>
  <si>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</si>
  <si>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</si>
  <si>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</si>
  <si>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</si>
  <si>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</si>
  <si>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</si>
  <si>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</si>
  <si>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</si>
  <si>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</si>
  <si>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</si>
  <si>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</si>
  <si>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</si>
  <si>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</si>
  <si>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</si>
  <si>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</si>
  <si>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</si>
  <si>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</si>
  <si>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</si>
  <si>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</si>
  <si>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</si>
  <si>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</si>
  <si>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</si>
  <si>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</si>
  <si>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</si>
  <si>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</si>
  <si>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</si>
  <si>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</si>
  <si>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</si>
  <si>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</si>
  <si>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</si>
  <si>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</si>
  <si>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</si>
  <si>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</si>
  <si>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</si>
  <si>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</si>
  <si>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</si>
  <si>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</si>
  <si>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</si>
  <si>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</si>
  <si>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</si>
  <si>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</si>
  <si>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</si>
  <si>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</si>
  <si>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</si>
  <si>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</si>
  <si>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</si>
  <si>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</si>
  <si>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</si>
  <si>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</si>
  <si>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</si>
  <si>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</si>
  <si>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</si>
  <si>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</si>
  <si>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</si>
  <si>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</si>
  <si>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</si>
  <si>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</si>
  <si>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</si>
  <si>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</si>
  <si>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</si>
  <si>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</si>
  <si>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</si>
  <si>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</si>
  <si>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</si>
  <si>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</si>
  <si>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</si>
  <si>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</si>
  <si>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</si>
  <si>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</si>
  <si>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</si>
  <si>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</si>
  <si>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</si>
  <si>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</si>
  <si>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</si>
  <si>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</si>
  <si>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</si>
  <si>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</si>
  <si>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</si>
  <si>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</si>
  <si>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</si>
  <si>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</si>
  <si>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</si>
  <si>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</si>
  <si>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</si>
  <si>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</si>
  <si>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</si>
  <si>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</si>
  <si>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</si>
  <si>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</si>
  <si>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</si>
  <si>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</si>
  <si>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</si>
  <si>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</si>
  <si>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</si>
  <si>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</si>
  <si>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</si>
  <si>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</si>
  <si>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</si>
  <si>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</si>
  <si>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</si>
  <si>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</si>
  <si>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</si>
  <si>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</si>
  <si>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</si>
  <si>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</si>
  <si>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</si>
  <si>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</si>
  <si>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</si>
  <si>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</si>
  <si>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</si>
  <si>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</si>
  <si>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</si>
  <si>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</si>
  <si>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</si>
  <si>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</si>
  <si>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</si>
  <si>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</si>
  <si>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</si>
  <si>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</si>
  <si>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</si>
  <si>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</si>
  <si>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</si>
  <si>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</si>
  <si>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</si>
  <si>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</si>
  <si>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</si>
  <si>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</si>
  <si>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</si>
  <si>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</si>
  <si>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</si>
  <si>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</si>
  <si>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</si>
  <si>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</si>
  <si>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</si>
  <si>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</si>
  <si>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</si>
  <si>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</si>
  <si>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</si>
  <si>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</si>
  <si>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</si>
  <si>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</si>
  <si>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</si>
  <si>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</si>
  <si>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</si>
  <si>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</si>
  <si>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</si>
  <si>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</si>
  <si>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</si>
  <si>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</si>
  <si>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</si>
  <si>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</si>
  <si>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</si>
  <si>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</si>
  <si>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</si>
  <si>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</si>
  <si>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</si>
  <si>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</si>
  <si>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</si>
  <si>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</si>
  <si>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</si>
  <si>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</si>
  <si>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</si>
  <si>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</si>
  <si>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</si>
  <si>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</si>
  <si>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</si>
  <si>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</si>
  <si>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</si>
  <si>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</si>
  <si>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</si>
  <si>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</si>
  <si>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</si>
  <si>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</si>
  <si>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</si>
  <si>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</si>
  <si>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</si>
  <si>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</si>
  <si>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</si>
  <si>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</si>
  <si>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</si>
  <si>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</si>
  <si>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</si>
  <si>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</si>
  <si>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</si>
  <si>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</si>
  <si>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</si>
  <si>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</si>
  <si>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</si>
  <si>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</si>
  <si>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</si>
  <si>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</si>
  <si>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</si>
  <si>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</si>
  <si>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</si>
  <si>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</si>
  <si>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State Controller's Office</t>
  </si>
  <si>
    <t>State Controllers Office</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</si>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</sst>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persons/person.xml><?xml version="1.0" encoding="utf-8"?>
<personList xmlns="http://schemas.microsoft.com/office/spreadsheetml/2018/threadedcomments" xmlns:x="http://schemas.openxmlformats.org/spreadsheetml/2006/main">
  <person displayName="Kobler, Tina" id="{C376BA4F-834E-47FE-97B2-FABA662E3DC5}" userId="S::TKobler@ad.sconet.ca.gov::f188ea49-6e6e-4ab6-a9b8-7879075b68a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7" dT="2024-11-19T19:42:12.76" personId="{C376BA4F-834E-47FE-97B2-FABA662E3DC5}" id="{02520F1F-D0D9-47F5-8003-75880BBA6D64}">
    <text>From WB</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E22" sqref="E22: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topLeftCell="A8" zoomScale="80" zoomScaleNormal="80" workbookViewId="0">
      <selection activeCell="W34" sqref="V34:W34"/>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4" t="s">
        <v>12</v>
      </c>
      <c r="B3" s="264"/>
      <c r="C3" s="264"/>
      <c r="D3" s="264"/>
      <c r="E3" s="264"/>
      <c r="F3" s="265" t="s">
        <v>24</v>
      </c>
      <c r="G3" s="265"/>
      <c r="H3" s="265"/>
      <c r="I3" s="265"/>
    </row>
    <row r="4" spans="1:20" ht="16.5" customHeight="1" x14ac:dyDescent="0.2">
      <c r="A4" s="264" t="s">
        <v>208</v>
      </c>
      <c r="B4" s="264"/>
      <c r="C4" s="264"/>
      <c r="D4" s="264"/>
      <c r="E4" s="264"/>
      <c r="F4" s="266" t="s">
        <v>1803</v>
      </c>
      <c r="G4" s="266"/>
      <c r="H4" s="266"/>
      <c r="I4" s="266"/>
    </row>
    <row r="5" spans="1:20" ht="16.5" customHeight="1" x14ac:dyDescent="0.2">
      <c r="A5" s="264" t="s">
        <v>1639</v>
      </c>
      <c r="B5" s="264"/>
      <c r="C5" s="264"/>
      <c r="D5" s="264"/>
      <c r="E5" s="264"/>
      <c r="F5" s="266" t="s">
        <v>404</v>
      </c>
      <c r="G5" s="266"/>
      <c r="H5" s="266"/>
      <c r="I5" s="266"/>
      <c r="L5" s="39"/>
      <c r="M5" s="39"/>
      <c r="N5" s="39"/>
      <c r="O5" s="39"/>
      <c r="P5" s="39"/>
      <c r="Q5" s="39"/>
    </row>
    <row r="6" spans="1:20" ht="16.5" customHeight="1" x14ac:dyDescent="0.25">
      <c r="A6" s="264" t="s">
        <v>1682</v>
      </c>
      <c r="B6" s="264"/>
      <c r="C6" s="264"/>
      <c r="D6" s="264"/>
      <c r="E6" s="264"/>
      <c r="F6" s="267">
        <v>1</v>
      </c>
      <c r="G6" s="267"/>
      <c r="H6" s="267"/>
      <c r="I6" s="267"/>
      <c r="L6" s="40"/>
      <c r="M6" s="40"/>
      <c r="N6" s="40"/>
      <c r="O6" s="40"/>
      <c r="P6" s="39"/>
      <c r="Q6" s="39"/>
    </row>
    <row r="7" spans="1:20" ht="16.5" customHeight="1" x14ac:dyDescent="0.25">
      <c r="A7" s="264" t="s">
        <v>3</v>
      </c>
      <c r="B7" s="264"/>
      <c r="C7" s="264"/>
      <c r="D7" s="264"/>
      <c r="E7" s="264"/>
      <c r="F7" s="267" t="s">
        <v>123</v>
      </c>
      <c r="G7" s="267"/>
      <c r="H7" s="267"/>
      <c r="I7" s="267"/>
      <c r="K7" s="96"/>
      <c r="L7" s="40"/>
      <c r="M7" s="40"/>
      <c r="N7" s="40"/>
      <c r="O7" s="40"/>
      <c r="P7" s="39"/>
      <c r="Q7" s="39"/>
    </row>
    <row r="8" spans="1:20" ht="16.5" customHeight="1" x14ac:dyDescent="0.25">
      <c r="A8" s="264" t="s">
        <v>1640</v>
      </c>
      <c r="B8" s="264"/>
      <c r="C8" s="264"/>
      <c r="D8" s="264"/>
      <c r="E8" s="264"/>
      <c r="F8" s="267" t="s">
        <v>164</v>
      </c>
      <c r="G8" s="267"/>
      <c r="H8" s="267"/>
      <c r="I8" s="267"/>
      <c r="K8" s="96"/>
      <c r="L8" s="40"/>
      <c r="M8" s="40"/>
      <c r="N8" s="40"/>
      <c r="O8" s="40"/>
      <c r="P8" s="39"/>
      <c r="Q8" s="39"/>
    </row>
    <row r="9" spans="1:20" ht="16.5" customHeight="1" x14ac:dyDescent="0.25">
      <c r="A9" s="264" t="s">
        <v>1638</v>
      </c>
      <c r="B9" s="264"/>
      <c r="C9" s="264"/>
      <c r="D9" s="264"/>
      <c r="E9" s="264"/>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0" t="s">
        <v>1672</v>
      </c>
      <c r="N14" s="261"/>
      <c r="O14" s="188"/>
      <c r="P14" s="260" t="s">
        <v>1667</v>
      </c>
      <c r="Q14" s="261"/>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28339338</v>
      </c>
      <c r="M17" s="196">
        <v>28339338</v>
      </c>
      <c r="P17" s="196">
        <v>28339339</v>
      </c>
      <c r="Q17" s="224"/>
      <c r="S17" s="223">
        <f t="shared" si="0"/>
        <v>1</v>
      </c>
      <c r="T17" s="251" t="s">
        <v>1760</v>
      </c>
    </row>
    <row r="18" spans="1:20" ht="16.5" customHeight="1" x14ac:dyDescent="0.25">
      <c r="A18" s="99"/>
      <c r="B18" s="26" t="s">
        <v>178</v>
      </c>
      <c r="C18" s="26"/>
      <c r="D18" s="26"/>
      <c r="E18" s="193"/>
      <c r="F18" s="194"/>
      <c r="G18" s="194"/>
      <c r="H18" s="195"/>
      <c r="I18" s="195"/>
      <c r="J18" s="248">
        <f>P18</f>
        <v>341856</v>
      </c>
      <c r="M18" s="196">
        <v>341587</v>
      </c>
      <c r="P18" s="221">
        <f>IF(SUM($Q$20:$Q$23)&gt;SUM($P$15:$P$17),SUM($Q$20:$Q$23)-SUM($P$15:$P$17),0)</f>
        <v>341856</v>
      </c>
      <c r="Q18" s="224"/>
      <c r="S18" s="223">
        <f t="shared" si="0"/>
        <v>269</v>
      </c>
      <c r="T18" s="250" t="s">
        <v>1730</v>
      </c>
    </row>
    <row r="19" spans="1:20" ht="16.5" customHeight="1" x14ac:dyDescent="0.25">
      <c r="A19" s="99"/>
      <c r="B19" s="26" t="s">
        <v>179</v>
      </c>
      <c r="C19" s="26"/>
      <c r="D19" s="26"/>
      <c r="E19" s="193"/>
      <c r="F19" s="194"/>
      <c r="G19" s="194"/>
      <c r="H19" s="195"/>
      <c r="I19" s="195"/>
      <c r="J19" s="248">
        <f>IF(SUM($K$20:$K$24)&gt;SUM($J$15:$J$18),SUM($K$20:$K$24)-SUM($J$15:$J$18),0)</f>
        <v>2</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13464839</v>
      </c>
      <c r="N22" s="196">
        <v>13464839</v>
      </c>
      <c r="P22" s="224"/>
      <c r="Q22" s="196">
        <v>13464838</v>
      </c>
      <c r="S22" s="223">
        <f t="shared" ref="S22:S25" si="1">Q22-N22</f>
        <v>-1</v>
      </c>
      <c r="T22" s="250" t="s">
        <v>1730</v>
      </c>
    </row>
    <row r="23" spans="1:20" ht="16.5" customHeight="1" x14ac:dyDescent="0.25">
      <c r="A23" s="234" t="s">
        <v>1697</v>
      </c>
      <c r="B23" s="26"/>
      <c r="C23" s="26" t="s">
        <v>183</v>
      </c>
      <c r="D23" s="26"/>
      <c r="E23" s="193"/>
      <c r="F23" s="194"/>
      <c r="G23" s="194"/>
      <c r="H23" s="195"/>
      <c r="I23" s="195"/>
      <c r="J23" s="213"/>
      <c r="K23" s="248">
        <f>N23</f>
        <v>15216357</v>
      </c>
      <c r="N23" s="196">
        <v>15216357</v>
      </c>
      <c r="P23" s="224"/>
      <c r="Q23" s="196">
        <v>15216357</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28681196</v>
      </c>
      <c r="K26" s="155">
        <f>SUM(K15:K25)</f>
        <v>28681196</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5706263</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5706263</v>
      </c>
    </row>
    <row r="59" spans="1:16" ht="16.5" customHeight="1" x14ac:dyDescent="0.25">
      <c r="A59" s="99"/>
      <c r="C59" s="43"/>
      <c r="D59" s="43"/>
      <c r="E59" s="43"/>
      <c r="F59" s="44"/>
      <c r="G59" s="44"/>
      <c r="H59" s="45"/>
      <c r="I59" s="45"/>
      <c r="J59" s="155">
        <f>SUM(J55:J58)</f>
        <v>5706263</v>
      </c>
      <c r="K59" s="155">
        <f>SUM(K55:K58)</f>
        <v>5706263</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5728588</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24813</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5753401</v>
      </c>
    </row>
    <row r="65" spans="1:12" ht="16.5" customHeight="1" x14ac:dyDescent="0.25">
      <c r="A65" s="99"/>
      <c r="C65" s="43"/>
      <c r="D65" s="43"/>
      <c r="E65" s="43"/>
      <c r="F65" s="44"/>
      <c r="G65" s="44"/>
      <c r="H65" s="45"/>
      <c r="I65" s="45"/>
      <c r="J65" s="155">
        <f>SUM(J62:J64)</f>
        <v>5753401</v>
      </c>
      <c r="K65" s="155">
        <f>SUM(K62:K64)</f>
        <v>5753401</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5728588</v>
      </c>
      <c r="K68" s="197"/>
    </row>
    <row r="69" spans="1:12" ht="16.5" customHeight="1" x14ac:dyDescent="0.25">
      <c r="A69" s="99"/>
      <c r="B69" s="26"/>
      <c r="C69" s="26" t="s">
        <v>202</v>
      </c>
      <c r="D69" s="193"/>
      <c r="E69" s="193"/>
      <c r="F69" s="194"/>
      <c r="G69" s="194"/>
      <c r="H69" s="195"/>
      <c r="I69" s="195"/>
      <c r="J69" s="197"/>
      <c r="K69" s="196">
        <v>5728588</v>
      </c>
      <c r="L69" s="37" t="str">
        <f>IF($J$62=$K$69,"","&lt;- Accts 0848 must agree")</f>
        <v/>
      </c>
    </row>
    <row r="70" spans="1:12" ht="16.5" customHeight="1" x14ac:dyDescent="0.25">
      <c r="A70" s="99"/>
      <c r="C70" s="43"/>
      <c r="D70" s="43"/>
      <c r="E70" s="43"/>
      <c r="F70" s="44"/>
      <c r="G70" s="44"/>
      <c r="H70" s="45"/>
      <c r="I70" s="45"/>
      <c r="J70" s="155">
        <f>SUM(J68:J69)</f>
        <v>5728588</v>
      </c>
      <c r="K70" s="155">
        <f>SUM(K68:K69)</f>
        <v>5728588</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5157723</v>
      </c>
      <c r="K75" s="197"/>
    </row>
    <row r="76" spans="1:12" ht="16.5" customHeight="1" x14ac:dyDescent="0.25">
      <c r="A76" s="99"/>
      <c r="B76" s="26"/>
      <c r="C76" s="26" t="s">
        <v>210</v>
      </c>
      <c r="D76" s="193"/>
      <c r="E76" s="193"/>
      <c r="F76" s="194"/>
      <c r="G76" s="194"/>
      <c r="H76" s="195"/>
      <c r="I76" s="195"/>
      <c r="J76" s="197"/>
      <c r="K76" s="196">
        <v>5157723</v>
      </c>
    </row>
    <row r="77" spans="1:12" ht="16.5" customHeight="1" x14ac:dyDescent="0.2">
      <c r="A77" s="99"/>
      <c r="B77" s="262" t="s">
        <v>1737</v>
      </c>
      <c r="C77" s="262"/>
      <c r="D77" s="262"/>
      <c r="E77" s="262"/>
      <c r="F77" s="262"/>
      <c r="G77" s="262"/>
      <c r="H77" s="262"/>
      <c r="I77" s="262"/>
      <c r="J77" s="155">
        <f>SUM(J75:J76)</f>
        <v>5157723</v>
      </c>
      <c r="K77" s="155">
        <f>SUM(K75:K76)</f>
        <v>5157723</v>
      </c>
      <c r="L77" s="53" t="str">
        <f>IF(J77=K77,"&lt;- Debits and Credits equal each other.","&lt;- Debits and Credits do not equal each other.")</f>
        <v>&lt;- Debits and Credits equal each other.</v>
      </c>
    </row>
    <row r="78" spans="1:12" ht="16.5" customHeight="1" x14ac:dyDescent="0.2">
      <c r="A78" s="99"/>
      <c r="B78" s="262"/>
      <c r="C78" s="262"/>
      <c r="D78" s="262"/>
      <c r="E78" s="262"/>
      <c r="F78" s="262"/>
      <c r="G78" s="262"/>
      <c r="H78" s="262"/>
      <c r="I78" s="262"/>
      <c r="J78" s="155"/>
      <c r="K78" s="155"/>
      <c r="L78" s="21"/>
    </row>
    <row r="79" spans="1:12" ht="24.6" customHeight="1" x14ac:dyDescent="0.2">
      <c r="A79" s="99"/>
      <c r="B79" s="262"/>
      <c r="C79" s="262"/>
      <c r="D79" s="262"/>
      <c r="E79" s="262"/>
      <c r="F79" s="262"/>
      <c r="G79" s="262"/>
      <c r="H79" s="262"/>
      <c r="I79" s="262"/>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v>3969018</v>
      </c>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v>3969018</v>
      </c>
    </row>
    <row r="91" spans="1:16" ht="16.5" customHeight="1" x14ac:dyDescent="0.25">
      <c r="B91" s="182" t="s">
        <v>1692</v>
      </c>
      <c r="H91" s="37"/>
      <c r="J91" s="156">
        <f>SUM(J85:J90)</f>
        <v>3969018</v>
      </c>
      <c r="K91" s="156">
        <f>SUM(K85:K90)</f>
        <v>3969018</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24370320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-15202084</v>
      </c>
    </row>
    <row r="128" spans="1:12" ht="16.5" customHeight="1" x14ac:dyDescent="0.25">
      <c r="D128" s="193" t="s">
        <v>1708</v>
      </c>
      <c r="H128" s="37"/>
      <c r="K128" s="238">
        <f>-K23-K48+J68+J75+J96-K113</f>
        <v>-4330046</v>
      </c>
    </row>
    <row r="129" spans="4:11" ht="16.5" customHeight="1" x14ac:dyDescent="0.25">
      <c r="D129" s="193" t="s">
        <v>1709</v>
      </c>
      <c r="H129" s="37"/>
      <c r="K129" s="238">
        <f>-K76</f>
        <v>-5157723</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g9DHlcYmwkz79VlsG1F8MkUBuWb2CMi0oeYvQsK8Sr4ZLX537IRzlepH8g2wny77KfPNrZ1Ovgj/yeyOVv86iQ==" saltValue="n4uGwwQphsoEclzGRIp+EA=="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5" zoomScale="90" zoomScaleNormal="90" workbookViewId="0">
      <selection activeCell="B13" sqref="B13"/>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150000000000006" customHeight="1" x14ac:dyDescent="0.25">
      <c r="A2" s="279" t="s">
        <v>147</v>
      </c>
      <c r="B2" s="279"/>
      <c r="C2" s="279"/>
      <c r="D2" s="279"/>
      <c r="E2" s="279"/>
      <c r="F2" s="279"/>
      <c r="G2" s="5"/>
      <c r="H2" s="5"/>
      <c r="I2" s="5"/>
      <c r="J2" s="5"/>
      <c r="K2" s="5"/>
      <c r="L2" s="5"/>
      <c r="M2" s="5"/>
    </row>
    <row r="3" spans="1:13" ht="31.9" customHeight="1" x14ac:dyDescent="0.25">
      <c r="A3" s="284" t="s">
        <v>211</v>
      </c>
      <c r="B3" s="284"/>
      <c r="C3" s="284"/>
      <c r="D3" s="52"/>
      <c r="E3" s="5"/>
      <c r="F3" s="5"/>
      <c r="G3" s="5"/>
      <c r="H3" s="5"/>
      <c r="I3" s="5"/>
      <c r="J3" s="5"/>
      <c r="K3" s="5"/>
      <c r="L3" s="5"/>
      <c r="M3" s="5"/>
    </row>
    <row r="4" spans="1:13" ht="31.15" customHeight="1" x14ac:dyDescent="0.25">
      <c r="A4" s="285" t="s">
        <v>7</v>
      </c>
      <c r="B4" s="285"/>
      <c r="C4" s="285"/>
      <c r="D4" s="52"/>
      <c r="E4" s="5"/>
      <c r="F4" s="5"/>
      <c r="G4" s="5"/>
      <c r="H4" s="5"/>
      <c r="I4" s="5"/>
      <c r="J4" s="5"/>
      <c r="K4" s="5"/>
      <c r="L4" s="5"/>
      <c r="M4" s="5"/>
    </row>
    <row r="5" spans="1:13" ht="31.15" customHeight="1" x14ac:dyDescent="0.25">
      <c r="A5" s="285" t="s">
        <v>9</v>
      </c>
      <c r="B5" s="285"/>
      <c r="C5" s="285"/>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v>840</v>
      </c>
      <c r="C9" s="282"/>
      <c r="D9" s="5"/>
      <c r="E9" s="5"/>
      <c r="F9" s="5"/>
    </row>
    <row r="10" spans="1:13" ht="15.75" x14ac:dyDescent="0.25">
      <c r="A10" s="12" t="s">
        <v>208</v>
      </c>
      <c r="B10" s="283" t="s">
        <v>1804</v>
      </c>
      <c r="C10" s="283"/>
      <c r="D10" s="5"/>
      <c r="E10" s="5"/>
      <c r="F10" s="5"/>
      <c r="G10" s="55"/>
      <c r="H10" s="55"/>
      <c r="I10" s="55"/>
      <c r="J10" s="55"/>
      <c r="K10" s="55"/>
      <c r="L10" s="55"/>
      <c r="M10" s="55"/>
    </row>
    <row r="11" spans="1:13" ht="32.25" customHeight="1" x14ac:dyDescent="0.25">
      <c r="A11" s="274" t="s">
        <v>1761</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v>5157723</v>
      </c>
      <c r="C13" s="100">
        <v>14272</v>
      </c>
      <c r="D13" s="272" t="s">
        <v>6</v>
      </c>
      <c r="E13" s="273"/>
      <c r="F13" s="273"/>
      <c r="G13" s="57"/>
      <c r="H13" s="57"/>
      <c r="I13" s="57"/>
      <c r="J13" s="57"/>
      <c r="K13" s="57"/>
      <c r="L13" s="57"/>
      <c r="M13" s="57"/>
    </row>
    <row r="14" spans="1:13" x14ac:dyDescent="0.2">
      <c r="A14" s="84" t="str">
        <f>LEFT(A13,4)+1&amp;"–"&amp;RIGHT(A13,4)+1</f>
        <v>2025–2026</v>
      </c>
      <c r="B14" s="100">
        <v>4330046</v>
      </c>
      <c r="C14" s="100">
        <v>3970</v>
      </c>
      <c r="D14" s="272"/>
      <c r="E14" s="273"/>
      <c r="F14" s="273"/>
    </row>
    <row r="15" spans="1:13" ht="15.75" x14ac:dyDescent="0.2">
      <c r="A15" s="84" t="str">
        <f>LEFT(A14,4)+1&amp;"–"&amp;RIGHT(A14,4)+1</f>
        <v>2026–2027</v>
      </c>
      <c r="B15" s="100"/>
      <c r="C15" s="100"/>
      <c r="D15" s="269" t="s">
        <v>131</v>
      </c>
      <c r="E15" s="269"/>
      <c r="F15" s="269"/>
      <c r="G15" s="58"/>
      <c r="H15" s="58"/>
      <c r="I15" s="58"/>
      <c r="J15" s="58"/>
      <c r="K15" s="58"/>
      <c r="L15" s="58"/>
      <c r="M15" s="58"/>
    </row>
    <row r="16" spans="1:13" x14ac:dyDescent="0.2">
      <c r="A16" s="84" t="str">
        <f>LEFT(A15,4)+1&amp;"–"&amp;RIGHT(A15,4)+1</f>
        <v>2027–2028</v>
      </c>
      <c r="B16" s="100"/>
      <c r="C16" s="100"/>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c r="C17" s="100"/>
      <c r="D17" s="269">
        <f>295156.48+101356.53</f>
        <v>396513.01</v>
      </c>
      <c r="E17" s="269"/>
      <c r="F17" s="269"/>
      <c r="G17" s="59"/>
      <c r="H17" s="59"/>
      <c r="I17" s="59"/>
      <c r="J17" s="59"/>
      <c r="K17" s="59"/>
    </row>
    <row r="18" spans="1:13" ht="15" customHeight="1" x14ac:dyDescent="0.25">
      <c r="A18" s="84" t="str">
        <f>LEFT(A17,4)+1&amp;"–"&amp;RIGHT(A17,4)+5</f>
        <v>2029–2034</v>
      </c>
      <c r="B18" s="100"/>
      <c r="C18" s="100"/>
      <c r="D18" s="272" t="s">
        <v>8</v>
      </c>
      <c r="E18" s="273"/>
      <c r="F18" s="273"/>
      <c r="G18" s="57"/>
      <c r="H18" s="57"/>
      <c r="I18" s="57"/>
      <c r="J18" s="57"/>
      <c r="K18" s="57"/>
      <c r="L18" s="57"/>
      <c r="M18" s="57"/>
    </row>
    <row r="19" spans="1:13" x14ac:dyDescent="0.2">
      <c r="A19" s="84" t="str">
        <f t="shared" ref="A19:A32" si="0">LEFT(A18,4)+5&amp;"–"&amp;RIGHT(A18,4)+5</f>
        <v>2034–2039</v>
      </c>
      <c r="B19" s="100"/>
      <c r="C19" s="100"/>
      <c r="D19" s="272"/>
      <c r="E19" s="273"/>
      <c r="F19" s="273"/>
    </row>
    <row r="20" spans="1:13" ht="15.75" x14ac:dyDescent="0.2">
      <c r="A20" s="84" t="str">
        <f t="shared" si="0"/>
        <v>2039–2044</v>
      </c>
      <c r="B20" s="100"/>
      <c r="C20" s="100"/>
      <c r="D20" s="269" t="s">
        <v>130</v>
      </c>
      <c r="E20" s="269"/>
      <c r="F20" s="269"/>
      <c r="G20" s="58"/>
      <c r="H20" s="58"/>
      <c r="I20" s="58"/>
      <c r="J20" s="58"/>
      <c r="K20" s="58"/>
      <c r="L20" s="58"/>
      <c r="M20" s="58"/>
    </row>
    <row r="21" spans="1:13" ht="15" customHeight="1" x14ac:dyDescent="0.2">
      <c r="A21" s="84" t="str">
        <f t="shared" si="0"/>
        <v>2044–2049</v>
      </c>
      <c r="B21" s="100"/>
      <c r="C21" s="100"/>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c r="C22" s="100"/>
      <c r="D22" s="270"/>
      <c r="E22" s="271"/>
      <c r="F22" s="271"/>
    </row>
    <row r="23" spans="1:13" x14ac:dyDescent="0.2">
      <c r="A23" s="84" t="str">
        <f t="shared" si="0"/>
        <v>2054–2059</v>
      </c>
      <c r="B23" s="100"/>
      <c r="C23" s="100"/>
      <c r="D23" s="269"/>
      <c r="E23" s="269"/>
      <c r="F23" s="269"/>
    </row>
    <row r="24" spans="1:13" x14ac:dyDescent="0.2">
      <c r="A24" s="84" t="str">
        <f t="shared" si="0"/>
        <v>2059–2064</v>
      </c>
      <c r="B24" s="100"/>
      <c r="C24" s="100"/>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c r="C25" s="100"/>
      <c r="D25" s="270"/>
      <c r="E25" s="271"/>
      <c r="F25" s="271"/>
    </row>
    <row r="26" spans="1:13" x14ac:dyDescent="0.2">
      <c r="A26" s="84" t="str">
        <f t="shared" si="0"/>
        <v>2069–2074</v>
      </c>
      <c r="B26" s="100"/>
      <c r="C26" s="100"/>
      <c r="D26" s="269"/>
      <c r="E26" s="269"/>
      <c r="F26" s="269"/>
    </row>
    <row r="27" spans="1:13" ht="15" customHeight="1" x14ac:dyDescent="0.2">
      <c r="A27" s="84" t="str">
        <f t="shared" si="0"/>
        <v>2074–2079</v>
      </c>
      <c r="B27" s="100"/>
      <c r="C27" s="100"/>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c r="C28" s="100"/>
      <c r="D28" s="272"/>
      <c r="E28" s="273"/>
      <c r="F28" s="273"/>
      <c r="G28" s="61"/>
      <c r="H28" s="61"/>
      <c r="I28" s="61"/>
      <c r="J28" s="61"/>
      <c r="K28" s="61"/>
      <c r="L28" s="61"/>
      <c r="M28" s="61"/>
    </row>
    <row r="29" spans="1:13" ht="15.75" x14ac:dyDescent="0.2">
      <c r="A29" s="84" t="str">
        <f t="shared" si="0"/>
        <v>2084–2089</v>
      </c>
      <c r="B29" s="100"/>
      <c r="C29" s="100"/>
      <c r="D29" s="269" t="s">
        <v>1805</v>
      </c>
      <c r="E29" s="269"/>
      <c r="F29" s="269"/>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69" t="s">
        <v>131</v>
      </c>
      <c r="E31" s="269"/>
      <c r="F31" s="269"/>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69">
        <v>5484933.7000000002</v>
      </c>
      <c r="E33" s="269"/>
      <c r="F33" s="269"/>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f>B9</f>
        <v>840</v>
      </c>
      <c r="C40" s="278"/>
      <c r="E40" s="60"/>
    </row>
    <row r="41" spans="1:13" ht="15.75" x14ac:dyDescent="0.25">
      <c r="A41" s="12" t="s">
        <v>208</v>
      </c>
      <c r="B41" s="276" t="str">
        <f>B10</f>
        <v>State Controllers Office</v>
      </c>
      <c r="C41" s="276"/>
      <c r="E41" s="60"/>
    </row>
    <row r="42" spans="1:13" ht="32.25" customHeight="1" x14ac:dyDescent="0.25">
      <c r="A42" s="274" t="s">
        <v>1761</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f>B9</f>
        <v>840</v>
      </c>
      <c r="C71" s="278"/>
    </row>
    <row r="72" spans="1:13" ht="15.75" x14ac:dyDescent="0.25">
      <c r="A72" s="12" t="s">
        <v>208</v>
      </c>
      <c r="B72" s="276" t="str">
        <f>B10</f>
        <v>State Controllers Office</v>
      </c>
      <c r="C72" s="276"/>
    </row>
    <row r="73" spans="1:13" ht="32.25" customHeight="1" x14ac:dyDescent="0.25">
      <c r="A73" s="274" t="s">
        <v>1761</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X23" sqref="X23"/>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0001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840 - State Controllers Office</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0001 Journal Entries'!$F$8="Governmental Fund",'LS-Fund 0001 Journal Entries'!$K$23,0)</f>
        <v>15216357</v>
      </c>
      <c r="G10" s="103"/>
      <c r="H10" s="107">
        <f>IF('LS-Fund 0001 Journal Entries'!$F$8="Governmental Fund",SUM('LS-Fund 0001 Journal Entries'!$K$48,'LS-Fund 0001 Journal Entries'!K113),0)</f>
        <v>0</v>
      </c>
      <c r="I10" s="103"/>
      <c r="J10" s="107">
        <f>IF('LS-Fund 0001 Journal Entries'!$F$8="Governmental Fund",SUM('LS-Fund 0001 Journal Entries'!$J$68,'LS-Fund 0001 Journal Entries'!J96),0)</f>
        <v>5728588</v>
      </c>
      <c r="K10" s="103"/>
      <c r="L10" s="109">
        <f>SUM(F10+H10-J10)</f>
        <v>9487769</v>
      </c>
      <c r="M10" s="103"/>
      <c r="N10" s="107">
        <f>IF('LS-Fund 0001 Journal Entries'!$F$8="Governmental Fund",'LS-Fund 0001 Journal Entries'!$K$76,0)</f>
        <v>5157723</v>
      </c>
      <c r="O10" s="103"/>
      <c r="P10" s="109">
        <f>L10-N10</f>
        <v>4330046</v>
      </c>
      <c r="Q10" s="71"/>
    </row>
    <row r="11" spans="2:17" ht="19.5" thickTop="1" thickBot="1" x14ac:dyDescent="0.3">
      <c r="B11" s="69"/>
      <c r="C11" s="73" t="s">
        <v>21</v>
      </c>
      <c r="F11" s="108">
        <f>SUM(F10:F10)</f>
        <v>15216357</v>
      </c>
      <c r="G11" s="103"/>
      <c r="H11" s="108">
        <f>SUM(H10:H10)</f>
        <v>0</v>
      </c>
      <c r="I11" s="103"/>
      <c r="J11" s="108">
        <f>SUM(J10:J10)</f>
        <v>5728588</v>
      </c>
      <c r="K11" s="103"/>
      <c r="L11" s="108">
        <f>SUM(L10:L10)</f>
        <v>9487769</v>
      </c>
      <c r="M11" s="103"/>
      <c r="N11" s="108">
        <f>SUM(N10:N10)</f>
        <v>5157723</v>
      </c>
      <c r="O11" s="103"/>
      <c r="P11" s="108">
        <f>SUM(P10:P10)</f>
        <v>4330046</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0001 Journal Entries'!$F$8="Proprietary - Internal Service Fund",'LS-Fund 0001 Journal Entries'!$K$23,0)</f>
        <v>0</v>
      </c>
      <c r="G14" s="103"/>
      <c r="H14" s="107">
        <f>IF('LS-Fund 0001 Journal Entries'!$F$8="Proprietary - Internal Service Fund",SUM('LS-Fund 0001 Journal Entries'!$K$48,'LS-Fund 0001 Journal Entries'!K113),0)</f>
        <v>0</v>
      </c>
      <c r="I14" s="103"/>
      <c r="J14" s="107">
        <f>IF('LS-Fund 0001 Journal Entries'!$F$8="Proprietary - Internal Service Fund",SUM('LS-Fund 0001 Journal Entries'!$J$68,'LS-Fund 0001 Journal Entries'!J96),0)</f>
        <v>0</v>
      </c>
      <c r="K14" s="103"/>
      <c r="L14" s="109">
        <f>SUM(F14+H14-J14)</f>
        <v>0</v>
      </c>
      <c r="M14" s="103"/>
      <c r="N14" s="107">
        <f>IF('LS-Fund 0001 Journal Entries'!$F$8="Proprietary - Internal Service Fund",'LS-Fund 0001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0001 Journal Entries'!$F$8="Proprietary - Enterprise Fund",'LS-Fund 0001 Journal Entries'!$K$23,0)</f>
        <v>0</v>
      </c>
      <c r="G18" s="103"/>
      <c r="H18" s="107">
        <f>IF('LS-Fund 0001 Journal Entries'!$F$8="Proprietary - Enterprise Fund",SUM('LS-Fund 0001 Journal Entries'!$K$48,'LS-Fund 0001 Journal Entries'!K113),0)</f>
        <v>0</v>
      </c>
      <c r="I18" s="103"/>
      <c r="J18" s="107">
        <f>IF('LS-Fund 0001 Journal Entries'!$F$8="Proprietary - Enterprise Fund",SUM('LS-Fund 0001 Journal Entries'!$J$68,'LS-Fund 0001 Journal Entries'!J96),0)</f>
        <v>0</v>
      </c>
      <c r="K18" s="103"/>
      <c r="L18" s="109">
        <f>SUM(F18+H18-J18)</f>
        <v>0</v>
      </c>
      <c r="M18" s="103"/>
      <c r="N18" s="107">
        <f>IF('LS-Fund 0001 Journal Entries'!$F$8="Proprietary - Enterprise Fund",'LS-Fund 0001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F39" sqref="F38:F39"/>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0001 Journal Entries'!$F$8="Governmental Fund",'LS-Fund 0001 Journal Entries'!$K$23,0)</f>
        <v>15216357</v>
      </c>
      <c r="C16" s="168" t="s">
        <v>155</v>
      </c>
      <c r="D16" s="130">
        <f>IF('LS-Fund 0001 Journal Entries'!$F$8="Governmental Fund",'LS-Fund 0001 Journal Entries'!$K$48,0)</f>
        <v>0</v>
      </c>
      <c r="E16" s="170" t="s">
        <v>156</v>
      </c>
      <c r="F16" s="130">
        <f>IF('LS-Fund 0001 Journal Entries'!$F$8="Governmental Fund",'LS-Fund 0001 Journal Entries'!$J$68,0)</f>
        <v>5728588</v>
      </c>
      <c r="G16" s="169" t="s">
        <v>156</v>
      </c>
      <c r="H16" s="130">
        <f>IF('LS-Fund 0001 Journal Entries'!$F$8="Governmental Fund",'LS-Fund 0001 Journal Entries'!$J$96,0)</f>
        <v>0</v>
      </c>
      <c r="I16" s="169" t="s">
        <v>155</v>
      </c>
      <c r="J16" s="130">
        <f>IF('LS-Fund 0001 Journal Entries'!$F$8="Governmental Fund",'LS-Fund 0001 Journal Entries'!$K$113,0)</f>
        <v>0</v>
      </c>
      <c r="K16" s="170" t="s">
        <v>159</v>
      </c>
      <c r="L16" s="133">
        <f>+B16+D16-F16-H16+J16</f>
        <v>9487769</v>
      </c>
      <c r="M16" s="132"/>
      <c r="N16" s="134">
        <f>SUM('LS-Department Note Disclosure'!B13:B36)</f>
        <v>9487769</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0001 Journal Entries'!$F$8="Proprietary - Internal Service Fund",'LS-Fund 0001 Journal Entries'!$K$23,0)</f>
        <v>0</v>
      </c>
      <c r="C24" s="168" t="s">
        <v>155</v>
      </c>
      <c r="D24" s="130">
        <f>IF('LS-Fund 0001 Journal Entries'!$F$8="Proprietary - Internal Service Fund",'LS-Fund 0001 Journal Entries'!$K$48,0)</f>
        <v>0</v>
      </c>
      <c r="E24" s="170" t="s">
        <v>156</v>
      </c>
      <c r="F24" s="130">
        <f>IF('LS-Fund 0001 Journal Entries'!$F$8="Proprietary - Internal Service Fund",'LS-Fund 0001 Journal Entries'!$J$68,0)</f>
        <v>0</v>
      </c>
      <c r="G24" s="169" t="s">
        <v>156</v>
      </c>
      <c r="H24" s="130">
        <f>IF('LS-Fund 0001 Journal Entries'!$F$8="Proprietary - Internal Service Fund",'LS-Fund 0001 Journal Entries'!$J$96,0)</f>
        <v>0</v>
      </c>
      <c r="I24" s="169" t="s">
        <v>155</v>
      </c>
      <c r="J24" s="130">
        <f>IF('LS-Fund 0001 Journal Entries'!$F$8="Proprietary - Internal Service Fund",'LS-Fund 0001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0001 Journal Entries'!$F$8="Proprietary - Enterprise Fund",'LS-Fund 0001 Journal Entries'!$K$23,0)</f>
        <v>0</v>
      </c>
      <c r="C33" s="168" t="s">
        <v>155</v>
      </c>
      <c r="D33" s="130">
        <f>IF('LS-Fund 0001 Journal Entries'!$F$8="Proprietary - Enterprise Fund",'LS-Fund 0001 Journal Entries'!$K$48,0)</f>
        <v>0</v>
      </c>
      <c r="E33" s="170" t="s">
        <v>156</v>
      </c>
      <c r="F33" s="130">
        <f>IF('LS-Fund 0001 Journal Entries'!$F$8="Proprietary - Enterprise Fund",'LS-Fund 0001 Journal Entries'!$J$68,0)</f>
        <v>0</v>
      </c>
      <c r="G33" s="169" t="s">
        <v>156</v>
      </c>
      <c r="H33" s="130">
        <f>IF('LS-Fund 0001 Journal Entries'!$F$8="Proprietary - Enterprise Fund",'LS-Fund 0001 Journal Entries'!$J$96,0)</f>
        <v>0</v>
      </c>
      <c r="I33" s="169" t="s">
        <v>155</v>
      </c>
      <c r="J33" s="130">
        <f>IF('LS-Fund 0001 Journal Entries'!$F$8="Proprietary - Enterprise Fund",'LS-Fund 0001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0001 Journal Entries'!$F$8="Governmental Fund",'LS-Fund 0001 Journal Entries'!$K$76,0)</f>
        <v>5157723</v>
      </c>
      <c r="C42" s="138"/>
      <c r="E42" s="138"/>
      <c r="G42" s="167"/>
      <c r="H42" s="167"/>
      <c r="I42" s="167"/>
      <c r="J42" s="167"/>
      <c r="K42" s="138"/>
      <c r="L42" s="138"/>
      <c r="M42" s="139"/>
      <c r="N42" s="134">
        <f>'LS-Department Note Disclosure'!B13</f>
        <v>5157723</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15216357</v>
      </c>
      <c r="J66" s="143">
        <f>SUM(D66)</f>
        <v>15216357</v>
      </c>
      <c r="L66" s="144" t="str">
        <f>CONCATENATE("Balance July 1, ",LEFT('LS-Department Note Disclosure'!$B$8,4))</f>
        <v>Balance July 1, 2023</v>
      </c>
      <c r="N66" s="143">
        <f>'LS-Lease Liabilities'!F10</f>
        <v>15216357</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5728588</v>
      </c>
      <c r="E68" s="171" t="s">
        <v>155</v>
      </c>
      <c r="F68" s="125" t="s">
        <v>1750</v>
      </c>
      <c r="H68" s="143">
        <f>$H$16</f>
        <v>0</v>
      </c>
      <c r="J68" s="143">
        <f>SUM(D68,H68)</f>
        <v>5728588</v>
      </c>
      <c r="L68" s="144" t="s">
        <v>15</v>
      </c>
      <c r="N68" s="143">
        <f>'LS-Lease Liabilities'!J10</f>
        <v>5728588</v>
      </c>
      <c r="P68" s="135">
        <f t="shared" si="0"/>
        <v>0</v>
      </c>
    </row>
    <row r="69" spans="1:17" x14ac:dyDescent="0.25">
      <c r="B69" s="125" t="s">
        <v>165</v>
      </c>
      <c r="D69" s="143">
        <f>$B$42</f>
        <v>5157723</v>
      </c>
      <c r="J69" s="143">
        <f>SUM(D69)</f>
        <v>5157723</v>
      </c>
      <c r="L69" s="144" t="s">
        <v>16</v>
      </c>
      <c r="N69" s="143">
        <f>'LS-Lease Liabilities'!N10</f>
        <v>5157723</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H56" sqref="H56"/>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U28" sqref="U28"/>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3" t="s">
        <v>1666</v>
      </c>
      <c r="B1" s="263"/>
      <c r="C1" s="263"/>
      <c r="D1" s="263"/>
      <c r="E1" s="263"/>
      <c r="F1" s="263"/>
      <c r="G1" s="263"/>
      <c r="H1" s="263"/>
      <c r="I1" s="263"/>
      <c r="J1" s="263"/>
      <c r="K1" s="263"/>
      <c r="L1" s="5"/>
      <c r="M1" s="5"/>
      <c r="N1" s="5"/>
      <c r="O1" s="5"/>
      <c r="P1" s="5"/>
      <c r="Q1" s="5"/>
      <c r="R1" s="5"/>
      <c r="S1" s="5"/>
    </row>
    <row r="2" spans="1:20" ht="17.45" customHeight="1" x14ac:dyDescent="0.25">
      <c r="A2" s="294" t="s">
        <v>0</v>
      </c>
      <c r="B2" s="294"/>
      <c r="C2" s="294"/>
      <c r="D2" s="294"/>
      <c r="E2" s="294"/>
      <c r="F2" s="294"/>
      <c r="G2" s="294"/>
      <c r="H2" s="294"/>
      <c r="I2" s="294"/>
      <c r="J2" s="36"/>
      <c r="L2" s="5"/>
      <c r="M2" s="5"/>
      <c r="N2" s="5"/>
      <c r="O2" s="5"/>
      <c r="P2" s="5"/>
      <c r="Q2" s="5"/>
      <c r="R2" s="5"/>
      <c r="S2" s="5"/>
    </row>
    <row r="3" spans="1:20" ht="17.45" customHeight="1" x14ac:dyDescent="0.25">
      <c r="A3" s="293" t="s">
        <v>1</v>
      </c>
      <c r="B3" s="293"/>
      <c r="C3" s="293"/>
      <c r="D3" s="293"/>
      <c r="E3" s="95" t="s">
        <v>24</v>
      </c>
      <c r="H3" s="7"/>
      <c r="I3" s="7"/>
      <c r="J3" s="7"/>
      <c r="K3" s="7"/>
      <c r="L3" s="7"/>
      <c r="M3" s="7"/>
      <c r="N3" s="7"/>
      <c r="O3" s="7"/>
      <c r="P3" s="7"/>
      <c r="Q3" s="7"/>
      <c r="R3" s="7"/>
    </row>
    <row r="4" spans="1:20" ht="17.45" customHeight="1" x14ac:dyDescent="0.25">
      <c r="A4" s="293" t="s">
        <v>208</v>
      </c>
      <c r="B4" s="293"/>
      <c r="C4" s="293"/>
      <c r="D4" s="293"/>
      <c r="E4" s="97"/>
      <c r="H4" s="7"/>
      <c r="I4" s="7"/>
      <c r="J4" s="7"/>
      <c r="K4" s="7"/>
      <c r="L4" s="7"/>
      <c r="M4" s="7"/>
      <c r="N4" s="7"/>
      <c r="O4" s="7"/>
      <c r="P4" s="7"/>
      <c r="Q4" s="7"/>
      <c r="R4" s="7"/>
    </row>
    <row r="5" spans="1:20" ht="17.45" customHeight="1" x14ac:dyDescent="0.25">
      <c r="A5" s="293" t="s">
        <v>1683</v>
      </c>
      <c r="B5" s="293"/>
      <c r="C5" s="293"/>
      <c r="D5" s="293"/>
      <c r="E5" s="161"/>
      <c r="H5" s="7"/>
      <c r="I5" s="7"/>
      <c r="J5" s="8"/>
      <c r="K5" s="8"/>
      <c r="L5" s="8"/>
      <c r="M5" s="8"/>
      <c r="N5" s="8"/>
      <c r="O5" s="8"/>
      <c r="P5" s="8"/>
      <c r="Q5" s="7"/>
      <c r="R5" s="7"/>
    </row>
    <row r="6" spans="1:20" ht="17.45" customHeight="1" x14ac:dyDescent="0.25">
      <c r="A6" s="293" t="s">
        <v>1684</v>
      </c>
      <c r="B6" s="293"/>
      <c r="C6" s="293"/>
      <c r="D6" s="293"/>
      <c r="E6" s="97"/>
      <c r="G6" s="8"/>
      <c r="H6" s="8"/>
      <c r="I6" s="8"/>
      <c r="J6" s="8"/>
      <c r="K6" s="8"/>
      <c r="L6" s="8"/>
      <c r="M6" s="8"/>
      <c r="N6" s="8"/>
      <c r="O6" s="8"/>
      <c r="P6" s="8"/>
      <c r="Q6" s="7"/>
      <c r="R6" s="7"/>
    </row>
    <row r="7" spans="1:20" ht="17.45" customHeight="1" x14ac:dyDescent="0.25">
      <c r="A7" s="293" t="s">
        <v>3</v>
      </c>
      <c r="B7" s="293"/>
      <c r="C7" s="293"/>
      <c r="D7" s="293"/>
      <c r="E7" s="35"/>
      <c r="G7" s="8"/>
      <c r="H7" s="8"/>
      <c r="I7" s="8"/>
      <c r="J7" s="8"/>
      <c r="K7" s="8"/>
      <c r="L7" s="8"/>
      <c r="M7" s="8"/>
      <c r="N7" s="8"/>
      <c r="O7" s="8"/>
      <c r="P7" s="8"/>
      <c r="Q7" s="7"/>
      <c r="R7" s="7"/>
    </row>
    <row r="8" spans="1:20" ht="17.45" customHeight="1" x14ac:dyDescent="0.25">
      <c r="A8" s="293" t="s">
        <v>1640</v>
      </c>
      <c r="B8" s="293"/>
      <c r="C8" s="293"/>
      <c r="D8" s="293"/>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0" t="s">
        <v>1671</v>
      </c>
      <c r="N13" s="261"/>
      <c r="O13" s="188"/>
      <c r="P13" s="260" t="s">
        <v>1667</v>
      </c>
      <c r="Q13" s="261"/>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0"/>
      <c r="P29" s="290"/>
      <c r="Q29" s="290"/>
      <c r="R29" s="290"/>
      <c r="S29" s="290"/>
      <c r="T29" s="290"/>
      <c r="U29" s="290"/>
      <c r="V29" s="290"/>
    </row>
    <row r="30" spans="1:22" ht="17.45" customHeight="1" x14ac:dyDescent="0.2">
      <c r="B30" s="291" t="str">
        <f>IF($E$7="Governmental","Dr: Acct 0775 - OTHER INCOME","Dr: Acct 0755 - SALES &amp; SERVICES")</f>
        <v>Dr: Acct 0755 - SALES &amp; SERVICES</v>
      </c>
      <c r="C30" s="291"/>
      <c r="D30" s="291"/>
      <c r="E30" s="291"/>
      <c r="F30" s="291"/>
      <c r="G30" s="291"/>
      <c r="H30" s="291"/>
      <c r="I30" s="291"/>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c r="O42" s="9"/>
      <c r="P42" s="9"/>
      <c r="Q42" s="9"/>
      <c r="R42" s="9"/>
      <c r="S42" s="9"/>
      <c r="T42" s="9"/>
      <c r="U42" s="9"/>
      <c r="V42" s="9"/>
    </row>
    <row r="43" spans="1:22" ht="17.45" customHeight="1" x14ac:dyDescent="0.2">
      <c r="A43" s="15"/>
      <c r="B43" s="292" t="s">
        <v>1738</v>
      </c>
      <c r="C43" s="292"/>
      <c r="D43" s="292"/>
      <c r="E43" s="292"/>
      <c r="F43" s="292"/>
      <c r="G43" s="292"/>
      <c r="H43" s="292"/>
      <c r="I43" s="292"/>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2"/>
      <c r="C44" s="292"/>
      <c r="D44" s="292"/>
      <c r="E44" s="292"/>
      <c r="F44" s="292"/>
      <c r="G44" s="292"/>
      <c r="H44" s="292"/>
      <c r="I44" s="292"/>
      <c r="K44" s="27"/>
      <c r="L44" s="9"/>
      <c r="M44" s="19"/>
      <c r="O44" s="28"/>
    </row>
    <row r="45" spans="1:22" ht="17.45" customHeight="1" x14ac:dyDescent="0.25">
      <c r="A45" s="15"/>
      <c r="B45" s="292"/>
      <c r="C45" s="292"/>
      <c r="D45" s="292"/>
      <c r="E45" s="292"/>
      <c r="F45" s="292"/>
      <c r="G45" s="292"/>
      <c r="H45" s="292"/>
      <c r="I45" s="292"/>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6" t="s">
        <v>1655</v>
      </c>
      <c r="C51" s="276" t="s">
        <v>1654</v>
      </c>
      <c r="D51" s="276"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10" sqref="E10"/>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85" t="s">
        <v>7</v>
      </c>
      <c r="B4" s="285"/>
      <c r="C4" s="285"/>
      <c r="E4" s="57"/>
      <c r="F4" s="57"/>
      <c r="G4" s="57"/>
      <c r="H4" s="57"/>
      <c r="I4" s="57"/>
      <c r="J4" s="57"/>
      <c r="K4" s="57"/>
      <c r="L4" s="57"/>
      <c r="M4" s="57"/>
      <c r="N4" s="57"/>
      <c r="O4" s="57"/>
      <c r="P4" s="6"/>
      <c r="Q4" s="6"/>
      <c r="R4" s="6"/>
      <c r="S4" s="6"/>
    </row>
    <row r="5" spans="1:19" ht="30.6" customHeight="1" x14ac:dyDescent="0.25">
      <c r="A5" s="285" t="s">
        <v>9</v>
      </c>
      <c r="B5" s="285"/>
      <c r="C5" s="285"/>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7" t="s">
        <v>24</v>
      </c>
      <c r="C9" s="297"/>
      <c r="D9" s="52"/>
      <c r="F9" s="81"/>
      <c r="G9" s="81"/>
      <c r="H9" s="81"/>
      <c r="I9" s="81"/>
      <c r="J9" s="81"/>
      <c r="K9" s="81"/>
      <c r="L9" s="81"/>
      <c r="M9" s="81"/>
      <c r="N9" s="81"/>
      <c r="O9" s="81"/>
      <c r="P9" s="6"/>
      <c r="Q9" s="6"/>
      <c r="R9" s="6"/>
      <c r="S9" s="6"/>
    </row>
    <row r="10" spans="1:19" ht="15.75" x14ac:dyDescent="0.25">
      <c r="A10" s="12" t="s">
        <v>209</v>
      </c>
      <c r="B10" s="298"/>
      <c r="C10" s="298"/>
      <c r="D10" s="82"/>
      <c r="F10" s="38"/>
      <c r="G10" s="38"/>
      <c r="H10" s="38"/>
      <c r="I10" s="38"/>
      <c r="J10" s="38"/>
      <c r="K10" s="38"/>
      <c r="L10" s="38"/>
      <c r="M10" s="38"/>
      <c r="N10" s="38"/>
      <c r="O10" s="38"/>
      <c r="P10" s="6"/>
      <c r="Q10" s="6"/>
      <c r="R10" s="6"/>
      <c r="S10" s="6"/>
    </row>
    <row r="11" spans="1:19" ht="15.75" x14ac:dyDescent="0.25">
      <c r="A11" s="12" t="s">
        <v>208</v>
      </c>
      <c r="B11" s="297"/>
      <c r="C11" s="297"/>
      <c r="D11" s="82"/>
      <c r="F11" s="5"/>
      <c r="G11" s="5"/>
      <c r="H11" s="5"/>
      <c r="I11" s="5"/>
      <c r="J11" s="5"/>
      <c r="K11" s="5"/>
      <c r="L11" s="5"/>
      <c r="M11" s="5"/>
      <c r="N11" s="5"/>
      <c r="O11" s="5"/>
      <c r="P11" s="5"/>
      <c r="Q11" s="5"/>
      <c r="R11" s="5"/>
      <c r="S11" s="5"/>
    </row>
    <row r="12" spans="1:19" ht="30" customHeight="1" x14ac:dyDescent="0.25">
      <c r="A12" s="295" t="s">
        <v>1761</v>
      </c>
      <c r="B12" s="296"/>
      <c r="C12" s="296"/>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1"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1"/>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1"/>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1"/>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1"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1"/>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2023–2024</v>
      </c>
      <c r="C40" s="276"/>
      <c r="D40" s="20"/>
      <c r="F40" s="89"/>
      <c r="G40" s="89"/>
      <c r="H40" s="89"/>
      <c r="I40" s="89"/>
    </row>
    <row r="41" spans="1:19" ht="15.75" x14ac:dyDescent="0.25">
      <c r="A41" s="12" t="s">
        <v>209</v>
      </c>
      <c r="B41" s="278">
        <f>B10</f>
        <v>0</v>
      </c>
      <c r="C41" s="278"/>
      <c r="D41" s="91"/>
    </row>
    <row r="42" spans="1:19" ht="15.75" x14ac:dyDescent="0.25">
      <c r="A42" s="12" t="s">
        <v>208</v>
      </c>
      <c r="B42" s="276">
        <f>B11</f>
        <v>0</v>
      </c>
      <c r="C42" s="276"/>
      <c r="D42" s="55"/>
    </row>
    <row r="43" spans="1:19" ht="30" customHeight="1" x14ac:dyDescent="0.25">
      <c r="A43" s="295" t="s">
        <v>1761</v>
      </c>
      <c r="B43" s="296"/>
      <c r="C43" s="296"/>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1" t="s">
        <v>218</v>
      </c>
    </row>
    <row r="46" spans="1:19" x14ac:dyDescent="0.2">
      <c r="A46" s="84" t="str">
        <f>LEFT(A45,4)+1&amp;"–"&amp;RIGHT(A45,4)+1</f>
        <v>2025–2026</v>
      </c>
      <c r="B46" s="2"/>
      <c r="C46" s="2"/>
      <c r="D46" s="62"/>
      <c r="E46" s="271"/>
    </row>
    <row r="47" spans="1:19" x14ac:dyDescent="0.2">
      <c r="A47" s="84" t="str">
        <f>LEFT(A46,4)+1&amp;"–"&amp;RIGHT(A46,4)+1</f>
        <v>2026–2027</v>
      </c>
      <c r="B47" s="2"/>
      <c r="C47" s="2"/>
      <c r="D47" s="62"/>
      <c r="E47" s="271"/>
    </row>
    <row r="48" spans="1:19" ht="15" customHeight="1" x14ac:dyDescent="0.2">
      <c r="A48" s="84" t="str">
        <f>LEFT(A47,4)+1&amp;"–"&amp;RIGHT(A47,4)+1</f>
        <v>2027–2028</v>
      </c>
      <c r="B48" s="2"/>
      <c r="C48" s="2"/>
      <c r="D48" s="87"/>
      <c r="E48" s="271"/>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1"/>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76" t="str">
        <f>B40</f>
        <v>2023–2024</v>
      </c>
      <c r="C71" s="276"/>
      <c r="D71" s="20"/>
    </row>
    <row r="72" spans="1:19" ht="15.75" x14ac:dyDescent="0.25">
      <c r="A72" s="12" t="s">
        <v>209</v>
      </c>
      <c r="B72" s="278">
        <f>B41</f>
        <v>0</v>
      </c>
      <c r="C72" s="278"/>
      <c r="D72" s="91"/>
    </row>
    <row r="73" spans="1:19" ht="15.75" x14ac:dyDescent="0.25">
      <c r="A73" s="12" t="s">
        <v>208</v>
      </c>
      <c r="B73" s="276">
        <f>B42</f>
        <v>0</v>
      </c>
      <c r="C73" s="276"/>
      <c r="D73" s="55"/>
    </row>
    <row r="74" spans="1:19" ht="30" customHeight="1" x14ac:dyDescent="0.25">
      <c r="A74" s="295" t="s">
        <v>1761</v>
      </c>
      <c r="B74" s="296"/>
      <c r="C74" s="296"/>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1" t="s">
        <v>218</v>
      </c>
    </row>
    <row r="77" spans="1:19" x14ac:dyDescent="0.2">
      <c r="A77" s="84" t="str">
        <f>LEFT(A76,4)+1&amp;"–"&amp;RIGHT(A76,4)+1</f>
        <v>2025–2026</v>
      </c>
      <c r="B77" s="2"/>
      <c r="C77" s="2"/>
      <c r="D77" s="62"/>
      <c r="E77" s="271"/>
    </row>
    <row r="78" spans="1:19" x14ac:dyDescent="0.2">
      <c r="A78" s="84" t="str">
        <f>LEFT(A77,4)+1&amp;"–"&amp;RIGHT(A77,4)+1</f>
        <v>2026–2027</v>
      </c>
      <c r="B78" s="2"/>
      <c r="C78" s="2"/>
      <c r="D78" s="62"/>
      <c r="E78" s="271"/>
    </row>
    <row r="79" spans="1:19" x14ac:dyDescent="0.2">
      <c r="A79" s="84" t="str">
        <f>LEFT(A78,4)+1&amp;"–"&amp;RIGHT(A78,4)+1</f>
        <v>2027–2028</v>
      </c>
      <c r="B79" s="2"/>
      <c r="C79" s="2"/>
      <c r="D79" s="87"/>
      <c r="E79" s="271"/>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1"/>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A5" sqref="A5:Q7"/>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R66" sqref="R66"/>
      <selection pane="bottomLeft" activeCell="E17" sqref="E17"/>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r7HuHmQpRjHl81ytF+BOPeru5QqCjtFvI+bLwBnoSd4PaMOu8p2VNK+bEk7rVIU49hwyxdo3hqqDJi+uqV1/rw==" saltValue="4y3sogJHktZ2tpTdeg10Xw=="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60" zoomScaleNormal="70" workbookViewId="0">
      <selection activeCell="AE34" sqref="AE34"/>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3" t="s">
        <v>1665</v>
      </c>
      <c r="B1" s="263"/>
      <c r="C1" s="263"/>
      <c r="D1" s="263"/>
      <c r="E1" s="263"/>
      <c r="F1" s="263"/>
      <c r="G1" s="263"/>
      <c r="H1" s="263"/>
      <c r="I1" s="263"/>
      <c r="J1" s="263"/>
      <c r="K1" s="263"/>
      <c r="L1" s="151"/>
      <c r="M1" s="151"/>
      <c r="N1" s="151"/>
      <c r="O1" s="151"/>
    </row>
    <row r="2" spans="1:20" ht="15" customHeight="1" x14ac:dyDescent="0.25">
      <c r="A2" s="294" t="s">
        <v>0</v>
      </c>
      <c r="B2" s="294"/>
      <c r="C2" s="294"/>
      <c r="D2" s="294"/>
      <c r="E2" s="294"/>
      <c r="F2" s="294"/>
      <c r="G2" s="294"/>
      <c r="H2" s="294"/>
      <c r="I2" s="294"/>
      <c r="J2" s="294"/>
      <c r="K2" s="294"/>
      <c r="L2" s="165"/>
      <c r="M2" s="165"/>
      <c r="N2" s="165"/>
      <c r="O2" s="165"/>
    </row>
    <row r="3" spans="1:20" ht="15.75" x14ac:dyDescent="0.25">
      <c r="A3" s="264" t="s">
        <v>12</v>
      </c>
      <c r="B3" s="264"/>
      <c r="C3" s="264"/>
      <c r="D3" s="264"/>
      <c r="E3" s="264"/>
      <c r="F3" s="265" t="s">
        <v>24</v>
      </c>
      <c r="G3" s="265"/>
      <c r="H3" s="265"/>
      <c r="I3" s="265"/>
    </row>
    <row r="4" spans="1:20" ht="15.75" x14ac:dyDescent="0.2">
      <c r="A4" s="264" t="s">
        <v>208</v>
      </c>
      <c r="B4" s="264"/>
      <c r="C4" s="264"/>
      <c r="D4" s="264"/>
      <c r="E4" s="264"/>
      <c r="F4" s="266"/>
      <c r="G4" s="266"/>
      <c r="H4" s="266"/>
      <c r="I4" s="266"/>
      <c r="L4" s="39"/>
      <c r="M4" s="39"/>
      <c r="N4" s="39"/>
      <c r="O4" s="39"/>
      <c r="P4" s="39"/>
      <c r="Q4" s="39"/>
    </row>
    <row r="5" spans="1:20" ht="15.75" x14ac:dyDescent="0.2">
      <c r="A5" s="264" t="s">
        <v>1639</v>
      </c>
      <c r="B5" s="264"/>
      <c r="C5" s="264"/>
      <c r="D5" s="264"/>
      <c r="E5" s="264"/>
      <c r="F5" s="266"/>
      <c r="G5" s="266"/>
      <c r="H5" s="266"/>
      <c r="I5" s="266"/>
      <c r="L5" s="40"/>
      <c r="M5" s="40"/>
      <c r="N5" s="40"/>
      <c r="O5" s="40"/>
      <c r="P5" s="39"/>
      <c r="Q5" s="39"/>
    </row>
    <row r="6" spans="1:20" ht="18" x14ac:dyDescent="0.25">
      <c r="A6" s="264" t="s">
        <v>2</v>
      </c>
      <c r="B6" s="264"/>
      <c r="C6" s="264"/>
      <c r="D6" s="264"/>
      <c r="E6" s="264"/>
      <c r="F6" s="267"/>
      <c r="G6" s="267"/>
      <c r="H6" s="267"/>
      <c r="I6" s="267"/>
      <c r="K6" s="96"/>
      <c r="L6" s="40"/>
      <c r="M6" s="40"/>
      <c r="N6" s="40"/>
      <c r="O6" s="40"/>
      <c r="P6" s="39"/>
      <c r="Q6" s="39"/>
    </row>
    <row r="7" spans="1:20" ht="18" x14ac:dyDescent="0.25">
      <c r="A7" s="264" t="s">
        <v>3</v>
      </c>
      <c r="B7" s="264"/>
      <c r="C7" s="264"/>
      <c r="D7" s="264"/>
      <c r="E7" s="264"/>
      <c r="F7" s="267"/>
      <c r="G7" s="267"/>
      <c r="H7" s="267"/>
      <c r="I7" s="267"/>
      <c r="K7" s="96"/>
      <c r="L7" s="40"/>
      <c r="M7" s="40"/>
      <c r="N7" s="40"/>
      <c r="O7" s="40"/>
      <c r="P7" s="39"/>
      <c r="Q7" s="39"/>
    </row>
    <row r="8" spans="1:20" ht="18" x14ac:dyDescent="0.25">
      <c r="A8" s="264" t="s">
        <v>1640</v>
      </c>
      <c r="B8" s="264"/>
      <c r="C8" s="264"/>
      <c r="D8" s="264"/>
      <c r="E8" s="264"/>
      <c r="F8" s="267"/>
      <c r="G8" s="267"/>
      <c r="H8" s="267"/>
      <c r="I8" s="267"/>
      <c r="K8" s="96"/>
      <c r="L8" s="40"/>
      <c r="M8" s="40"/>
      <c r="N8" s="40"/>
      <c r="O8" s="40"/>
      <c r="P8" s="39"/>
      <c r="Q8" s="39"/>
    </row>
    <row r="9" spans="1:20" ht="15.75" x14ac:dyDescent="0.25">
      <c r="A9" s="264" t="s">
        <v>1638</v>
      </c>
      <c r="B9" s="264"/>
      <c r="C9" s="264"/>
      <c r="D9" s="264"/>
      <c r="E9" s="264"/>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0" t="s">
        <v>1670</v>
      </c>
      <c r="N14" s="261"/>
      <c r="P14" s="260" t="s">
        <v>1667</v>
      </c>
      <c r="Q14" s="261"/>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c1E5yqsnG8o1eFrS8L2bZPyWFquhT9Rosvi49kRMrXEJWqUEd9trPcO+UyTrnrLDLv90TsFDWoOlU5wu9bkMGA==" saltValue="I4y7yZkFAR4cmTLgyysS/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50"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V16" sqref="V16"/>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Kobler, Tina</cp:lastModifiedBy>
  <cp:lastPrinted>2024-09-14T00:58:00Z</cp:lastPrinted>
  <dcterms:created xsi:type="dcterms:W3CDTF">2023-03-08T17:19:33Z</dcterms:created>
  <dcterms:modified xsi:type="dcterms:W3CDTF">2024-12-20T22:35:34Z</dcterms:modified>
</cp:coreProperties>
</file>