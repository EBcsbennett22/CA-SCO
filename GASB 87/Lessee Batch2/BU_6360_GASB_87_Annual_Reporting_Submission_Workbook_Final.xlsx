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O:\CFS\EXCEL\BU_6360_TCC\FY 2023-2024\Year-end\GAAP Reporting\"/>
    </mc:Choice>
  </mc:AlternateContent>
  <xr:revisionPtr revIDLastSave="0" documentId="13_ncr:1_{A33EFBF0-26AC-478C-AD29-292657DB9F51}" xr6:coauthVersionLast="47" xr6:coauthVersionMax="47" xr10:uidLastSave="{00000000-0000-0000-0000-000000000000}"/>
  <bookViews>
    <workbookView xWindow="-2892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0407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0407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7" l="1"/>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<sst xmlns="http://schemas.openxmlformats.org/spreadsheetml/2006/main" count="8067" uniqueCount="1804">
  <si>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</si>
  <si>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</si>
  <si>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</si>
  <si>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</si>
  <si>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</si>
  <si>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</si>
  <si>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</si>
  <si>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</si>
  <si>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</si>
  <si>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</si>
  <si>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</si>
  <si>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</si>
  <si>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</si>
  <si>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</si>
  <si>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</si>
  <si>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</si>
  <si>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</si>
  <si>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</si>
  <si>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</si>
  <si>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</si>
  <si>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</si>
  <si>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</si>
  <si>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</si>
  <si>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</si>
  <si>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</si>
  <si>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</si>
  <si>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</si>
  <si>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</si>
  <si>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</si>
  <si>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</si>
  <si>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</si>
  <si>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</si>
  <si>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</si>
  <si>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</si>
  <si>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</si>
  <si>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</si>
  <si>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</si>
  <si>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</si>
  <si>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</si>
  <si>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</si>
  <si>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</si>
  <si>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</si>
  <si>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</si>
  <si>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</si>
  <si>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</si>
  <si>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</si>
  <si>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</si>
  <si>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</si>
  <si>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</si>
  <si>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</si>
  <si>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</si>
  <si>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</si>
  <si>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</si>
  <si>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</si>
  <si>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</si>
  <si>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</si>
  <si>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</si>
  <si>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</si>
  <si>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</si>
  <si>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</si>
  <si>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</si>
  <si>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</si>
  <si>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</si>
  <si>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</si>
  <si>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</si>
  <si>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</si>
  <si>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</si>
  <si>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</si>
  <si>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</si>
  <si>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</si>
  <si>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</si>
  <si>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</si>
  <si>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</si>
  <si>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</si>
  <si>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</si>
  <si>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</si>
  <si>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</si>
  <si>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</si>
  <si>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</si>
  <si>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</si>
  <si>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</si>
  <si>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</si>
  <si>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</si>
  <si>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</si>
  <si>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</si>
  <si>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</si>
  <si>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</si>
  <si>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</si>
  <si>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</si>
  <si>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</si>
  <si>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</si>
  <si>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</si>
  <si>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</si>
  <si>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</si>
  <si>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</si>
  <si>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</si>
  <si>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</si>
  <si>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</si>
  <si>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</si>
  <si>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</si>
  <si>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</si>
  <si>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</si>
  <si>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</si>
  <si>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</si>
  <si>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</si>
  <si>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</si>
  <si>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</si>
  <si>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</si>
  <si>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</si>
  <si>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</si>
  <si>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</si>
  <si>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</si>
  <si>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</si>
  <si>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</si>
  <si>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</si>
  <si>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</si>
  <si>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</si>
  <si>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</si>
  <si>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</si>
  <si>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</si>
  <si>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</si>
  <si>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</si>
  <si>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</si>
  <si>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</si>
  <si>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</si>
  <si>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</si>
  <si>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</si>
  <si>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</si>
  <si>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</si>
  <si>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</si>
  <si>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</si>
  <si>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</si>
  <si>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</si>
  <si>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</si>
  <si>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</si>
  <si>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</si>
  <si>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</si>
  <si>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</si>
  <si>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</si>
  <si>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</si>
  <si>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</si>
  <si>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</si>
  <si>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</si>
  <si>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</si>
  <si>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</si>
  <si>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</si>
  <si>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</si>
  <si>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</si>
  <si>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</si>
  <si>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</si>
  <si>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</si>
  <si>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</si>
  <si>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</si>
  <si>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</si>
  <si>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</si>
  <si>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</si>
  <si>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</si>
  <si>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</si>
  <si>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</si>
  <si>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</si>
  <si>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</si>
  <si>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</si>
  <si>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</si>
  <si>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</si>
  <si>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</si>
  <si>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</si>
  <si>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</si>
  <si>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</si>
  <si>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</si>
  <si>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</si>
  <si>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</si>
  <si>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</si>
  <si>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</si>
  <si>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</si>
  <si>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</si>
  <si>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</si>
  <si>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</si>
  <si>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</si>
  <si>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</si>
  <si>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</si>
  <si>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</si>
  <si>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</si>
  <si>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</si>
  <si>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</si>
  <si>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</si>
  <si>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</si>
  <si>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</si>
  <si>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</si>
  <si>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</si>
  <si>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</si>
  <si>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</si>
  <si>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</si>
  <si>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</si>
  <si>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</si>
  <si>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</si>
  <si>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</si>
  <si>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</si>
  <si>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</si>
  <si>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</si>
  <si>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</si>
  <si>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</si>
  <si>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</si>
  <si>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</si>
  <si>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</si>
  <si>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</si>
  <si>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</si>
  <si>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</si>
  <si>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</si>
  <si>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</si>
  <si>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</si>
  <si>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</si>
  <si>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</si>
  <si>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</si>
  <si>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</si>
  <si>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</si>
  <si>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</si>
  <si>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</si>
  <si>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</si>
  <si>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</si>
  <si>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</si>
  <si>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</si>
  <si>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</si>
  <si>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</si>
  <si>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</si>
  <si>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</si>
  <si>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</si>
  <si>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</si>
  <si>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</si>
  <si>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</si>
  <si>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</si>
  <si>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</si>
  <si>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</si>
  <si>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</si>
  <si>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</si>
  <si>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</si>
  <si>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</si>
  <si>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</si>
  <si>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</si>
  <si>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</si>
  <si>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</si>
  <si>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</si>
  <si>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</si>
  <si>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</si>
  <si>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</si>
  <si>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</si>
  <si>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</si>
  <si>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</si>
  <si>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</si>
  <si>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</si>
  <si>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</si>
  <si>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</si>
  <si>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</si>
  <si>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</si>
  <si>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</si>
  <si>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</si>
  <si>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</si>
  <si>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</si>
  <si>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</si>
  <si>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</si>
  <si>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</si>
  <si>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</si>
  <si>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</si>
  <si>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</si>
  <si>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</si>
  <si>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</si>
  <si>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</si>
  <si>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</si>
  <si>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</si>
  <si>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</si>
  <si>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</si>
  <si>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</si>
  <si>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</si>
  <si>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</si>
  <si>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</si>
  <si>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</si>
  <si>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</si>
  <si>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</si>
  <si>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</si>
  <si>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</si>
  <si>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</si>
  <si>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</si>
  <si>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</si>
  <si>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</si>
  <si>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</si>
  <si>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</si>
  <si>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</si>
  <si>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</si>
  <si>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</si>
  <si>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</si>
  <si>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</si>
  <si>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</si>
  <si>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</si>
  <si>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</si>
  <si>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</si>
  <si>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</si>
  <si>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</si>
  <si>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</si>
  <si>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</si>
  <si>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</si>
  <si>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</si>
  <si>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</si>
  <si>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</si>
  <si>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</si>
  <si>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</si>
  <si>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</si>
  <si>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</si>
  <si>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</si>
  <si>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</si>
  <si>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</si>
  <si>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</si>
  <si>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</si>
  <si>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</si>
  <si>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</si>
  <si>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</si>
  <si>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</si>
  <si>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</si>
  <si>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</si>
  <si>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</si>
  <si>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</si>
  <si>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</si>
  <si>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</si>
  <si>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</si>
  <si>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</si>
  <si>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</si>
  <si>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</si>
  <si>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</si>
  <si>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</si>
  <si>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</si>
  <si>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</si>
  <si>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</si>
  <si>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</si>
  <si>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</si>
  <si>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</si>
  <si>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</si>
  <si>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</si>
  <si>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</si>
  <si>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</si>
  <si>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</si>
  <si>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</si>
  <si>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</si>
  <si>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</si>
  <si>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</si>
  <si>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</si>
  <si>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</si>
  <si>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</si>
  <si>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</si>
  <si>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</si>
  <si>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</si>
  <si>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</si>
  <si>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</si>
  <si>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</si>
  <si>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</si>
  <si>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</si>
  <si>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</si>
  <si>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</si>
  <si>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</si>
  <si>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</si>
  <si>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</si>
  <si>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</si>
  <si>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</si>
  <si>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</si>
  <si>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</si>
  <si>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</si>
  <si>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</si>
  <si>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</si>
  <si>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</si>
  <si>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</si>
  <si>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</si>
  <si>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</si>
  <si>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</si>
  <si>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</si>
  <si>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</si>
  <si>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</si>
  <si>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</si>
  <si>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</si>
  <si>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</si>
  <si>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</si>
  <si>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</si>
  <si>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</si>
  <si>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</si>
  <si>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</si>
  <si>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</si>
  <si>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</si>
  <si>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</si>
  <si>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</si>
  <si>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</si>
  <si>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</si>
  <si>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</si>
  <si>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</si>
  <si>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</si>
  <si>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</si>
  <si>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</si>
  <si>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</si>
  <si>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</si>
  <si>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</si>
  <si>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</si>
  <si>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</si>
  <si>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</si>
  <si>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</si>
  <si>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</si>
  <si>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</si>
  <si>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</si>
  <si>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</si>
  <si>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</si>
  <si>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</si>
  <si>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</si>
  <si>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</si>
  <si>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</si>
  <si>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</si>
  <si>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</si>
  <si>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</si>
  <si>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</si>
  <si>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</si>
  <si>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</si>
  <si>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</si>
  <si>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</si>
  <si>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</si>
  <si>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</si>
  <si>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</si>
  <si>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</si>
  <si>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</si>
  <si>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</si>
  <si>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</si>
  <si>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</si>
  <si>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</si>
  <si>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</si>
  <si>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</si>
  <si>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</si>
  <si>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</si>
  <si>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</si>
  <si>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</si>
  <si>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</si>
  <si>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</si>
  <si>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</si>
  <si>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</si>
  <si>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</si>
  <si>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</si>
  <si>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</si>
  <si>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</si>
  <si>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</si>
  <si>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</si>
  <si>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</si>
  <si>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</si>
  <si>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</si>
  <si>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</si>
  <si>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</si>
  <si>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</si>
  <si>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</si>
  <si>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</si>
  <si>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</si>
  <si>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</si>
  <si>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</si>
  <si>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</si>
  <si>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</si>
  <si>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</si>
  <si>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</si>
  <si>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</si>
  <si>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</si>
  <si>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</si>
  <si>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</si>
  <si>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</si>
  <si>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</si>
  <si>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</si>
  <si>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</si>
  <si>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</si>
  <si>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</si>
  <si>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</si>
  <si>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</si>
  <si>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</si>
  <si>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</si>
  <si>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</si>
  <si>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</si>
  <si>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</si>
  <si>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</si>
  <si>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</si>
  <si>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</si>
  <si>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</si>
  <si>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</si>
  <si>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</si>
  <si>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</si>
  <si>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</si>
  <si>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</si>
  <si>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</si>
  <si>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</si>
  <si>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</si>
  <si>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</si>
  <si>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</si>
  <si>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</si>
  <si>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</si>
  <si>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</si>
  <si>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</si>
  <si>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</si>
  <si>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</si>
  <si>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</si>
  <si>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</si>
  <si>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</si>
  <si>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</si>
  <si>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</si>
  <si>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</si>
  <si>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</si>
  <si>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</si>
  <si>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</si>
  <si>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</si>
  <si>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</si>
  <si>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</si>
  <si>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</si>
  <si>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</si>
  <si>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</si>
  <si>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</si>
  <si>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</si>
  <si>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</si>
  <si>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</si>
  <si>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</si>
  <si>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</si>
  <si>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</si>
  <si>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</si>
  <si>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</si>
  <si>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</si>
  <si>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</si>
  <si>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</si>
  <si>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</si>
  <si>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</si>
  <si>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</si>
  <si>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</si>
  <si>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</si>
  <si>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</si>
  <si>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</si>
  <si>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</si>
  <si>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</si>
  <si>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</si>
  <si>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</si>
  <si>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</si>
  <si>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</si>
  <si>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</si>
  <si>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</si>
  <si>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</si>
  <si>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</si>
  <si>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</si>
  <si>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</si>
  <si>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</si>
  <si>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</si>
  <si>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</si>
  <si>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</si>
  <si>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</si>
  <si>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</si>
  <si>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</si>
  <si>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</si>
  <si>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</si>
  <si>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</si>
  <si>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</si>
  <si>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</si>
  <si>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</si>
  <si>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</si>
  <si>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</si>
  <si>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</si>
  <si>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</si>
  <si>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</si>
  <si>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</si>
  <si>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</si>
  <si>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</si>
  <si>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</si>
  <si>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</si>
  <si>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</si>
  <si>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</si>
  <si>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</si>
  <si>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</si>
  <si>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</si>
  <si>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</si>
  <si>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</si>
  <si>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</si>
  <si>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</si>
  <si>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</si>
  <si>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</si>
  <si>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</si>
  <si>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</si>
  <si>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</si>
  <si>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</si>
  <si>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</si>
  <si>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</si>
  <si>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</si>
  <si>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</si>
  <si>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</si>
  <si>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</si>
  <si>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</si>
  <si>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</si>
  <si>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</si>
  <si>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</si>
  <si>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</si>
  <si>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</si>
  <si>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</si>
  <si>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</si>
  <si>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</si>
  <si>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</si>
  <si>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</si>
  <si>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</si>
  <si>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</si>
  <si>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</si>
  <si>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</si>
  <si>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</si>
  <si>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</si>
  <si>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</si>
  <si>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</si>
  <si>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</si>
  <si>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</si>
  <si>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</si>
  <si>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</si>
  <si>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</si>
  <si>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</si>
  <si>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</si>
  <si>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</si>
  <si>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</si>
  <si>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</si>
  <si>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</si>
  <si>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</si>
  <si>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</si>
  <si>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</si>
  <si>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</si>
  <si>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</si>
  <si>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</si>
  <si>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</si>
  <si>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</si>
  <si>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</si>
  <si>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</si>
  <si>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</si>
  <si>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</si>
  <si>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</si>
  <si>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</si>
  <si>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</si>
  <si>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</si>
  <si>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</si>
  <si>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</si>
  <si>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</si>
  <si>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</si>
  <si>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</si>
  <si>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</si>
  <si>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</si>
  <si>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</si>
  <si>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</si>
  <si>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</si>
  <si>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</si>
  <si>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</si>
  <si>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</si>
  <si>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</si>
  <si>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</si>
  <si>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</si>
  <si>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</si>
  <si>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</si>
  <si>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</si>
  <si>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</si>
  <si>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</si>
  <si>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</si>
  <si>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</si>
  <si>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</si>
  <si>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</si>
  <si>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</si>
  <si>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</si>
  <si>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</si>
  <si>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</si>
  <si>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</si>
  <si>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</si>
  <si>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</si>
  <si>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</si>
  <si>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</si>
  <si>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</si>
  <si>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</si>
  <si>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</si>
  <si>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</si>
  <si>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</si>
  <si>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</si>
  <si>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</si>
  <si>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</si>
  <si>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</si>
  <si>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</si>
  <si>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</si>
  <si>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</si>
  <si>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</si>
  <si>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</si>
  <si>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</si>
  <si>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</si>
  <si>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</si>
  <si>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</si>
  <si>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</si>
  <si>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</si>
  <si>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</si>
  <si>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</si>
  <si>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</si>
  <si>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</si>
  <si>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</si>
  <si>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</si>
  <si>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</si>
  <si>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</si>
  <si>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</si>
  <si>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</si>
  <si>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</si>
  <si>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</si>
  <si>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</si>
  <si>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</si>
  <si>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</si>
  <si>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</si>
  <si>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</si>
  <si>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</si>
  <si>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</si>
  <si>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</si>
  <si>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</si>
  <si>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</si>
  <si>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</si>
  <si>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</si>
  <si>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</si>
  <si>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</si>
  <si>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</si>
  <si>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</si>
  <si>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</si>
  <si>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</si>
  <si>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</si>
  <si>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</si>
  <si>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</si>
  <si>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</si>
  <si>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</si>
  <si>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</si>
  <si>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</si>
  <si>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</si>
  <si>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</si>
  <si>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</si>
  <si>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</si>
  <si>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</si>
  <si>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</si>
  <si>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</si>
  <si>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</si>
  <si>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</si>
  <si>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</si>
  <si>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</si>
  <si>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</si>
  <si>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</si>
  <si>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</si>
  <si>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</si>
  <si>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</si>
  <si>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</si>
  <si>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</si>
  <si>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</si>
  <si>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</si>
  <si>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</si>
  <si>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</si>
  <si>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</si>
  <si>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</si>
  <si>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</si>
  <si>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</si>
  <si>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</si>
  <si>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</si>
  <si>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</si>
  <si>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</si>
  <si>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</si>
  <si>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</si>
  <si>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</si>
  <si>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</si>
  <si>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</si>
  <si>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</si>
  <si>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</si>
  <si>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</si>
  <si>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</si>
  <si>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</si>
  <si>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</si>
  <si>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</si>
  <si>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</si>
  <si>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</si>
  <si>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</si>
  <si>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</si>
  <si>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</si>
  <si>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</si>
  <si>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</si>
  <si>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</si>
  <si>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</si>
  <si>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</si>
  <si>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</si>
  <si>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</si>
  <si>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</si>
  <si>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</si>
  <si>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</si>
  <si>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</si>
  <si>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</si>
  <si>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</si>
  <si>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</si>
  <si>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</si>
  <si>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</si>
  <si>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</si>
  <si>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</si>
  <si>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</si>
  <si>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</si>
  <si>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</si>
  <si>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</si>
  <si>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</si>
  <si>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</si>
  <si>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</si>
  <si>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</si>
  <si>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</si>
  <si>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</si>
  <si>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</si>
  <si>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</si>
  <si>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</si>
  <si>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</si>
  <si>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</si>
  <si>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</si>
  <si>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</si>
  <si>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</si>
  <si>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</si>
  <si>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</si>
  <si>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</si>
  <si>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</si>
  <si>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</si>
  <si>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</si>
  <si>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</si>
  <si>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</si>
  <si>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</si>
  <si>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</si>
  <si>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</si>
  <si>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</si>
  <si>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</si>
  <si>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</si>
  <si>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</si>
  <si>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</si>
  <si>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</si>
  <si>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</si>
  <si>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</si>
  <si>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</si>
  <si>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</si>
  <si>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</si>
  <si>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</si>
  <si>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</si>
  <si>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</si>
  <si>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</si>
  <si>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</si>
  <si>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</si>
  <si>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</si>
  <si>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</si>
  <si>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</si>
  <si>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</si>
  <si>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</si>
  <si>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</si>
  <si>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</si>
  <si>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</si>
  <si>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</si>
  <si>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</si>
  <si>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</si>
  <si>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</si>
  <si>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</si>
  <si>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</si>
  <si>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</si>
  <si>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</si>
  <si>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</si>
  <si>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</si>
  <si>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</si>
  <si>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</si>
  <si>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</si>
  <si>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</si>
  <si>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</si>
  <si>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</si>
  <si>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</si>
  <si>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</si>
  <si>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</si>
  <si>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</si>
  <si>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</si>
  <si>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</si>
  <si>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</si>
  <si>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</si>
  <si>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</si>
  <si>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</si>
  <si>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</si>
  <si>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</si>
  <si>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</si>
  <si>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</si>
  <si>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</si>
  <si>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</si>
  <si>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</si>
  <si>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</si>
  <si>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</si>
  <si>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</si>
  <si>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</si>
  <si>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</si>
  <si>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</si>
  <si>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</si>
  <si>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</si>
  <si>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</si>
  <si>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</si>
  <si>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</si>
  <si>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</si>
  <si>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</si>
  <si>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</si>
  <si>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</si>
  <si>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</si>
  <si>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</si>
  <si>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</si>
  <si>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</si>
  <si>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</si>
  <si>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</si>
  <si>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</si>
  <si>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</si>
  <si>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</si>
  <si>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</si>
  <si>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</si>
  <si>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</si>
  <si>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</si>
  <si>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</si>
  <si>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</si>
  <si>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</si>
  <si>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</si>
  <si>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</si>
  <si>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</si>
  <si>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</si>
  <si>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</si>
  <si>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</si>
  <si>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</si>
  <si>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</si>
  <si>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</si>
  <si>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</si>
  <si>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</si>
  <si>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</si>
  <si>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</si>
  <si>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</si>
  <si>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</si>
  <si>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</si>
  <si>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</si>
  <si>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</si>
  <si>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</si>
  <si>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</si>
  <si>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</si>
  <si>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</si>
  <si>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</si>
  <si>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</si>
  <si>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</si>
  <si>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</si>
  <si>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</si>
  <si>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</si>
  <si>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</si>
  <si>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</si>
  <si>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</si>
  <si>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</si>
  <si>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</si>
  <si>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</si>
  <si>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</si>
  <si>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</si>
  <si>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</si>
  <si>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</si>
  <si>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</si>
  <si>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</si>
  <si>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</si>
  <si>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</si>
  <si>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</si>
  <si>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</si>
  <si>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</si>
  <si>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</si>
  <si>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</si>
  <si>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</si>
  <si>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</si>
  <si>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</si>
  <si>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</si>
  <si>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</si>
  <si>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</si>
  <si>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</si>
  <si>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</si>
  <si>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</si>
  <si>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</si>
  <si>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</si>
  <si>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</si>
  <si>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</si>
  <si>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</si>
  <si>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</si>
  <si>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</si>
  <si>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</si>
  <si>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</si>
  <si>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</si>
  <si>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</si>
  <si>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</si>
  <si>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</si>
  <si>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</si>
  <si>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</si>
  <si>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</si>
  <si>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</si>
  <si>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</si>
  <si>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</si>
  <si>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</si>
  <si>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</si>
  <si>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</si>
  <si>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</si>
  <si>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</si>
  <si>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</si>
  <si>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</si>
  <si>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</si>
  <si>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</si>
  <si>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</si>
  <si>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</si>
  <si>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</si>
  <si>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</si>
  <si>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</si>
  <si>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</si>
  <si>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</si>
  <si>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</si>
  <si>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</si>
  <si>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</si>
  <si>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</si>
  <si>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</si>
  <si>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</si>
  <si>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</si>
  <si>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</si>
  <si>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</si>
  <si>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</si>
  <si>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</si>
  <si>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</si>
  <si>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</si>
  <si>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</si>
  <si>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</si>
  <si>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</si>
  <si>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</si>
  <si>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</si>
  <si>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</si>
  <si>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</si>
  <si>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</si>
  <si>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</si>
  <si>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</si>
  <si>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</si>
  <si>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</si>
  <si>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</si>
  <si>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</si>
  <si>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</si>
  <si>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</si>
  <si>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</si>
  <si>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</si>
  <si>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</si>
  <si>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</si>
  <si>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</si>
  <si>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</si>
  <si>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</si>
  <si>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</si>
  <si>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</si>
  <si>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</si>
  <si>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</si>
  <si>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</si>
  <si>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</si>
  <si>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</si>
  <si>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</si>
  <si>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</si>
  <si>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</si>
  <si>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</si>
  <si>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</si>
  <si>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</si>
  <si>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</si>
  <si>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</si>
  <si>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</si>
  <si>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</si>
  <si>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</si>
  <si>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</si>
  <si>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</si>
  <si>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</si>
  <si>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</si>
  <si>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</si>
  <si>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</si>
  <si>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</si>
  <si>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</si>
  <si>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</si>
  <si>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</si>
  <si>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</si>
  <si>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</si>
  <si>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</si>
  <si>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</si>
  <si>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</si>
  <si>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</si>
  <si>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</si>
  <si>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</si>
  <si>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</si>
  <si>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</si>
  <si>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</si>
  <si>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</si>
  <si>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</si>
  <si>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</si>
  <si>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</si>
  <si>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</si>
  <si>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</si>
  <si>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</si>
  <si>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</si>
  <si>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</si>
  <si>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</si>
  <si>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</si>
  <si>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</si>
  <si>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</si>
  <si>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</si>
  <si>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</si>
  <si>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</si>
  <si>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</si>
  <si>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</si>
  <si>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</si>
  <si>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</si>
  <si>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</si>
  <si>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</si>
  <si>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</si>
  <si>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</si>
  <si>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</si>
  <si>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</si>
  <si>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</si>
  <si>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</si>
  <si>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</si>
  <si>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</si>
  <si>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</si>
  <si>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</si>
  <si>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</si>
  <si>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</si>
  <si>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</si>
  <si>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</si>
  <si>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</si>
  <si>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</si>
  <si>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</si>
  <si>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</si>
  <si>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</si>
  <si>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</si>
  <si>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</si>
  <si>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</si>
  <si>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</si>
  <si>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</si>
  <si>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</si>
  <si>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</si>
  <si>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</si>
  <si>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</si>
  <si>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</si>
  <si>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</si>
  <si>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</si>
  <si>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</si>
  <si>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</si>
  <si>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</si>
  <si>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</si>
  <si>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</si>
  <si>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</si>
  <si>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</si>
  <si>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</si>
  <si>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</si>
  <si>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</si>
  <si>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</si>
  <si>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</si>
  <si>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</si>
  <si>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</si>
  <si>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</si>
  <si>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</si>
  <si>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</si>
  <si>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</si>
  <si>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</si>
  <si>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</si>
  <si>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</si>
  <si>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</si>
  <si>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</si>
  <si>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</si>
  <si>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</si>
  <si>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</si>
  <si>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</si>
  <si>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</si>
  <si>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</si>
  <si>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</si>
  <si>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</si>
  <si>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</si>
  <si>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</si>
  <si>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</si>
  <si>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</si>
  <si>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</si>
  <si>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</si>
  <si>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</si>
  <si>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</si>
  <si>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</si>
  <si>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</si>
  <si>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</si>
  <si>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</si>
  <si>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</si>
  <si>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</si>
  <si>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</si>
  <si>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</si>
  <si>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</si>
  <si>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</si>
  <si>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</si>
  <si>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</si>
  <si>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</si>
  <si>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</si>
  <si>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</si>
  <si>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</si>
  <si>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</si>
  <si>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</si>
  <si>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</si>
  <si>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</si>
  <si>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</si>
  <si>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</si>
  <si>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</si>
  <si>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</si>
  <si>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</si>
  <si>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</si>
  <si>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</si>
  <si>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</si>
  <si>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</si>
  <si>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</si>
  <si>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</si>
  <si>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</si>
  <si>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</si>
  <si>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</si>
  <si>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</si>
  <si>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</si>
  <si>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</si>
  <si>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</si>
  <si>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</si>
  <si>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</si>
  <si>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</si>
  <si>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</si>
  <si>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</si>
  <si>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</si>
  <si>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</si>
  <si>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</si>
  <si>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</si>
  <si>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</si>
  <si>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</si>
  <si>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</si>
  <si>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</si>
  <si>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</si>
  <si>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</si>
  <si>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</si>
  <si>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</si>
  <si>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</si>
  <si>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</si>
  <si>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</si>
  <si>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</si>
  <si>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</si>
  <si>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</si>
  <si>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</si>
  <si>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</si>
  <si>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</si>
  <si>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</si>
  <si>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</si>
  <si>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</si>
  <si>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</si>
  <si>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</si>
  <si>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</si>
  <si>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</si>
  <si>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</si>
  <si>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</si>
  <si>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</si>
  <si>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</si>
  <si>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</si>
  <si>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</si>
  <si>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</si>
  <si>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</si>
  <si>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</si>
  <si>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</si>
  <si>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</si>
  <si>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</si>
  <si>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</si>
  <si>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</si>
  <si>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</si>
  <si>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</si>
  <si>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</si>
  <si>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</si>
  <si>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</si>
  <si>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</si>
  <si>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</si>
  <si>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</si>
  <si>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</si>
  <si>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</si>
  <si>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</si>
  <si>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</si>
  <si>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</si>
  <si>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</si>
  <si>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</si>
  <si>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</si>
  <si>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</si>
  <si>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</si>
  <si>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</si>
  <si>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</si>
  <si>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</si>
  <si>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</si>
  <si>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</si>
  <si>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</si>
  <si>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</si>
  <si>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</si>
  <si>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</si>
  <si>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</si>
  <si>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</si>
  <si>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</si>
  <si>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</si>
  <si>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</si>
  <si>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</si>
  <si>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</si>
  <si>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</si>
  <si>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</si>
  <si>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</si>
  <si>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</si>
  <si>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</si>
  <si>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</si>
  <si>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</si>
  <si>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</si>
  <si>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</si>
  <si>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</si>
  <si>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</si>
  <si>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</si>
  <si>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</si>
  <si>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</si>
  <si>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</si>
  <si>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</si>
  <si>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</si>
  <si>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</si>
  <si>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</si>
  <si>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</si>
  <si>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</si>
  <si>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</si>
  <si>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</si>
  <si>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</si>
  <si>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</si>
  <si>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</si>
  <si>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</si>
  <si>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</si>
  <si>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</si>
  <si>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</si>
  <si>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</si>
  <si>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</si>
  <si>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</si>
  <si>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</si>
  <si>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</si>
  <si>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</si>
  <si>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</si>
  <si>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</si>
  <si>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</si>
  <si>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</si>
  <si>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</si>
  <si>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</si>
  <si>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</si>
  <si>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</si>
  <si>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</si>
  <si>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</si>
  <si>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</si>
  <si>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</si>
  <si>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</si>
  <si>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</si>
  <si>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</si>
  <si>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</si>
  <si>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</si>
  <si>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</si>
  <si>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</si>
  <si>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</si>
  <si>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</si>
  <si>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</si>
  <si>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</si>
  <si>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</si>
  <si>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</si>
  <si>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</si>
  <si>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</si>
  <si>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</si>
  <si>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</si>
  <si>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</si>
  <si>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</si>
  <si>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</si>
  <si>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</si>
  <si>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</si>
  <si>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</si>
  <si>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</si>
  <si>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</si>
  <si>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</si>
  <si>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</si>
  <si>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</si>
  <si>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</si>
  <si>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</si>
  <si>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</si>
  <si>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</si>
  <si>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</si>
  <si>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</si>
  <si>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</si>
  <si>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</si>
  <si>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</si>
  <si>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</si>
  <si>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</si>
  <si>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</si>
  <si>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</si>
  <si>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</si>
  <si>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</si>
  <si>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</si>
  <si>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</si>
  <si>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</si>
  <si>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</si>
  <si>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</si>
  <si>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</si>
  <si>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</si>
  <si>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</si>
  <si>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</si>
  <si>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</si>
  <si>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</si>
  <si>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</si>
  <si>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</si>
  <si>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</si>
  <si>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</si>
  <si>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</si>
  <si>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</si>
  <si>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</si>
  <si>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</si>
  <si>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</si>
  <si>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</si>
  <si>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</si>
  <si>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</si>
  <si>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</si>
  <si>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</si>
  <si>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</si>
  <si>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</si>
  <si>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</si>
  <si>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</si>
  <si>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</si>
  <si>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</si>
  <si>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</si>
  <si>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</si>
  <si>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</si>
  <si>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</si>
  <si>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</si>
  <si>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</si>
  <si>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</si>
  <si>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</si>
  <si>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</si>
  <si>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</si>
  <si>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</si>
  <si>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</si>
  <si>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</si>
  <si>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</si>
  <si>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</si>
  <si>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</si>
  <si>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</si>
  <si>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</si>
  <si>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</si>
  <si>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</si>
  <si>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</si>
  <si>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</si>
  <si>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</si>
  <si>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</si>
  <si>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</si>
  <si>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</si>
  <si>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</si>
  <si>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</si>
  <si>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</si>
  <si>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</si>
  <si>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</si>
  <si>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</si>
  <si>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</si>
  <si>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</si>
  <si>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</si>
  <si>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</si>
  <si>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</si>
  <si>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</si>
  <si>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</si>
  <si>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</si>
  <si>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</si>
  <si>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</si>
  <si>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</si>
  <si>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</si>
  <si>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</si>
  <si>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</si>
  <si>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</si>
  <si>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</si>
  <si>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</si>
  <si>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</si>
  <si>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</si>
  <si>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</si>
  <si>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</si>
  <si>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</si>
  <si>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</si>
  <si>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</si>
  <si>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</si>
  <si>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</si>
  <si>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</si>
  <si>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</si>
  <si>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</si>
  <si>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</si>
  <si>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</si>
  <si>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</si>
  <si>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</si>
  <si>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</si>
  <si>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</si>
  <si>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</si>
  <si>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</si>
  <si>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</si>
  <si>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</si>
  <si>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</si>
  <si>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</si>
  <si>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</si>
  <si>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</si>
  <si>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</si>
  <si>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</si>
  <si>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</si>
  <si>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</si>
  <si>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</si>
  <si>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</si>
  <si>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</si>
  <si>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</si>
  <si>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</si>
  <si>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</si>
  <si>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</si>
  <si>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</si>
  <si>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</si>
  <si>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</si>
  <si>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</si>
  <si>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</si>
  <si>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</si>
  <si>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</si>
  <si>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</si>
  <si>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</si>
  <si>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</si>
  <si>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</si>
  <si>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</si>
  <si>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</si>
  <si>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</si>
  <si>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</si>
  <si>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</si>
  <si>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</si>
  <si>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</si>
  <si>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</si>
  <si>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</si>
  <si>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</si>
  <si>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</si>
  <si>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</si>
  <si>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</si>
  <si>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</si>
  <si>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</si>
  <si>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</si>
  <si>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</si>
  <si>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</si>
  <si>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</si>
  <si>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</si>
  <si>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</si>
  <si>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</si>
  <si>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</si>
  <si>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</si>
  <si>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</si>
  <si>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</si>
  <si>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</si>
  <si>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</si>
  <si>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</si>
  <si>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</si>
  <si>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</si>
  <si>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</si>
  <si>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</si>
  <si>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</si>
  <si>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</si>
  <si>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</si>
  <si>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</si>
  <si>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</si>
  <si>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</si>
  <si>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</si>
  <si>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</si>
  <si>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</si>
  <si>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</si>
  <si>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</si>
  <si>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</si>
  <si>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</si>
  <si>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</si>
  <si>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</si>
  <si>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</si>
  <si>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</si>
  <si>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</si>
  <si>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</si>
  <si>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</si>
  <si>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</si>
  <si>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</si>
  <si>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</si>
  <si>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</si>
  <si>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</si>
  <si>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</si>
  <si>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</si>
  <si>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</si>
  <si>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</si>
  <si>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</si>
  <si>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</si>
  <si>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</si>
  <si>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</si>
  <si>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</si>
  <si>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</si>
  <si>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</si>
  <si>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</si>
  <si>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</si>
  <si>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</si>
  <si>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</si>
  <si>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</si>
  <si>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</si>
  <si>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</si>
  <si>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</si>
  <si>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</si>
  <si>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</si>
  <si>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</si>
  <si>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</si>
  <si>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</si>
  <si>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</si>
  <si>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</si>
  <si>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</si>
  <si>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</si>
  <si>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</si>
  <si>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</si>
  <si>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</si>
  <si>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</si>
  <si>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</si>
  <si>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</si>
  <si>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</si>
  <si>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</si>
  <si>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</si>
  <si>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</si>
  <si>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</si>
  <si>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</si>
  <si>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</si>
  <si>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</si>
  <si>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</si>
  <si>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</si>
  <si>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</si>
  <si>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</si>
  <si>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</si>
  <si>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</si>
  <si>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</si>
  <si>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</si>
  <si>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</si>
  <si>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</si>
  <si>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</si>
  <si>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</si>
  <si>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</si>
  <si>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</si>
  <si>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</si>
  <si>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</si>
  <si>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</si>
  <si>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</si>
  <si>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</si>
  <si>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</si>
  <si>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</si>
  <si>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</si>
  <si>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</si>
  <si>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</si>
  <si>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</si>
  <si>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</si>
  <si>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</si>
  <si>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</si>
  <si>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</si>
  <si>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</si>
  <si>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</si>
  <si>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</si>
  <si>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</si>
  <si>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</si>
  <si>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</si>
  <si>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</si>
  <si>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</si>
  <si>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</si>
  <si>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</si>
  <si>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</si>
  <si>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</si>
  <si>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</si>
  <si>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</si>
  <si>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</si>
  <si>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</si>
  <si>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</si>
  <si>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</si>
  <si>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</si>
  <si>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</si>
  <si>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</si>
  <si>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</si>
  <si>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</si>
  <si>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</si>
  <si>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</si>
  <si>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</si>
  <si>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</si>
  <si>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</si>
  <si>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</si>
  <si>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</si>
  <si>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</si>
  <si>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</si>
  <si>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</si>
  <si>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</si>
  <si>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</si>
  <si>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</si>
  <si>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</si>
  <si>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</si>
  <si>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</si>
  <si>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</si>
  <si>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</si>
  <si>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</si>
  <si>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</si>
  <si>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</si>
  <si>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</si>
  <si>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</si>
  <si>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</si>
  <si>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</si>
  <si>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</si>
  <si>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</si>
  <si>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</si>
  <si>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</si>
  <si>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</si>
  <si>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</si>
  <si>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</si>
  <si>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</si>
  <si>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</si>
  <si>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</si>
  <si>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</si>
  <si>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</si>
  <si>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</si>
  <si>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</si>
  <si>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</si>
  <si>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</si>
  <si>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</si>
  <si>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</si>
  <si>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</si>
  <si>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</si>
  <si>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</si>
  <si>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</si>
  <si>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</si>
  <si>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</si>
  <si>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</si>
  <si>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</si>
  <si>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</si>
  <si>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</si>
  <si>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</si>
  <si>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</si>
  <si>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</si>
  <si>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</si>
  <si>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</si>
  <si>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</si>
  <si>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</si>
  <si>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</si>
  <si>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</si>
  <si>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</si>
  <si>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</si>
  <si>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</si>
  <si>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</si>
  <si>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</si>
  <si>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</si>
  <si>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</si>
  <si>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</si>
  <si>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</si>
  <si>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</si>
  <si>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</si>
  <si>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</si>
  <si>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</si>
  <si>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</si>
  <si>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</si>
  <si>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</si>
  <si>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</si>
  <si>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</si>
  <si>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</si>
  <si>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</si>
  <si>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</si>
  <si>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</si>
  <si>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</si>
  <si>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</si>
  <si>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</si>
  <si>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</si>
  <si>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</si>
  <si>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</si>
  <si>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</si>
  <si>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</si>
  <si>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</si>
  <si>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</si>
  <si>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</si>
  <si>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</si>
  <si>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</si>
  <si>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</si>
  <si>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</si>
  <si>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</si>
  <si>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</si>
  <si>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</si>
  <si>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</si>
  <si>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</si>
  <si>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</si>
  <si>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</si>
  <si>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</si>
  <si>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</si>
  <si>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</si>
  <si>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</si>
  <si>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</si>
  <si>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</si>
  <si>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</si>
  <si>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</si>
  <si>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</si>
  <si>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</si>
  <si>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</si>
  <si>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</si>
  <si>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</si>
  <si>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</si>
  <si>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</si>
  <si>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</si>
  <si>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</si>
  <si>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</si>
  <si>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</si>
  <si>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</si>
  <si>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</si>
  <si>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</si>
  <si>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</si>
  <si>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</si>
  <si>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</si>
  <si>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</si>
  <si>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</si>
  <si>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</si>
  <si>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</si>
  <si>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</si>
  <si>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</si>
  <si>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</si>
  <si>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</si>
  <si>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</si>
  <si>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</si>
  <si>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</si>
  <si>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</si>
  <si>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</si>
  <si>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</si>
  <si>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</si>
  <si>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</si>
  <si>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</si>
  <si>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</si>
  <si>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</si>
  <si>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</si>
  <si>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</si>
  <si>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Commission on the Teacher Credentialing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</si>
</sst>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89" zoomScale="70" zoomScaleNormal="70" workbookViewId="0">
      <selection activeCell="Q22" sqref="Q2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1803</v>
      </c>
      <c r="G4" s="263"/>
      <c r="H4" s="263"/>
      <c r="I4" s="263"/>
    </row>
    <row r="5" spans="1:20" ht="16.5" customHeight="1" x14ac:dyDescent="0.2">
      <c r="A5" s="261" t="s">
        <v>1639</v>
      </c>
      <c r="B5" s="261"/>
      <c r="C5" s="261"/>
      <c r="D5" s="261"/>
      <c r="E5" s="261"/>
      <c r="F5" s="263" t="s">
        <v>1140</v>
      </c>
      <c r="G5" s="263"/>
      <c r="H5" s="263"/>
      <c r="I5" s="263"/>
      <c r="L5" s="39"/>
      <c r="M5" s="39"/>
      <c r="N5" s="39"/>
      <c r="O5" s="39"/>
      <c r="P5" s="39"/>
      <c r="Q5" s="39"/>
    </row>
    <row r="6" spans="1:20" ht="16.5" customHeight="1" x14ac:dyDescent="0.25">
      <c r="A6" s="261" t="s">
        <v>1682</v>
      </c>
      <c r="B6" s="261"/>
      <c r="C6" s="261"/>
      <c r="D6" s="261"/>
      <c r="E6" s="261"/>
      <c r="F6" s="264">
        <v>407</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EDUCATION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4285773</v>
      </c>
      <c r="M17" s="196">
        <v>4285773</v>
      </c>
      <c r="P17" s="196">
        <v>4285773</v>
      </c>
      <c r="Q17" s="224"/>
      <c r="S17" s="223">
        <f t="shared" si="0"/>
        <v>0</v>
      </c>
      <c r="T17" s="251" t="s">
        <v>1760</v>
      </c>
    </row>
    <row r="18" spans="1:20" ht="16.5" customHeight="1" x14ac:dyDescent="0.25">
      <c r="A18" s="99"/>
      <c r="B18" s="26" t="s">
        <v>178</v>
      </c>
      <c r="C18" s="26"/>
      <c r="D18" s="26"/>
      <c r="E18" s="193"/>
      <c r="F18" s="194"/>
      <c r="G18" s="194"/>
      <c r="H18" s="195"/>
      <c r="I18" s="195"/>
      <c r="J18" s="248">
        <f>P18</f>
        <v>30518</v>
      </c>
      <c r="M18" s="196">
        <v>30518</v>
      </c>
      <c r="P18" s="221">
        <f>IF(SUM($Q$20:$Q$23)&gt;SUM($P$15:$P$17),SUM($Q$20:$Q$23)-SUM($P$15:$P$17),0)</f>
        <v>30518</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1904788</v>
      </c>
      <c r="N22" s="196">
        <v>1904788</v>
      </c>
      <c r="P22" s="224"/>
      <c r="Q22" s="196">
        <v>1904788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2411503</v>
      </c>
      <c r="N23" s="196">
        <v>2411503</v>
      </c>
      <c r="P23" s="224"/>
      <c r="Q23" s="196">
        <v>2411503</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4316291</v>
      </c>
      <c r="K26" s="155">
        <f>SUM(K15:K25)</f>
        <v>4316291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8" t="s">
        <v>1737</v>
      </c>
      <c r="C77" s="268"/>
      <c r="D77" s="268"/>
      <c r="E77" s="268"/>
      <c r="F77" s="268"/>
      <c r="G77" s="268"/>
      <c r="H77" s="268"/>
      <c r="I77" s="268"/>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2411503</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1904788</v>
      </c>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4285773</v>
      </c>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v>30518</v>
      </c>
    </row>
    <row r="105" spans="1:12" ht="16.5" customHeight="1" x14ac:dyDescent="0.25">
      <c r="B105" s="182" t="s">
        <v>1692</v>
      </c>
      <c r="H105" s="37"/>
      <c r="J105" s="156">
        <f>SUM(J96:J104)</f>
        <v>4316291</v>
      </c>
      <c r="K105" s="156">
        <f>SUM(K96:K104)</f>
        <v>4316291</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C33" sqref="C3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6360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c r="C13" s="100"/>
      <c r="D13" s="274" t="s">
        <v>6</v>
      </c>
      <c r="E13" s="275"/>
      <c r="F13" s="275"/>
      <c r="G13" s="57"/>
      <c r="H13" s="57"/>
      <c r="I13" s="57"/>
      <c r="J13" s="57"/>
      <c r="K13" s="57"/>
      <c r="L13" s="57"/>
      <c r="M13" s="57"/>
    </row>
    <row r="14" spans="1:13" x14ac:dyDescent="0.2">
      <c r="A14" s="84" t="str">
        <f>LEFT(A13,4)+1&amp;"–"&amp;RIGHT(A13,4)+1</f>
        <v>2025–2026</v>
      </c>
      <c r="B14" s="100"/>
      <c r="C14" s="100"/>
      <c r="D14" s="274"/>
      <c r="E14" s="275"/>
      <c r="F14" s="275"/>
    </row>
    <row r="15" spans="1:13" ht="15.75" x14ac:dyDescent="0.2">
      <c r="A15" s="84" t="str">
        <f>LEFT(A14,4)+1&amp;"–"&amp;RIGHT(A14,4)+1</f>
        <v>2026–2027</v>
      </c>
      <c r="B15" s="100"/>
      <c r="C15" s="100"/>
      <c r="D15" s="270" t="s">
        <v>130</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6360</v>
      </c>
      <c r="C40" s="285"/>
      <c r="E40" s="60"/>
    </row>
    <row r="41" spans="1:13" ht="15.75" x14ac:dyDescent="0.25">
      <c r="A41" s="12" t="s">
        <v>208</v>
      </c>
      <c r="B41" s="269" t="str">
        <f>B10</f>
        <v>Commission on the Teacher Credentialing</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6360</v>
      </c>
      <c r="C71" s="285"/>
    </row>
    <row r="72" spans="1:13" ht="15.75" x14ac:dyDescent="0.25">
      <c r="A72" s="12" t="s">
        <v>208</v>
      </c>
      <c r="B72" s="269" t="str">
        <f>B10</f>
        <v>Commission on the Teacher Credentialing</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0407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6360 - Commission on the Teacher Credentialing</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0407 Journal Entries'!$F$8="Governmental Fund",'LS-Fund 0407 Journal Entries'!$K$23,0)</f>
        <v>2411503</v>
      </c>
      <c r="G10" s="103"/>
      <c r="H10" s="107">
        <f>IF('LS-Fund 0407 Journal Entries'!$F$8="Governmental Fund",SUM('LS-Fund 0407 Journal Entries'!$K$48,'LS-Fund 0407 Journal Entries'!K113),0)</f>
        <v>0</v>
      </c>
      <c r="I10" s="103"/>
      <c r="J10" s="107">
        <f>IF('LS-Fund 0407 Journal Entries'!$F$8="Governmental Fund",SUM('LS-Fund 0407 Journal Entries'!$J$68,'LS-Fund 0407 Journal Entries'!J96),0)</f>
        <v>2411503</v>
      </c>
      <c r="K10" s="103"/>
      <c r="L10" s="109">
        <f>SUM(F10+H10-J10)</f>
        <v>0</v>
      </c>
      <c r="M10" s="103"/>
      <c r="N10" s="107">
        <f>IF('LS-Fund 0407 Journal Entries'!$F$8="Governmental Fund",'LS-Fund 0407 Journal Entries'!$K$76,0)</f>
        <v>0</v>
      </c>
      <c r="O10" s="103"/>
      <c r="P10" s="109">
        <f>L10-N10</f>
        <v>0</v>
      </c>
      <c r="Q10" s="71"/>
    </row>
    <row r="11" spans="2:17" ht="19.5" thickTop="1" thickBot="1" x14ac:dyDescent="0.3">
      <c r="B11" s="69"/>
      <c r="C11" s="73" t="s">
        <v>21</v>
      </c>
      <c r="F11" s="108">
        <f>SUM(F10:F10)</f>
        <v>2411503</v>
      </c>
      <c r="G11" s="103"/>
      <c r="H11" s="108">
        <f>SUM(H10:H10)</f>
        <v>0</v>
      </c>
      <c r="I11" s="103"/>
      <c r="J11" s="108">
        <f>SUM(J10:J10)</f>
        <v>2411503</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0407 Journal Entries'!$F$8="Proprietary - Internal Service Fund",'LS-Fund 0407 Journal Entries'!$K$23,0)</f>
        <v>0</v>
      </c>
      <c r="G14" s="103"/>
      <c r="H14" s="107">
        <f>IF('LS-Fund 0407 Journal Entries'!$F$8="Proprietary - Internal Service Fund",SUM('LS-Fund 0407 Journal Entries'!$K$48,'LS-Fund 0407 Journal Entries'!K113),0)</f>
        <v>0</v>
      </c>
      <c r="I14" s="103"/>
      <c r="J14" s="107">
        <f>IF('LS-Fund 0407 Journal Entries'!$F$8="Proprietary - Internal Service Fund",SUM('LS-Fund 0407 Journal Entries'!$J$68,'LS-Fund 0407 Journal Entries'!J96),0)</f>
        <v>0</v>
      </c>
      <c r="K14" s="103"/>
      <c r="L14" s="109">
        <f>SUM(F14+H14-J14)</f>
        <v>0</v>
      </c>
      <c r="M14" s="103"/>
      <c r="N14" s="107">
        <f>IF('LS-Fund 0407 Journal Entries'!$F$8="Proprietary - Internal Service Fund",'LS-Fund 0407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0407 Journal Entries'!$F$8="Proprietary - Enterprise Fund",'LS-Fund 0407 Journal Entries'!$K$23,0)</f>
        <v>0</v>
      </c>
      <c r="G18" s="103"/>
      <c r="H18" s="107">
        <f>IF('LS-Fund 0407 Journal Entries'!$F$8="Proprietary - Enterprise Fund",SUM('LS-Fund 0407 Journal Entries'!$K$48,'LS-Fund 0407 Journal Entries'!K113),0)</f>
        <v>0</v>
      </c>
      <c r="I18" s="103"/>
      <c r="J18" s="107">
        <f>IF('LS-Fund 0407 Journal Entries'!$F$8="Proprietary - Enterprise Fund",SUM('LS-Fund 0407 Journal Entries'!$J$68,'LS-Fund 0407 Journal Entries'!J96),0)</f>
        <v>0</v>
      </c>
      <c r="K18" s="103"/>
      <c r="L18" s="109">
        <f>SUM(F18+H18-J18)</f>
        <v>0</v>
      </c>
      <c r="M18" s="103"/>
      <c r="N18" s="107">
        <f>IF('LS-Fund 0407 Journal Entries'!$F$8="Proprietary - Enterprise Fund",'LS-Fund 0407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F19" sqref="F19"/>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0407 Journal Entries'!$F$8="Governmental Fund",'LS-Fund 0407 Journal Entries'!$K$23,0)</f>
        <v>2411503</v>
      </c>
      <c r="C16" s="168" t="s">
        <v>155</v>
      </c>
      <c r="D16" s="130">
        <f>IF('LS-Fund 0407 Journal Entries'!$F$8="Governmental Fund",'LS-Fund 0407 Journal Entries'!$K$48,0)</f>
        <v>0</v>
      </c>
      <c r="E16" s="170" t="s">
        <v>156</v>
      </c>
      <c r="F16" s="130">
        <f>IF('LS-Fund 0407 Journal Entries'!$F$8="Governmental Fund",'LS-Fund 0407 Journal Entries'!$J$68,0)</f>
        <v>0</v>
      </c>
      <c r="G16" s="169" t="s">
        <v>156</v>
      </c>
      <c r="H16" s="130">
        <f>IF('LS-Fund 0407 Journal Entries'!$F$8="Governmental Fund",'LS-Fund 0407 Journal Entries'!$J$96,0)</f>
        <v>2411503</v>
      </c>
      <c r="I16" s="169" t="s">
        <v>155</v>
      </c>
      <c r="J16" s="130">
        <f>IF('LS-Fund 0407 Journal Entries'!$F$8="Governmental Fund",'LS-Fund 0407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0407 Journal Entries'!$F$8="Proprietary - Internal Service Fund",'LS-Fund 0407 Journal Entries'!$K$23,0)</f>
        <v>0</v>
      </c>
      <c r="C24" s="168" t="s">
        <v>155</v>
      </c>
      <c r="D24" s="130">
        <f>IF('LS-Fund 0407 Journal Entries'!$F$8="Proprietary - Internal Service Fund",'LS-Fund 0407 Journal Entries'!$K$48,0)</f>
        <v>0</v>
      </c>
      <c r="E24" s="170" t="s">
        <v>156</v>
      </c>
      <c r="F24" s="130">
        <f>IF('LS-Fund 0407 Journal Entries'!$F$8="Proprietary - Internal Service Fund",'LS-Fund 0407 Journal Entries'!$J$68,0)</f>
        <v>0</v>
      </c>
      <c r="G24" s="169" t="s">
        <v>156</v>
      </c>
      <c r="H24" s="130">
        <f>IF('LS-Fund 0407 Journal Entries'!$F$8="Proprietary - Internal Service Fund",'LS-Fund 0407 Journal Entries'!$J$96,0)</f>
        <v>0</v>
      </c>
      <c r="I24" s="169" t="s">
        <v>155</v>
      </c>
      <c r="J24" s="130">
        <f>IF('LS-Fund 0407 Journal Entries'!$F$8="Proprietary - Internal Service Fund",'LS-Fund 0407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0407 Journal Entries'!$F$8="Proprietary - Enterprise Fund",'LS-Fund 0407 Journal Entries'!$K$23,0)</f>
        <v>0</v>
      </c>
      <c r="C33" s="168" t="s">
        <v>155</v>
      </c>
      <c r="D33" s="130">
        <f>IF('LS-Fund 0407 Journal Entries'!$F$8="Proprietary - Enterprise Fund",'LS-Fund 0407 Journal Entries'!$K$48,0)</f>
        <v>0</v>
      </c>
      <c r="E33" s="170" t="s">
        <v>156</v>
      </c>
      <c r="F33" s="130">
        <f>IF('LS-Fund 0407 Journal Entries'!$F$8="Proprietary - Enterprise Fund",'LS-Fund 0407 Journal Entries'!$J$68,0)</f>
        <v>0</v>
      </c>
      <c r="G33" s="169" t="s">
        <v>156</v>
      </c>
      <c r="H33" s="130">
        <f>IF('LS-Fund 0407 Journal Entries'!$F$8="Proprietary - Enterprise Fund",'LS-Fund 0407 Journal Entries'!$J$96,0)</f>
        <v>0</v>
      </c>
      <c r="I33" s="169" t="s">
        <v>155</v>
      </c>
      <c r="J33" s="130">
        <f>IF('LS-Fund 0407 Journal Entries'!$F$8="Proprietary - Enterprise Fund",'LS-Fund 0407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0407 Journal Entries'!$F$8="Governmental Fund",'LS-Fund 0407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0407 Journal Entries'!$F$8="Proprietary - Internal Service Fund",'LS-Fund 0407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0407 Journal Entries'!$F$8="Proprietary - Enterprise Fund",'LS-Fund 0407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2411503</v>
      </c>
      <c r="J66" s="143">
        <f>SUM(D66)</f>
        <v>2411503</v>
      </c>
      <c r="L66" s="144" t="str">
        <f>CONCATENATE("Balance July 1, ",LEFT('LS-Department Note Disclosure'!$B$8,4))</f>
        <v>Balance July 1, 2023</v>
      </c>
      <c r="N66" s="143">
        <f>'LS-Lease Liabilities'!F10</f>
        <v>2411503</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2411503</v>
      </c>
      <c r="J68" s="143">
        <f>SUM(D68,H68)</f>
        <v>2411503</v>
      </c>
      <c r="L68" s="144" t="s">
        <v>15</v>
      </c>
      <c r="N68" s="143">
        <f>'LS-Lease Liabilities'!J10</f>
        <v>2411503</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23" sqref="E23"/>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0407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0407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Tran, Cam@DGS</cp:lastModifiedBy>
  <cp:lastPrinted>2024-09-14T00:58:00Z</cp:lastPrinted>
  <dcterms:created xsi:type="dcterms:W3CDTF">2023-03-08T17:19:33Z</dcterms:created>
  <dcterms:modified xsi:type="dcterms:W3CDTF">2024-12-09T17:09:37Z</dcterms:modified>
</cp:coreProperties>
</file>