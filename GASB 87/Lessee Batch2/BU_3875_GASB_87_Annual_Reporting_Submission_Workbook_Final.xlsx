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C3EC4ED3-4EAA-4A22-ACCB-E349C0547902}" xr6:coauthVersionLast="47" xr6:coauthVersionMax="47" xr10:uidLastSave="{00000000-0000-0000-0000-000000000000}"/>
  <bookViews>
    <workbookView xWindow="-120" yWindow="-120" windowWidth="29040" windowHeight="15840" tabRatio="921" firstSheet="2" activeTab="6"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0140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<sst xmlns="http://schemas.openxmlformats.org/spreadsheetml/2006/main" count="8068" uniqueCount="1805">
  <si>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</si>
  <si>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</si>
  <si>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</si>
  <si>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</si>
  <si>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</si>
  <si>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</si>
  <si>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</si>
  <si>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</si>
  <si>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</si>
  <si>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</si>
  <si>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</si>
  <si>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</si>
  <si>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</si>
  <si>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</si>
  <si>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</si>
  <si>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</si>
  <si>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</si>
  <si>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</si>
  <si>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</si>
  <si>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</si>
  <si>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</si>
  <si>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</si>
  <si>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</si>
  <si>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</si>
  <si>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</si>
  <si>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</si>
  <si>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</si>
  <si>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</si>
  <si>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</si>
  <si>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</si>
  <si>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</si>
  <si>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</si>
  <si>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</si>
  <si>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</si>
  <si>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</si>
  <si>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</si>
  <si>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</si>
  <si>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</si>
  <si>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</si>
  <si>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</si>
  <si>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</si>
  <si>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</si>
  <si>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</si>
  <si>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</si>
  <si>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</si>
  <si>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</si>
  <si>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</si>
  <si>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</si>
  <si>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</si>
  <si>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</si>
  <si>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</si>
  <si>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</si>
  <si>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</si>
  <si>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</si>
  <si>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</si>
  <si>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</si>
  <si>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</si>
  <si>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</si>
  <si>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</si>
  <si>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</si>
  <si>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</si>
  <si>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</si>
  <si>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</si>
  <si>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</si>
  <si>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</si>
  <si>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</si>
  <si>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</si>
  <si>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</si>
  <si>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</si>
  <si>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</si>
  <si>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</si>
  <si>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</si>
  <si>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</si>
  <si>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</si>
  <si>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</si>
  <si>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</si>
  <si>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</si>
  <si>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</si>
  <si>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</si>
  <si>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</si>
  <si>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</si>
  <si>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</si>
  <si>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</si>
  <si>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</si>
  <si>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</si>
  <si>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</si>
  <si>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</si>
  <si>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</si>
  <si>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</si>
  <si>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</si>
  <si>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</si>
  <si>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</si>
  <si>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</si>
  <si>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</si>
  <si>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</si>
  <si>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</si>
  <si>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</si>
  <si>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</si>
  <si>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</si>
  <si>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</si>
  <si>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</si>
  <si>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</si>
  <si>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</si>
  <si>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</si>
  <si>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</si>
  <si>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</si>
  <si>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</si>
  <si>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</si>
  <si>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</si>
  <si>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</si>
  <si>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</si>
  <si>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</si>
  <si>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</si>
  <si>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</si>
  <si>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</si>
  <si>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</si>
  <si>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</si>
  <si>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</si>
  <si>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</si>
  <si>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</si>
  <si>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</si>
  <si>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</si>
  <si>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</si>
  <si>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</si>
  <si>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</si>
  <si>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</si>
  <si>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</si>
  <si>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</si>
  <si>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</si>
  <si>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</si>
  <si>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</si>
  <si>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</si>
  <si>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</si>
  <si>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</si>
  <si>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</si>
  <si>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</si>
  <si>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</si>
  <si>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</si>
  <si>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</si>
  <si>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</si>
  <si>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</si>
  <si>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</si>
  <si>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</si>
  <si>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</si>
  <si>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</si>
  <si>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</si>
  <si>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</si>
  <si>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</si>
  <si>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</si>
  <si>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</si>
  <si>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</si>
  <si>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</si>
  <si>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</si>
  <si>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</si>
  <si>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</si>
  <si>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</si>
  <si>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</si>
  <si>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</si>
  <si>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</si>
  <si>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</si>
  <si>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</si>
  <si>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</si>
  <si>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</si>
  <si>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</si>
  <si>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</si>
  <si>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</si>
  <si>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</si>
  <si>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</si>
  <si>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</si>
  <si>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</si>
  <si>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</si>
  <si>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</si>
  <si>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</si>
  <si>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</si>
  <si>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</si>
  <si>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</si>
  <si>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</si>
  <si>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</si>
  <si>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</si>
  <si>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</si>
  <si>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</si>
  <si>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</si>
  <si>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</si>
  <si>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</si>
  <si>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</si>
  <si>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</si>
  <si>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</si>
  <si>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</si>
  <si>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</si>
  <si>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</si>
  <si>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</si>
  <si>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</si>
  <si>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</si>
  <si>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</si>
  <si>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</si>
  <si>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</si>
  <si>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</si>
  <si>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</si>
  <si>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</si>
  <si>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</si>
  <si>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</si>
  <si>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</si>
  <si>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</si>
  <si>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</si>
  <si>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</si>
  <si>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</si>
  <si>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</si>
  <si>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</si>
  <si>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</si>
  <si>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</si>
  <si>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</si>
  <si>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</si>
  <si>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</si>
  <si>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</si>
  <si>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</si>
  <si>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</si>
  <si>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</si>
  <si>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</si>
  <si>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</si>
  <si>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</si>
  <si>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</si>
  <si>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</si>
  <si>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</si>
  <si>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</si>
  <si>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</si>
  <si>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</si>
  <si>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</si>
  <si>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</si>
  <si>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</si>
  <si>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</si>
  <si>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</si>
  <si>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</si>
  <si>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</si>
  <si>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</si>
  <si>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</si>
  <si>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</si>
  <si>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</si>
  <si>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</si>
  <si>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</si>
  <si>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</si>
  <si>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</si>
  <si>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</si>
  <si>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</si>
  <si>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</si>
  <si>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</si>
  <si>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</si>
  <si>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</si>
  <si>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</si>
  <si>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</si>
  <si>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</si>
  <si>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</si>
  <si>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</si>
  <si>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</si>
  <si>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</si>
  <si>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</si>
  <si>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</si>
  <si>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</si>
  <si>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</si>
  <si>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</si>
  <si>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</si>
  <si>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</si>
  <si>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</si>
  <si>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</si>
  <si>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</si>
  <si>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</si>
  <si>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</si>
  <si>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</si>
  <si>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</si>
  <si>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</si>
  <si>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</si>
  <si>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</si>
  <si>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</si>
  <si>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</si>
  <si>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</si>
  <si>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</si>
  <si>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</si>
  <si>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</si>
  <si>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</si>
  <si>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</si>
  <si>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</si>
  <si>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</si>
  <si>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</si>
  <si>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</si>
  <si>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</si>
  <si>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</si>
  <si>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</si>
  <si>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</si>
  <si>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</si>
  <si>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</si>
  <si>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</si>
  <si>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</si>
  <si>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</si>
  <si>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</si>
  <si>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</si>
  <si>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</si>
  <si>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</si>
  <si>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</si>
  <si>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</si>
  <si>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</si>
  <si>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</si>
  <si>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</si>
  <si>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</si>
  <si>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</si>
  <si>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</si>
  <si>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</si>
  <si>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</si>
  <si>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</si>
  <si>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</si>
  <si>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</si>
  <si>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</si>
  <si>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</si>
  <si>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</si>
  <si>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</si>
  <si>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</si>
  <si>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</si>
  <si>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</si>
  <si>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</si>
  <si>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</si>
  <si>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</si>
  <si>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</si>
  <si>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</si>
  <si>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</si>
  <si>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</si>
  <si>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</si>
  <si>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</si>
  <si>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</si>
  <si>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</si>
  <si>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</si>
  <si>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</si>
  <si>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</si>
  <si>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</si>
  <si>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</si>
  <si>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</si>
  <si>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</si>
  <si>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</si>
  <si>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</si>
  <si>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</si>
  <si>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</si>
  <si>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</si>
  <si>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</si>
  <si>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</si>
  <si>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</si>
  <si>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</si>
  <si>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</si>
  <si>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</si>
  <si>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</si>
  <si>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</si>
  <si>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</si>
  <si>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</si>
  <si>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</si>
  <si>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</si>
  <si>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</si>
  <si>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</si>
  <si>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</si>
  <si>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</si>
  <si>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</si>
  <si>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</si>
  <si>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</si>
  <si>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</si>
  <si>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</si>
  <si>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</si>
  <si>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</si>
  <si>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</si>
  <si>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</si>
  <si>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</si>
  <si>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</si>
  <si>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</si>
  <si>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</si>
  <si>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</si>
  <si>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</si>
  <si>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</si>
  <si>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</si>
  <si>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</si>
  <si>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</si>
  <si>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</si>
  <si>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</si>
  <si>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</si>
  <si>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</si>
  <si>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</si>
  <si>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</si>
  <si>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</si>
  <si>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</si>
  <si>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</si>
  <si>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</si>
  <si>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</si>
  <si>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</si>
  <si>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</si>
  <si>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</si>
  <si>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</si>
  <si>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</si>
  <si>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</si>
  <si>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</si>
  <si>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</si>
  <si>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</si>
  <si>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</si>
  <si>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</si>
  <si>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</si>
  <si>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</si>
  <si>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</si>
  <si>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</si>
  <si>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</si>
  <si>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</si>
  <si>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</si>
  <si>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</si>
  <si>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</si>
  <si>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</si>
  <si>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</si>
  <si>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</si>
  <si>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</si>
  <si>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</si>
  <si>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</si>
  <si>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</si>
  <si>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</si>
  <si>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</si>
  <si>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</si>
  <si>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</si>
  <si>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</si>
  <si>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</si>
  <si>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</si>
  <si>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</si>
  <si>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</si>
  <si>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</si>
  <si>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</si>
  <si>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</si>
  <si>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</si>
  <si>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</si>
  <si>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</si>
  <si>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</si>
  <si>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</si>
  <si>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</si>
  <si>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</si>
  <si>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</si>
  <si>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</si>
  <si>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</si>
  <si>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</si>
  <si>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</si>
  <si>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</si>
  <si>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</si>
  <si>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</si>
  <si>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</si>
  <si>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</si>
  <si>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</si>
  <si>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</si>
  <si>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</si>
  <si>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</si>
  <si>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</si>
  <si>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</si>
  <si>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</si>
  <si>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</si>
  <si>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</si>
  <si>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</si>
  <si>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</si>
  <si>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</si>
  <si>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</si>
  <si>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</si>
  <si>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</si>
  <si>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</si>
  <si>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</si>
  <si>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</si>
  <si>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</si>
  <si>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</si>
  <si>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</si>
  <si>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</si>
  <si>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</si>
  <si>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</si>
  <si>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</si>
  <si>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</si>
  <si>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</si>
  <si>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</si>
  <si>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</si>
  <si>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</si>
  <si>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</si>
  <si>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</si>
  <si>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</si>
  <si>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</si>
  <si>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</si>
  <si>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</si>
  <si>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</si>
  <si>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</si>
  <si>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</si>
  <si>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</si>
  <si>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</si>
  <si>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</si>
  <si>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</si>
  <si>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</si>
  <si>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</si>
  <si>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</si>
  <si>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</si>
  <si>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</si>
  <si>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</si>
  <si>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</si>
  <si>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</si>
  <si>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</si>
  <si>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</si>
  <si>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</si>
  <si>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</si>
  <si>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</si>
  <si>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</si>
  <si>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</si>
  <si>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</si>
  <si>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</si>
  <si>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</si>
  <si>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</si>
  <si>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</si>
  <si>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</si>
  <si>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</si>
  <si>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</si>
  <si>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</si>
  <si>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</si>
  <si>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</si>
  <si>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</si>
  <si>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</si>
  <si>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</si>
  <si>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</si>
  <si>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</si>
  <si>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</si>
  <si>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</si>
  <si>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</si>
  <si>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</si>
  <si>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</si>
  <si>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</si>
  <si>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</si>
  <si>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</si>
  <si>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</si>
  <si>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</si>
  <si>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</si>
  <si>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</si>
  <si>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</si>
  <si>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</si>
  <si>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</si>
  <si>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</si>
  <si>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</si>
  <si>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</si>
  <si>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</si>
  <si>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</si>
  <si>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</si>
  <si>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</si>
  <si>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</si>
  <si>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</si>
  <si>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</si>
  <si>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</si>
  <si>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</si>
  <si>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</si>
  <si>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</si>
  <si>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</si>
  <si>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</si>
  <si>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</si>
  <si>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</si>
  <si>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</si>
  <si>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</si>
  <si>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</si>
  <si>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</si>
  <si>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</si>
  <si>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</si>
  <si>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</si>
  <si>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</si>
  <si>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</si>
  <si>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</si>
  <si>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</si>
  <si>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</si>
  <si>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</si>
  <si>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</si>
  <si>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</si>
  <si>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</si>
  <si>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</si>
  <si>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</si>
  <si>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</si>
  <si>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</si>
  <si>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</si>
  <si>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</si>
  <si>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</si>
  <si>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</si>
  <si>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</si>
  <si>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</si>
  <si>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</si>
  <si>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</si>
  <si>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</si>
  <si>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</si>
  <si>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</si>
  <si>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</si>
  <si>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</si>
  <si>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</si>
  <si>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</si>
  <si>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</si>
  <si>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</si>
  <si>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</si>
  <si>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</si>
  <si>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</si>
  <si>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</si>
  <si>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</si>
  <si>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</si>
  <si>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</si>
  <si>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</si>
  <si>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</si>
  <si>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</si>
  <si>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</si>
  <si>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</si>
  <si>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</si>
  <si>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</si>
  <si>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</si>
  <si>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</si>
  <si>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</si>
  <si>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</si>
  <si>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</si>
  <si>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</si>
  <si>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</si>
  <si>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</si>
  <si>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</si>
  <si>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</si>
  <si>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</si>
  <si>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</si>
  <si>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</si>
  <si>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</si>
  <si>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</si>
  <si>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</si>
  <si>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</si>
  <si>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</si>
  <si>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</si>
  <si>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</si>
  <si>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</si>
  <si>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</si>
  <si>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</si>
  <si>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</si>
  <si>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</si>
  <si>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</si>
  <si>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</si>
  <si>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</si>
  <si>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</si>
  <si>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</si>
  <si>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</si>
  <si>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</si>
  <si>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</si>
  <si>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</si>
  <si>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</si>
  <si>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</si>
  <si>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</si>
  <si>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</si>
  <si>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</si>
  <si>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</si>
  <si>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</si>
  <si>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</si>
  <si>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</si>
  <si>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</si>
  <si>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</si>
  <si>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</si>
  <si>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</si>
  <si>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</si>
  <si>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</si>
  <si>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</si>
  <si>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</si>
  <si>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</si>
  <si>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</si>
  <si>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</si>
  <si>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</si>
  <si>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</si>
  <si>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</si>
  <si>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</si>
  <si>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</si>
  <si>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</si>
  <si>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</si>
  <si>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</si>
  <si>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</si>
  <si>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</si>
  <si>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</si>
  <si>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</si>
  <si>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</si>
  <si>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</si>
  <si>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</si>
  <si>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</si>
  <si>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</si>
  <si>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</si>
  <si>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</si>
  <si>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</si>
  <si>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</si>
  <si>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</si>
  <si>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</si>
  <si>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</si>
  <si>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</si>
  <si>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</si>
  <si>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</si>
  <si>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</si>
  <si>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</si>
  <si>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</si>
  <si>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</si>
  <si>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</si>
  <si>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</si>
  <si>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</si>
  <si>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</si>
  <si>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</si>
  <si>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</si>
  <si>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</si>
  <si>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</si>
  <si>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</si>
  <si>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</si>
  <si>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</si>
  <si>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</si>
  <si>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</si>
  <si>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</si>
  <si>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</si>
  <si>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</si>
  <si>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</si>
  <si>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</si>
  <si>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</si>
  <si>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</si>
  <si>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</si>
  <si>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</si>
  <si>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</si>
  <si>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</si>
  <si>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</si>
  <si>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</si>
  <si>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</si>
  <si>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</si>
  <si>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</si>
  <si>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</si>
  <si>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</si>
  <si>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</si>
  <si>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</si>
  <si>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</si>
  <si>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</si>
  <si>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</si>
  <si>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</si>
  <si>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</si>
  <si>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</si>
  <si>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</si>
  <si>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</si>
  <si>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</si>
  <si>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</si>
  <si>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</si>
  <si>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</si>
  <si>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</si>
  <si>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</si>
  <si>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</si>
  <si>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</si>
  <si>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</si>
  <si>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</si>
  <si>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</si>
  <si>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</si>
  <si>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</si>
  <si>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</si>
  <si>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</si>
  <si>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</si>
  <si>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</si>
  <si>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</si>
  <si>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</si>
  <si>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</si>
  <si>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</si>
  <si>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</si>
  <si>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</si>
  <si>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</si>
  <si>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</si>
  <si>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</si>
  <si>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</si>
  <si>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</si>
  <si>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</si>
  <si>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</si>
  <si>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</si>
  <si>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</si>
  <si>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</si>
  <si>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</si>
  <si>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</si>
  <si>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</si>
  <si>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</si>
  <si>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</si>
  <si>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</si>
  <si>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</si>
  <si>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</si>
  <si>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</si>
  <si>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</si>
  <si>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</si>
  <si>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</si>
  <si>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</si>
  <si>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</si>
  <si>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</si>
  <si>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</si>
  <si>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</si>
  <si>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</si>
  <si>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</si>
  <si>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</si>
  <si>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</si>
  <si>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</si>
  <si>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</si>
  <si>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</si>
  <si>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</si>
  <si>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</si>
  <si>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</si>
  <si>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</si>
  <si>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</si>
  <si>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</si>
  <si>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</si>
  <si>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</si>
  <si>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</si>
  <si>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</si>
  <si>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</si>
  <si>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</si>
  <si>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</si>
  <si>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</si>
  <si>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</si>
  <si>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</si>
  <si>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</si>
  <si>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</si>
  <si>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</si>
  <si>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</si>
  <si>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</si>
  <si>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</si>
  <si>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</si>
  <si>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</si>
  <si>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</si>
  <si>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</si>
  <si>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</si>
  <si>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</si>
  <si>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</si>
  <si>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</si>
  <si>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</si>
  <si>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</si>
  <si>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</si>
  <si>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</si>
  <si>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</si>
  <si>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</si>
  <si>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</si>
  <si>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</si>
  <si>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</si>
  <si>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</si>
  <si>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</si>
  <si>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</si>
  <si>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</si>
  <si>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</si>
  <si>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</si>
  <si>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</si>
  <si>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</si>
  <si>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</si>
  <si>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</si>
  <si>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</si>
  <si>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</si>
  <si>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</si>
  <si>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</si>
  <si>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</si>
  <si>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</si>
  <si>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</si>
  <si>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</si>
  <si>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</si>
  <si>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</si>
  <si>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</si>
  <si>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</si>
  <si>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</si>
  <si>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</si>
  <si>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</si>
  <si>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</si>
  <si>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</si>
  <si>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</si>
  <si>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</si>
  <si>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</si>
  <si>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</si>
  <si>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</si>
  <si>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</si>
  <si>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</si>
  <si>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</si>
  <si>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</si>
  <si>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</si>
  <si>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</si>
  <si>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</si>
  <si>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</si>
  <si>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</si>
  <si>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</si>
  <si>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</si>
  <si>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</si>
  <si>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</si>
  <si>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</si>
  <si>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</si>
  <si>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</si>
  <si>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</si>
  <si>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</si>
  <si>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</si>
  <si>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</si>
  <si>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</si>
  <si>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</si>
  <si>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</si>
  <si>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</si>
  <si>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</si>
  <si>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</si>
  <si>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</si>
  <si>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</si>
  <si>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</si>
  <si>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</si>
  <si>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</si>
  <si>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</si>
  <si>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</si>
  <si>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</si>
  <si>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</si>
  <si>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</si>
  <si>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</si>
  <si>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</si>
  <si>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</si>
  <si>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</si>
  <si>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</si>
  <si>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</si>
  <si>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</si>
  <si>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</si>
  <si>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</si>
  <si>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</si>
  <si>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</si>
  <si>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</si>
  <si>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</si>
  <si>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</si>
  <si>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</si>
  <si>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</si>
  <si>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</si>
  <si>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</si>
  <si>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</si>
  <si>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</si>
  <si>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</si>
  <si>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</si>
  <si>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</si>
  <si>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</si>
  <si>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</si>
  <si>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</si>
  <si>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</si>
  <si>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</si>
  <si>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</si>
  <si>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</si>
  <si>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</si>
  <si>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</si>
  <si>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</si>
  <si>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</si>
  <si>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</si>
  <si>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</si>
  <si>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</si>
  <si>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</si>
  <si>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</si>
  <si>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</si>
  <si>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</si>
  <si>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</si>
  <si>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</si>
  <si>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</si>
  <si>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</si>
  <si>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</si>
  <si>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</si>
  <si>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</si>
  <si>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</si>
  <si>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</si>
  <si>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</si>
  <si>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</si>
  <si>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</si>
  <si>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</si>
  <si>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</si>
  <si>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</si>
  <si>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</si>
  <si>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</si>
  <si>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</si>
  <si>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</si>
  <si>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</si>
  <si>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</si>
  <si>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</si>
  <si>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</si>
  <si>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</si>
  <si>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</si>
  <si>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</si>
  <si>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</si>
  <si>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</si>
  <si>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</si>
  <si>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</si>
  <si>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</si>
  <si>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</si>
  <si>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</si>
  <si>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</si>
  <si>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</si>
  <si>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</si>
  <si>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</si>
  <si>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</si>
  <si>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</si>
  <si>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</si>
  <si>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</si>
  <si>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</si>
  <si>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</si>
  <si>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</si>
  <si>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</si>
  <si>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</si>
  <si>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</si>
  <si>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</si>
  <si>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</si>
  <si>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</si>
  <si>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</si>
  <si>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</si>
  <si>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</si>
  <si>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</si>
  <si>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</si>
  <si>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</si>
  <si>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</si>
  <si>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</si>
  <si>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</si>
  <si>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</si>
  <si>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</si>
  <si>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</si>
  <si>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</si>
  <si>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</si>
  <si>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</si>
  <si>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</si>
  <si>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</si>
  <si>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</si>
  <si>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</si>
  <si>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</si>
  <si>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</si>
  <si>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</si>
  <si>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</si>
  <si>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</si>
  <si>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</si>
  <si>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</si>
  <si>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</si>
  <si>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</si>
  <si>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</si>
  <si>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</si>
  <si>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</si>
  <si>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</si>
  <si>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</si>
  <si>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</si>
  <si>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</si>
  <si>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</si>
  <si>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</si>
  <si>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</si>
  <si>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</si>
  <si>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</si>
  <si>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</si>
  <si>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</si>
  <si>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</si>
  <si>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</si>
  <si>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</si>
  <si>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</si>
  <si>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</si>
  <si>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</si>
  <si>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</si>
  <si>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</si>
  <si>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</si>
  <si>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</si>
  <si>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</si>
  <si>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</si>
  <si>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</si>
  <si>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</si>
  <si>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</si>
  <si>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</si>
  <si>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</si>
  <si>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</si>
  <si>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</si>
  <si>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</si>
  <si>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</si>
  <si>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</si>
  <si>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</si>
  <si>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</si>
  <si>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</si>
  <si>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</si>
  <si>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</si>
  <si>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</si>
  <si>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</si>
  <si>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</si>
  <si>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</si>
  <si>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</si>
  <si>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</si>
  <si>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</si>
  <si>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</si>
  <si>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</si>
  <si>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</si>
  <si>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</si>
  <si>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</si>
  <si>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</si>
  <si>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</si>
  <si>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</si>
  <si>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</si>
  <si>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</si>
  <si>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</si>
  <si>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</si>
  <si>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</si>
  <si>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</si>
  <si>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</si>
  <si>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</si>
  <si>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</si>
  <si>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</si>
  <si>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</si>
  <si>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</si>
  <si>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</si>
  <si>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</si>
  <si>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</si>
  <si>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</si>
  <si>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</si>
  <si>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</si>
  <si>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</si>
  <si>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</si>
  <si>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</si>
  <si>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</si>
  <si>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</si>
  <si>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</si>
  <si>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</si>
  <si>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</si>
  <si>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</si>
  <si>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</si>
  <si>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</si>
  <si>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</si>
  <si>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</si>
  <si>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</si>
  <si>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</si>
  <si>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</si>
  <si>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</si>
  <si>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</si>
  <si>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</si>
  <si>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</si>
  <si>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</si>
  <si>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</si>
  <si>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</si>
  <si>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</si>
  <si>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</si>
  <si>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</si>
  <si>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</si>
  <si>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</si>
  <si>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</si>
  <si>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</si>
  <si>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</si>
  <si>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</si>
  <si>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</si>
  <si>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</si>
  <si>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</si>
  <si>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</si>
  <si>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</si>
  <si>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</si>
  <si>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</si>
  <si>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</si>
  <si>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</si>
  <si>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</si>
  <si>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</si>
  <si>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</si>
  <si>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</si>
  <si>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</si>
  <si>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</si>
  <si>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</si>
  <si>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</si>
  <si>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</si>
  <si>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</si>
  <si>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</si>
  <si>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</si>
  <si>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</si>
  <si>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</si>
  <si>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</si>
  <si>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</si>
  <si>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</si>
  <si>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</si>
  <si>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</si>
  <si>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</si>
  <si>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</si>
  <si>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</si>
  <si>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</si>
  <si>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</si>
  <si>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</si>
  <si>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</si>
  <si>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</si>
  <si>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</si>
  <si>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</si>
  <si>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</si>
  <si>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</si>
  <si>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</si>
  <si>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</si>
  <si>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</si>
  <si>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</si>
  <si>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</si>
  <si>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</si>
  <si>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</si>
  <si>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</si>
  <si>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</si>
  <si>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</si>
  <si>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</si>
  <si>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</si>
  <si>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</si>
  <si>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</si>
  <si>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</si>
  <si>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</si>
  <si>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</si>
  <si>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</si>
  <si>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</si>
  <si>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</si>
  <si>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</si>
  <si>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</si>
  <si>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</si>
  <si>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</si>
  <si>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</si>
  <si>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</si>
  <si>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</si>
  <si>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</si>
  <si>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</si>
  <si>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</si>
  <si>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</si>
  <si>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</si>
  <si>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</si>
  <si>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</si>
  <si>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</si>
  <si>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</si>
  <si>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</si>
  <si>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</si>
  <si>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</si>
  <si>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</si>
  <si>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</si>
  <si>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</si>
  <si>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</si>
  <si>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</si>
  <si>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</si>
  <si>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</si>
  <si>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</si>
  <si>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</si>
  <si>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</si>
  <si>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</si>
  <si>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</si>
  <si>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</si>
  <si>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</si>
  <si>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</si>
  <si>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</si>
  <si>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</si>
  <si>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</si>
  <si>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</si>
  <si>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</si>
  <si>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</si>
  <si>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</si>
  <si>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</si>
  <si>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</si>
  <si>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</si>
  <si>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</si>
  <si>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</si>
  <si>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</si>
  <si>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</si>
  <si>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</si>
  <si>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</si>
  <si>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</si>
  <si>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</si>
  <si>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</si>
  <si>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</si>
  <si>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</si>
  <si>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</si>
  <si>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</si>
  <si>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</si>
  <si>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</si>
  <si>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</si>
  <si>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</si>
  <si>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</si>
  <si>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</si>
  <si>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</si>
  <si>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</si>
  <si>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</si>
  <si>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</si>
  <si>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</si>
  <si>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</si>
  <si>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</si>
  <si>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</si>
  <si>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</si>
  <si>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</si>
  <si>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</si>
  <si>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</si>
  <si>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</si>
  <si>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</si>
  <si>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</si>
  <si>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</si>
  <si>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</si>
  <si>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</si>
  <si>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</si>
  <si>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</si>
  <si>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</si>
  <si>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</si>
  <si>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</si>
  <si>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</si>
  <si>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</si>
  <si>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</si>
  <si>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</si>
  <si>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</si>
  <si>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</si>
  <si>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</si>
  <si>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</si>
  <si>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</si>
  <si>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</si>
  <si>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</si>
  <si>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</si>
  <si>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</si>
  <si>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</si>
  <si>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</si>
  <si>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</si>
  <si>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</si>
  <si>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</si>
  <si>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</si>
  <si>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</si>
  <si>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</si>
  <si>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</si>
  <si>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</si>
  <si>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</si>
  <si>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</si>
  <si>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</si>
  <si>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</si>
  <si>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</si>
  <si>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</si>
  <si>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</si>
  <si>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</si>
  <si>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</si>
  <si>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</si>
  <si>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</si>
  <si>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</si>
  <si>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</si>
  <si>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</si>
  <si>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</si>
  <si>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</si>
  <si>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</si>
  <si>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</si>
  <si>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</si>
  <si>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</si>
  <si>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</si>
  <si>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</si>
  <si>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</si>
  <si>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</si>
  <si>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</si>
  <si>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</si>
  <si>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</si>
  <si>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</si>
  <si>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</si>
  <si>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</si>
  <si>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</si>
  <si>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</si>
  <si>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</si>
  <si>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</si>
  <si>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</si>
  <si>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</si>
  <si>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</si>
  <si>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</si>
  <si>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</si>
  <si>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</si>
  <si>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</si>
  <si>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</si>
  <si>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</si>
  <si>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</si>
  <si>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</si>
  <si>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</si>
  <si>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</si>
  <si>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</si>
  <si>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</si>
  <si>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</si>
  <si>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</si>
  <si>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</si>
  <si>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</si>
  <si>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</si>
  <si>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</si>
  <si>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</si>
  <si>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</si>
  <si>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</si>
  <si>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</si>
  <si>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</si>
  <si>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</si>
  <si>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</si>
  <si>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</si>
  <si>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</si>
  <si>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</si>
  <si>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</si>
  <si>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</si>
  <si>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</si>
  <si>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</si>
  <si>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</si>
  <si>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</si>
  <si>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</si>
  <si>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</si>
  <si>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</si>
  <si>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</si>
  <si>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</si>
  <si>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</si>
  <si>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</si>
  <si>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</si>
  <si>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</si>
  <si>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</si>
  <si>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</si>
  <si>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</si>
  <si>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</si>
  <si>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</si>
  <si>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</si>
  <si>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</si>
  <si>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</si>
  <si>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</si>
  <si>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</si>
  <si>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</si>
  <si>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</si>
  <si>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</si>
  <si>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</si>
  <si>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</si>
  <si>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</si>
  <si>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</si>
  <si>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</si>
  <si>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</si>
  <si>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</si>
  <si>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</si>
  <si>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</si>
  <si>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</si>
  <si>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</si>
  <si>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</si>
  <si>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</si>
  <si>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</si>
  <si>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</si>
  <si>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</si>
  <si>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</si>
  <si>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</si>
  <si>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</si>
  <si>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</si>
  <si>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</si>
  <si>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</si>
  <si>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</si>
  <si>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</si>
  <si>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</si>
  <si>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</si>
  <si>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</si>
  <si>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</si>
  <si>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</si>
  <si>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</si>
  <si>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</si>
  <si>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</si>
  <si>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</si>
  <si>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</si>
  <si>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</si>
  <si>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</si>
  <si>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</si>
  <si>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</si>
  <si>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</si>
  <si>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</si>
  <si>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</si>
  <si>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</si>
  <si>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</si>
  <si>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</si>
  <si>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</si>
  <si>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</si>
  <si>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</si>
  <si>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</si>
  <si>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</si>
  <si>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</si>
  <si>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</si>
  <si>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</si>
  <si>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</si>
  <si>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</si>
  <si>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</si>
  <si>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</si>
  <si>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</si>
  <si>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</si>
  <si>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</si>
  <si>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</si>
  <si>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</si>
  <si>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</si>
  <si>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</si>
  <si>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</si>
  <si>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</si>
  <si>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</si>
  <si>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</si>
  <si>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</si>
  <si>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</si>
  <si>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</si>
  <si>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</si>
  <si>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</si>
  <si>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</si>
  <si>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</si>
  <si>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</si>
  <si>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</si>
  <si>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</si>
  <si>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</si>
  <si>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</si>
  <si>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</si>
  <si>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</si>
  <si>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</si>
  <si>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</si>
  <si>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</si>
  <si>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</si>
  <si>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</si>
  <si>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</si>
  <si>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</si>
  <si>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</si>
  <si>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</si>
  <si>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</si>
  <si>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</si>
  <si>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</si>
  <si>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</si>
  <si>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</si>
  <si>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</si>
  <si>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</si>
  <si>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</si>
  <si>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</si>
  <si>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</si>
  <si>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</si>
  <si>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</si>
  <si>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</si>
  <si>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</si>
  <si>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</si>
  <si>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</si>
  <si>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</si>
  <si>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</si>
  <si>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</si>
  <si>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</si>
  <si>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</si>
  <si>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</si>
  <si>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</si>
  <si>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</si>
  <si>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</si>
  <si>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</si>
  <si>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</si>
  <si>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</si>
  <si>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</si>
  <si>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</si>
  <si>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</si>
  <si>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</si>
  <si>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</si>
  <si>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</si>
  <si>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</si>
  <si>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</si>
  <si>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</si>
  <si>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</si>
  <si>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</si>
  <si>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</si>
  <si>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</si>
  <si>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</si>
  <si>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</si>
  <si>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</si>
  <si>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</si>
  <si>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</si>
  <si>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</si>
  <si>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</si>
  <si>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</si>
  <si>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</si>
  <si>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</si>
  <si>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</si>
  <si>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</si>
  <si>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</si>
  <si>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</si>
  <si>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</si>
  <si>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</si>
  <si>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</si>
  <si>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</si>
  <si>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</si>
  <si>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</si>
  <si>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</si>
  <si>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</si>
  <si>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</si>
  <si>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</si>
  <si>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</si>
  <si>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</si>
  <si>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</si>
  <si>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</si>
  <si>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</si>
  <si>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</si>
  <si>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</si>
  <si>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</si>
  <si>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</si>
  <si>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</si>
  <si>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</si>
  <si>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</si>
  <si>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</si>
  <si>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</si>
  <si>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</si>
  <si>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</si>
  <si>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</si>
  <si>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</si>
  <si>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</si>
  <si>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</si>
  <si>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</si>
  <si>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</si>
  <si>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</si>
  <si>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</si>
  <si>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</si>
  <si>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</si>
  <si>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</si>
  <si>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</si>
  <si>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</si>
  <si>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</si>
  <si>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</si>
  <si>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</si>
  <si>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</si>
  <si>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</si>
  <si>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</si>
  <si>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</si>
  <si>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</si>
  <si>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</si>
  <si>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</si>
  <si>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</si>
  <si>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</si>
  <si>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</si>
  <si>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</si>
  <si>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</si>
  <si>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</si>
  <si>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</si>
  <si>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</si>
  <si>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</si>
  <si>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</si>
  <si>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</si>
  <si>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</si>
  <si>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</si>
  <si>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</si>
  <si>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</si>
  <si>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</si>
  <si>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</si>
  <si>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</si>
  <si>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</si>
  <si>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</si>
  <si>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</si>
  <si>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</si>
  <si>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</si>
  <si>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</si>
  <si>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</si>
  <si>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</si>
  <si>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</si>
  <si>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</si>
  <si>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</si>
  <si>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</si>
  <si>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</si>
  <si>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</si>
  <si>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</si>
  <si>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</si>
  <si>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</si>
  <si>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</si>
  <si>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</si>
  <si>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</si>
  <si>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</si>
  <si>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</si>
  <si>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</si>
  <si>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</si>
  <si>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</si>
  <si>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</si>
  <si>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</si>
  <si>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</si>
  <si>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</si>
  <si>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</si>
  <si>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</si>
  <si>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</si>
  <si>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</si>
  <si>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</si>
  <si>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</si>
  <si>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</si>
  <si>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</si>
  <si>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</si>
  <si>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</si>
  <si>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</si>
  <si>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</si>
  <si>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</si>
  <si>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</si>
  <si>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</si>
  <si>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</si>
  <si>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</si>
  <si>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</si>
  <si>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</si>
  <si>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</si>
  <si>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</si>
  <si>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</si>
  <si>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</si>
  <si>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</si>
  <si>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</si>
  <si>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</si>
  <si>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</si>
  <si>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</si>
  <si>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</si>
  <si>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</si>
  <si>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</si>
  <si>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</si>
  <si>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</si>
  <si>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</si>
  <si>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</si>
  <si>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</si>
  <si>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</si>
  <si>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</si>
  <si>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</si>
  <si>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</si>
  <si>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</si>
  <si>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</si>
  <si>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</si>
  <si>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</si>
  <si>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</si>
  <si>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</si>
  <si>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</si>
  <si>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</si>
  <si>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</si>
  <si>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</si>
  <si>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</si>
  <si>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</si>
  <si>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</si>
  <si>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</si>
  <si>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</si>
  <si>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</si>
  <si>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</si>
  <si>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</si>
  <si>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</si>
  <si>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</si>
  <si>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</si>
  <si>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</si>
  <si>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</si>
  <si>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</si>
  <si>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</si>
  <si>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</si>
  <si>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</si>
  <si>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</si>
  <si>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</si>
  <si>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</si>
  <si>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</si>
  <si>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</si>
  <si>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</si>
  <si>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</si>
  <si>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</si>
  <si>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</si>
  <si>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</si>
  <si>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</si>
  <si>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</si>
  <si>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</si>
  <si>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</si>
  <si>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</si>
  <si>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</si>
  <si>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</si>
  <si>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</si>
  <si>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</si>
  <si>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</si>
  <si>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</si>
  <si>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</si>
  <si>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</si>
  <si>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</si>
  <si>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</si>
  <si>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</si>
  <si>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</si>
  <si>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</si>
  <si>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</si>
  <si>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</si>
  <si>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</si>
  <si>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</si>
  <si>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</si>
  <si>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</si>
  <si>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</si>
  <si>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</si>
  <si>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</si>
  <si>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</si>
  <si>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</si>
  <si>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</si>
  <si>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</si>
  <si>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</si>
  <si>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</si>
  <si>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</si>
  <si>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</si>
  <si>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</si>
  <si>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</si>
  <si>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</si>
  <si>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</si>
  <si>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</si>
  <si>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</si>
  <si>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</si>
  <si>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</si>
  <si>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</si>
  <si>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</si>
  <si>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</si>
  <si>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</si>
  <si>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</si>
  <si>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</si>
  <si>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</si>
  <si>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</si>
  <si>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</si>
  <si>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</si>
  <si>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</si>
  <si>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</si>
  <si>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</si>
  <si>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</si>
  <si>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</si>
  <si>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</si>
  <si>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</si>
  <si>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</si>
  <si>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</si>
  <si>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</si>
  <si>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</si>
  <si>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</si>
  <si>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</si>
  <si>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</si>
  <si>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</si>
  <si>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</si>
  <si>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</si>
  <si>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</si>
  <si>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</si>
  <si>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</si>
  <si>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</si>
  <si>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</si>
  <si>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</si>
  <si>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</si>
  <si>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</si>
  <si>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</si>
  <si>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</si>
  <si>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</si>
  <si>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</si>
  <si>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</si>
  <si>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</si>
  <si>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</si>
  <si>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</si>
  <si>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</si>
  <si>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</si>
  <si>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</si>
  <si>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</si>
  <si>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</si>
  <si>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</si>
  <si>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</si>
  <si>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</si>
  <si>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</si>
  <si>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</si>
  <si>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</si>
  <si>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</si>
  <si>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</si>
  <si>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</si>
  <si>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</si>
  <si>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</si>
  <si>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</si>
  <si>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</si>
  <si>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</si>
  <si>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</si>
  <si>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</si>
  <si>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</si>
  <si>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</si>
  <si>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Sacramento San Joaquin Delta Conservancy Commission</t>
  </si>
  <si>
    <t>Sacramento San Joaquin Detla Conservancy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</si>
</sst>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73" zoomScale="70" zoomScaleNormal="70" workbookViewId="0">
      <selection activeCell="K91" sqref="K9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1803</v>
      </c>
      <c r="G4" s="263"/>
      <c r="H4" s="263"/>
      <c r="I4" s="263"/>
    </row>
    <row r="5" spans="1:20" ht="16.5" customHeight="1" x14ac:dyDescent="0.2">
      <c r="A5" s="261" t="s">
        <v>1639</v>
      </c>
      <c r="B5" s="261"/>
      <c r="C5" s="261"/>
      <c r="D5" s="261"/>
      <c r="E5" s="261"/>
      <c r="F5" s="263" t="s">
        <v>807</v>
      </c>
      <c r="G5" s="263"/>
      <c r="H5" s="263"/>
      <c r="I5" s="263"/>
      <c r="L5" s="39"/>
      <c r="M5" s="39"/>
      <c r="N5" s="39"/>
      <c r="O5" s="39"/>
      <c r="P5" s="39"/>
      <c r="Q5" s="39"/>
    </row>
    <row r="6" spans="1:20" ht="16.5" customHeight="1" x14ac:dyDescent="0.25">
      <c r="A6" s="261" t="s">
        <v>1682</v>
      </c>
      <c r="B6" s="261"/>
      <c r="C6" s="261"/>
      <c r="D6" s="261"/>
      <c r="E6" s="261"/>
      <c r="F6" s="264">
        <v>140</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RESOURCES</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229011.69891181597</v>
      </c>
      <c r="M17" s="196">
        <v>229011.69891181597</v>
      </c>
      <c r="P17" s="196">
        <v>229012</v>
      </c>
      <c r="Q17" s="224"/>
      <c r="S17" s="223">
        <f t="shared" si="0"/>
        <v>0.30108818403095938</v>
      </c>
      <c r="T17" s="251" t="s">
        <v>1760</v>
      </c>
    </row>
    <row r="18" spans="1:20" ht="16.5" customHeight="1" x14ac:dyDescent="0.25">
      <c r="A18" s="99"/>
      <c r="B18" s="26" t="s">
        <v>178</v>
      </c>
      <c r="C18" s="26"/>
      <c r="D18" s="26"/>
      <c r="E18" s="193"/>
      <c r="F18" s="194"/>
      <c r="G18" s="194"/>
      <c r="H18" s="195"/>
      <c r="I18" s="195"/>
      <c r="J18" s="248">
        <f>P18</f>
        <v>684</v>
      </c>
      <c r="M18" s="196">
        <v>684.05118819753989</v>
      </c>
      <c r="P18" s="221">
        <f>IF(SUM($Q$20:$Q$23)&gt;SUM($P$15:$P$17),SUM($Q$20:$Q$23)-SUM($P$15:$P$17),0)</f>
        <v>684</v>
      </c>
      <c r="Q18" s="224"/>
      <c r="S18" s="223">
        <f t="shared" si="0"/>
        <v>-5.118819753988646E-2</v>
      </c>
      <c r="T18" s="250" t="s">
        <v>1730</v>
      </c>
    </row>
    <row r="19" spans="1:20" ht="16.5" customHeight="1" x14ac:dyDescent="0.25">
      <c r="A19" s="99"/>
      <c r="B19" s="26" t="s">
        <v>179</v>
      </c>
      <c r="C19" s="26"/>
      <c r="D19" s="26"/>
      <c r="E19" s="193"/>
      <c r="F19" s="194"/>
      <c r="G19" s="194"/>
      <c r="H19" s="195"/>
      <c r="I19" s="195"/>
      <c r="J19" s="248">
        <f>IF(SUM($K$20:$K$24)&gt;SUM($J$15:$J$18),SUM($K$20:$K$24)-SUM($J$15:$J$18),0)</f>
        <v>5.118819753988646E-2</v>
      </c>
      <c r="M19" s="196">
        <v>0</v>
      </c>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203565.95458828093</v>
      </c>
      <c r="N22" s="196">
        <v>203565.95458828093</v>
      </c>
      <c r="P22" s="224"/>
      <c r="Q22" s="196">
        <v>203566</v>
      </c>
      <c r="S22" s="223">
        <f t="shared" ref="S22:S25" si="1">Q22-N22</f>
        <v>4.5411719067487866E-2</v>
      </c>
      <c r="T22" s="250" t="s">
        <v>1730</v>
      </c>
    </row>
    <row r="23" spans="1:20" ht="16.5" customHeight="1" x14ac:dyDescent="0.25">
      <c r="A23" s="234" t="s">
        <v>1697</v>
      </c>
      <c r="B23" s="26"/>
      <c r="C23" s="26" t="s">
        <v>183</v>
      </c>
      <c r="D23" s="26"/>
      <c r="E23" s="193"/>
      <c r="F23" s="194"/>
      <c r="G23" s="194"/>
      <c r="H23" s="195"/>
      <c r="I23" s="195"/>
      <c r="J23" s="213"/>
      <c r="K23" s="248">
        <f>N23</f>
        <v>26129.795511732562</v>
      </c>
      <c r="N23" s="196">
        <v>26129.795511732562</v>
      </c>
      <c r="P23" s="224"/>
      <c r="Q23" s="196">
        <v>26130</v>
      </c>
      <c r="S23" s="223">
        <f t="shared" si="1"/>
        <v>0.20448826743813697</v>
      </c>
      <c r="T23" s="250" t="s">
        <v>1730</v>
      </c>
    </row>
    <row r="24" spans="1:20" ht="16.5" customHeight="1" x14ac:dyDescent="0.25">
      <c r="A24" s="99"/>
      <c r="B24" s="26"/>
      <c r="C24" s="26" t="s">
        <v>185</v>
      </c>
      <c r="D24" s="26"/>
      <c r="E24" s="193"/>
      <c r="F24" s="194"/>
      <c r="G24" s="194"/>
      <c r="H24" s="195"/>
      <c r="I24" s="195"/>
      <c r="J24" s="213"/>
      <c r="K24" s="248">
        <f>Q24</f>
        <v>0</v>
      </c>
      <c r="N24" s="196">
        <v>0</v>
      </c>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v>0</v>
      </c>
      <c r="P25" s="224"/>
      <c r="Q25" s="224"/>
      <c r="S25" s="223">
        <f t="shared" si="1"/>
        <v>0</v>
      </c>
      <c r="T25" s="250" t="s">
        <v>1730</v>
      </c>
    </row>
    <row r="26" spans="1:20" ht="16.5" customHeight="1" x14ac:dyDescent="0.25">
      <c r="A26" s="99"/>
      <c r="C26" s="47"/>
      <c r="D26" s="47"/>
      <c r="E26" s="47"/>
      <c r="F26" s="179"/>
      <c r="G26" s="179"/>
      <c r="H26" s="49"/>
      <c r="I26" s="49"/>
      <c r="J26" s="155">
        <f>SUM(J15:J25)</f>
        <v>229695.75010001351</v>
      </c>
      <c r="K26" s="155">
        <f>SUM(K15:K25)</f>
        <v>229695.75010001351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25446</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25446</v>
      </c>
    </row>
    <row r="59" spans="1:16" ht="16.5" customHeight="1" x14ac:dyDescent="0.25">
      <c r="A59" s="99"/>
      <c r="C59" s="43"/>
      <c r="D59" s="43"/>
      <c r="E59" s="43"/>
      <c r="F59" s="44"/>
      <c r="G59" s="44"/>
      <c r="H59" s="45"/>
      <c r="I59" s="45"/>
      <c r="J59" s="155">
        <f>SUM(J55:J58)</f>
        <v>25446</v>
      </c>
      <c r="K59" s="155">
        <f>SUM(K55:K58)</f>
        <v>25446</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26130</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39</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26169</v>
      </c>
    </row>
    <row r="65" spans="1:12" ht="16.5" customHeight="1" x14ac:dyDescent="0.25">
      <c r="A65" s="99"/>
      <c r="C65" s="43"/>
      <c r="D65" s="43"/>
      <c r="E65" s="43"/>
      <c r="F65" s="44"/>
      <c r="G65" s="44"/>
      <c r="H65" s="45"/>
      <c r="I65" s="45"/>
      <c r="J65" s="155">
        <f>SUM(J62:J64)</f>
        <v>26169</v>
      </c>
      <c r="K65" s="155">
        <f>SUM(K62:K64)</f>
        <v>26169</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26130</v>
      </c>
      <c r="K68" s="197"/>
    </row>
    <row r="69" spans="1:12" ht="16.5" customHeight="1" x14ac:dyDescent="0.25">
      <c r="A69" s="99"/>
      <c r="B69" s="26"/>
      <c r="C69" s="26" t="s">
        <v>202</v>
      </c>
      <c r="D69" s="193"/>
      <c r="E69" s="193"/>
      <c r="F69" s="194"/>
      <c r="G69" s="194"/>
      <c r="H69" s="195"/>
      <c r="I69" s="195"/>
      <c r="J69" s="197"/>
      <c r="K69" s="196">
        <v>26130</v>
      </c>
      <c r="L69" s="37" t="str">
        <f>IF($J$62=$K$69,"","&lt;- Accts 0848 must agree")</f>
        <v/>
      </c>
    </row>
    <row r="70" spans="1:12" ht="16.5" customHeight="1" x14ac:dyDescent="0.25">
      <c r="A70" s="99"/>
      <c r="C70" s="43"/>
      <c r="D70" s="43"/>
      <c r="E70" s="43"/>
      <c r="F70" s="44"/>
      <c r="G70" s="44"/>
      <c r="H70" s="45"/>
      <c r="I70" s="45"/>
      <c r="J70" s="155">
        <f>SUM(J68:J69)</f>
        <v>26130</v>
      </c>
      <c r="K70" s="155">
        <f>SUM(K68:K69)</f>
        <v>26130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8" t="s">
        <v>1737</v>
      </c>
      <c r="C77" s="268"/>
      <c r="D77" s="268"/>
      <c r="E77" s="268"/>
      <c r="F77" s="268"/>
      <c r="G77" s="268"/>
      <c r="H77" s="268"/>
      <c r="I77" s="268"/>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229012</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229012</v>
      </c>
    </row>
    <row r="91" spans="1:16" ht="16.5" customHeight="1" x14ac:dyDescent="0.25">
      <c r="B91" s="182" t="s">
        <v>1692</v>
      </c>
      <c r="H91" s="37"/>
      <c r="J91" s="156">
        <f>SUM(J85:J90)</f>
        <v>229012</v>
      </c>
      <c r="K91" s="156">
        <f>SUM(K85:K90)</f>
        <v>229012</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-0.30108818403095938</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4.5411719067487866E-2</v>
      </c>
    </row>
    <row r="128" spans="1:12" ht="16.5" customHeight="1" x14ac:dyDescent="0.25">
      <c r="D128" s="193" t="s">
        <v>1708</v>
      </c>
      <c r="H128" s="37"/>
      <c r="K128" s="238">
        <f>-K23-K48+J68+J75+J96-K113</f>
        <v>0.20448826743813697</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39" sqref="D3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3875</v>
      </c>
      <c r="C9" s="282"/>
      <c r="D9" s="5"/>
      <c r="E9" s="5"/>
      <c r="F9" s="5"/>
    </row>
    <row r="10" spans="1:13" ht="15.75" x14ac:dyDescent="0.25">
      <c r="A10" s="12" t="s">
        <v>208</v>
      </c>
      <c r="B10" s="283" t="s">
        <v>1804</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c r="C13" s="100"/>
      <c r="D13" s="272" t="s">
        <v>6</v>
      </c>
      <c r="E13" s="273"/>
      <c r="F13" s="273"/>
      <c r="G13" s="57"/>
      <c r="H13" s="57"/>
      <c r="I13" s="57"/>
      <c r="J13" s="57"/>
      <c r="K13" s="57"/>
      <c r="L13" s="57"/>
      <c r="M13" s="57"/>
    </row>
    <row r="14" spans="1:13" x14ac:dyDescent="0.2">
      <c r="A14" s="84" t="str">
        <f>LEFT(A13,4)+1&amp;"–"&amp;RIGHT(A13,4)+1</f>
        <v>2025–2026</v>
      </c>
      <c r="B14" s="100"/>
      <c r="C14" s="100"/>
      <c r="D14" s="272"/>
      <c r="E14" s="273"/>
      <c r="F14" s="273"/>
    </row>
    <row r="15" spans="1:13" ht="15.75" x14ac:dyDescent="0.2">
      <c r="A15" s="84" t="str">
        <f>LEFT(A14,4)+1&amp;"–"&amp;RIGHT(A14,4)+1</f>
        <v>2026–2027</v>
      </c>
      <c r="B15" s="100"/>
      <c r="C15" s="100"/>
      <c r="D15" s="269" t="s">
        <v>130</v>
      </c>
      <c r="E15" s="269"/>
      <c r="F15" s="269"/>
      <c r="G15" s="58"/>
      <c r="H15" s="58"/>
      <c r="I15" s="58"/>
      <c r="J15" s="58"/>
      <c r="K15" s="58"/>
      <c r="L15" s="58"/>
      <c r="M15" s="58"/>
    </row>
    <row r="16" spans="1:13" x14ac:dyDescent="0.2">
      <c r="A16" s="84" t="str">
        <f>LEFT(A15,4)+1&amp;"–"&amp;RIGHT(A15,4)+1</f>
        <v>2027–2028</v>
      </c>
      <c r="B16" s="100"/>
      <c r="C16" s="100"/>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c r="C17" s="100"/>
      <c r="D17" s="269"/>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v>0</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130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v>0</v>
      </c>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3875</v>
      </c>
      <c r="C40" s="278"/>
      <c r="E40" s="60"/>
    </row>
    <row r="41" spans="1:13" ht="15.75" x14ac:dyDescent="0.25">
      <c r="A41" s="12" t="s">
        <v>208</v>
      </c>
      <c r="B41" s="276" t="str">
        <f>B10</f>
        <v>Sacramento San Joaquin Detla Conservancy Commission</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3875</v>
      </c>
      <c r="C71" s="278"/>
    </row>
    <row r="72" spans="1:13" ht="15.75" x14ac:dyDescent="0.25">
      <c r="A72" s="12" t="s">
        <v>208</v>
      </c>
      <c r="B72" s="276" t="str">
        <f>B10</f>
        <v>Sacramento San Joaquin Detla Conservancy Commission</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R18" sqref="R18"/>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0140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3875 - Sacramento San Joaquin Detla Conservancy Commission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0140 Journal Entries'!$F$8="Governmental Fund",'LS-Fund 0140 Journal Entries'!$K$23,0)</f>
        <v>26129.795511732562</v>
      </c>
      <c r="G10" s="103"/>
      <c r="H10" s="107">
        <f>IF('LS-Fund 0140 Journal Entries'!$F$8="Governmental Fund",SUM('LS-Fund 0140 Journal Entries'!$K$48,'LS-Fund 0140 Journal Entries'!K113),0)</f>
        <v>0</v>
      </c>
      <c r="I10" s="103"/>
      <c r="J10" s="107">
        <f>IF('LS-Fund 0140 Journal Entries'!$F$8="Governmental Fund",SUM('LS-Fund 0140 Journal Entries'!$J$68,'LS-Fund 0140 Journal Entries'!J96),0)</f>
        <v>26130</v>
      </c>
      <c r="K10" s="103"/>
      <c r="L10" s="109">
        <f>SUM(F10+H10-J10)</f>
        <v>-0.20448826743813697</v>
      </c>
      <c r="M10" s="103"/>
      <c r="N10" s="107">
        <f>IF('LS-Fund 0140 Journal Entries'!$F$8="Governmental Fund",'LS-Fund 0140 Journal Entries'!$K$76,0)</f>
        <v>0</v>
      </c>
      <c r="O10" s="103"/>
      <c r="P10" s="109">
        <f>L10-N10</f>
        <v>-0.20448826743813697</v>
      </c>
      <c r="Q10" s="71"/>
    </row>
    <row r="11" spans="2:17" ht="19.5" thickTop="1" thickBot="1" x14ac:dyDescent="0.3">
      <c r="B11" s="69"/>
      <c r="C11" s="73" t="s">
        <v>21</v>
      </c>
      <c r="F11" s="108">
        <f>SUM(F10:F10)</f>
        <v>26129.795511732562</v>
      </c>
      <c r="G11" s="103"/>
      <c r="H11" s="108">
        <f>SUM(H10:H10)</f>
        <v>0</v>
      </c>
      <c r="I11" s="103"/>
      <c r="J11" s="108">
        <f>SUM(J10:J10)</f>
        <v>26130</v>
      </c>
      <c r="K11" s="103"/>
      <c r="L11" s="108">
        <f>SUM(L10:L10)</f>
        <v>-0.20448826743813697</v>
      </c>
      <c r="M11" s="103"/>
      <c r="N11" s="108">
        <f>SUM(N10:N10)</f>
        <v>0</v>
      </c>
      <c r="O11" s="103"/>
      <c r="P11" s="108">
        <f>SUM(P10:P10)</f>
        <v>-0.20448826743813697</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0140 Journal Entries'!$F$8="Proprietary - Internal Service Fund",'LS-Fund 0140 Journal Entries'!$K$23,0)</f>
        <v>0</v>
      </c>
      <c r="G14" s="103"/>
      <c r="H14" s="107">
        <f>IF('LS-Fund 0140 Journal Entries'!$F$8="Proprietary - Internal Service Fund",SUM('LS-Fund 0140 Journal Entries'!$K$48,'LS-Fund 0140 Journal Entries'!K113),0)</f>
        <v>0</v>
      </c>
      <c r="I14" s="103"/>
      <c r="J14" s="107">
        <f>IF('LS-Fund 0140 Journal Entries'!$F$8="Proprietary - Internal Service Fund",SUM('LS-Fund 0140 Journal Entries'!$J$68,'LS-Fund 0140 Journal Entries'!J96),0)</f>
        <v>0</v>
      </c>
      <c r="K14" s="103"/>
      <c r="L14" s="109">
        <f>SUM(F14+H14-J14)</f>
        <v>0</v>
      </c>
      <c r="M14" s="103"/>
      <c r="N14" s="107">
        <f>IF('LS-Fund 0140 Journal Entries'!$F$8="Proprietary - Internal Service Fund",'LS-Fund 0140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0140 Journal Entries'!$F$8="Proprietary - Enterprise Fund",'LS-Fund 0140 Journal Entries'!$K$23,0)</f>
        <v>0</v>
      </c>
      <c r="G18" s="103"/>
      <c r="H18" s="107">
        <f>IF('LS-Fund 0140 Journal Entries'!$F$8="Proprietary - Enterprise Fund",SUM('LS-Fund 0140 Journal Entries'!$K$48,'LS-Fund 0140 Journal Entries'!K113),0)</f>
        <v>0</v>
      </c>
      <c r="I18" s="103"/>
      <c r="J18" s="107">
        <f>IF('LS-Fund 0140 Journal Entries'!$F$8="Proprietary - Enterprise Fund",SUM('LS-Fund 0140 Journal Entries'!$J$68,'LS-Fund 0140 Journal Entries'!J96),0)</f>
        <v>0</v>
      </c>
      <c r="K18" s="103"/>
      <c r="L18" s="109">
        <f>SUM(F18+H18-J18)</f>
        <v>0</v>
      </c>
      <c r="M18" s="103"/>
      <c r="N18" s="107">
        <f>IF('LS-Fund 0140 Journal Entries'!$F$8="Proprietary - Enterprise Fund",'LS-Fund 0140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0140 Journal Entries'!$F$8="Governmental Fund",'LS-Fund 0140 Journal Entries'!$K$23,0)</f>
        <v>26129.795511732562</v>
      </c>
      <c r="C16" s="168" t="s">
        <v>155</v>
      </c>
      <c r="D16" s="130">
        <f>IF('LS-Fund 0140 Journal Entries'!$F$8="Governmental Fund",'LS-Fund 0140 Journal Entries'!$K$48,0)</f>
        <v>0</v>
      </c>
      <c r="E16" s="170" t="s">
        <v>156</v>
      </c>
      <c r="F16" s="130">
        <f>IF('LS-Fund 0140 Journal Entries'!$F$8="Governmental Fund",'LS-Fund 0140 Journal Entries'!$J$68,0)</f>
        <v>26130</v>
      </c>
      <c r="G16" s="169" t="s">
        <v>156</v>
      </c>
      <c r="H16" s="130">
        <f>IF('LS-Fund 0140 Journal Entries'!$F$8="Governmental Fund",'LS-Fund 0140 Journal Entries'!$J$96,0)</f>
        <v>0</v>
      </c>
      <c r="I16" s="169" t="s">
        <v>155</v>
      </c>
      <c r="J16" s="130">
        <f>IF('LS-Fund 0140 Journal Entries'!$F$8="Governmental Fund",'LS-Fund 0140 Journal Entries'!$K$113,0)</f>
        <v>0</v>
      </c>
      <c r="K16" s="170" t="s">
        <v>159</v>
      </c>
      <c r="L16" s="133">
        <f>+B16+D16-F16-H16+J16</f>
        <v>-0.20448826743813697</v>
      </c>
      <c r="M16" s="132"/>
      <c r="N16" s="134">
        <f>SUM('LS-Department Note Disclosure'!B13:B36)</f>
        <v>0</v>
      </c>
      <c r="O16" s="131"/>
      <c r="P16" s="135">
        <f>L16-N16</f>
        <v>-0.20448826743813697</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0140 Journal Entries'!$F$8="Proprietary - Internal Service Fund",'LS-Fund 0140 Journal Entries'!$K$23,0)</f>
        <v>0</v>
      </c>
      <c r="C24" s="168" t="s">
        <v>155</v>
      </c>
      <c r="D24" s="130">
        <f>IF('LS-Fund 0140 Journal Entries'!$F$8="Proprietary - Internal Service Fund",'LS-Fund 0140 Journal Entries'!$K$48,0)</f>
        <v>0</v>
      </c>
      <c r="E24" s="170" t="s">
        <v>156</v>
      </c>
      <c r="F24" s="130">
        <f>IF('LS-Fund 0140 Journal Entries'!$F$8="Proprietary - Internal Service Fund",'LS-Fund 0140 Journal Entries'!$J$68,0)</f>
        <v>0</v>
      </c>
      <c r="G24" s="169" t="s">
        <v>156</v>
      </c>
      <c r="H24" s="130">
        <f>IF('LS-Fund 0140 Journal Entries'!$F$8="Proprietary - Internal Service Fund",'LS-Fund 0140 Journal Entries'!$J$96,0)</f>
        <v>0</v>
      </c>
      <c r="I24" s="169" t="s">
        <v>155</v>
      </c>
      <c r="J24" s="130">
        <f>IF('LS-Fund 0140 Journal Entries'!$F$8="Proprietary - Internal Service Fund",'LS-Fund 0140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0140 Journal Entries'!$F$8="Proprietary - Enterprise Fund",'LS-Fund 0140 Journal Entries'!$K$23,0)</f>
        <v>0</v>
      </c>
      <c r="C33" s="168" t="s">
        <v>155</v>
      </c>
      <c r="D33" s="130">
        <f>IF('LS-Fund 0140 Journal Entries'!$F$8="Proprietary - Enterprise Fund",'LS-Fund 0140 Journal Entries'!$K$48,0)</f>
        <v>0</v>
      </c>
      <c r="E33" s="170" t="s">
        <v>156</v>
      </c>
      <c r="F33" s="130">
        <f>IF('LS-Fund 0140 Journal Entries'!$F$8="Proprietary - Enterprise Fund",'LS-Fund 0140 Journal Entries'!$J$68,0)</f>
        <v>0</v>
      </c>
      <c r="G33" s="169" t="s">
        <v>156</v>
      </c>
      <c r="H33" s="130">
        <f>IF('LS-Fund 0140 Journal Entries'!$F$8="Proprietary - Enterprise Fund",'LS-Fund 0140 Journal Entries'!$J$96,0)</f>
        <v>0</v>
      </c>
      <c r="I33" s="169" t="s">
        <v>155</v>
      </c>
      <c r="J33" s="130">
        <f>IF('LS-Fund 0140 Journal Entries'!$F$8="Proprietary - Enterprise Fund",'LS-Fund 0140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0140 Journal Entries'!$F$8="Governmental Fund",'LS-Fund 0140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0140 Journal Entries'!$F$8="Proprietary - Internal Service Fund",'LS-Fund 0140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0140 Journal Entries'!$F$8="Proprietary - Enterprise Fund",'LS-Fund 0140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26129.795511732562</v>
      </c>
      <c r="J66" s="143">
        <f>SUM(D66)</f>
        <v>26129.795511732562</v>
      </c>
      <c r="L66" s="144" t="str">
        <f>CONCATENATE("Balance July 1, ",LEFT('LS-Department Note Disclosure'!$B$8,4))</f>
        <v>Balance July 1, 2023</v>
      </c>
      <c r="N66" s="143">
        <f>'LS-Lease Liabilities'!F10</f>
        <v>26129.795511732562</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26130</v>
      </c>
      <c r="E68" s="171" t="s">
        <v>155</v>
      </c>
      <c r="F68" s="125" t="s">
        <v>1750</v>
      </c>
      <c r="H68" s="143">
        <f>$H$16</f>
        <v>0</v>
      </c>
      <c r="J68" s="143">
        <f>SUM(D68,H68)</f>
        <v>26130</v>
      </c>
      <c r="L68" s="144" t="s">
        <v>15</v>
      </c>
      <c r="N68" s="143">
        <f>'LS-Lease Liabilities'!J10</f>
        <v>26130</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K7" sqref="K7"/>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c r="G4" s="263"/>
      <c r="H4" s="263"/>
      <c r="I4" s="263"/>
      <c r="L4" s="39"/>
      <c r="M4" s="39"/>
      <c r="N4" s="39"/>
      <c r="O4" s="39"/>
      <c r="P4" s="39"/>
      <c r="Q4" s="39"/>
    </row>
    <row r="5" spans="1:20" ht="15.75" x14ac:dyDescent="0.2">
      <c r="A5" s="261" t="s">
        <v>1639</v>
      </c>
      <c r="B5" s="261"/>
      <c r="C5" s="261"/>
      <c r="D5" s="261"/>
      <c r="E5" s="261"/>
      <c r="F5" s="263"/>
      <c r="G5" s="263"/>
      <c r="H5" s="263"/>
      <c r="I5" s="263"/>
      <c r="L5" s="40"/>
      <c r="M5" s="40"/>
      <c r="N5" s="40"/>
      <c r="O5" s="40"/>
      <c r="P5" s="39"/>
      <c r="Q5" s="39"/>
    </row>
    <row r="6" spans="1:20" ht="18" x14ac:dyDescent="0.25">
      <c r="A6" s="261" t="s">
        <v>2</v>
      </c>
      <c r="B6" s="261"/>
      <c r="C6" s="261"/>
      <c r="D6" s="261"/>
      <c r="E6" s="261"/>
      <c r="F6" s="264"/>
      <c r="G6" s="264"/>
      <c r="H6" s="264"/>
      <c r="I6" s="264"/>
      <c r="K6" s="96"/>
      <c r="L6" s="40"/>
      <c r="M6" s="40"/>
      <c r="N6" s="40"/>
      <c r="O6" s="40"/>
      <c r="P6" s="39"/>
      <c r="Q6" s="39"/>
    </row>
    <row r="7" spans="1:20" ht="18" x14ac:dyDescent="0.25">
      <c r="A7" s="261" t="s">
        <v>3</v>
      </c>
      <c r="B7" s="261"/>
      <c r="C7" s="261"/>
      <c r="D7" s="261"/>
      <c r="E7" s="261"/>
      <c r="F7" s="264"/>
      <c r="G7" s="264"/>
      <c r="H7" s="264"/>
      <c r="I7" s="264"/>
      <c r="K7" s="96"/>
      <c r="L7" s="40"/>
      <c r="M7" s="40"/>
      <c r="N7" s="40"/>
      <c r="O7" s="40"/>
      <c r="P7" s="39"/>
      <c r="Q7" s="39"/>
    </row>
    <row r="8" spans="1:20" ht="18" x14ac:dyDescent="0.25">
      <c r="A8" s="261" t="s">
        <v>1640</v>
      </c>
      <c r="B8" s="261"/>
      <c r="C8" s="261"/>
      <c r="D8" s="261"/>
      <c r="E8" s="261"/>
      <c r="F8" s="264"/>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U10" sqref="U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0140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2024-12-20T21:12:28Z</dcterms:modified>
</cp:coreProperties>
</file>