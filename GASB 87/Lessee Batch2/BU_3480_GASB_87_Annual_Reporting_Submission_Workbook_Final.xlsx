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3480 DEPT OF CONSERVATION\"/>
    </mc:Choice>
  </mc:AlternateContent>
  <xr:revisionPtr revIDLastSave="0" documentId="13_ncr:1_{B7C9AB5C-E2FD-4B04-A688-95F05984D4EF}" xr6:coauthVersionLast="47" xr6:coauthVersionMax="47" xr10:uidLastSave="{00000000-0000-0000-0000-000000000000}"/>
  <bookViews>
    <workbookView xWindow="-120" yWindow="-120" windowWidth="24240" windowHeight="13140" tabRatio="921" firstSheet="3"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336 Journal Entries" sheetId="16" r:id="rId5"/>
    <sheet name="LS-Fund 0338 Journal Entries" sheetId="17" r:id="rId6"/>
    <sheet name="LS-Fund 3046 Journal Entries" sheetId="18" r:id="rId7"/>
    <sheet name="LS-Fund 3212 Journal Entries" sheetId="19" r:id="rId8"/>
    <sheet name="LS-Department Note Disclosure" sheetId="3" r:id="rId9"/>
    <sheet name="LS-Lease Liabilities" sheetId="4" r:id="rId10"/>
    <sheet name="LS-Check Figures  " sheetId="7" r:id="rId11"/>
  </sheets>
  <externalReferences>
    <externalReference r:id="rId12"/>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8">'LS-Department Note Disclosure'!$A$1:$F$96</definedName>
    <definedName name="_xlnm.Print_Area" localSheetId="3">'LS-Fund 0001 Journal Entries'!$A$1:$R$130</definedName>
    <definedName name="_xlnm.Print_Area" localSheetId="4">'LS-Fund 0336 Journal Entries'!$A$1:$R$130</definedName>
    <definedName name="_xlnm.Print_Area" localSheetId="5">'LS-Fund 0338 Journal Entries'!$A$1:$R$130</definedName>
    <definedName name="_xlnm.Print_Area" localSheetId="6">'LS-Fund 3046 Journal Entries'!$A$1:$R$130</definedName>
    <definedName name="_xlnm.Print_Area" localSheetId="7">'LS-Fund 3212 Journal Entries'!$A$1:$R$130</definedName>
    <definedName name="_xlnm.Print_Area" localSheetId="9">'LS-Lease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3" l="1"/>
  <c r="B13" i="3"/>
  <c r="B42" i="7"/>
  <c r="J16" i="7"/>
  <c r="H16" i="7"/>
  <c r="F16" i="7"/>
  <c r="D16" i="7"/>
  <c r="B16" i="7"/>
  <c r="N10" i="4"/>
  <c r="J10" i="4"/>
  <c r="H10" i="4"/>
  <c r="F10" i="4"/>
  <c r="K129" i="19"/>
  <c r="K114" i="19"/>
  <c r="J114" i="19"/>
  <c r="L114" i="19" s="1"/>
  <c r="K105" i="19"/>
  <c r="J105" i="19"/>
  <c r="L105" i="19" s="1"/>
  <c r="K91" i="19"/>
  <c r="J91" i="19"/>
  <c r="L91" i="19" s="1"/>
  <c r="K77" i="19"/>
  <c r="J77" i="19"/>
  <c r="K70" i="19"/>
  <c r="J70" i="19"/>
  <c r="L69" i="19"/>
  <c r="K65" i="19"/>
  <c r="J65" i="19"/>
  <c r="B63" i="19"/>
  <c r="L62" i="19"/>
  <c r="K59" i="19"/>
  <c r="J59" i="19"/>
  <c r="K49" i="19"/>
  <c r="J49" i="19"/>
  <c r="L49" i="19" s="1"/>
  <c r="K43" i="19"/>
  <c r="J43" i="19"/>
  <c r="L43" i="19" s="1"/>
  <c r="K36" i="19"/>
  <c r="L36" i="19" s="1"/>
  <c r="J36" i="19"/>
  <c r="S25" i="19"/>
  <c r="Q24" i="19"/>
  <c r="K24" i="19" s="1"/>
  <c r="S23" i="19"/>
  <c r="K23" i="19"/>
  <c r="K128" i="19" s="1"/>
  <c r="S22" i="19"/>
  <c r="K22" i="19"/>
  <c r="K127" i="19" s="1"/>
  <c r="S21" i="19"/>
  <c r="K21" i="19"/>
  <c r="K126" i="19" s="1"/>
  <c r="S20" i="19"/>
  <c r="K20" i="19"/>
  <c r="K125" i="19" s="1"/>
  <c r="S19" i="19"/>
  <c r="P18" i="19"/>
  <c r="S18" i="19" s="1"/>
  <c r="S17" i="19"/>
  <c r="J17" i="19"/>
  <c r="K124" i="19" s="1"/>
  <c r="S16" i="19"/>
  <c r="J16" i="19"/>
  <c r="K123" i="19" s="1"/>
  <c r="S15" i="19"/>
  <c r="J15" i="19"/>
  <c r="K122" i="19" s="1"/>
  <c r="F9" i="19"/>
  <c r="C35" i="19" s="1"/>
  <c r="K129" i="18"/>
  <c r="K114" i="18"/>
  <c r="J114" i="18"/>
  <c r="L114" i="18" s="1"/>
  <c r="K105" i="18"/>
  <c r="J105" i="18"/>
  <c r="K91" i="18"/>
  <c r="J91" i="18"/>
  <c r="K77" i="18"/>
  <c r="J77" i="18"/>
  <c r="K70" i="18"/>
  <c r="J70" i="18"/>
  <c r="L69" i="18"/>
  <c r="K65" i="18"/>
  <c r="J65" i="18"/>
  <c r="L65" i="18" s="1"/>
  <c r="B63" i="18"/>
  <c r="L62" i="18"/>
  <c r="K59" i="18"/>
  <c r="J59" i="18"/>
  <c r="K49" i="18"/>
  <c r="J49" i="18"/>
  <c r="K43" i="18"/>
  <c r="J43" i="18"/>
  <c r="K36" i="18"/>
  <c r="J36" i="18"/>
  <c r="S25" i="18"/>
  <c r="Q24" i="18"/>
  <c r="S24" i="18" s="1"/>
  <c r="S23" i="18"/>
  <c r="K23" i="18"/>
  <c r="K128" i="18" s="1"/>
  <c r="S22" i="18"/>
  <c r="K22" i="18"/>
  <c r="S21" i="18"/>
  <c r="K21" i="18"/>
  <c r="K126" i="18" s="1"/>
  <c r="S20" i="18"/>
  <c r="K20" i="18"/>
  <c r="K125" i="18" s="1"/>
  <c r="S19" i="18"/>
  <c r="P18" i="18"/>
  <c r="J18" i="18" s="1"/>
  <c r="S17" i="18"/>
  <c r="J17" i="18"/>
  <c r="K124" i="18" s="1"/>
  <c r="S16" i="18"/>
  <c r="J16" i="18"/>
  <c r="K123" i="18" s="1"/>
  <c r="S15" i="18"/>
  <c r="J15" i="18"/>
  <c r="F9" i="18"/>
  <c r="C35" i="18" s="1"/>
  <c r="K129" i="17"/>
  <c r="K114" i="17"/>
  <c r="J114" i="17"/>
  <c r="K105" i="17"/>
  <c r="J105" i="17"/>
  <c r="K91" i="17"/>
  <c r="J91" i="17"/>
  <c r="K77" i="17"/>
  <c r="J77" i="17"/>
  <c r="K70" i="17"/>
  <c r="J70" i="17"/>
  <c r="L69" i="17"/>
  <c r="K65" i="17"/>
  <c r="J65" i="17"/>
  <c r="B63" i="17"/>
  <c r="L62" i="17"/>
  <c r="K59" i="17"/>
  <c r="J59" i="17"/>
  <c r="K49" i="17"/>
  <c r="J49" i="17"/>
  <c r="K43" i="17"/>
  <c r="J43" i="17"/>
  <c r="L43" i="17" s="1"/>
  <c r="K36" i="17"/>
  <c r="J36" i="17"/>
  <c r="S25" i="17"/>
  <c r="Q24" i="17"/>
  <c r="S24" i="17" s="1"/>
  <c r="S23" i="17"/>
  <c r="K23" i="17"/>
  <c r="K128" i="17" s="1"/>
  <c r="S22" i="17"/>
  <c r="K22" i="17"/>
  <c r="S21" i="17"/>
  <c r="K21" i="17"/>
  <c r="K126" i="17" s="1"/>
  <c r="S20" i="17"/>
  <c r="K20" i="17"/>
  <c r="K125" i="17" s="1"/>
  <c r="S19" i="17"/>
  <c r="P18" i="17"/>
  <c r="J18" i="17" s="1"/>
  <c r="S17" i="17"/>
  <c r="J17" i="17"/>
  <c r="K124" i="17" s="1"/>
  <c r="S16" i="17"/>
  <c r="J16" i="17"/>
  <c r="K123" i="17" s="1"/>
  <c r="S15" i="17"/>
  <c r="J15" i="17"/>
  <c r="F9" i="17"/>
  <c r="C64" i="17" s="1"/>
  <c r="K129" i="16"/>
  <c r="K114" i="16"/>
  <c r="J114" i="16"/>
  <c r="K105" i="16"/>
  <c r="J105" i="16"/>
  <c r="K91" i="16"/>
  <c r="J91" i="16"/>
  <c r="K77" i="16"/>
  <c r="J77" i="16"/>
  <c r="L77" i="16" s="1"/>
  <c r="K70" i="16"/>
  <c r="J70" i="16"/>
  <c r="L69" i="16"/>
  <c r="K65" i="16"/>
  <c r="J65" i="16"/>
  <c r="B63" i="16"/>
  <c r="L62" i="16"/>
  <c r="K59" i="16"/>
  <c r="J59" i="16"/>
  <c r="K49" i="16"/>
  <c r="J49" i="16"/>
  <c r="K43" i="16"/>
  <c r="J43" i="16"/>
  <c r="K36" i="16"/>
  <c r="J36" i="16"/>
  <c r="S25" i="16"/>
  <c r="Q24" i="16"/>
  <c r="K24" i="16" s="1"/>
  <c r="S23" i="16"/>
  <c r="K23" i="16"/>
  <c r="K128" i="16" s="1"/>
  <c r="S22" i="16"/>
  <c r="K22" i="16"/>
  <c r="K127" i="16" s="1"/>
  <c r="S21" i="16"/>
  <c r="K21" i="16"/>
  <c r="K126" i="16" s="1"/>
  <c r="S20" i="16"/>
  <c r="K20" i="16"/>
  <c r="K125" i="16" s="1"/>
  <c r="S19" i="16"/>
  <c r="P18" i="16"/>
  <c r="S18" i="16" s="1"/>
  <c r="S17" i="16"/>
  <c r="J17" i="16"/>
  <c r="K124" i="16" s="1"/>
  <c r="S16" i="16"/>
  <c r="J16" i="16"/>
  <c r="K123" i="16" s="1"/>
  <c r="S15" i="16"/>
  <c r="J15" i="16"/>
  <c r="F9" i="16"/>
  <c r="C35" i="16" s="1"/>
  <c r="B63" i="2"/>
  <c r="J18" i="4"/>
  <c r="J14" i="4"/>
  <c r="H18" i="4"/>
  <c r="H14" i="4"/>
  <c r="N18" i="4"/>
  <c r="N14" i="4"/>
  <c r="F18" i="4"/>
  <c r="F14" i="4"/>
  <c r="L69" i="2"/>
  <c r="L62" i="2"/>
  <c r="S20" i="2"/>
  <c r="Q24" i="2"/>
  <c r="P18" i="2"/>
  <c r="L70" i="19" l="1"/>
  <c r="L77" i="19"/>
  <c r="L65" i="19"/>
  <c r="L59" i="19"/>
  <c r="S24" i="19"/>
  <c r="J18" i="19"/>
  <c r="J19" i="19" s="1"/>
  <c r="J26" i="19" s="1"/>
  <c r="B100" i="19"/>
  <c r="C104" i="19"/>
  <c r="K25" i="19"/>
  <c r="K26" i="19" s="1"/>
  <c r="C64" i="19"/>
  <c r="L65" i="16"/>
  <c r="L105" i="18"/>
  <c r="L91" i="18"/>
  <c r="L77" i="18"/>
  <c r="L70" i="18"/>
  <c r="L59" i="18"/>
  <c r="L49" i="18"/>
  <c r="L43" i="18"/>
  <c r="L36" i="18"/>
  <c r="L114" i="17"/>
  <c r="L105" i="17"/>
  <c r="L91" i="17"/>
  <c r="L77" i="17"/>
  <c r="L70" i="17"/>
  <c r="L65" i="17"/>
  <c r="L59" i="17"/>
  <c r="L49" i="17"/>
  <c r="L36" i="17"/>
  <c r="L114" i="16"/>
  <c r="L105" i="16"/>
  <c r="L91" i="16"/>
  <c r="L70" i="16"/>
  <c r="L59" i="16"/>
  <c r="L49" i="16"/>
  <c r="L43" i="16"/>
  <c r="L36" i="16"/>
  <c r="K24" i="18"/>
  <c r="K25" i="18" s="1"/>
  <c r="K26" i="18" s="1"/>
  <c r="S18" i="18"/>
  <c r="S18" i="17"/>
  <c r="K24" i="17"/>
  <c r="J19" i="17" s="1"/>
  <c r="J26" i="17" s="1"/>
  <c r="K25" i="17"/>
  <c r="K26" i="17" s="1"/>
  <c r="S24" i="16"/>
  <c r="J18" i="16"/>
  <c r="J19" i="16" s="1"/>
  <c r="J26" i="16" s="1"/>
  <c r="B100" i="18"/>
  <c r="K122" i="18"/>
  <c r="C104" i="18"/>
  <c r="C64" i="18"/>
  <c r="K127" i="18"/>
  <c r="B100" i="17"/>
  <c r="K122" i="17"/>
  <c r="C104" i="17"/>
  <c r="C35" i="17"/>
  <c r="K127" i="17"/>
  <c r="K122" i="16"/>
  <c r="C104" i="16"/>
  <c r="B100" i="16"/>
  <c r="C64" i="16"/>
  <c r="K129" i="2"/>
  <c r="K20" i="2"/>
  <c r="K125" i="2" s="1"/>
  <c r="L26" i="19" l="1"/>
  <c r="J19" i="18"/>
  <c r="J26" i="18" s="1"/>
  <c r="L26" i="18" s="1"/>
  <c r="L26" i="17"/>
  <c r="K25" i="16"/>
  <c r="K26" i="16" s="1"/>
  <c r="L26" i="16" s="1"/>
  <c r="J18" i="2"/>
  <c r="S25" i="2"/>
  <c r="S24" i="2"/>
  <c r="S23" i="2"/>
  <c r="K23" i="2"/>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<sst xmlns="http://schemas.openxmlformats.org/spreadsheetml/2006/main" count="8250" uniqueCount="1715">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</sst>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7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738</v>
      </c>
      <c r="G4" s="191"/>
      <c r="H4" s="191"/>
      <c r="I4" s="191"/>
    </row>
    <row r="5" spans="1:20" ht="16.5" customHeight="1" x14ac:dyDescent="0.2">
      <c r="A5" s="189" t="s">
        <v>1615</v>
      </c>
      <c r="B5" s="189"/>
      <c r="C5" s="189"/>
      <c r="D5" s="189"/>
      <c r="E5" s="189"/>
      <c r="F5" s="191" t="s">
        <v>737</v>
      </c>
      <c r="G5" s="191"/>
      <c r="H5" s="191"/>
      <c r="I5" s="191"/>
      <c r="L5" s="12"/>
      <c r="M5" s="12"/>
      <c r="N5" s="12"/>
      <c r="O5" s="12"/>
      <c r="P5" s="12"/>
      <c r="Q5" s="12"/>
    </row>
    <row r="6" spans="1:20" ht="16.5" customHeight="1" x14ac:dyDescent="0.25">
      <c r="A6" s="189" t="s">
        <v>1634</v>
      </c>
      <c r="B6" s="189"/>
      <c r="C6" s="189"/>
      <c r="D6" s="189"/>
      <c r="E6" s="189"/>
      <c r="F6" s="192">
        <v>1</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RESOURCES</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380616</v>
      </c>
      <c r="M17" s="143">
        <v>380616</v>
      </c>
      <c r="P17" s="143">
        <v>380616</v>
      </c>
      <c r="Q17" s="155"/>
      <c r="S17" s="154">
        <f t="shared" si="0"/>
        <v>0</v>
      </c>
      <c r="T17" s="180" t="s">
        <v>1684</v>
      </c>
    </row>
    <row r="18" spans="1:20" ht="16.5" customHeight="1" x14ac:dyDescent="0.25">
      <c r="A18" s="54"/>
      <c r="B18" s="9" t="s">
        <v>168</v>
      </c>
      <c r="C18" s="9"/>
      <c r="D18" s="9"/>
      <c r="E18" s="140"/>
      <c r="F18" s="141"/>
      <c r="G18" s="141"/>
      <c r="H18" s="142"/>
      <c r="I18" s="142"/>
      <c r="J18" s="178">
        <f>P18</f>
        <v>285</v>
      </c>
      <c r="M18" s="143">
        <v>285</v>
      </c>
      <c r="P18" s="152">
        <f>IF(SUM($Q$20:$Q$23)&gt;SUM($P$15:$P$17),SUM($Q$20:$Q$23)-SUM($P$15:$P$17),0)</f>
        <v>285</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200881</v>
      </c>
      <c r="N22" s="143">
        <v>200881</v>
      </c>
      <c r="P22" s="155"/>
      <c r="Q22" s="143">
        <v>200881</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180020</v>
      </c>
      <c r="N23" s="143">
        <v>180020</v>
      </c>
      <c r="P23" s="155"/>
      <c r="Q23" s="143">
        <v>180020</v>
      </c>
      <c r="S23" s="154">
        <f t="shared" si="1"/>
        <v>0</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380901</v>
      </c>
      <c r="K26" s="107">
        <f>SUM(K15:K25)</f>
        <v>380901</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0</v>
      </c>
      <c r="K33" s="144"/>
    </row>
    <row r="34" spans="1:12" ht="16.5" customHeight="1" x14ac:dyDescent="0.25">
      <c r="A34" s="54"/>
      <c r="B34" s="9"/>
      <c r="C34" s="9" t="s">
        <v>1673</v>
      </c>
      <c r="D34" s="140"/>
      <c r="E34" s="140"/>
      <c r="F34" s="141"/>
      <c r="G34" s="141"/>
      <c r="H34" s="142"/>
      <c r="I34" s="142"/>
      <c r="J34" s="144"/>
      <c r="K34" s="143">
        <v>0</v>
      </c>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v>0</v>
      </c>
      <c r="K39" s="144"/>
    </row>
    <row r="40" spans="1:12" ht="16.5" customHeight="1" x14ac:dyDescent="0.25">
      <c r="A40" s="159" t="s">
        <v>1637</v>
      </c>
      <c r="B40" s="9" t="s">
        <v>171</v>
      </c>
      <c r="C40" s="9"/>
      <c r="D40" s="140"/>
      <c r="E40" s="140"/>
      <c r="F40" s="141"/>
      <c r="G40" s="141"/>
      <c r="H40" s="142"/>
      <c r="I40" s="142"/>
      <c r="J40" s="143">
        <v>0</v>
      </c>
      <c r="K40" s="144"/>
    </row>
    <row r="41" spans="1:12" ht="16.5" customHeight="1" x14ac:dyDescent="0.25">
      <c r="A41" s="159" t="s">
        <v>1637</v>
      </c>
      <c r="B41" s="9" t="s">
        <v>172</v>
      </c>
      <c r="C41" s="9"/>
      <c r="D41" s="140"/>
      <c r="E41" s="140"/>
      <c r="F41" s="141"/>
      <c r="G41" s="141"/>
      <c r="H41" s="142"/>
      <c r="I41" s="142"/>
      <c r="J41" s="143">
        <v>0</v>
      </c>
      <c r="K41" s="144"/>
    </row>
    <row r="42" spans="1:12" ht="16.5" customHeight="1" x14ac:dyDescent="0.25">
      <c r="A42" s="54"/>
      <c r="B42" s="9"/>
      <c r="C42" s="9" t="s">
        <v>180</v>
      </c>
      <c r="D42" s="140"/>
      <c r="E42" s="140"/>
      <c r="F42" s="141"/>
      <c r="G42" s="141"/>
      <c r="H42" s="142"/>
      <c r="I42" s="142"/>
      <c r="J42" s="144"/>
      <c r="K42" s="143">
        <v>0</v>
      </c>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0</v>
      </c>
      <c r="K47" s="144"/>
    </row>
    <row r="48" spans="1:12" ht="16.5" customHeight="1" x14ac:dyDescent="0.25">
      <c r="A48" s="165" t="s">
        <v>1645</v>
      </c>
      <c r="B48" s="9"/>
      <c r="C48" s="9" t="s">
        <v>173</v>
      </c>
      <c r="D48" s="140"/>
      <c r="E48" s="140"/>
      <c r="F48" s="141"/>
      <c r="G48" s="141"/>
      <c r="H48" s="142"/>
      <c r="I48" s="142"/>
      <c r="J48" s="144"/>
      <c r="K48" s="143">
        <v>0</v>
      </c>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126872</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126872</v>
      </c>
    </row>
    <row r="59" spans="1:16" ht="16.5" customHeight="1" x14ac:dyDescent="0.25">
      <c r="A59" s="54"/>
      <c r="C59" s="16"/>
      <c r="D59" s="16"/>
      <c r="E59" s="16"/>
      <c r="F59" s="17"/>
      <c r="G59" s="17"/>
      <c r="H59" s="18"/>
      <c r="I59" s="18"/>
      <c r="J59" s="107">
        <f>SUM(J55:J58)</f>
        <v>126872</v>
      </c>
      <c r="K59" s="107">
        <f>SUM(K55:K58)</f>
        <v>126872</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127020</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243</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127263</v>
      </c>
    </row>
    <row r="65" spans="1:12" ht="16.5" customHeight="1" x14ac:dyDescent="0.25">
      <c r="A65" s="54"/>
      <c r="C65" s="16"/>
      <c r="D65" s="16"/>
      <c r="E65" s="16"/>
      <c r="F65" s="17"/>
      <c r="G65" s="17"/>
      <c r="H65" s="18"/>
      <c r="I65" s="18"/>
      <c r="J65" s="107">
        <f>SUM(J62:J64)</f>
        <v>127263</v>
      </c>
      <c r="K65" s="107">
        <f>SUM(K62:K64)</f>
        <v>127263</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127020</v>
      </c>
      <c r="K68" s="144"/>
    </row>
    <row r="69" spans="1:12" ht="16.5" customHeight="1" x14ac:dyDescent="0.25">
      <c r="A69" s="54"/>
      <c r="B69" s="9"/>
      <c r="C69" s="9" t="s">
        <v>185</v>
      </c>
      <c r="D69" s="140"/>
      <c r="E69" s="140"/>
      <c r="F69" s="141"/>
      <c r="G69" s="141"/>
      <c r="H69" s="142"/>
      <c r="I69" s="142"/>
      <c r="J69" s="144"/>
      <c r="K69" s="143">
        <v>127020</v>
      </c>
      <c r="L69" s="10" t="str">
        <f>IF($J$62=$K$69,"","&lt;- Accts 0848 must agree")</f>
        <v/>
      </c>
    </row>
    <row r="70" spans="1:12" ht="16.5" customHeight="1" x14ac:dyDescent="0.25">
      <c r="A70" s="54"/>
      <c r="C70" s="16"/>
      <c r="D70" s="16"/>
      <c r="E70" s="16"/>
      <c r="F70" s="17"/>
      <c r="G70" s="17"/>
      <c r="H70" s="18"/>
      <c r="I70" s="18"/>
      <c r="J70" s="107">
        <f>SUM(J68:J69)</f>
        <v>127020</v>
      </c>
      <c r="K70" s="107">
        <f>SUM(K68:K69)</f>
        <v>127020</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53000</v>
      </c>
      <c r="K75" s="144"/>
    </row>
    <row r="76" spans="1:12" ht="16.5" customHeight="1" x14ac:dyDescent="0.25">
      <c r="A76" s="54"/>
      <c r="B76" s="9"/>
      <c r="C76" s="9" t="s">
        <v>193</v>
      </c>
      <c r="D76" s="140"/>
      <c r="E76" s="140"/>
      <c r="F76" s="141"/>
      <c r="G76" s="141"/>
      <c r="H76" s="142"/>
      <c r="I76" s="142"/>
      <c r="J76" s="144"/>
      <c r="K76" s="143">
        <v>53000</v>
      </c>
    </row>
    <row r="77" spans="1:12" ht="16.5" customHeight="1" x14ac:dyDescent="0.2">
      <c r="A77" s="54"/>
      <c r="B77" s="196" t="s">
        <v>1672</v>
      </c>
      <c r="C77" s="196"/>
      <c r="D77" s="196"/>
      <c r="E77" s="196"/>
      <c r="F77" s="196"/>
      <c r="G77" s="196"/>
      <c r="H77" s="196"/>
      <c r="I77" s="196"/>
      <c r="J77" s="107">
        <f>SUM(J75:J76)</f>
        <v>53000</v>
      </c>
      <c r="K77" s="107">
        <f>SUM(K75:K76)</f>
        <v>53000</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v>0</v>
      </c>
      <c r="K85" s="144"/>
      <c r="L85" s="8"/>
    </row>
    <row r="86" spans="1:16" ht="16.5" customHeight="1" x14ac:dyDescent="0.2">
      <c r="A86" s="54"/>
      <c r="B86" s="9" t="s">
        <v>162</v>
      </c>
      <c r="C86" s="25"/>
      <c r="D86" s="25"/>
      <c r="E86" s="25"/>
      <c r="F86" s="25"/>
      <c r="G86" s="25"/>
      <c r="H86" s="25"/>
      <c r="I86" s="25"/>
      <c r="J86" s="143">
        <v>0</v>
      </c>
      <c r="K86" s="148"/>
    </row>
    <row r="87" spans="1:16" ht="16.5" customHeight="1" x14ac:dyDescent="0.2">
      <c r="A87" s="54"/>
      <c r="B87" s="9" t="s">
        <v>187</v>
      </c>
      <c r="C87" s="25"/>
      <c r="D87" s="25"/>
      <c r="E87" s="25"/>
      <c r="F87" s="25"/>
      <c r="G87" s="25"/>
      <c r="H87" s="25"/>
      <c r="I87" s="25"/>
      <c r="J87" s="143">
        <v>0</v>
      </c>
      <c r="K87" s="148"/>
    </row>
    <row r="88" spans="1:16" ht="16.5" customHeight="1" x14ac:dyDescent="0.2">
      <c r="A88" s="159" t="s">
        <v>1637</v>
      </c>
      <c r="B88" s="25"/>
      <c r="C88" s="9" t="s">
        <v>188</v>
      </c>
      <c r="D88" s="25"/>
      <c r="E88" s="25"/>
      <c r="F88" s="25"/>
      <c r="G88" s="25"/>
      <c r="H88" s="25"/>
      <c r="I88" s="25"/>
      <c r="J88" s="148"/>
      <c r="K88" s="143">
        <v>0</v>
      </c>
    </row>
    <row r="89" spans="1:16" ht="16.5" customHeight="1" x14ac:dyDescent="0.2">
      <c r="A89" s="159" t="s">
        <v>1637</v>
      </c>
      <c r="B89" s="25"/>
      <c r="C89" s="9" t="s">
        <v>163</v>
      </c>
      <c r="D89" s="25"/>
      <c r="E89" s="25"/>
      <c r="F89" s="25"/>
      <c r="G89" s="25"/>
      <c r="H89" s="25"/>
      <c r="I89" s="25"/>
      <c r="J89" s="148"/>
      <c r="K89" s="143">
        <v>0</v>
      </c>
    </row>
    <row r="90" spans="1:16" ht="16.5" customHeight="1" x14ac:dyDescent="0.2">
      <c r="A90" s="159" t="s">
        <v>1637</v>
      </c>
      <c r="B90" s="25"/>
      <c r="C90" s="9" t="s">
        <v>189</v>
      </c>
      <c r="D90" s="25"/>
      <c r="E90" s="25"/>
      <c r="F90" s="25"/>
      <c r="G90" s="25"/>
      <c r="H90" s="25"/>
      <c r="I90" s="25"/>
      <c r="J90" s="148"/>
      <c r="K90" s="143">
        <v>0</v>
      </c>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0</v>
      </c>
      <c r="K96" s="149"/>
    </row>
    <row r="97" spans="1:12" ht="16.5" customHeight="1" x14ac:dyDescent="0.2">
      <c r="B97" s="9" t="s">
        <v>186</v>
      </c>
      <c r="C97" s="25"/>
      <c r="D97" s="25"/>
      <c r="E97" s="25"/>
      <c r="F97" s="25"/>
      <c r="G97" s="25"/>
      <c r="H97" s="25"/>
      <c r="I97" s="25"/>
      <c r="J97" s="143">
        <v>0</v>
      </c>
      <c r="K97" s="25"/>
    </row>
    <row r="98" spans="1:12" ht="16.5" customHeight="1" x14ac:dyDescent="0.2">
      <c r="B98" s="9" t="s">
        <v>162</v>
      </c>
      <c r="C98" s="25"/>
      <c r="D98" s="25"/>
      <c r="E98" s="25"/>
      <c r="F98" s="25"/>
      <c r="G98" s="25"/>
      <c r="H98" s="25"/>
      <c r="I98" s="25"/>
      <c r="J98" s="143">
        <v>0</v>
      </c>
      <c r="K98" s="25"/>
    </row>
    <row r="99" spans="1:12" ht="16.5" customHeight="1" x14ac:dyDescent="0.2">
      <c r="B99" s="9" t="s">
        <v>187</v>
      </c>
      <c r="C99" s="25"/>
      <c r="D99" s="25"/>
      <c r="E99" s="25"/>
      <c r="F99" s="25"/>
      <c r="G99" s="25"/>
      <c r="H99" s="25"/>
      <c r="I99" s="25"/>
      <c r="J99" s="143">
        <v>0</v>
      </c>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v>0</v>
      </c>
      <c r="K100" s="25"/>
    </row>
    <row r="101" spans="1:12" ht="16.5" customHeight="1" x14ac:dyDescent="0.2">
      <c r="A101" s="159" t="s">
        <v>1637</v>
      </c>
      <c r="B101" s="25"/>
      <c r="C101" s="9" t="s">
        <v>188</v>
      </c>
      <c r="D101" s="25"/>
      <c r="E101" s="25"/>
      <c r="F101" s="25"/>
      <c r="G101" s="25"/>
      <c r="H101" s="25"/>
      <c r="I101" s="25"/>
      <c r="J101" s="25"/>
      <c r="K101" s="143">
        <v>0</v>
      </c>
    </row>
    <row r="102" spans="1:12" ht="16.5" customHeight="1" x14ac:dyDescent="0.2">
      <c r="A102" s="159" t="s">
        <v>1637</v>
      </c>
      <c r="B102" s="25"/>
      <c r="C102" s="9" t="s">
        <v>163</v>
      </c>
      <c r="D102" s="25"/>
      <c r="E102" s="25"/>
      <c r="F102" s="25"/>
      <c r="G102" s="25"/>
      <c r="H102" s="25"/>
      <c r="I102" s="25"/>
      <c r="J102" s="25"/>
      <c r="K102" s="143">
        <v>0</v>
      </c>
    </row>
    <row r="103" spans="1:12" ht="16.5" customHeight="1" x14ac:dyDescent="0.2">
      <c r="A103" s="159" t="s">
        <v>1637</v>
      </c>
      <c r="B103" s="25"/>
      <c r="C103" s="9" t="s">
        <v>189</v>
      </c>
      <c r="D103" s="25"/>
      <c r="E103" s="25"/>
      <c r="F103" s="25"/>
      <c r="G103" s="25"/>
      <c r="H103" s="25"/>
      <c r="I103" s="25"/>
      <c r="J103" s="25"/>
      <c r="K103" s="143">
        <v>0</v>
      </c>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v>0</v>
      </c>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v>0</v>
      </c>
      <c r="K110" s="25"/>
    </row>
    <row r="111" spans="1:12" ht="16.5" customHeight="1" x14ac:dyDescent="0.2">
      <c r="A111" s="159" t="s">
        <v>1637</v>
      </c>
      <c r="B111" s="9" t="s">
        <v>171</v>
      </c>
      <c r="C111" s="9"/>
      <c r="D111" s="7"/>
      <c r="E111" s="25"/>
      <c r="F111" s="25"/>
      <c r="G111" s="25"/>
      <c r="H111" s="25"/>
      <c r="I111" s="25"/>
      <c r="J111" s="143">
        <v>0</v>
      </c>
      <c r="K111" s="25"/>
    </row>
    <row r="112" spans="1:12" ht="16.5" customHeight="1" x14ac:dyDescent="0.2">
      <c r="A112" s="159" t="s">
        <v>1637</v>
      </c>
      <c r="B112" s="9" t="s">
        <v>172</v>
      </c>
      <c r="C112" s="9"/>
      <c r="D112" s="7"/>
      <c r="E112" s="25"/>
      <c r="F112" s="25"/>
      <c r="G112" s="25"/>
      <c r="H112" s="25"/>
      <c r="I112" s="25"/>
      <c r="J112" s="143">
        <v>0</v>
      </c>
      <c r="K112" s="25"/>
    </row>
    <row r="113" spans="1:12" ht="16.5" customHeight="1" x14ac:dyDescent="0.2">
      <c r="A113" s="165" t="s">
        <v>1645</v>
      </c>
      <c r="B113" s="9"/>
      <c r="C113" s="9" t="s">
        <v>173</v>
      </c>
      <c r="D113" s="7"/>
      <c r="E113" s="25"/>
      <c r="F113" s="25"/>
      <c r="G113" s="25"/>
      <c r="H113" s="25"/>
      <c r="I113" s="25"/>
      <c r="J113" s="25"/>
      <c r="K113" s="143">
        <v>0</v>
      </c>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380616</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-327753</v>
      </c>
    </row>
    <row r="128" spans="1:12" ht="16.5" customHeight="1" x14ac:dyDescent="0.25">
      <c r="D128" s="140" t="s">
        <v>1656</v>
      </c>
      <c r="H128" s="10"/>
      <c r="K128" s="169">
        <f>-K23-K48+J68+J75+J96-K113</f>
        <v>0</v>
      </c>
    </row>
    <row r="129" spans="4:11" ht="16.5" customHeight="1" x14ac:dyDescent="0.25">
      <c r="D129" s="140" t="s">
        <v>1657</v>
      </c>
      <c r="H129" s="10"/>
      <c r="K129" s="169">
        <f>-K76</f>
        <v>-53000</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77" priority="12">
      <formula>$J$62&lt;&gt;$K$69</formula>
    </cfRule>
  </conditionalFormatting>
  <conditionalFormatting sqref="L26:P26">
    <cfRule type="expression" dxfId="76" priority="1">
      <formula>$J$26&lt;&gt;$K$26</formula>
    </cfRule>
  </conditionalFormatting>
  <conditionalFormatting sqref="L36:P36">
    <cfRule type="expression" dxfId="75" priority="2">
      <formula>$J$36&lt;&gt;$K$36</formula>
    </cfRule>
  </conditionalFormatting>
  <conditionalFormatting sqref="L43:P43">
    <cfRule type="expression" dxfId="74" priority="3">
      <formula>$J$43&lt;&gt;$K$43</formula>
    </cfRule>
  </conditionalFormatting>
  <conditionalFormatting sqref="L49:P49">
    <cfRule type="expression" dxfId="73" priority="4">
      <formula>$J$49&lt;&gt;$K$49</formula>
    </cfRule>
  </conditionalFormatting>
  <conditionalFormatting sqref="L59:P59">
    <cfRule type="expression" dxfId="72" priority="5">
      <formula>$J$59&lt;&gt;$K$59</formula>
    </cfRule>
  </conditionalFormatting>
  <conditionalFormatting sqref="L65:P65">
    <cfRule type="expression" dxfId="71" priority="6">
      <formula>$J$65&lt;&gt;$K$65</formula>
    </cfRule>
  </conditionalFormatting>
  <conditionalFormatting sqref="L70:P70">
    <cfRule type="expression" dxfId="70" priority="7">
      <formula>$J$70&lt;&gt;$K$70</formula>
    </cfRule>
  </conditionalFormatting>
  <conditionalFormatting sqref="L77:P77">
    <cfRule type="expression" dxfId="69" priority="8">
      <formula>$J$77&lt;&gt;$K$77</formula>
    </cfRule>
  </conditionalFormatting>
  <conditionalFormatting sqref="L91:P91">
    <cfRule type="expression" dxfId="68" priority="9">
      <formula>$J$91&lt;&gt;$K$91</formula>
    </cfRule>
  </conditionalFormatting>
  <conditionalFormatting sqref="L105:P105">
    <cfRule type="expression" dxfId="67" priority="10">
      <formula>$J$105&lt;&gt;$K$105</formula>
    </cfRule>
  </conditionalFormatting>
  <conditionalFormatting sqref="L114:P114">
    <cfRule type="expression" dxfId="6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9F04B-8E66-4C8B-8C2F-146DD94BC2DE}">
  <sheetPr>
    <tabColor theme="9" tint="0.59999389629810485"/>
    <pageSetUpPr fitToPage="1"/>
  </sheetPr>
  <dimension ref="A1:T193"/>
  <sheetViews>
    <sheetView zoomScale="70" zoomScaleNormal="7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738</v>
      </c>
      <c r="G4" s="191"/>
      <c r="H4" s="191"/>
      <c r="I4" s="191"/>
    </row>
    <row r="5" spans="1:20" ht="16.5" customHeight="1" x14ac:dyDescent="0.2">
      <c r="A5" s="189" t="s">
        <v>1615</v>
      </c>
      <c r="B5" s="189"/>
      <c r="C5" s="189"/>
      <c r="D5" s="189"/>
      <c r="E5" s="189"/>
      <c r="F5" s="191" t="s">
        <v>737</v>
      </c>
      <c r="G5" s="191"/>
      <c r="H5" s="191"/>
      <c r="I5" s="191"/>
      <c r="L5" s="12"/>
      <c r="M5" s="12"/>
      <c r="N5" s="12"/>
      <c r="O5" s="12"/>
      <c r="P5" s="12"/>
      <c r="Q5" s="12"/>
    </row>
    <row r="6" spans="1:20" ht="16.5" customHeight="1" x14ac:dyDescent="0.25">
      <c r="A6" s="189" t="s">
        <v>1634</v>
      </c>
      <c r="B6" s="189"/>
      <c r="C6" s="189"/>
      <c r="D6" s="189"/>
      <c r="E6" s="189"/>
      <c r="F6" s="192">
        <v>336</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RESOURCES</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204947</v>
      </c>
      <c r="M17" s="143">
        <v>204947</v>
      </c>
      <c r="P17" s="143">
        <v>204947</v>
      </c>
      <c r="Q17" s="155"/>
      <c r="S17" s="154">
        <f t="shared" si="0"/>
        <v>0</v>
      </c>
      <c r="T17" s="180" t="s">
        <v>1684</v>
      </c>
    </row>
    <row r="18" spans="1:20" ht="16.5" customHeight="1" x14ac:dyDescent="0.25">
      <c r="A18" s="54"/>
      <c r="B18" s="9" t="s">
        <v>168</v>
      </c>
      <c r="C18" s="9"/>
      <c r="D18" s="9"/>
      <c r="E18" s="140"/>
      <c r="F18" s="141"/>
      <c r="G18" s="141"/>
      <c r="H18" s="142"/>
      <c r="I18" s="142"/>
      <c r="J18" s="178">
        <f>P18</f>
        <v>153</v>
      </c>
      <c r="M18" s="143">
        <v>153</v>
      </c>
      <c r="P18" s="152">
        <f>IF(SUM($Q$20:$Q$23)&gt;SUM($P$15:$P$17),SUM($Q$20:$Q$23)-SUM($P$15:$P$17),0)</f>
        <v>153</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108167</v>
      </c>
      <c r="N22" s="143">
        <v>108167</v>
      </c>
      <c r="P22" s="155"/>
      <c r="Q22" s="143">
        <v>108167</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96933</v>
      </c>
      <c r="N23" s="143">
        <v>96933</v>
      </c>
      <c r="P23" s="155"/>
      <c r="Q23" s="143">
        <v>96933</v>
      </c>
      <c r="S23" s="154">
        <f t="shared" si="1"/>
        <v>0</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205100</v>
      </c>
      <c r="K26" s="107">
        <f>SUM(K15:K25)</f>
        <v>205100</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0</v>
      </c>
      <c r="K33" s="144"/>
    </row>
    <row r="34" spans="1:12" ht="16.5" customHeight="1" x14ac:dyDescent="0.25">
      <c r="A34" s="54"/>
      <c r="B34" s="9"/>
      <c r="C34" s="9" t="s">
        <v>1673</v>
      </c>
      <c r="D34" s="140"/>
      <c r="E34" s="140"/>
      <c r="F34" s="141"/>
      <c r="G34" s="141"/>
      <c r="H34" s="142"/>
      <c r="I34" s="142"/>
      <c r="J34" s="144"/>
      <c r="K34" s="143">
        <v>0</v>
      </c>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v>0</v>
      </c>
      <c r="K39" s="144"/>
    </row>
    <row r="40" spans="1:12" ht="16.5" customHeight="1" x14ac:dyDescent="0.25">
      <c r="A40" s="159" t="s">
        <v>1637</v>
      </c>
      <c r="B40" s="9" t="s">
        <v>171</v>
      </c>
      <c r="C40" s="9"/>
      <c r="D40" s="140"/>
      <c r="E40" s="140"/>
      <c r="F40" s="141"/>
      <c r="G40" s="141"/>
      <c r="H40" s="142"/>
      <c r="I40" s="142"/>
      <c r="J40" s="143">
        <v>0</v>
      </c>
      <c r="K40" s="144"/>
    </row>
    <row r="41" spans="1:12" ht="16.5" customHeight="1" x14ac:dyDescent="0.25">
      <c r="A41" s="159" t="s">
        <v>1637</v>
      </c>
      <c r="B41" s="9" t="s">
        <v>172</v>
      </c>
      <c r="C41" s="9"/>
      <c r="D41" s="140"/>
      <c r="E41" s="140"/>
      <c r="F41" s="141"/>
      <c r="G41" s="141"/>
      <c r="H41" s="142"/>
      <c r="I41" s="142"/>
      <c r="J41" s="143">
        <v>0</v>
      </c>
      <c r="K41" s="144"/>
    </row>
    <row r="42" spans="1:12" ht="16.5" customHeight="1" x14ac:dyDescent="0.25">
      <c r="A42" s="54"/>
      <c r="B42" s="9"/>
      <c r="C42" s="9" t="s">
        <v>180</v>
      </c>
      <c r="D42" s="140"/>
      <c r="E42" s="140"/>
      <c r="F42" s="141"/>
      <c r="G42" s="141"/>
      <c r="H42" s="142"/>
      <c r="I42" s="142"/>
      <c r="J42" s="144"/>
      <c r="K42" s="143">
        <v>0</v>
      </c>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0</v>
      </c>
      <c r="K47" s="144"/>
    </row>
    <row r="48" spans="1:12" ht="16.5" customHeight="1" x14ac:dyDescent="0.25">
      <c r="A48" s="165" t="s">
        <v>1645</v>
      </c>
      <c r="B48" s="9"/>
      <c r="C48" s="9" t="s">
        <v>173</v>
      </c>
      <c r="D48" s="140"/>
      <c r="E48" s="140"/>
      <c r="F48" s="141"/>
      <c r="G48" s="141"/>
      <c r="H48" s="142"/>
      <c r="I48" s="142"/>
      <c r="J48" s="144"/>
      <c r="K48" s="143">
        <v>0</v>
      </c>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68315</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68315</v>
      </c>
    </row>
    <row r="59" spans="1:16" ht="16.5" customHeight="1" x14ac:dyDescent="0.25">
      <c r="A59" s="54"/>
      <c r="C59" s="16"/>
      <c r="D59" s="16"/>
      <c r="E59" s="16"/>
      <c r="F59" s="17"/>
      <c r="G59" s="17"/>
      <c r="H59" s="18"/>
      <c r="I59" s="18"/>
      <c r="J59" s="107">
        <f>SUM(J55:J58)</f>
        <v>68315</v>
      </c>
      <c r="K59" s="107">
        <f>SUM(K55:K58)</f>
        <v>68315</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68395</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131</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68526</v>
      </c>
    </row>
    <row r="65" spans="1:12" ht="16.5" customHeight="1" x14ac:dyDescent="0.25">
      <c r="A65" s="54"/>
      <c r="C65" s="16"/>
      <c r="D65" s="16"/>
      <c r="E65" s="16"/>
      <c r="F65" s="17"/>
      <c r="G65" s="17"/>
      <c r="H65" s="18"/>
      <c r="I65" s="18"/>
      <c r="J65" s="107">
        <f>SUM(J62:J64)</f>
        <v>68526</v>
      </c>
      <c r="K65" s="107">
        <f>SUM(K62:K64)</f>
        <v>68526</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68395</v>
      </c>
      <c r="K68" s="144"/>
    </row>
    <row r="69" spans="1:12" ht="16.5" customHeight="1" x14ac:dyDescent="0.25">
      <c r="A69" s="54"/>
      <c r="B69" s="9"/>
      <c r="C69" s="9" t="s">
        <v>185</v>
      </c>
      <c r="D69" s="140"/>
      <c r="E69" s="140"/>
      <c r="F69" s="141"/>
      <c r="G69" s="141"/>
      <c r="H69" s="142"/>
      <c r="I69" s="142"/>
      <c r="J69" s="144"/>
      <c r="K69" s="143">
        <v>68395</v>
      </c>
      <c r="L69" s="10" t="str">
        <f>IF($J$62=$K$69,"","&lt;- Accts 0848 must agree")</f>
        <v/>
      </c>
    </row>
    <row r="70" spans="1:12" ht="16.5" customHeight="1" x14ac:dyDescent="0.25">
      <c r="A70" s="54"/>
      <c r="C70" s="16"/>
      <c r="D70" s="16"/>
      <c r="E70" s="16"/>
      <c r="F70" s="17"/>
      <c r="G70" s="17"/>
      <c r="H70" s="18"/>
      <c r="I70" s="18"/>
      <c r="J70" s="107">
        <f>SUM(J68:J69)</f>
        <v>68395</v>
      </c>
      <c r="K70" s="107">
        <f>SUM(K68:K69)</f>
        <v>68395</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28539</v>
      </c>
      <c r="K75" s="144"/>
    </row>
    <row r="76" spans="1:12" ht="16.5" customHeight="1" x14ac:dyDescent="0.25">
      <c r="A76" s="54"/>
      <c r="B76" s="9"/>
      <c r="C76" s="9" t="s">
        <v>193</v>
      </c>
      <c r="D76" s="140"/>
      <c r="E76" s="140"/>
      <c r="F76" s="141"/>
      <c r="G76" s="141"/>
      <c r="H76" s="142"/>
      <c r="I76" s="142"/>
      <c r="J76" s="144"/>
      <c r="K76" s="143">
        <v>28539</v>
      </c>
    </row>
    <row r="77" spans="1:12" ht="16.5" customHeight="1" x14ac:dyDescent="0.2">
      <c r="A77" s="54"/>
      <c r="B77" s="196" t="s">
        <v>1672</v>
      </c>
      <c r="C77" s="196"/>
      <c r="D77" s="196"/>
      <c r="E77" s="196"/>
      <c r="F77" s="196"/>
      <c r="G77" s="196"/>
      <c r="H77" s="196"/>
      <c r="I77" s="196"/>
      <c r="J77" s="107">
        <f>SUM(J75:J76)</f>
        <v>28539</v>
      </c>
      <c r="K77" s="107">
        <f>SUM(K75:K76)</f>
        <v>28539</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v>0</v>
      </c>
      <c r="K85" s="144"/>
      <c r="L85" s="8"/>
    </row>
    <row r="86" spans="1:16" ht="16.5" customHeight="1" x14ac:dyDescent="0.2">
      <c r="A86" s="54"/>
      <c r="B86" s="9" t="s">
        <v>162</v>
      </c>
      <c r="C86" s="25"/>
      <c r="D86" s="25"/>
      <c r="E86" s="25"/>
      <c r="F86" s="25"/>
      <c r="G86" s="25"/>
      <c r="H86" s="25"/>
      <c r="I86" s="25"/>
      <c r="J86" s="143">
        <v>0</v>
      </c>
      <c r="K86" s="148"/>
    </row>
    <row r="87" spans="1:16" ht="16.5" customHeight="1" x14ac:dyDescent="0.2">
      <c r="A87" s="54"/>
      <c r="B87" s="9" t="s">
        <v>187</v>
      </c>
      <c r="C87" s="25"/>
      <c r="D87" s="25"/>
      <c r="E87" s="25"/>
      <c r="F87" s="25"/>
      <c r="G87" s="25"/>
      <c r="H87" s="25"/>
      <c r="I87" s="25"/>
      <c r="J87" s="143">
        <v>0</v>
      </c>
      <c r="K87" s="148"/>
    </row>
    <row r="88" spans="1:16" ht="16.5" customHeight="1" x14ac:dyDescent="0.2">
      <c r="A88" s="159" t="s">
        <v>1637</v>
      </c>
      <c r="B88" s="25"/>
      <c r="C88" s="9" t="s">
        <v>188</v>
      </c>
      <c r="D88" s="25"/>
      <c r="E88" s="25"/>
      <c r="F88" s="25"/>
      <c r="G88" s="25"/>
      <c r="H88" s="25"/>
      <c r="I88" s="25"/>
      <c r="J88" s="148"/>
      <c r="K88" s="143">
        <v>0</v>
      </c>
    </row>
    <row r="89" spans="1:16" ht="16.5" customHeight="1" x14ac:dyDescent="0.2">
      <c r="A89" s="159" t="s">
        <v>1637</v>
      </c>
      <c r="B89" s="25"/>
      <c r="C89" s="9" t="s">
        <v>163</v>
      </c>
      <c r="D89" s="25"/>
      <c r="E89" s="25"/>
      <c r="F89" s="25"/>
      <c r="G89" s="25"/>
      <c r="H89" s="25"/>
      <c r="I89" s="25"/>
      <c r="J89" s="148"/>
      <c r="K89" s="143">
        <v>0</v>
      </c>
    </row>
    <row r="90" spans="1:16" ht="16.5" customHeight="1" x14ac:dyDescent="0.2">
      <c r="A90" s="159" t="s">
        <v>1637</v>
      </c>
      <c r="B90" s="25"/>
      <c r="C90" s="9" t="s">
        <v>189</v>
      </c>
      <c r="D90" s="25"/>
      <c r="E90" s="25"/>
      <c r="F90" s="25"/>
      <c r="G90" s="25"/>
      <c r="H90" s="25"/>
      <c r="I90" s="25"/>
      <c r="J90" s="148"/>
      <c r="K90" s="143">
        <v>0</v>
      </c>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0</v>
      </c>
      <c r="K96" s="149"/>
    </row>
    <row r="97" spans="1:12" ht="16.5" customHeight="1" x14ac:dyDescent="0.2">
      <c r="B97" s="9" t="s">
        <v>186</v>
      </c>
      <c r="C97" s="25"/>
      <c r="D97" s="25"/>
      <c r="E97" s="25"/>
      <c r="F97" s="25"/>
      <c r="G97" s="25"/>
      <c r="H97" s="25"/>
      <c r="I97" s="25"/>
      <c r="J97" s="143">
        <v>0</v>
      </c>
      <c r="K97" s="25"/>
    </row>
    <row r="98" spans="1:12" ht="16.5" customHeight="1" x14ac:dyDescent="0.2">
      <c r="B98" s="9" t="s">
        <v>162</v>
      </c>
      <c r="C98" s="25"/>
      <c r="D98" s="25"/>
      <c r="E98" s="25"/>
      <c r="F98" s="25"/>
      <c r="G98" s="25"/>
      <c r="H98" s="25"/>
      <c r="I98" s="25"/>
      <c r="J98" s="143">
        <v>0</v>
      </c>
      <c r="K98" s="25"/>
    </row>
    <row r="99" spans="1:12" ht="16.5" customHeight="1" x14ac:dyDescent="0.2">
      <c r="B99" s="9" t="s">
        <v>187</v>
      </c>
      <c r="C99" s="25"/>
      <c r="D99" s="25"/>
      <c r="E99" s="25"/>
      <c r="F99" s="25"/>
      <c r="G99" s="25"/>
      <c r="H99" s="25"/>
      <c r="I99" s="25"/>
      <c r="J99" s="143">
        <v>0</v>
      </c>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v>0</v>
      </c>
      <c r="K100" s="25"/>
    </row>
    <row r="101" spans="1:12" ht="16.5" customHeight="1" x14ac:dyDescent="0.2">
      <c r="A101" s="159" t="s">
        <v>1637</v>
      </c>
      <c r="B101" s="25"/>
      <c r="C101" s="9" t="s">
        <v>188</v>
      </c>
      <c r="D101" s="25"/>
      <c r="E101" s="25"/>
      <c r="F101" s="25"/>
      <c r="G101" s="25"/>
      <c r="H101" s="25"/>
      <c r="I101" s="25"/>
      <c r="J101" s="25"/>
      <c r="K101" s="143">
        <v>0</v>
      </c>
    </row>
    <row r="102" spans="1:12" ht="16.5" customHeight="1" x14ac:dyDescent="0.2">
      <c r="A102" s="159" t="s">
        <v>1637</v>
      </c>
      <c r="B102" s="25"/>
      <c r="C102" s="9" t="s">
        <v>163</v>
      </c>
      <c r="D102" s="25"/>
      <c r="E102" s="25"/>
      <c r="F102" s="25"/>
      <c r="G102" s="25"/>
      <c r="H102" s="25"/>
      <c r="I102" s="25"/>
      <c r="J102" s="25"/>
      <c r="K102" s="143">
        <v>0</v>
      </c>
    </row>
    <row r="103" spans="1:12" ht="16.5" customHeight="1" x14ac:dyDescent="0.2">
      <c r="A103" s="159" t="s">
        <v>1637</v>
      </c>
      <c r="B103" s="25"/>
      <c r="C103" s="9" t="s">
        <v>189</v>
      </c>
      <c r="D103" s="25"/>
      <c r="E103" s="25"/>
      <c r="F103" s="25"/>
      <c r="G103" s="25"/>
      <c r="H103" s="25"/>
      <c r="I103" s="25"/>
      <c r="J103" s="25"/>
      <c r="K103" s="143">
        <v>0</v>
      </c>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v>0</v>
      </c>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v>0</v>
      </c>
      <c r="K110" s="25"/>
    </row>
    <row r="111" spans="1:12" ht="16.5" customHeight="1" x14ac:dyDescent="0.2">
      <c r="A111" s="159" t="s">
        <v>1637</v>
      </c>
      <c r="B111" s="9" t="s">
        <v>171</v>
      </c>
      <c r="C111" s="9"/>
      <c r="D111" s="7"/>
      <c r="E111" s="25"/>
      <c r="F111" s="25"/>
      <c r="G111" s="25"/>
      <c r="H111" s="25"/>
      <c r="I111" s="25"/>
      <c r="J111" s="143">
        <v>0</v>
      </c>
      <c r="K111" s="25"/>
    </row>
    <row r="112" spans="1:12" ht="16.5" customHeight="1" x14ac:dyDescent="0.2">
      <c r="A112" s="159" t="s">
        <v>1637</v>
      </c>
      <c r="B112" s="9" t="s">
        <v>172</v>
      </c>
      <c r="C112" s="9"/>
      <c r="D112" s="7"/>
      <c r="E112" s="25"/>
      <c r="F112" s="25"/>
      <c r="G112" s="25"/>
      <c r="H112" s="25"/>
      <c r="I112" s="25"/>
      <c r="J112" s="143">
        <v>0</v>
      </c>
      <c r="K112" s="25"/>
    </row>
    <row r="113" spans="1:12" ht="16.5" customHeight="1" x14ac:dyDescent="0.2">
      <c r="A113" s="165" t="s">
        <v>1645</v>
      </c>
      <c r="B113" s="9"/>
      <c r="C113" s="9" t="s">
        <v>173</v>
      </c>
      <c r="D113" s="7"/>
      <c r="E113" s="25"/>
      <c r="F113" s="25"/>
      <c r="G113" s="25"/>
      <c r="H113" s="25"/>
      <c r="I113" s="25"/>
      <c r="J113" s="25"/>
      <c r="K113" s="143">
        <v>0</v>
      </c>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204947</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-176482</v>
      </c>
    </row>
    <row r="128" spans="1:12" ht="16.5" customHeight="1" x14ac:dyDescent="0.25">
      <c r="D128" s="140" t="s">
        <v>1656</v>
      </c>
      <c r="H128" s="10"/>
      <c r="K128" s="169">
        <f>-K23-K48+J68+J75+J96-K113</f>
        <v>1</v>
      </c>
    </row>
    <row r="129" spans="4:11" ht="16.5" customHeight="1" x14ac:dyDescent="0.25">
      <c r="D129" s="140" t="s">
        <v>1657</v>
      </c>
      <c r="H129" s="10"/>
      <c r="K129" s="169">
        <f>-K76</f>
        <v>-28539</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65" priority="12">
      <formula>$J$62&lt;&gt;$K$69</formula>
    </cfRule>
  </conditionalFormatting>
  <conditionalFormatting sqref="L26:P26">
    <cfRule type="expression" dxfId="64" priority="1">
      <formula>$J$26&lt;&gt;$K$26</formula>
    </cfRule>
  </conditionalFormatting>
  <conditionalFormatting sqref="L36:P36">
    <cfRule type="expression" dxfId="63" priority="2">
      <formula>$J$36&lt;&gt;$K$36</formula>
    </cfRule>
  </conditionalFormatting>
  <conditionalFormatting sqref="L43:P43">
    <cfRule type="expression" dxfId="62" priority="3">
      <formula>$J$43&lt;&gt;$K$43</formula>
    </cfRule>
  </conditionalFormatting>
  <conditionalFormatting sqref="L49:P49">
    <cfRule type="expression" dxfId="61" priority="4">
      <formula>$J$49&lt;&gt;$K$49</formula>
    </cfRule>
  </conditionalFormatting>
  <conditionalFormatting sqref="L59:P59">
    <cfRule type="expression" dxfId="60" priority="5">
      <formula>$J$59&lt;&gt;$K$59</formula>
    </cfRule>
  </conditionalFormatting>
  <conditionalFormatting sqref="L65:P65">
    <cfRule type="expression" dxfId="59" priority="6">
      <formula>$J$65&lt;&gt;$K$65</formula>
    </cfRule>
  </conditionalFormatting>
  <conditionalFormatting sqref="L70:P70">
    <cfRule type="expression" dxfId="58" priority="7">
      <formula>$J$70&lt;&gt;$K$70</formula>
    </cfRule>
  </conditionalFormatting>
  <conditionalFormatting sqref="L77:P77">
    <cfRule type="expression" dxfId="57" priority="8">
      <formula>$J$77&lt;&gt;$K$77</formula>
    </cfRule>
  </conditionalFormatting>
  <conditionalFormatting sqref="L91:P91">
    <cfRule type="expression" dxfId="56" priority="9">
      <formula>$J$91&lt;&gt;$K$91</formula>
    </cfRule>
  </conditionalFormatting>
  <conditionalFormatting sqref="L105:P105">
    <cfRule type="expression" dxfId="55" priority="10">
      <formula>$J$105&lt;&gt;$K$105</formula>
    </cfRule>
  </conditionalFormatting>
  <conditionalFormatting sqref="L114:P114">
    <cfRule type="expression" dxfId="54" priority="11">
      <formula>$J$114&lt;&gt;$K$114</formula>
    </cfRule>
  </conditionalFormatting>
  <dataValidations count="3">
    <dataValidation type="textLength" operator="equal" allowBlank="1" showInputMessage="1" showErrorMessage="1" errorTitle="4-Digit Org Code" error="Enter the Org Code/BU as 4 digits." sqref="F5" xr:uid="{55568DFA-5302-43AA-8FF9-31EDF25609CA}">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9D871102-F7A2-4B0C-8727-91C3672EB150}">
      <formula1>0</formula1>
    </dataValidation>
    <dataValidation operator="lessThan" allowBlank="1" showInputMessage="1" showErrorMessage="1" sqref="A3:A8" xr:uid="{58F7A2CD-7629-4582-934F-A062D17A7A48}"/>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D7451F66-724A-42BC-97A6-53BAA7E64C7B}">
          <x14:formula1>
            <xm:f>'Drop Down Menus'!$E$1:$E$3</xm:f>
          </x14:formula1>
          <xm:sqref>F8</xm:sqref>
        </x14:dataValidation>
        <x14:dataValidation type="list" allowBlank="1" showInputMessage="1" showErrorMessage="1" xr:uid="{BC189E2A-9B9E-456C-8B4D-DF18FA8C120B}">
          <x14:formula1>
            <xm:f>'Drop Down Menus'!$B$1:$B$2</xm:f>
          </x14:formula1>
          <xm:sqref>F7</xm:sqref>
        </x14:dataValidation>
        <x14:dataValidation type="list" allowBlank="1" showInputMessage="1" showErrorMessage="1" xr:uid="{5D4A401E-6B77-4C4F-8894-A2DDEF038301}">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68665-7878-4888-B9EA-A0095C6ECC34}">
  <sheetPr>
    <tabColor theme="9" tint="0.59999389629810485"/>
    <pageSetUpPr fitToPage="1"/>
  </sheetPr>
  <dimension ref="A1:T193"/>
  <sheetViews>
    <sheetView zoomScale="70" zoomScaleNormal="7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738</v>
      </c>
      <c r="G4" s="191"/>
      <c r="H4" s="191"/>
      <c r="I4" s="191"/>
    </row>
    <row r="5" spans="1:20" ht="16.5" customHeight="1" x14ac:dyDescent="0.2">
      <c r="A5" s="189" t="s">
        <v>1615</v>
      </c>
      <c r="B5" s="189"/>
      <c r="C5" s="189"/>
      <c r="D5" s="189"/>
      <c r="E5" s="189"/>
      <c r="F5" s="191" t="s">
        <v>737</v>
      </c>
      <c r="G5" s="191"/>
      <c r="H5" s="191"/>
      <c r="I5" s="191"/>
      <c r="L5" s="12"/>
      <c r="M5" s="12"/>
      <c r="N5" s="12"/>
      <c r="O5" s="12"/>
      <c r="P5" s="12"/>
      <c r="Q5" s="12"/>
    </row>
    <row r="6" spans="1:20" ht="16.5" customHeight="1" x14ac:dyDescent="0.25">
      <c r="A6" s="189" t="s">
        <v>1634</v>
      </c>
      <c r="B6" s="189"/>
      <c r="C6" s="189"/>
      <c r="D6" s="189"/>
      <c r="E6" s="189"/>
      <c r="F6" s="192">
        <v>338</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RESOURCES</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1785969</v>
      </c>
      <c r="M17" s="143">
        <v>1785969</v>
      </c>
      <c r="P17" s="143">
        <v>1785969</v>
      </c>
      <c r="Q17" s="155"/>
      <c r="S17" s="154">
        <f t="shared" si="0"/>
        <v>0</v>
      </c>
      <c r="T17" s="180" t="s">
        <v>1684</v>
      </c>
    </row>
    <row r="18" spans="1:20" ht="16.5" customHeight="1" x14ac:dyDescent="0.25">
      <c r="A18" s="54"/>
      <c r="B18" s="9" t="s">
        <v>168</v>
      </c>
      <c r="C18" s="9"/>
      <c r="D18" s="9"/>
      <c r="E18" s="140"/>
      <c r="F18" s="141"/>
      <c r="G18" s="141"/>
      <c r="H18" s="142"/>
      <c r="I18" s="142"/>
      <c r="J18" s="178">
        <f>P18</f>
        <v>1336</v>
      </c>
      <c r="M18" s="143">
        <v>1336</v>
      </c>
      <c r="P18" s="152">
        <f>IF(SUM($Q$20:$Q$23)&gt;SUM($P$15:$P$17),SUM($Q$20:$Q$23)-SUM($P$15:$P$17),0)</f>
        <v>1336</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942595</v>
      </c>
      <c r="N22" s="143">
        <v>942595</v>
      </c>
      <c r="P22" s="155"/>
      <c r="Q22" s="143">
        <v>942595</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844710</v>
      </c>
      <c r="N23" s="143">
        <v>844710</v>
      </c>
      <c r="P23" s="155"/>
      <c r="Q23" s="143">
        <v>844710</v>
      </c>
      <c r="S23" s="154">
        <f t="shared" si="1"/>
        <v>0</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1787305</v>
      </c>
      <c r="K26" s="107">
        <f>SUM(K15:K25)</f>
        <v>1787305</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0</v>
      </c>
      <c r="K33" s="144"/>
    </row>
    <row r="34" spans="1:12" ht="16.5" customHeight="1" x14ac:dyDescent="0.25">
      <c r="A34" s="54"/>
      <c r="B34" s="9"/>
      <c r="C34" s="9" t="s">
        <v>1673</v>
      </c>
      <c r="D34" s="140"/>
      <c r="E34" s="140"/>
      <c r="F34" s="141"/>
      <c r="G34" s="141"/>
      <c r="H34" s="142"/>
      <c r="I34" s="142"/>
      <c r="J34" s="144"/>
      <c r="K34" s="143">
        <v>0</v>
      </c>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v>0</v>
      </c>
      <c r="K39" s="144"/>
    </row>
    <row r="40" spans="1:12" ht="16.5" customHeight="1" x14ac:dyDescent="0.25">
      <c r="A40" s="159" t="s">
        <v>1637</v>
      </c>
      <c r="B40" s="9" t="s">
        <v>171</v>
      </c>
      <c r="C40" s="9"/>
      <c r="D40" s="140"/>
      <c r="E40" s="140"/>
      <c r="F40" s="141"/>
      <c r="G40" s="141"/>
      <c r="H40" s="142"/>
      <c r="I40" s="142"/>
      <c r="J40" s="143">
        <v>0</v>
      </c>
      <c r="K40" s="144"/>
    </row>
    <row r="41" spans="1:12" ht="16.5" customHeight="1" x14ac:dyDescent="0.25">
      <c r="A41" s="159" t="s">
        <v>1637</v>
      </c>
      <c r="B41" s="9" t="s">
        <v>172</v>
      </c>
      <c r="C41" s="9"/>
      <c r="D41" s="140"/>
      <c r="E41" s="140"/>
      <c r="F41" s="141"/>
      <c r="G41" s="141"/>
      <c r="H41" s="142"/>
      <c r="I41" s="142"/>
      <c r="J41" s="143">
        <v>0</v>
      </c>
      <c r="K41" s="144"/>
    </row>
    <row r="42" spans="1:12" ht="16.5" customHeight="1" x14ac:dyDescent="0.25">
      <c r="A42" s="54"/>
      <c r="B42" s="9"/>
      <c r="C42" s="9" t="s">
        <v>180</v>
      </c>
      <c r="D42" s="140"/>
      <c r="E42" s="140"/>
      <c r="F42" s="141"/>
      <c r="G42" s="141"/>
      <c r="H42" s="142"/>
      <c r="I42" s="142"/>
      <c r="J42" s="144"/>
      <c r="K42" s="143">
        <v>0</v>
      </c>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0</v>
      </c>
      <c r="K47" s="144"/>
    </row>
    <row r="48" spans="1:12" ht="16.5" customHeight="1" x14ac:dyDescent="0.25">
      <c r="A48" s="165" t="s">
        <v>1645</v>
      </c>
      <c r="B48" s="9"/>
      <c r="C48" s="9" t="s">
        <v>173</v>
      </c>
      <c r="D48" s="140"/>
      <c r="E48" s="140"/>
      <c r="F48" s="141"/>
      <c r="G48" s="141"/>
      <c r="H48" s="142"/>
      <c r="I48" s="142"/>
      <c r="J48" s="144"/>
      <c r="K48" s="143">
        <v>0</v>
      </c>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595323</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595323</v>
      </c>
    </row>
    <row r="59" spans="1:16" ht="16.5" customHeight="1" x14ac:dyDescent="0.25">
      <c r="A59" s="54"/>
      <c r="C59" s="16"/>
      <c r="D59" s="16"/>
      <c r="E59" s="16"/>
      <c r="F59" s="17"/>
      <c r="G59" s="17"/>
      <c r="H59" s="18"/>
      <c r="I59" s="18"/>
      <c r="J59" s="107">
        <f>SUM(J55:J58)</f>
        <v>595323</v>
      </c>
      <c r="K59" s="107">
        <f>SUM(K55:K58)</f>
        <v>595323</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596017</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1143</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597160</v>
      </c>
    </row>
    <row r="65" spans="1:12" ht="16.5" customHeight="1" x14ac:dyDescent="0.25">
      <c r="A65" s="54"/>
      <c r="C65" s="16"/>
      <c r="D65" s="16"/>
      <c r="E65" s="16"/>
      <c r="F65" s="17"/>
      <c r="G65" s="17"/>
      <c r="H65" s="18"/>
      <c r="I65" s="18"/>
      <c r="J65" s="107">
        <f>SUM(J62:J64)</f>
        <v>597160</v>
      </c>
      <c r="K65" s="107">
        <f>SUM(K62:K64)</f>
        <v>597160</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596017</v>
      </c>
      <c r="K68" s="144"/>
    </row>
    <row r="69" spans="1:12" ht="16.5" customHeight="1" x14ac:dyDescent="0.25">
      <c r="A69" s="54"/>
      <c r="B69" s="9"/>
      <c r="C69" s="9" t="s">
        <v>185</v>
      </c>
      <c r="D69" s="140"/>
      <c r="E69" s="140"/>
      <c r="F69" s="141"/>
      <c r="G69" s="141"/>
      <c r="H69" s="142"/>
      <c r="I69" s="142"/>
      <c r="J69" s="144"/>
      <c r="K69" s="143">
        <v>596017</v>
      </c>
      <c r="L69" s="10" t="str">
        <f>IF($J$62=$K$69,"","&lt;- Accts 0848 must agree")</f>
        <v/>
      </c>
    </row>
    <row r="70" spans="1:12" ht="16.5" customHeight="1" x14ac:dyDescent="0.25">
      <c r="A70" s="54"/>
      <c r="C70" s="16"/>
      <c r="D70" s="16"/>
      <c r="E70" s="16"/>
      <c r="F70" s="17"/>
      <c r="G70" s="17"/>
      <c r="H70" s="18"/>
      <c r="I70" s="18"/>
      <c r="J70" s="107">
        <f>SUM(J68:J69)</f>
        <v>596017</v>
      </c>
      <c r="K70" s="107">
        <f>SUM(K68:K69)</f>
        <v>596017</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248693</v>
      </c>
      <c r="K75" s="144"/>
    </row>
    <row r="76" spans="1:12" ht="16.5" customHeight="1" x14ac:dyDescent="0.25">
      <c r="A76" s="54"/>
      <c r="B76" s="9"/>
      <c r="C76" s="9" t="s">
        <v>193</v>
      </c>
      <c r="D76" s="140"/>
      <c r="E76" s="140"/>
      <c r="F76" s="141"/>
      <c r="G76" s="141"/>
      <c r="H76" s="142"/>
      <c r="I76" s="142"/>
      <c r="J76" s="144"/>
      <c r="K76" s="143">
        <v>248693</v>
      </c>
    </row>
    <row r="77" spans="1:12" ht="16.5" customHeight="1" x14ac:dyDescent="0.2">
      <c r="A77" s="54"/>
      <c r="B77" s="196" t="s">
        <v>1672</v>
      </c>
      <c r="C77" s="196"/>
      <c r="D77" s="196"/>
      <c r="E77" s="196"/>
      <c r="F77" s="196"/>
      <c r="G77" s="196"/>
      <c r="H77" s="196"/>
      <c r="I77" s="196"/>
      <c r="J77" s="107">
        <f>SUM(J75:J76)</f>
        <v>248693</v>
      </c>
      <c r="K77" s="107">
        <f>SUM(K75:K76)</f>
        <v>248693</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v>0</v>
      </c>
      <c r="K85" s="144"/>
      <c r="L85" s="8"/>
    </row>
    <row r="86" spans="1:16" ht="16.5" customHeight="1" x14ac:dyDescent="0.2">
      <c r="A86" s="54"/>
      <c r="B86" s="9" t="s">
        <v>162</v>
      </c>
      <c r="C86" s="25"/>
      <c r="D86" s="25"/>
      <c r="E86" s="25"/>
      <c r="F86" s="25"/>
      <c r="G86" s="25"/>
      <c r="H86" s="25"/>
      <c r="I86" s="25"/>
      <c r="J86" s="143">
        <v>0</v>
      </c>
      <c r="K86" s="148"/>
    </row>
    <row r="87" spans="1:16" ht="16.5" customHeight="1" x14ac:dyDescent="0.2">
      <c r="A87" s="54"/>
      <c r="B87" s="9" t="s">
        <v>187</v>
      </c>
      <c r="C87" s="25"/>
      <c r="D87" s="25"/>
      <c r="E87" s="25"/>
      <c r="F87" s="25"/>
      <c r="G87" s="25"/>
      <c r="H87" s="25"/>
      <c r="I87" s="25"/>
      <c r="J87" s="143">
        <v>0</v>
      </c>
      <c r="K87" s="148"/>
    </row>
    <row r="88" spans="1:16" ht="16.5" customHeight="1" x14ac:dyDescent="0.2">
      <c r="A88" s="159" t="s">
        <v>1637</v>
      </c>
      <c r="B88" s="25"/>
      <c r="C88" s="9" t="s">
        <v>188</v>
      </c>
      <c r="D88" s="25"/>
      <c r="E88" s="25"/>
      <c r="F88" s="25"/>
      <c r="G88" s="25"/>
      <c r="H88" s="25"/>
      <c r="I88" s="25"/>
      <c r="J88" s="148"/>
      <c r="K88" s="143">
        <v>0</v>
      </c>
    </row>
    <row r="89" spans="1:16" ht="16.5" customHeight="1" x14ac:dyDescent="0.2">
      <c r="A89" s="159" t="s">
        <v>1637</v>
      </c>
      <c r="B89" s="25"/>
      <c r="C89" s="9" t="s">
        <v>163</v>
      </c>
      <c r="D89" s="25"/>
      <c r="E89" s="25"/>
      <c r="F89" s="25"/>
      <c r="G89" s="25"/>
      <c r="H89" s="25"/>
      <c r="I89" s="25"/>
      <c r="J89" s="148"/>
      <c r="K89" s="143">
        <v>0</v>
      </c>
    </row>
    <row r="90" spans="1:16" ht="16.5" customHeight="1" x14ac:dyDescent="0.2">
      <c r="A90" s="159" t="s">
        <v>1637</v>
      </c>
      <c r="B90" s="25"/>
      <c r="C90" s="9" t="s">
        <v>189</v>
      </c>
      <c r="D90" s="25"/>
      <c r="E90" s="25"/>
      <c r="F90" s="25"/>
      <c r="G90" s="25"/>
      <c r="H90" s="25"/>
      <c r="I90" s="25"/>
      <c r="J90" s="148"/>
      <c r="K90" s="143">
        <v>0</v>
      </c>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0</v>
      </c>
      <c r="K96" s="149"/>
    </row>
    <row r="97" spans="1:12" ht="16.5" customHeight="1" x14ac:dyDescent="0.2">
      <c r="B97" s="9" t="s">
        <v>186</v>
      </c>
      <c r="C97" s="25"/>
      <c r="D97" s="25"/>
      <c r="E97" s="25"/>
      <c r="F97" s="25"/>
      <c r="G97" s="25"/>
      <c r="H97" s="25"/>
      <c r="I97" s="25"/>
      <c r="J97" s="143">
        <v>0</v>
      </c>
      <c r="K97" s="25"/>
    </row>
    <row r="98" spans="1:12" ht="16.5" customHeight="1" x14ac:dyDescent="0.2">
      <c r="B98" s="9" t="s">
        <v>162</v>
      </c>
      <c r="C98" s="25"/>
      <c r="D98" s="25"/>
      <c r="E98" s="25"/>
      <c r="F98" s="25"/>
      <c r="G98" s="25"/>
      <c r="H98" s="25"/>
      <c r="I98" s="25"/>
      <c r="J98" s="143">
        <v>0</v>
      </c>
      <c r="K98" s="25"/>
    </row>
    <row r="99" spans="1:12" ht="16.5" customHeight="1" x14ac:dyDescent="0.2">
      <c r="B99" s="9" t="s">
        <v>187</v>
      </c>
      <c r="C99" s="25"/>
      <c r="D99" s="25"/>
      <c r="E99" s="25"/>
      <c r="F99" s="25"/>
      <c r="G99" s="25"/>
      <c r="H99" s="25"/>
      <c r="I99" s="25"/>
      <c r="J99" s="143">
        <v>0</v>
      </c>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v>0</v>
      </c>
      <c r="K100" s="25"/>
    </row>
    <row r="101" spans="1:12" ht="16.5" customHeight="1" x14ac:dyDescent="0.2">
      <c r="A101" s="159" t="s">
        <v>1637</v>
      </c>
      <c r="B101" s="25"/>
      <c r="C101" s="9" t="s">
        <v>188</v>
      </c>
      <c r="D101" s="25"/>
      <c r="E101" s="25"/>
      <c r="F101" s="25"/>
      <c r="G101" s="25"/>
      <c r="H101" s="25"/>
      <c r="I101" s="25"/>
      <c r="J101" s="25"/>
      <c r="K101" s="143">
        <v>0</v>
      </c>
    </row>
    <row r="102" spans="1:12" ht="16.5" customHeight="1" x14ac:dyDescent="0.2">
      <c r="A102" s="159" t="s">
        <v>1637</v>
      </c>
      <c r="B102" s="25"/>
      <c r="C102" s="9" t="s">
        <v>163</v>
      </c>
      <c r="D102" s="25"/>
      <c r="E102" s="25"/>
      <c r="F102" s="25"/>
      <c r="G102" s="25"/>
      <c r="H102" s="25"/>
      <c r="I102" s="25"/>
      <c r="J102" s="25"/>
      <c r="K102" s="143">
        <v>0</v>
      </c>
    </row>
    <row r="103" spans="1:12" ht="16.5" customHeight="1" x14ac:dyDescent="0.2">
      <c r="A103" s="159" t="s">
        <v>1637</v>
      </c>
      <c r="B103" s="25"/>
      <c r="C103" s="9" t="s">
        <v>189</v>
      </c>
      <c r="D103" s="25"/>
      <c r="E103" s="25"/>
      <c r="F103" s="25"/>
      <c r="G103" s="25"/>
      <c r="H103" s="25"/>
      <c r="I103" s="25"/>
      <c r="J103" s="25"/>
      <c r="K103" s="143">
        <v>0</v>
      </c>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v>0</v>
      </c>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v>0</v>
      </c>
      <c r="K110" s="25"/>
    </row>
    <row r="111" spans="1:12" ht="16.5" customHeight="1" x14ac:dyDescent="0.2">
      <c r="A111" s="159" t="s">
        <v>1637</v>
      </c>
      <c r="B111" s="9" t="s">
        <v>171</v>
      </c>
      <c r="C111" s="9"/>
      <c r="D111" s="7"/>
      <c r="E111" s="25"/>
      <c r="F111" s="25"/>
      <c r="G111" s="25"/>
      <c r="H111" s="25"/>
      <c r="I111" s="25"/>
      <c r="J111" s="143">
        <v>0</v>
      </c>
      <c r="K111" s="25"/>
    </row>
    <row r="112" spans="1:12" ht="16.5" customHeight="1" x14ac:dyDescent="0.2">
      <c r="A112" s="159" t="s">
        <v>1637</v>
      </c>
      <c r="B112" s="9" t="s">
        <v>172</v>
      </c>
      <c r="C112" s="9"/>
      <c r="D112" s="7"/>
      <c r="E112" s="25"/>
      <c r="F112" s="25"/>
      <c r="G112" s="25"/>
      <c r="H112" s="25"/>
      <c r="I112" s="25"/>
      <c r="J112" s="143">
        <v>0</v>
      </c>
      <c r="K112" s="25"/>
    </row>
    <row r="113" spans="1:12" ht="16.5" customHeight="1" x14ac:dyDescent="0.2">
      <c r="A113" s="165" t="s">
        <v>1645</v>
      </c>
      <c r="B113" s="9"/>
      <c r="C113" s="9" t="s">
        <v>173</v>
      </c>
      <c r="D113" s="7"/>
      <c r="E113" s="25"/>
      <c r="F113" s="25"/>
      <c r="G113" s="25"/>
      <c r="H113" s="25"/>
      <c r="I113" s="25"/>
      <c r="J113" s="25"/>
      <c r="K113" s="143">
        <v>0</v>
      </c>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1785969</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-1537918</v>
      </c>
    </row>
    <row r="128" spans="1:12" ht="16.5" customHeight="1" x14ac:dyDescent="0.25">
      <c r="D128" s="140" t="s">
        <v>1656</v>
      </c>
      <c r="H128" s="10"/>
      <c r="K128" s="169">
        <f>-K23-K48+J68+J75+J96-K113</f>
        <v>0</v>
      </c>
    </row>
    <row r="129" spans="4:11" ht="16.5" customHeight="1" x14ac:dyDescent="0.25">
      <c r="D129" s="140" t="s">
        <v>1657</v>
      </c>
      <c r="H129" s="10"/>
      <c r="K129" s="169">
        <f>-K76</f>
        <v>-248693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53" priority="12">
      <formula>$J$62&lt;&gt;$K$69</formula>
    </cfRule>
  </conditionalFormatting>
  <conditionalFormatting sqref="L26:P26">
    <cfRule type="expression" dxfId="52" priority="1">
      <formula>$J$26&lt;&gt;$K$26</formula>
    </cfRule>
  </conditionalFormatting>
  <conditionalFormatting sqref="L36:P36">
    <cfRule type="expression" dxfId="51" priority="2">
      <formula>$J$36&lt;&gt;$K$36</formula>
    </cfRule>
  </conditionalFormatting>
  <conditionalFormatting sqref="L43:P43">
    <cfRule type="expression" dxfId="50" priority="3">
      <formula>$J$43&lt;&gt;$K$43</formula>
    </cfRule>
  </conditionalFormatting>
  <conditionalFormatting sqref="L49:P49">
    <cfRule type="expression" dxfId="49" priority="4">
      <formula>$J$49&lt;&gt;$K$49</formula>
    </cfRule>
  </conditionalFormatting>
  <conditionalFormatting sqref="L59:P59">
    <cfRule type="expression" dxfId="48" priority="5">
      <formula>$J$59&lt;&gt;$K$59</formula>
    </cfRule>
  </conditionalFormatting>
  <conditionalFormatting sqref="L65:P65">
    <cfRule type="expression" dxfId="47" priority="6">
      <formula>$J$65&lt;&gt;$K$65</formula>
    </cfRule>
  </conditionalFormatting>
  <conditionalFormatting sqref="L70:P70">
    <cfRule type="expression" dxfId="46" priority="7">
      <formula>$J$70&lt;&gt;$K$70</formula>
    </cfRule>
  </conditionalFormatting>
  <conditionalFormatting sqref="L77:P77">
    <cfRule type="expression" dxfId="45" priority="8">
      <formula>$J$77&lt;&gt;$K$77</formula>
    </cfRule>
  </conditionalFormatting>
  <conditionalFormatting sqref="L91:P91">
    <cfRule type="expression" dxfId="44" priority="9">
      <formula>$J$91&lt;&gt;$K$91</formula>
    </cfRule>
  </conditionalFormatting>
  <conditionalFormatting sqref="L105:P105">
    <cfRule type="expression" dxfId="43" priority="10">
      <formula>$J$105&lt;&gt;$K$105</formula>
    </cfRule>
  </conditionalFormatting>
  <conditionalFormatting sqref="L114:P114">
    <cfRule type="expression" dxfId="42" priority="11">
      <formula>$J$114&lt;&gt;$K$114</formula>
    </cfRule>
  </conditionalFormatting>
  <dataValidations count="3">
    <dataValidation type="textLength" operator="equal" allowBlank="1" showInputMessage="1" showErrorMessage="1" errorTitle="4-Digit Org Code" error="Enter the Org Code/BU as 4 digits." sqref="F5" xr:uid="{AE84CA8A-5113-4E20-B319-3E77C7DA1297}">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A158737D-0FE3-4270-81AA-CD80FBD3A8CE}">
      <formula1>0</formula1>
    </dataValidation>
    <dataValidation operator="lessThan" allowBlank="1" showInputMessage="1" showErrorMessage="1" sqref="A3:A8" xr:uid="{2AB13407-9388-463A-A567-D814532C9095}"/>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BC3161A-B94D-4DB9-9799-63B9E5CA9402}">
          <x14:formula1>
            <xm:f>'Drop Down Menus'!$E$1:$E$3</xm:f>
          </x14:formula1>
          <xm:sqref>F8</xm:sqref>
        </x14:dataValidation>
        <x14:dataValidation type="list" allowBlank="1" showInputMessage="1" showErrorMessage="1" xr:uid="{803BF31A-7796-44ED-A29F-8843D60F3A94}">
          <x14:formula1>
            <xm:f>'Drop Down Menus'!$B$1:$B$2</xm:f>
          </x14:formula1>
          <xm:sqref>F7</xm:sqref>
        </x14:dataValidation>
        <x14:dataValidation type="list" allowBlank="1" showInputMessage="1" showErrorMessage="1" xr:uid="{C12F0ACD-EB07-429F-958D-6BBF47A23FF8}">
          <x14:formula1>
            <xm:f>'Drop Down Menus'!$A$1:$A$101</xm:f>
          </x14:formula1>
          <xm:sqref>F3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70635-2A8E-46B8-89C2-568BF5B5A468}">
  <sheetPr>
    <tabColor theme="9" tint="0.59999389629810485"/>
    <pageSetUpPr fitToPage="1"/>
  </sheetPr>
  <dimension ref="A1:T193"/>
  <sheetViews>
    <sheetView zoomScale="70" zoomScaleNormal="7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738</v>
      </c>
      <c r="G4" s="191"/>
      <c r="H4" s="191"/>
      <c r="I4" s="191"/>
    </row>
    <row r="5" spans="1:20" ht="16.5" customHeight="1" x14ac:dyDescent="0.2">
      <c r="A5" s="189" t="s">
        <v>1615</v>
      </c>
      <c r="B5" s="189"/>
      <c r="C5" s="189"/>
      <c r="D5" s="189"/>
      <c r="E5" s="189"/>
      <c r="F5" s="191" t="s">
        <v>737</v>
      </c>
      <c r="G5" s="191"/>
      <c r="H5" s="191"/>
      <c r="I5" s="191"/>
      <c r="L5" s="12"/>
      <c r="M5" s="12"/>
      <c r="N5" s="12"/>
      <c r="O5" s="12"/>
      <c r="P5" s="12"/>
      <c r="Q5" s="12"/>
    </row>
    <row r="6" spans="1:20" ht="16.5" customHeight="1" x14ac:dyDescent="0.25">
      <c r="A6" s="189" t="s">
        <v>1634</v>
      </c>
      <c r="B6" s="189"/>
      <c r="C6" s="189"/>
      <c r="D6" s="189"/>
      <c r="E6" s="189"/>
      <c r="F6" s="192">
        <v>3046</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RESOURCES</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6547726</v>
      </c>
      <c r="M17" s="143">
        <v>6547726</v>
      </c>
      <c r="P17" s="143">
        <v>6547726</v>
      </c>
      <c r="Q17" s="155"/>
      <c r="S17" s="154">
        <f t="shared" si="0"/>
        <v>0</v>
      </c>
      <c r="T17" s="180" t="s">
        <v>1684</v>
      </c>
    </row>
    <row r="18" spans="1:20" ht="16.5" customHeight="1" x14ac:dyDescent="0.25">
      <c r="A18" s="54"/>
      <c r="B18" s="9" t="s">
        <v>168</v>
      </c>
      <c r="C18" s="9"/>
      <c r="D18" s="9"/>
      <c r="E18" s="140"/>
      <c r="F18" s="141"/>
      <c r="G18" s="141"/>
      <c r="H18" s="142"/>
      <c r="I18" s="142"/>
      <c r="J18" s="178">
        <f>P18</f>
        <v>4048</v>
      </c>
      <c r="M18" s="143">
        <v>4048</v>
      </c>
      <c r="P18" s="152">
        <f>IF(SUM($Q$20:$Q$23)&gt;SUM($P$15:$P$17),SUM($Q$20:$Q$23)-SUM($P$15:$P$17),0)</f>
        <v>4048</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4489369</v>
      </c>
      <c r="N22" s="143">
        <v>4489369</v>
      </c>
      <c r="P22" s="155"/>
      <c r="Q22" s="143">
        <v>4489369</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2062405</v>
      </c>
      <c r="N23" s="143">
        <v>2062405</v>
      </c>
      <c r="P23" s="155"/>
      <c r="Q23" s="143">
        <v>2062405</v>
      </c>
      <c r="S23" s="154">
        <f t="shared" si="1"/>
        <v>0</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6551774</v>
      </c>
      <c r="K26" s="107">
        <f>SUM(K15:K25)</f>
        <v>6551774</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0</v>
      </c>
      <c r="K33" s="144"/>
    </row>
    <row r="34" spans="1:12" ht="16.5" customHeight="1" x14ac:dyDescent="0.25">
      <c r="A34" s="54"/>
      <c r="B34" s="9"/>
      <c r="C34" s="9" t="s">
        <v>1673</v>
      </c>
      <c r="D34" s="140"/>
      <c r="E34" s="140"/>
      <c r="F34" s="141"/>
      <c r="G34" s="141"/>
      <c r="H34" s="142"/>
      <c r="I34" s="142"/>
      <c r="J34" s="144"/>
      <c r="K34" s="143">
        <v>0</v>
      </c>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v>0</v>
      </c>
      <c r="K39" s="144"/>
    </row>
    <row r="40" spans="1:12" ht="16.5" customHeight="1" x14ac:dyDescent="0.25">
      <c r="A40" s="159" t="s">
        <v>1637</v>
      </c>
      <c r="B40" s="9" t="s">
        <v>171</v>
      </c>
      <c r="C40" s="9"/>
      <c r="D40" s="140"/>
      <c r="E40" s="140"/>
      <c r="F40" s="141"/>
      <c r="G40" s="141"/>
      <c r="H40" s="142"/>
      <c r="I40" s="142"/>
      <c r="J40" s="143">
        <v>0</v>
      </c>
      <c r="K40" s="144"/>
    </row>
    <row r="41" spans="1:12" ht="16.5" customHeight="1" x14ac:dyDescent="0.25">
      <c r="A41" s="159" t="s">
        <v>1637</v>
      </c>
      <c r="B41" s="9" t="s">
        <v>172</v>
      </c>
      <c r="C41" s="9"/>
      <c r="D41" s="140"/>
      <c r="E41" s="140"/>
      <c r="F41" s="141"/>
      <c r="G41" s="141"/>
      <c r="H41" s="142"/>
      <c r="I41" s="142"/>
      <c r="J41" s="143">
        <v>0</v>
      </c>
      <c r="K41" s="144"/>
    </row>
    <row r="42" spans="1:12" ht="16.5" customHeight="1" x14ac:dyDescent="0.25">
      <c r="A42" s="54"/>
      <c r="B42" s="9"/>
      <c r="C42" s="9" t="s">
        <v>180</v>
      </c>
      <c r="D42" s="140"/>
      <c r="E42" s="140"/>
      <c r="F42" s="141"/>
      <c r="G42" s="141"/>
      <c r="H42" s="142"/>
      <c r="I42" s="142"/>
      <c r="J42" s="144"/>
      <c r="K42" s="143">
        <v>0</v>
      </c>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0</v>
      </c>
      <c r="K47" s="144"/>
    </row>
    <row r="48" spans="1:12" ht="16.5" customHeight="1" x14ac:dyDescent="0.25">
      <c r="A48" s="165" t="s">
        <v>1645</v>
      </c>
      <c r="B48" s="9"/>
      <c r="C48" s="9" t="s">
        <v>173</v>
      </c>
      <c r="D48" s="140"/>
      <c r="E48" s="140"/>
      <c r="F48" s="141"/>
      <c r="G48" s="141"/>
      <c r="H48" s="142"/>
      <c r="I48" s="142"/>
      <c r="J48" s="144"/>
      <c r="K48" s="143">
        <v>0</v>
      </c>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1536448</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1536448</v>
      </c>
    </row>
    <row r="59" spans="1:16" ht="16.5" customHeight="1" x14ac:dyDescent="0.25">
      <c r="A59" s="54"/>
      <c r="C59" s="16"/>
      <c r="D59" s="16"/>
      <c r="E59" s="16"/>
      <c r="F59" s="17"/>
      <c r="G59" s="17"/>
      <c r="H59" s="18"/>
      <c r="I59" s="18"/>
      <c r="J59" s="107">
        <f>SUM(J55:J58)</f>
        <v>1536448</v>
      </c>
      <c r="K59" s="107">
        <f>SUM(K55:K58)</f>
        <v>1536448</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1538949</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2714</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1541663</v>
      </c>
    </row>
    <row r="65" spans="1:12" ht="16.5" customHeight="1" x14ac:dyDescent="0.25">
      <c r="A65" s="54"/>
      <c r="C65" s="16"/>
      <c r="D65" s="16"/>
      <c r="E65" s="16"/>
      <c r="F65" s="17"/>
      <c r="G65" s="17"/>
      <c r="H65" s="18"/>
      <c r="I65" s="18"/>
      <c r="J65" s="107">
        <f>SUM(J62:J64)</f>
        <v>1541663</v>
      </c>
      <c r="K65" s="107">
        <f>SUM(K62:K64)</f>
        <v>1541663</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1538949</v>
      </c>
      <c r="K68" s="144"/>
    </row>
    <row r="69" spans="1:12" ht="16.5" customHeight="1" x14ac:dyDescent="0.25">
      <c r="A69" s="54"/>
      <c r="B69" s="9"/>
      <c r="C69" s="9" t="s">
        <v>185</v>
      </c>
      <c r="D69" s="140"/>
      <c r="E69" s="140"/>
      <c r="F69" s="141"/>
      <c r="G69" s="141"/>
      <c r="H69" s="142"/>
      <c r="I69" s="142"/>
      <c r="J69" s="144"/>
      <c r="K69" s="143">
        <v>1538949</v>
      </c>
      <c r="L69" s="10" t="str">
        <f>IF($J$62=$K$69,"","&lt;- Accts 0848 must agree")</f>
        <v/>
      </c>
    </row>
    <row r="70" spans="1:12" ht="16.5" customHeight="1" x14ac:dyDescent="0.25">
      <c r="A70" s="54"/>
      <c r="C70" s="16"/>
      <c r="D70" s="16"/>
      <c r="E70" s="16"/>
      <c r="F70" s="17"/>
      <c r="G70" s="17"/>
      <c r="H70" s="18"/>
      <c r="I70" s="18"/>
      <c r="J70" s="107">
        <f>SUM(J68:J69)</f>
        <v>1538949</v>
      </c>
      <c r="K70" s="107">
        <f>SUM(K68:K69)</f>
        <v>1538949</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523455</v>
      </c>
      <c r="K75" s="144"/>
    </row>
    <row r="76" spans="1:12" ht="16.5" customHeight="1" x14ac:dyDescent="0.25">
      <c r="A76" s="54"/>
      <c r="B76" s="9"/>
      <c r="C76" s="9" t="s">
        <v>193</v>
      </c>
      <c r="D76" s="140"/>
      <c r="E76" s="140"/>
      <c r="F76" s="141"/>
      <c r="G76" s="141"/>
      <c r="H76" s="142"/>
      <c r="I76" s="142"/>
      <c r="J76" s="144"/>
      <c r="K76" s="143">
        <v>523455</v>
      </c>
    </row>
    <row r="77" spans="1:12" ht="16.5" customHeight="1" x14ac:dyDescent="0.2">
      <c r="A77" s="54"/>
      <c r="B77" s="196" t="s">
        <v>1672</v>
      </c>
      <c r="C77" s="196"/>
      <c r="D77" s="196"/>
      <c r="E77" s="196"/>
      <c r="F77" s="196"/>
      <c r="G77" s="196"/>
      <c r="H77" s="196"/>
      <c r="I77" s="196"/>
      <c r="J77" s="107">
        <f>SUM(J75:J76)</f>
        <v>523455</v>
      </c>
      <c r="K77" s="107">
        <f>SUM(K75:K76)</f>
        <v>523455</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v>0</v>
      </c>
      <c r="K85" s="144"/>
      <c r="L85" s="8"/>
    </row>
    <row r="86" spans="1:16" ht="16.5" customHeight="1" x14ac:dyDescent="0.2">
      <c r="A86" s="54"/>
      <c r="B86" s="9" t="s">
        <v>162</v>
      </c>
      <c r="C86" s="25"/>
      <c r="D86" s="25"/>
      <c r="E86" s="25"/>
      <c r="F86" s="25"/>
      <c r="G86" s="25"/>
      <c r="H86" s="25"/>
      <c r="I86" s="25"/>
      <c r="J86" s="143">
        <v>0</v>
      </c>
      <c r="K86" s="148"/>
    </row>
    <row r="87" spans="1:16" ht="16.5" customHeight="1" x14ac:dyDescent="0.2">
      <c r="A87" s="54"/>
      <c r="B87" s="9" t="s">
        <v>187</v>
      </c>
      <c r="C87" s="25"/>
      <c r="D87" s="25"/>
      <c r="E87" s="25"/>
      <c r="F87" s="25"/>
      <c r="G87" s="25"/>
      <c r="H87" s="25"/>
      <c r="I87" s="25"/>
      <c r="J87" s="143">
        <v>0</v>
      </c>
      <c r="K87" s="148"/>
    </row>
    <row r="88" spans="1:16" ht="16.5" customHeight="1" x14ac:dyDescent="0.2">
      <c r="A88" s="159" t="s">
        <v>1637</v>
      </c>
      <c r="B88" s="25"/>
      <c r="C88" s="9" t="s">
        <v>188</v>
      </c>
      <c r="D88" s="25"/>
      <c r="E88" s="25"/>
      <c r="F88" s="25"/>
      <c r="G88" s="25"/>
      <c r="H88" s="25"/>
      <c r="I88" s="25"/>
      <c r="J88" s="148"/>
      <c r="K88" s="143">
        <v>0</v>
      </c>
    </row>
    <row r="89" spans="1:16" ht="16.5" customHeight="1" x14ac:dyDescent="0.2">
      <c r="A89" s="159" t="s">
        <v>1637</v>
      </c>
      <c r="B89" s="25"/>
      <c r="C89" s="9" t="s">
        <v>163</v>
      </c>
      <c r="D89" s="25"/>
      <c r="E89" s="25"/>
      <c r="F89" s="25"/>
      <c r="G89" s="25"/>
      <c r="H89" s="25"/>
      <c r="I89" s="25"/>
      <c r="J89" s="148"/>
      <c r="K89" s="143">
        <v>0</v>
      </c>
    </row>
    <row r="90" spans="1:16" ht="16.5" customHeight="1" x14ac:dyDescent="0.2">
      <c r="A90" s="159" t="s">
        <v>1637</v>
      </c>
      <c r="B90" s="25"/>
      <c r="C90" s="9" t="s">
        <v>189</v>
      </c>
      <c r="D90" s="25"/>
      <c r="E90" s="25"/>
      <c r="F90" s="25"/>
      <c r="G90" s="25"/>
      <c r="H90" s="25"/>
      <c r="I90" s="25"/>
      <c r="J90" s="148"/>
      <c r="K90" s="143">
        <v>0</v>
      </c>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0</v>
      </c>
      <c r="K96" s="149"/>
    </row>
    <row r="97" spans="1:12" ht="16.5" customHeight="1" x14ac:dyDescent="0.2">
      <c r="B97" s="9" t="s">
        <v>186</v>
      </c>
      <c r="C97" s="25"/>
      <c r="D97" s="25"/>
      <c r="E97" s="25"/>
      <c r="F97" s="25"/>
      <c r="G97" s="25"/>
      <c r="H97" s="25"/>
      <c r="I97" s="25"/>
      <c r="J97" s="143">
        <v>0</v>
      </c>
      <c r="K97" s="25"/>
    </row>
    <row r="98" spans="1:12" ht="16.5" customHeight="1" x14ac:dyDescent="0.2">
      <c r="B98" s="9" t="s">
        <v>162</v>
      </c>
      <c r="C98" s="25"/>
      <c r="D98" s="25"/>
      <c r="E98" s="25"/>
      <c r="F98" s="25"/>
      <c r="G98" s="25"/>
      <c r="H98" s="25"/>
      <c r="I98" s="25"/>
      <c r="J98" s="143">
        <v>0</v>
      </c>
      <c r="K98" s="25"/>
    </row>
    <row r="99" spans="1:12" ht="16.5" customHeight="1" x14ac:dyDescent="0.2">
      <c r="B99" s="9" t="s">
        <v>187</v>
      </c>
      <c r="C99" s="25"/>
      <c r="D99" s="25"/>
      <c r="E99" s="25"/>
      <c r="F99" s="25"/>
      <c r="G99" s="25"/>
      <c r="H99" s="25"/>
      <c r="I99" s="25"/>
      <c r="J99" s="143">
        <v>0</v>
      </c>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v>0</v>
      </c>
      <c r="K100" s="25"/>
    </row>
    <row r="101" spans="1:12" ht="16.5" customHeight="1" x14ac:dyDescent="0.2">
      <c r="A101" s="159" t="s">
        <v>1637</v>
      </c>
      <c r="B101" s="25"/>
      <c r="C101" s="9" t="s">
        <v>188</v>
      </c>
      <c r="D101" s="25"/>
      <c r="E101" s="25"/>
      <c r="F101" s="25"/>
      <c r="G101" s="25"/>
      <c r="H101" s="25"/>
      <c r="I101" s="25"/>
      <c r="J101" s="25"/>
      <c r="K101" s="143">
        <v>0</v>
      </c>
    </row>
    <row r="102" spans="1:12" ht="16.5" customHeight="1" x14ac:dyDescent="0.2">
      <c r="A102" s="159" t="s">
        <v>1637</v>
      </c>
      <c r="B102" s="25"/>
      <c r="C102" s="9" t="s">
        <v>163</v>
      </c>
      <c r="D102" s="25"/>
      <c r="E102" s="25"/>
      <c r="F102" s="25"/>
      <c r="G102" s="25"/>
      <c r="H102" s="25"/>
      <c r="I102" s="25"/>
      <c r="J102" s="25"/>
      <c r="K102" s="143">
        <v>0</v>
      </c>
    </row>
    <row r="103" spans="1:12" ht="16.5" customHeight="1" x14ac:dyDescent="0.2">
      <c r="A103" s="159" t="s">
        <v>1637</v>
      </c>
      <c r="B103" s="25"/>
      <c r="C103" s="9" t="s">
        <v>189</v>
      </c>
      <c r="D103" s="25"/>
      <c r="E103" s="25"/>
      <c r="F103" s="25"/>
      <c r="G103" s="25"/>
      <c r="H103" s="25"/>
      <c r="I103" s="25"/>
      <c r="J103" s="25"/>
      <c r="K103" s="143">
        <v>0</v>
      </c>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v>0</v>
      </c>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v>0</v>
      </c>
      <c r="K110" s="25"/>
    </row>
    <row r="111" spans="1:12" ht="16.5" customHeight="1" x14ac:dyDescent="0.2">
      <c r="A111" s="159" t="s">
        <v>1637</v>
      </c>
      <c r="B111" s="9" t="s">
        <v>171</v>
      </c>
      <c r="C111" s="9"/>
      <c r="D111" s="7"/>
      <c r="E111" s="25"/>
      <c r="F111" s="25"/>
      <c r="G111" s="25"/>
      <c r="H111" s="25"/>
      <c r="I111" s="25"/>
      <c r="J111" s="143">
        <v>0</v>
      </c>
      <c r="K111" s="25"/>
    </row>
    <row r="112" spans="1:12" ht="16.5" customHeight="1" x14ac:dyDescent="0.2">
      <c r="A112" s="159" t="s">
        <v>1637</v>
      </c>
      <c r="B112" s="9" t="s">
        <v>172</v>
      </c>
      <c r="C112" s="9"/>
      <c r="D112" s="7"/>
      <c r="E112" s="25"/>
      <c r="F112" s="25"/>
      <c r="G112" s="25"/>
      <c r="H112" s="25"/>
      <c r="I112" s="25"/>
      <c r="J112" s="143">
        <v>0</v>
      </c>
      <c r="K112" s="25"/>
    </row>
    <row r="113" spans="1:12" ht="16.5" customHeight="1" x14ac:dyDescent="0.2">
      <c r="A113" s="165" t="s">
        <v>1645</v>
      </c>
      <c r="B113" s="9"/>
      <c r="C113" s="9" t="s">
        <v>173</v>
      </c>
      <c r="D113" s="7"/>
      <c r="E113" s="25"/>
      <c r="F113" s="25"/>
      <c r="G113" s="25"/>
      <c r="H113" s="25"/>
      <c r="I113" s="25"/>
      <c r="J113" s="25"/>
      <c r="K113" s="143">
        <v>0</v>
      </c>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6547726</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-6025817</v>
      </c>
    </row>
    <row r="128" spans="1:12" ht="16.5" customHeight="1" x14ac:dyDescent="0.25">
      <c r="D128" s="140" t="s">
        <v>1656</v>
      </c>
      <c r="H128" s="10"/>
      <c r="K128" s="169">
        <f>-K23-K48+J68+J75+J96-K113</f>
        <v>-1</v>
      </c>
    </row>
    <row r="129" spans="4:11" ht="16.5" customHeight="1" x14ac:dyDescent="0.25">
      <c r="D129" s="140" t="s">
        <v>1657</v>
      </c>
      <c r="H129" s="10"/>
      <c r="K129" s="169">
        <f>-K76</f>
        <v>-523455</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type="textLength" operator="equal" allowBlank="1" showInputMessage="1" showErrorMessage="1" errorTitle="4-Digit Org Code" error="Enter the Org Code/BU as 4 digits." sqref="F5" xr:uid="{A8A296C0-7413-42F0-BDA3-2E378E796354}">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72FF457B-5749-4D49-9739-7BC39CBAB700}">
      <formula1>0</formula1>
    </dataValidation>
    <dataValidation operator="lessThan" allowBlank="1" showInputMessage="1" showErrorMessage="1" sqref="A3:A8" xr:uid="{84CD9B3C-39DA-41A9-AD7E-541E6F6F69F4}"/>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631C8179-B4B8-47BC-B60E-6258472D264F}">
          <x14:formula1>
            <xm:f>'Drop Down Menus'!$E$1:$E$3</xm:f>
          </x14:formula1>
          <xm:sqref>F8</xm:sqref>
        </x14:dataValidation>
        <x14:dataValidation type="list" allowBlank="1" showInputMessage="1" showErrorMessage="1" xr:uid="{54B9D36A-F531-49FF-9576-B8C3467A9A6B}">
          <x14:formula1>
            <xm:f>'Drop Down Menus'!$B$1:$B$2</xm:f>
          </x14:formula1>
          <xm:sqref>F7</xm:sqref>
        </x14:dataValidation>
        <x14:dataValidation type="list" allowBlank="1" showInputMessage="1" showErrorMessage="1" xr:uid="{914253B9-21C5-489D-A301-39282412768F}">
          <x14:formula1>
            <xm:f>'Drop Down Menus'!$A$1:$A$101</xm:f>
          </x14:formula1>
          <xm:sqref>F3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F249E-B705-4EFB-9E9F-0361C2D58A64}">
  <sheetPr>
    <tabColor theme="9" tint="0.59999389629810485"/>
    <pageSetUpPr fitToPage="1"/>
  </sheetPr>
  <dimension ref="A1:T193"/>
  <sheetViews>
    <sheetView zoomScale="70" zoomScaleNormal="7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738</v>
      </c>
      <c r="G4" s="191"/>
      <c r="H4" s="191"/>
      <c r="I4" s="191"/>
    </row>
    <row r="5" spans="1:20" ht="16.5" customHeight="1" x14ac:dyDescent="0.2">
      <c r="A5" s="189" t="s">
        <v>1615</v>
      </c>
      <c r="B5" s="189"/>
      <c r="C5" s="189"/>
      <c r="D5" s="189"/>
      <c r="E5" s="189"/>
      <c r="F5" s="191" t="s">
        <v>737</v>
      </c>
      <c r="G5" s="191"/>
      <c r="H5" s="191"/>
      <c r="I5" s="191"/>
      <c r="L5" s="12"/>
      <c r="M5" s="12"/>
      <c r="N5" s="12"/>
      <c r="O5" s="12"/>
      <c r="P5" s="12"/>
      <c r="Q5" s="12"/>
    </row>
    <row r="6" spans="1:20" ht="16.5" customHeight="1" x14ac:dyDescent="0.25">
      <c r="A6" s="189" t="s">
        <v>1634</v>
      </c>
      <c r="B6" s="189"/>
      <c r="C6" s="189"/>
      <c r="D6" s="189"/>
      <c r="E6" s="189"/>
      <c r="F6" s="192">
        <v>3212</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RESOURCES</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204947</v>
      </c>
      <c r="M17" s="143">
        <v>204947</v>
      </c>
      <c r="P17" s="143">
        <v>0</v>
      </c>
      <c r="Q17" s="155"/>
      <c r="S17" s="154">
        <f t="shared" si="0"/>
        <v>-204947</v>
      </c>
      <c r="T17" s="180" t="s">
        <v>1684</v>
      </c>
    </row>
    <row r="18" spans="1:20" ht="16.5" customHeight="1" x14ac:dyDescent="0.25">
      <c r="A18" s="54"/>
      <c r="B18" s="9" t="s">
        <v>168</v>
      </c>
      <c r="C18" s="9"/>
      <c r="D18" s="9"/>
      <c r="E18" s="140"/>
      <c r="F18" s="141"/>
      <c r="G18" s="141"/>
      <c r="H18" s="142"/>
      <c r="I18" s="142"/>
      <c r="J18" s="178">
        <f>P18</f>
        <v>0</v>
      </c>
      <c r="M18" s="143">
        <v>0</v>
      </c>
      <c r="P18" s="152">
        <f>IF(SUM($Q$20:$Q$23)&gt;SUM($P$15:$P$17),SUM($Q$20:$Q$23)-SUM($P$15:$P$17),0)</f>
        <v>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154</v>
      </c>
      <c r="M19" s="143">
        <v>154</v>
      </c>
      <c r="P19" s="155"/>
      <c r="Q19" s="155"/>
      <c r="S19" s="154">
        <f t="shared" si="0"/>
        <v>-154</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108167</v>
      </c>
      <c r="N22" s="143">
        <v>108167</v>
      </c>
      <c r="P22" s="155"/>
      <c r="Q22" s="143">
        <v>0</v>
      </c>
      <c r="S22" s="154">
        <f t="shared" ref="S22:S25" si="1">Q22-N22</f>
        <v>-108167</v>
      </c>
      <c r="T22" s="179" t="s">
        <v>1668</v>
      </c>
    </row>
    <row r="23" spans="1:20" ht="16.5" customHeight="1" x14ac:dyDescent="0.25">
      <c r="A23" s="165" t="s">
        <v>1645</v>
      </c>
      <c r="B23" s="9"/>
      <c r="C23" s="9" t="s">
        <v>173</v>
      </c>
      <c r="D23" s="9"/>
      <c r="E23" s="140"/>
      <c r="F23" s="141"/>
      <c r="G23" s="141"/>
      <c r="H23" s="142"/>
      <c r="I23" s="142"/>
      <c r="J23" s="150"/>
      <c r="K23" s="178">
        <f>N23</f>
        <v>96934</v>
      </c>
      <c r="N23" s="143">
        <v>96934</v>
      </c>
      <c r="P23" s="155"/>
      <c r="Q23" s="143">
        <v>0</v>
      </c>
      <c r="S23" s="154">
        <f t="shared" si="1"/>
        <v>-96934</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205101</v>
      </c>
      <c r="K26" s="107">
        <f>SUM(K15:K25)</f>
        <v>205101</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0</v>
      </c>
      <c r="K33" s="144"/>
    </row>
    <row r="34" spans="1:12" ht="16.5" customHeight="1" x14ac:dyDescent="0.25">
      <c r="A34" s="54"/>
      <c r="B34" s="9"/>
      <c r="C34" s="9" t="s">
        <v>1673</v>
      </c>
      <c r="D34" s="140"/>
      <c r="E34" s="140"/>
      <c r="F34" s="141"/>
      <c r="G34" s="141"/>
      <c r="H34" s="142"/>
      <c r="I34" s="142"/>
      <c r="J34" s="144"/>
      <c r="K34" s="143">
        <v>0</v>
      </c>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v>0</v>
      </c>
      <c r="K39" s="144"/>
    </row>
    <row r="40" spans="1:12" ht="16.5" customHeight="1" x14ac:dyDescent="0.25">
      <c r="A40" s="159" t="s">
        <v>1637</v>
      </c>
      <c r="B40" s="9" t="s">
        <v>171</v>
      </c>
      <c r="C40" s="9"/>
      <c r="D40" s="140"/>
      <c r="E40" s="140"/>
      <c r="F40" s="141"/>
      <c r="G40" s="141"/>
      <c r="H40" s="142"/>
      <c r="I40" s="142"/>
      <c r="J40" s="143">
        <v>0</v>
      </c>
      <c r="K40" s="144"/>
    </row>
    <row r="41" spans="1:12" ht="16.5" customHeight="1" x14ac:dyDescent="0.25">
      <c r="A41" s="159" t="s">
        <v>1637</v>
      </c>
      <c r="B41" s="9" t="s">
        <v>172</v>
      </c>
      <c r="C41" s="9"/>
      <c r="D41" s="140"/>
      <c r="E41" s="140"/>
      <c r="F41" s="141"/>
      <c r="G41" s="141"/>
      <c r="H41" s="142"/>
      <c r="I41" s="142"/>
      <c r="J41" s="143">
        <v>0</v>
      </c>
      <c r="K41" s="144"/>
    </row>
    <row r="42" spans="1:12" ht="16.5" customHeight="1" x14ac:dyDescent="0.25">
      <c r="A42" s="54"/>
      <c r="B42" s="9"/>
      <c r="C42" s="9" t="s">
        <v>180</v>
      </c>
      <c r="D42" s="140"/>
      <c r="E42" s="140"/>
      <c r="F42" s="141"/>
      <c r="G42" s="141"/>
      <c r="H42" s="142"/>
      <c r="I42" s="142"/>
      <c r="J42" s="144"/>
      <c r="K42" s="143">
        <v>0</v>
      </c>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0</v>
      </c>
      <c r="K47" s="144"/>
    </row>
    <row r="48" spans="1:12" ht="16.5" customHeight="1" x14ac:dyDescent="0.25">
      <c r="A48" s="165" t="s">
        <v>1645</v>
      </c>
      <c r="B48" s="9"/>
      <c r="C48" s="9" t="s">
        <v>173</v>
      </c>
      <c r="D48" s="140"/>
      <c r="E48" s="140"/>
      <c r="F48" s="141"/>
      <c r="G48" s="141"/>
      <c r="H48" s="142"/>
      <c r="I48" s="142"/>
      <c r="J48" s="144"/>
      <c r="K48" s="143">
        <v>0</v>
      </c>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68316</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68316</v>
      </c>
    </row>
    <row r="59" spans="1:16" ht="16.5" customHeight="1" x14ac:dyDescent="0.25">
      <c r="A59" s="54"/>
      <c r="C59" s="16"/>
      <c r="D59" s="16"/>
      <c r="E59" s="16"/>
      <c r="F59" s="17"/>
      <c r="G59" s="17"/>
      <c r="H59" s="18"/>
      <c r="I59" s="18"/>
      <c r="J59" s="107">
        <f>SUM(J55:J58)</f>
        <v>68316</v>
      </c>
      <c r="K59" s="107">
        <f>SUM(K55:K58)</f>
        <v>68316</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68395</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131</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68526</v>
      </c>
    </row>
    <row r="65" spans="1:12" ht="16.5" customHeight="1" x14ac:dyDescent="0.25">
      <c r="A65" s="54"/>
      <c r="C65" s="16"/>
      <c r="D65" s="16"/>
      <c r="E65" s="16"/>
      <c r="F65" s="17"/>
      <c r="G65" s="17"/>
      <c r="H65" s="18"/>
      <c r="I65" s="18"/>
      <c r="J65" s="107">
        <f>SUM(J62:J64)</f>
        <v>68526</v>
      </c>
      <c r="K65" s="107">
        <f>SUM(K62:K64)</f>
        <v>68526</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68395</v>
      </c>
      <c r="K68" s="144"/>
    </row>
    <row r="69" spans="1:12" ht="16.5" customHeight="1" x14ac:dyDescent="0.25">
      <c r="A69" s="54"/>
      <c r="B69" s="9"/>
      <c r="C69" s="9" t="s">
        <v>185</v>
      </c>
      <c r="D69" s="140"/>
      <c r="E69" s="140"/>
      <c r="F69" s="141"/>
      <c r="G69" s="141"/>
      <c r="H69" s="142"/>
      <c r="I69" s="142"/>
      <c r="J69" s="144"/>
      <c r="K69" s="143">
        <v>68395</v>
      </c>
      <c r="L69" s="10" t="str">
        <f>IF($J$62=$K$69,"","&lt;- Accts 0848 must agree")</f>
        <v/>
      </c>
    </row>
    <row r="70" spans="1:12" ht="16.5" customHeight="1" x14ac:dyDescent="0.25">
      <c r="A70" s="54"/>
      <c r="C70" s="16"/>
      <c r="D70" s="16"/>
      <c r="E70" s="16"/>
      <c r="F70" s="17"/>
      <c r="G70" s="17"/>
      <c r="H70" s="18"/>
      <c r="I70" s="18"/>
      <c r="J70" s="107">
        <f>SUM(J68:J69)</f>
        <v>68395</v>
      </c>
      <c r="K70" s="107">
        <f>SUM(K68:K69)</f>
        <v>68395</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28539</v>
      </c>
      <c r="K75" s="144"/>
    </row>
    <row r="76" spans="1:12" ht="16.5" customHeight="1" x14ac:dyDescent="0.25">
      <c r="A76" s="54"/>
      <c r="B76" s="9"/>
      <c r="C76" s="9" t="s">
        <v>193</v>
      </c>
      <c r="D76" s="140"/>
      <c r="E76" s="140"/>
      <c r="F76" s="141"/>
      <c r="G76" s="141"/>
      <c r="H76" s="142"/>
      <c r="I76" s="142"/>
      <c r="J76" s="144"/>
      <c r="K76" s="143">
        <v>28539</v>
      </c>
    </row>
    <row r="77" spans="1:12" ht="16.5" customHeight="1" x14ac:dyDescent="0.2">
      <c r="A77" s="54"/>
      <c r="B77" s="196" t="s">
        <v>1672</v>
      </c>
      <c r="C77" s="196"/>
      <c r="D77" s="196"/>
      <c r="E77" s="196"/>
      <c r="F77" s="196"/>
      <c r="G77" s="196"/>
      <c r="H77" s="196"/>
      <c r="I77" s="196"/>
      <c r="J77" s="107">
        <f>SUM(J75:J76)</f>
        <v>28539</v>
      </c>
      <c r="K77" s="107">
        <f>SUM(K75:K76)</f>
        <v>28539</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v>0</v>
      </c>
      <c r="K85" s="144"/>
      <c r="L85" s="8"/>
    </row>
    <row r="86" spans="1:16" ht="16.5" customHeight="1" x14ac:dyDescent="0.2">
      <c r="A86" s="54"/>
      <c r="B86" s="9" t="s">
        <v>162</v>
      </c>
      <c r="C86" s="25"/>
      <c r="D86" s="25"/>
      <c r="E86" s="25"/>
      <c r="F86" s="25"/>
      <c r="G86" s="25"/>
      <c r="H86" s="25"/>
      <c r="I86" s="25"/>
      <c r="J86" s="143">
        <v>0</v>
      </c>
      <c r="K86" s="148"/>
    </row>
    <row r="87" spans="1:16" ht="16.5" customHeight="1" x14ac:dyDescent="0.2">
      <c r="A87" s="54"/>
      <c r="B87" s="9" t="s">
        <v>187</v>
      </c>
      <c r="C87" s="25"/>
      <c r="D87" s="25"/>
      <c r="E87" s="25"/>
      <c r="F87" s="25"/>
      <c r="G87" s="25"/>
      <c r="H87" s="25"/>
      <c r="I87" s="25"/>
      <c r="J87" s="143">
        <v>0</v>
      </c>
      <c r="K87" s="148"/>
    </row>
    <row r="88" spans="1:16" ht="16.5" customHeight="1" x14ac:dyDescent="0.2">
      <c r="A88" s="159" t="s">
        <v>1637</v>
      </c>
      <c r="B88" s="25"/>
      <c r="C88" s="9" t="s">
        <v>188</v>
      </c>
      <c r="D88" s="25"/>
      <c r="E88" s="25"/>
      <c r="F88" s="25"/>
      <c r="G88" s="25"/>
      <c r="H88" s="25"/>
      <c r="I88" s="25"/>
      <c r="J88" s="148"/>
      <c r="K88" s="143">
        <v>0</v>
      </c>
    </row>
    <row r="89" spans="1:16" ht="16.5" customHeight="1" x14ac:dyDescent="0.2">
      <c r="A89" s="159" t="s">
        <v>1637</v>
      </c>
      <c r="B89" s="25"/>
      <c r="C89" s="9" t="s">
        <v>163</v>
      </c>
      <c r="D89" s="25"/>
      <c r="E89" s="25"/>
      <c r="F89" s="25"/>
      <c r="G89" s="25"/>
      <c r="H89" s="25"/>
      <c r="I89" s="25"/>
      <c r="J89" s="148"/>
      <c r="K89" s="143">
        <v>0</v>
      </c>
    </row>
    <row r="90" spans="1:16" ht="16.5" customHeight="1" x14ac:dyDescent="0.2">
      <c r="A90" s="159" t="s">
        <v>1637</v>
      </c>
      <c r="B90" s="25"/>
      <c r="C90" s="9" t="s">
        <v>189</v>
      </c>
      <c r="D90" s="25"/>
      <c r="E90" s="25"/>
      <c r="F90" s="25"/>
      <c r="G90" s="25"/>
      <c r="H90" s="25"/>
      <c r="I90" s="25"/>
      <c r="J90" s="148"/>
      <c r="K90" s="143">
        <v>0</v>
      </c>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0</v>
      </c>
      <c r="K96" s="149"/>
    </row>
    <row r="97" spans="1:12" ht="16.5" customHeight="1" x14ac:dyDescent="0.2">
      <c r="B97" s="9" t="s">
        <v>186</v>
      </c>
      <c r="C97" s="25"/>
      <c r="D97" s="25"/>
      <c r="E97" s="25"/>
      <c r="F97" s="25"/>
      <c r="G97" s="25"/>
      <c r="H97" s="25"/>
      <c r="I97" s="25"/>
      <c r="J97" s="143">
        <v>0</v>
      </c>
      <c r="K97" s="25"/>
    </row>
    <row r="98" spans="1:12" ht="16.5" customHeight="1" x14ac:dyDescent="0.2">
      <c r="B98" s="9" t="s">
        <v>162</v>
      </c>
      <c r="C98" s="25"/>
      <c r="D98" s="25"/>
      <c r="E98" s="25"/>
      <c r="F98" s="25"/>
      <c r="G98" s="25"/>
      <c r="H98" s="25"/>
      <c r="I98" s="25"/>
      <c r="J98" s="143">
        <v>0</v>
      </c>
      <c r="K98" s="25"/>
    </row>
    <row r="99" spans="1:12" ht="16.5" customHeight="1" x14ac:dyDescent="0.2">
      <c r="B99" s="9" t="s">
        <v>187</v>
      </c>
      <c r="C99" s="25"/>
      <c r="D99" s="25"/>
      <c r="E99" s="25"/>
      <c r="F99" s="25"/>
      <c r="G99" s="25"/>
      <c r="H99" s="25"/>
      <c r="I99" s="25"/>
      <c r="J99" s="143">
        <v>0</v>
      </c>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v>0</v>
      </c>
      <c r="K100" s="25"/>
    </row>
    <row r="101" spans="1:12" ht="16.5" customHeight="1" x14ac:dyDescent="0.2">
      <c r="A101" s="159" t="s">
        <v>1637</v>
      </c>
      <c r="B101" s="25"/>
      <c r="C101" s="9" t="s">
        <v>188</v>
      </c>
      <c r="D101" s="25"/>
      <c r="E101" s="25"/>
      <c r="F101" s="25"/>
      <c r="G101" s="25"/>
      <c r="H101" s="25"/>
      <c r="I101" s="25"/>
      <c r="J101" s="25"/>
      <c r="K101" s="143">
        <v>0</v>
      </c>
    </row>
    <row r="102" spans="1:12" ht="16.5" customHeight="1" x14ac:dyDescent="0.2">
      <c r="A102" s="159" t="s">
        <v>1637</v>
      </c>
      <c r="B102" s="25"/>
      <c r="C102" s="9" t="s">
        <v>163</v>
      </c>
      <c r="D102" s="25"/>
      <c r="E102" s="25"/>
      <c r="F102" s="25"/>
      <c r="G102" s="25"/>
      <c r="H102" s="25"/>
      <c r="I102" s="25"/>
      <c r="J102" s="25"/>
      <c r="K102" s="143">
        <v>0</v>
      </c>
    </row>
    <row r="103" spans="1:12" ht="16.5" customHeight="1" x14ac:dyDescent="0.2">
      <c r="A103" s="159" t="s">
        <v>1637</v>
      </c>
      <c r="B103" s="25"/>
      <c r="C103" s="9" t="s">
        <v>189</v>
      </c>
      <c r="D103" s="25"/>
      <c r="E103" s="25"/>
      <c r="F103" s="25"/>
      <c r="G103" s="25"/>
      <c r="H103" s="25"/>
      <c r="I103" s="25"/>
      <c r="J103" s="25"/>
      <c r="K103" s="143">
        <v>0</v>
      </c>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v>0</v>
      </c>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v>0</v>
      </c>
      <c r="K110" s="25"/>
    </row>
    <row r="111" spans="1:12" ht="16.5" customHeight="1" x14ac:dyDescent="0.2">
      <c r="A111" s="159" t="s">
        <v>1637</v>
      </c>
      <c r="B111" s="9" t="s">
        <v>171</v>
      </c>
      <c r="C111" s="9"/>
      <c r="D111" s="7"/>
      <c r="E111" s="25"/>
      <c r="F111" s="25"/>
      <c r="G111" s="25"/>
      <c r="H111" s="25"/>
      <c r="I111" s="25"/>
      <c r="J111" s="143">
        <v>0</v>
      </c>
      <c r="K111" s="25"/>
    </row>
    <row r="112" spans="1:12" ht="16.5" customHeight="1" x14ac:dyDescent="0.2">
      <c r="A112" s="159" t="s">
        <v>1637</v>
      </c>
      <c r="B112" s="9" t="s">
        <v>172</v>
      </c>
      <c r="C112" s="9"/>
      <c r="D112" s="7"/>
      <c r="E112" s="25"/>
      <c r="F112" s="25"/>
      <c r="G112" s="25"/>
      <c r="H112" s="25"/>
      <c r="I112" s="25"/>
      <c r="J112" s="143">
        <v>0</v>
      </c>
      <c r="K112" s="25"/>
    </row>
    <row r="113" spans="1:12" ht="16.5" customHeight="1" x14ac:dyDescent="0.2">
      <c r="A113" s="165" t="s">
        <v>1645</v>
      </c>
      <c r="B113" s="9"/>
      <c r="C113" s="9" t="s">
        <v>173</v>
      </c>
      <c r="D113" s="7"/>
      <c r="E113" s="25"/>
      <c r="F113" s="25"/>
      <c r="G113" s="25"/>
      <c r="H113" s="25"/>
      <c r="I113" s="25"/>
      <c r="J113" s="25"/>
      <c r="K113" s="143">
        <v>0</v>
      </c>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204947</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-176483</v>
      </c>
    </row>
    <row r="128" spans="1:12" ht="16.5" customHeight="1" x14ac:dyDescent="0.25">
      <c r="D128" s="140" t="s">
        <v>1656</v>
      </c>
      <c r="H128" s="10"/>
      <c r="K128" s="169">
        <f>-K23-K48+J68+J75+J96-K113</f>
        <v>0</v>
      </c>
    </row>
    <row r="129" spans="4:11" ht="16.5" customHeight="1" x14ac:dyDescent="0.25">
      <c r="D129" s="140" t="s">
        <v>1657</v>
      </c>
      <c r="H129" s="10"/>
      <c r="K129" s="169">
        <f>-K76</f>
        <v>-28539</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conditionalFormatting sqref="L62:N62 L69:N69">
    <cfRule type="expression" dxfId="11" priority="12">
      <formula>$J$62&lt;&gt;$K$69</formula>
    </cfRule>
  </conditionalFormatting>
  <conditionalFormatting sqref="L26:P26">
    <cfRule type="expression" dxfId="10" priority="1">
      <formula>$J$26&lt;&gt;$K$26</formula>
    </cfRule>
  </conditionalFormatting>
  <conditionalFormatting sqref="L36:P36">
    <cfRule type="expression" dxfId="9" priority="2">
      <formula>$J$36&lt;&gt;$K$36</formula>
    </cfRule>
  </conditionalFormatting>
  <conditionalFormatting sqref="L43:P43">
    <cfRule type="expression" dxfId="8" priority="3">
      <formula>$J$43&lt;&gt;$K$43</formula>
    </cfRule>
  </conditionalFormatting>
  <conditionalFormatting sqref="L49:P49">
    <cfRule type="expression" dxfId="7" priority="4">
      <formula>$J$49&lt;&gt;$K$49</formula>
    </cfRule>
  </conditionalFormatting>
  <conditionalFormatting sqref="L59:P59">
    <cfRule type="expression" dxfId="6" priority="5">
      <formula>$J$59&lt;&gt;$K$59</formula>
    </cfRule>
  </conditionalFormatting>
  <conditionalFormatting sqref="L65:P65">
    <cfRule type="expression" dxfId="5" priority="6">
      <formula>$J$65&lt;&gt;$K$65</formula>
    </cfRule>
  </conditionalFormatting>
  <conditionalFormatting sqref="L70:P70">
    <cfRule type="expression" dxfId="4" priority="7">
      <formula>$J$70&lt;&gt;$K$70</formula>
    </cfRule>
  </conditionalFormatting>
  <conditionalFormatting sqref="L77:P77">
    <cfRule type="expression" dxfId="3" priority="8">
      <formula>$J$77&lt;&gt;$K$77</formula>
    </cfRule>
  </conditionalFormatting>
  <conditionalFormatting sqref="L91:P91">
    <cfRule type="expression" dxfId="2" priority="9">
      <formula>$J$91&lt;&gt;$K$91</formula>
    </cfRule>
  </conditionalFormatting>
  <conditionalFormatting sqref="L105:P105">
    <cfRule type="expression" dxfId="1" priority="10">
      <formula>$J$105&lt;&gt;$K$105</formula>
    </cfRule>
  </conditionalFormatting>
  <conditionalFormatting sqref="L114:P114">
    <cfRule type="expression" dxfId="0" priority="11">
      <formula>$J$114&lt;&gt;$K$114</formula>
    </cfRule>
  </conditionalFormatting>
  <dataValidations count="3">
    <dataValidation operator="lessThan" allowBlank="1" showInputMessage="1" showErrorMessage="1" sqref="A3:A8" xr:uid="{C9C36301-2E54-4135-9F75-AB56FF1597E2}"/>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9F5EC13-A365-428F-9734-11E0BEAD247A}">
      <formula1>0</formula1>
    </dataValidation>
    <dataValidation type="textLength" operator="equal" allowBlank="1" showInputMessage="1" showErrorMessage="1" errorTitle="4-Digit Org Code" error="Enter the Org Code/BU as 4 digits." sqref="F5" xr:uid="{7D424EE9-06B0-462C-B792-5BCFAE3A8548}">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762BD918-8A38-4C0A-896D-FBD2B17D4AEC}">
          <x14:formula1>
            <xm:f>'Drop Down Menus'!$A$1:$A$101</xm:f>
          </x14:formula1>
          <xm:sqref>F3</xm:sqref>
        </x14:dataValidation>
        <x14:dataValidation type="list" allowBlank="1" showInputMessage="1" showErrorMessage="1" xr:uid="{E4E2797A-07AE-4DCD-8322-8AC15CAA84DC}">
          <x14:formula1>
            <xm:f>'Drop Down Menus'!$B$1:$B$2</xm:f>
          </x14:formula1>
          <xm:sqref>F7</xm:sqref>
        </x14:dataValidation>
        <x14:dataValidation type="list" allowBlank="1" showInputMessage="1" showErrorMessage="1" xr:uid="{88351483-D284-42FF-8543-13ADDE901E73}">
          <x14:formula1>
            <xm:f>'Drop Down Menus'!$E$1:$E$3</xm:f>
          </x14:formula1>
          <xm:sqref>F8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sqref="A1:F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3480</v>
      </c>
      <c r="C9" s="209"/>
      <c r="D9" s="3"/>
      <c r="E9" s="3"/>
      <c r="F9" s="3"/>
    </row>
    <row r="10" spans="1:13" ht="15.75" x14ac:dyDescent="0.25">
      <c r="A10" s="5" t="s">
        <v>191</v>
      </c>
      <c r="B10" s="210" t="s">
        <v>738</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f>853687+28539</f>
        <v>882226</v>
      </c>
      <c r="C13" s="55">
        <f>386+14</f>
        <v>400</v>
      </c>
      <c r="D13" s="202" t="s">
        <v>4</v>
      </c>
      <c r="E13" s="203"/>
      <c r="F13" s="203"/>
      <c r="G13" s="29"/>
      <c r="H13" s="29"/>
      <c r="I13" s="29"/>
      <c r="J13" s="29"/>
      <c r="K13" s="29"/>
      <c r="L13" s="29"/>
      <c r="M13" s="29"/>
    </row>
    <row r="14" spans="1:13" x14ac:dyDescent="0.2">
      <c r="A14" s="51" t="str">
        <f>LEFT(A13,4)+1&amp;"–"&amp;RIGHT(A13,4)+1</f>
        <v>2025–2026</v>
      </c>
      <c r="B14" s="55"/>
      <c r="C14" s="55"/>
      <c r="D14" s="202"/>
      <c r="E14" s="203"/>
      <c r="F14" s="203"/>
    </row>
    <row r="15" spans="1:13" ht="15.75" x14ac:dyDescent="0.2">
      <c r="A15" s="51" t="str">
        <f>LEFT(A14,4)+1&amp;"–"&amp;RIGHT(A14,4)+1</f>
        <v>2026–2027</v>
      </c>
      <c r="B15" s="55"/>
      <c r="C15" s="55"/>
      <c r="D15" s="198" t="s">
        <v>124</v>
      </c>
      <c r="E15" s="198"/>
      <c r="F15" s="198"/>
      <c r="G15" s="30"/>
      <c r="H15" s="30"/>
      <c r="I15" s="30"/>
      <c r="J15" s="30"/>
      <c r="K15" s="30"/>
      <c r="L15" s="30"/>
      <c r="M15" s="30"/>
    </row>
    <row r="16" spans="1:13" x14ac:dyDescent="0.2">
      <c r="A16" s="51" t="str">
        <f>LEFT(A15,4)+1&amp;"–"&amp;RIGHT(A15,4)+1</f>
        <v>2027–2028</v>
      </c>
      <c r="B16" s="55"/>
      <c r="C16" s="55"/>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c r="C17" s="55"/>
      <c r="D17" s="198">
        <v>0</v>
      </c>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v>0</v>
      </c>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v>0</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v>0</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v>0</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3480</v>
      </c>
      <c r="C40" s="213"/>
      <c r="E40" s="32"/>
    </row>
    <row r="41" spans="1:13" ht="15.75" x14ac:dyDescent="0.25">
      <c r="A41" s="5" t="s">
        <v>191</v>
      </c>
      <c r="B41" s="197" t="str">
        <f>B10</f>
        <v>DEPARTMENT OF CONSERVATION</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3480</v>
      </c>
      <c r="C71" s="213"/>
    </row>
    <row r="72" spans="1:13" ht="15.75" x14ac:dyDescent="0.25">
      <c r="A72" s="5" t="s">
        <v>191</v>
      </c>
      <c r="B72" s="197" t="str">
        <f>B10</f>
        <v>DEPARTMENT OF CONSERVATION</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3480 - DEPARTMENT OF CONSERVATION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'LS-Fund 0001 Journal Entries'!K23+'LS-Fund 0336 Journal Entries'!K23+'LS-Fund 0338 Journal Entries'!K23+'LS-Fund 3046 Journal Entries'!K23+'LS-Fund 3212 Journal Entries'!K23</f>
        <v>3281002</v>
      </c>
      <c r="G10" s="58"/>
      <c r="H10" s="61">
        <f>'LS-Fund 0001 Journal Entries'!K48+'LS-Fund 0001 Journal Entries'!K113+'LS-Fund 0336 Journal Entries'!K48+'LS-Fund 0336 Journal Entries'!K113+'LS-Fund 0338 Journal Entries'!K48+'LS-Fund 0338 Journal Entries'!K113+'LS-Fund 3046 Journal Entries'!K48+'LS-Fund 3046 Journal Entries'!K113+'LS-Fund 3212 Journal Entries'!K48+'LS-Fund 3212 Journal Entries'!K113</f>
        <v>0</v>
      </c>
      <c r="I10" s="58"/>
      <c r="J10" s="61">
        <f>'LS-Fund 0001 Journal Entries'!J68+'LS-Fund 0001 Journal Entries'!J96+'LS-Fund 0336 Journal Entries'!J68+'LS-Fund 0336 Journal Entries'!J96+'LS-Fund 0338 Journal Entries'!J68+'LS-Fund 0338 Journal Entries'!J96+'LS-Fund 3046 Journal Entries'!J68+'LS-Fund 3046 Journal Entries'!J96+'LS-Fund 3212 Journal Entries'!J68+'LS-Fund 3212 Journal Entries'!J96</f>
        <v>2398776</v>
      </c>
      <c r="K10" s="58"/>
      <c r="L10" s="63">
        <f>SUM(F10+H10-J10)</f>
        <v>882226</v>
      </c>
      <c r="M10" s="58"/>
      <c r="N10" s="61">
        <f>'LS-Fund 0001 Journal Entries'!J75+'LS-Fund 0336 Journal Entries'!J75+'LS-Fund 0338 Journal Entries'!J75+'LS-Fund 3046 Journal Entries'!J75+'LS-Fund 3212 Journal Entries'!J75</f>
        <v>882226</v>
      </c>
      <c r="O10" s="58"/>
      <c r="P10" s="63">
        <f>L10-N10</f>
        <v>0</v>
      </c>
      <c r="Q10" s="43"/>
    </row>
    <row r="11" spans="2:17" ht="19.5" thickTop="1" thickBot="1" x14ac:dyDescent="0.3">
      <c r="B11" s="41"/>
      <c r="C11" s="45" t="s">
        <v>18</v>
      </c>
      <c r="F11" s="62">
        <f>SUM(F10:F10)</f>
        <v>3281002</v>
      </c>
      <c r="G11" s="58"/>
      <c r="H11" s="62">
        <f>SUM(H10:H10)</f>
        <v>0</v>
      </c>
      <c r="I11" s="58"/>
      <c r="J11" s="62">
        <f>SUM(J10:J10)</f>
        <v>2398776</v>
      </c>
      <c r="K11" s="58"/>
      <c r="L11" s="62">
        <f>SUM(L10:L10)</f>
        <v>882226</v>
      </c>
      <c r="M11" s="58"/>
      <c r="N11" s="62">
        <f>SUM(N10:N10)</f>
        <v>882226</v>
      </c>
      <c r="O11" s="58"/>
      <c r="P11" s="62">
        <f>SUM(P10:P10)</f>
        <v>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'LS-Fund 0001 Journal Entries'!K23+'LS-Fund 0336 Journal Entries'!K23+'LS-Fund 0338 Journal Entries'!K23+'LS-Fund 3046 Journal Entries'!K23+'LS-Fund 3212 Journal Entries'!K23</f>
        <v>3281002</v>
      </c>
      <c r="C16" s="116" t="s">
        <v>145</v>
      </c>
      <c r="D16" s="84">
        <f>'LS-Fund 0001 Journal Entries'!K48+'LS-Fund 0336 Journal Entries'!K48+'LS-Fund 0338 Journal Entries'!K48+'LS-Fund 3046 Journal Entries'!K48+'LS-Fund 3212 Journal Entries'!K48</f>
        <v>0</v>
      </c>
      <c r="E16" s="118" t="s">
        <v>146</v>
      </c>
      <c r="F16" s="84">
        <f>'LS-Fund 0001 Journal Entries'!J68+'LS-Fund 0336 Journal Entries'!J68+'LS-Fund 0338 Journal Entries'!J68+'LS-Fund 3046 Journal Entries'!J68+'LS-Fund 3212 Journal Entries'!J68</f>
        <v>2398776</v>
      </c>
      <c r="G16" s="117" t="s">
        <v>146</v>
      </c>
      <c r="H16" s="84">
        <f>'LS-Fund 0001 Journal Entries'!J96+'LS-Fund 0336 Journal Entries'!J96+'LS-Fund 0338 Journal Entries'!J96+'LS-Fund 3046 Journal Entries'!J96+'LS-Fund 3212 Journal Entries'!J96</f>
        <v>0</v>
      </c>
      <c r="I16" s="117" t="s">
        <v>145</v>
      </c>
      <c r="J16" s="84">
        <f>'LS-Fund 0001 Journal Entries'!K113+'LS-Fund 0336 Journal Entries'!K113+'LS-Fund 0338 Journal Entries'!K113+'LS-Fund 3046 Journal Entries'!K113+'LS-Fund 3212 Journal Entries'!K113</f>
        <v>0</v>
      </c>
      <c r="K16" s="118" t="s">
        <v>149</v>
      </c>
      <c r="L16" s="87">
        <f>+B16+D16-F16-H16+J16</f>
        <v>882226</v>
      </c>
      <c r="M16" s="86"/>
      <c r="N16" s="88">
        <f>SUM('LS-Department Note Disclosure'!B13:B36)</f>
        <v>882226</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'LS-Fund 0001 Journal Entries'!J75+'LS-Fund 0336 Journal Entries'!J75+'LS-Fund 0338 Journal Entries'!J75+'LS-Fund 3046 Journal Entries'!J75+'LS-Fund 3212 Journal Entries'!J75</f>
        <v>882226</v>
      </c>
      <c r="C42" s="92"/>
      <c r="E42" s="92"/>
      <c r="G42" s="115"/>
      <c r="H42" s="115"/>
      <c r="I42" s="115"/>
      <c r="J42" s="115"/>
      <c r="K42" s="92"/>
      <c r="L42" s="92"/>
      <c r="M42" s="93"/>
      <c r="N42" s="88">
        <f>'LS-Department Note Disclosure'!B13</f>
        <v>882226</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3281002</v>
      </c>
      <c r="J66" s="97">
        <f>SUM(D66)</f>
        <v>3281002</v>
      </c>
      <c r="L66" s="98" t="str">
        <f>CONCATENATE("Balance July 1, ",LEFT('LS-Department Note Disclosure'!$B$8,4))</f>
        <v>Balance July 1, 2023</v>
      </c>
      <c r="N66" s="97">
        <f>'LS-Lease Liabilities'!F10</f>
        <v>3281002</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2398776</v>
      </c>
      <c r="E68" s="119" t="s">
        <v>145</v>
      </c>
      <c r="F68" s="79" t="s">
        <v>1678</v>
      </c>
      <c r="H68" s="97">
        <f>$H$16</f>
        <v>0</v>
      </c>
      <c r="J68" s="97">
        <f>SUM(D68,H68)</f>
        <v>2398776</v>
      </c>
      <c r="L68" s="98" t="s">
        <v>13</v>
      </c>
      <c r="N68" s="97">
        <f>'LS-Lease Liabilities'!J10</f>
        <v>2398776</v>
      </c>
      <c r="P68" s="89">
        <f t="shared" si="0"/>
        <v>0</v>
      </c>
    </row>
    <row r="69" spans="1:17" x14ac:dyDescent="0.25">
      <c r="B69" s="79" t="s">
        <v>155</v>
      </c>
      <c r="D69" s="97">
        <f>$B$42</f>
        <v>882226</v>
      </c>
      <c r="J69" s="97">
        <f>SUM(D69)</f>
        <v>882226</v>
      </c>
      <c r="L69" s="98" t="s">
        <v>14</v>
      </c>
      <c r="N69" s="97">
        <f>'LS-Lease Liabilities'!N10</f>
        <v>882226</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7</vt:i4>
      </vt:variant>
    </vt:vector>
  </HeadingPairs>
  <TitlesOfParts>
    <vt:vector size="18" baseType="lpstr">
      <vt:lpstr>Drop Down Menus</vt:lpstr>
      <vt:lpstr>qryIndex02a</vt:lpstr>
      <vt:lpstr>LS-Version Changes</vt:lpstr>
      <vt:lpstr>LS-Fund 0001 Journal Entries</vt:lpstr>
      <vt:lpstr>LS-Fund 0336 Journal Entries</vt:lpstr>
      <vt:lpstr>LS-Fund 0338 Journal Entries</vt:lpstr>
      <vt:lpstr>LS-Fund 3046 Journal Entries</vt:lpstr>
      <vt:lpstr>LS-Fund 3212 Journal Entries</vt:lpstr>
      <vt:lpstr>LS-Department Note Disclosure</vt:lpstr>
      <vt:lpstr>LS-Lease Liabilities</vt:lpstr>
      <vt:lpstr>LS-Check Figures  </vt:lpstr>
      <vt:lpstr>'LS-Department Note Disclosure'!Print_Area</vt:lpstr>
      <vt:lpstr>'LS-Fund 0001 Journal Entries'!Print_Area</vt:lpstr>
      <vt:lpstr>'LS-Fund 0336 Journal Entries'!Print_Area</vt:lpstr>
      <vt:lpstr>'LS-Fund 0338 Journal Entries'!Print_Area</vt:lpstr>
      <vt:lpstr>'LS-Fund 3046 Journal Entries'!Print_Area</vt:lpstr>
      <vt:lpstr>'LS-Fund 3212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Bradford, Christopher</cp:lastModifiedBy>
  <cp:lastPrinted>2024-09-14T00:58:00Z</cp:lastPrinted>
  <dcterms:created xsi:type="dcterms:W3CDTF">2023-03-08T17:19:33Z</dcterms:created>
  <dcterms:modified xsi:type="dcterms:W3CDTF">2024-12-31T20:11:10Z</dcterms:modified>
</cp:coreProperties>
</file>