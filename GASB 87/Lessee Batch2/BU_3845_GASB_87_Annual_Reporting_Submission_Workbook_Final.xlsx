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AA3A3D1A-15FF-4648-AFA7-BA64D1B6505F}" xr6:coauthVersionLast="47" xr6:coauthVersionMax="47" xr10:uidLastSave="{00000000-0000-0000-0000-000000000000}"/>
  <bookViews>
    <workbookView xWindow="-12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0140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<sst xmlns="http://schemas.openxmlformats.org/spreadsheetml/2006/main" count="7718" uniqueCount="1716">
  <si>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</si>
  <si>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</si>
  <si>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</si>
  <si>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</si>
  <si>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</si>
  <si>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</si>
  <si>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</si>
  <si>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</si>
  <si>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</si>
  <si>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</si>
  <si>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</si>
  <si>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</si>
  <si>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</si>
  <si>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</si>
  <si>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</si>
  <si>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</si>
  <si>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</si>
  <si>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</si>
  <si>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</si>
  <si>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</si>
  <si>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</si>
  <si>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</si>
  <si>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</si>
  <si>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</si>
  <si>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</si>
  <si>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</si>
  <si>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</si>
  <si>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</si>
  <si>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</si>
  <si>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</si>
  <si>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</si>
  <si>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</si>
  <si>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</si>
  <si>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</si>
  <si>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</si>
  <si>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</si>
  <si>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</si>
  <si>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</si>
  <si>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</si>
  <si>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</si>
  <si>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</si>
  <si>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</si>
  <si>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</si>
  <si>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</si>
  <si>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</si>
  <si>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</si>
  <si>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</si>
  <si>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</si>
  <si>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</si>
  <si>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</si>
  <si>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</si>
  <si>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</si>
  <si>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</si>
  <si>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</si>
  <si>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</si>
  <si>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</si>
  <si>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</si>
  <si>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</si>
  <si>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</si>
  <si>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</si>
  <si>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</si>
  <si>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</si>
  <si>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</si>
  <si>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</si>
  <si>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</si>
  <si>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</si>
  <si>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</si>
  <si>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</si>
  <si>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</si>
  <si>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</si>
  <si>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</si>
  <si>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</si>
  <si>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</si>
  <si>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</si>
  <si>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</si>
  <si>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</si>
  <si>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</si>
  <si>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</si>
  <si>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</si>
  <si>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</si>
  <si>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</si>
  <si>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</si>
  <si>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</si>
  <si>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</si>
  <si>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</si>
  <si>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</si>
  <si>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</si>
  <si>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</si>
  <si>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</si>
  <si>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</si>
  <si>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</si>
  <si>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</si>
  <si>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</si>
  <si>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</si>
  <si>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</si>
  <si>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</si>
  <si>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</si>
  <si>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</si>
  <si>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</si>
  <si>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</si>
  <si>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</si>
  <si>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</si>
  <si>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</si>
  <si>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</si>
  <si>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</si>
  <si>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</si>
  <si>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</si>
  <si>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</si>
  <si>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</si>
  <si>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</si>
  <si>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</si>
  <si>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</si>
  <si>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</si>
  <si>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</si>
  <si>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</si>
  <si>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</si>
  <si>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</si>
  <si>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</si>
  <si>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</si>
  <si>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</si>
  <si>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</si>
  <si>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</si>
  <si>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</si>
  <si>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</si>
  <si>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</si>
  <si>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</si>
  <si>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</si>
  <si>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</si>
  <si>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</si>
  <si>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</si>
  <si>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</si>
  <si>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</si>
  <si>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</si>
  <si>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</si>
  <si>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</si>
  <si>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</si>
  <si>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</si>
  <si>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</si>
  <si>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</si>
  <si>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</si>
  <si>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</si>
  <si>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</si>
  <si>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</si>
  <si>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</si>
  <si>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</si>
  <si>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</si>
  <si>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</si>
  <si>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</si>
  <si>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</si>
  <si>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</si>
  <si>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</si>
  <si>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</si>
  <si>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</si>
  <si>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</si>
  <si>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</si>
  <si>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</si>
  <si>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</si>
  <si>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</si>
  <si>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</si>
  <si>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</si>
  <si>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</si>
  <si>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</si>
  <si>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</si>
  <si>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</si>
  <si>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</si>
  <si>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</si>
  <si>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</si>
  <si>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</si>
  <si>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</si>
  <si>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</si>
  <si>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</si>
  <si>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</si>
  <si>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</si>
  <si>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</si>
  <si>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</si>
  <si>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</si>
  <si>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</si>
  <si>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</si>
  <si>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</si>
  <si>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</si>
  <si>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</si>
  <si>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</si>
  <si>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</si>
  <si>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</si>
  <si>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</si>
  <si>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</si>
  <si>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</si>
  <si>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</si>
  <si>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</si>
  <si>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</si>
  <si>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</si>
  <si>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</si>
  <si>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</si>
  <si>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</si>
  <si>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</si>
  <si>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</si>
  <si>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</si>
  <si>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</si>
  <si>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</si>
  <si>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</si>
  <si>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</si>
  <si>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</si>
  <si>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</si>
  <si>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</si>
  <si>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</si>
  <si>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</si>
  <si>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</si>
  <si>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</si>
  <si>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</si>
  <si>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</si>
  <si>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</si>
  <si>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</si>
  <si>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</si>
  <si>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</si>
  <si>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</si>
  <si>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</si>
  <si>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</si>
  <si>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</si>
  <si>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</si>
  <si>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</si>
  <si>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</si>
  <si>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</si>
  <si>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</si>
  <si>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</si>
  <si>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</si>
  <si>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</si>
  <si>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</si>
  <si>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</si>
  <si>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</si>
  <si>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</si>
  <si>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</si>
  <si>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</si>
  <si>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</si>
  <si>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</si>
  <si>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</si>
  <si>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</si>
  <si>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</si>
  <si>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</si>
  <si>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</si>
  <si>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</si>
  <si>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</si>
  <si>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</si>
  <si>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</si>
  <si>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</si>
  <si>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</si>
  <si>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</si>
  <si>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</si>
  <si>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</si>
  <si>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</si>
  <si>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</si>
  <si>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</si>
  <si>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</si>
  <si>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</si>
  <si>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</si>
  <si>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</si>
  <si>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</si>
  <si>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</si>
  <si>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</si>
  <si>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</si>
  <si>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</si>
  <si>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</si>
  <si>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</si>
  <si>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</si>
  <si>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</si>
  <si>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</si>
  <si>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</si>
  <si>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</si>
  <si>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</si>
  <si>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</si>
  <si>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</si>
  <si>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</si>
  <si>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</si>
  <si>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</si>
  <si>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</si>
  <si>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</si>
  <si>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</si>
  <si>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</si>
  <si>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</si>
  <si>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</si>
  <si>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</si>
  <si>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</si>
  <si>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</si>
  <si>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</si>
  <si>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</si>
  <si>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</si>
  <si>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</si>
  <si>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</si>
  <si>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</si>
  <si>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</si>
  <si>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</si>
  <si>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</si>
  <si>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</si>
  <si>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</si>
  <si>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</si>
  <si>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</si>
  <si>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</si>
  <si>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</si>
  <si>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</si>
  <si>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</si>
  <si>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</si>
  <si>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</si>
  <si>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</si>
  <si>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</si>
  <si>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</si>
  <si>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</si>
  <si>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</si>
  <si>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</si>
  <si>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</si>
  <si>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</si>
  <si>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</si>
  <si>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</si>
  <si>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</si>
  <si>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</si>
  <si>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</si>
  <si>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</si>
  <si>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</si>
  <si>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</si>
  <si>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</si>
  <si>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</si>
  <si>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</si>
  <si>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</si>
  <si>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</si>
  <si>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</si>
  <si>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</si>
  <si>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</si>
  <si>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</si>
  <si>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</si>
  <si>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</si>
  <si>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</si>
  <si>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</si>
  <si>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</si>
  <si>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</si>
  <si>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</si>
  <si>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</si>
  <si>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</si>
  <si>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</si>
  <si>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</si>
  <si>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</si>
  <si>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</si>
  <si>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</si>
  <si>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</si>
  <si>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</si>
  <si>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</si>
  <si>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</si>
  <si>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</si>
  <si>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</si>
  <si>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</si>
  <si>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</si>
  <si>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</si>
  <si>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</si>
  <si>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</si>
  <si>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</si>
  <si>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</si>
  <si>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</si>
  <si>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</si>
  <si>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</si>
  <si>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</si>
  <si>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</si>
  <si>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</si>
  <si>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</si>
  <si>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</si>
  <si>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</si>
  <si>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</si>
  <si>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</si>
  <si>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</si>
  <si>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</si>
  <si>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</si>
  <si>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</si>
  <si>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</si>
  <si>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</si>
  <si>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</si>
  <si>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</si>
  <si>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</si>
  <si>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</si>
  <si>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</si>
  <si>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</si>
  <si>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</si>
  <si>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</si>
  <si>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</si>
  <si>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</si>
  <si>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</si>
  <si>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</si>
  <si>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</si>
  <si>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</si>
  <si>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</si>
  <si>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</si>
  <si>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</si>
  <si>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</si>
  <si>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</si>
  <si>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</si>
  <si>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</si>
  <si>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</si>
  <si>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</si>
  <si>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</si>
  <si>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</si>
  <si>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</si>
  <si>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</si>
  <si>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</si>
  <si>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</si>
  <si>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</si>
  <si>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</si>
  <si>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</si>
  <si>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</si>
  <si>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</si>
  <si>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</si>
  <si>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</si>
  <si>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</si>
  <si>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</si>
  <si>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</si>
  <si>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</si>
  <si>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</si>
  <si>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</si>
  <si>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</si>
  <si>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</si>
  <si>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</si>
  <si>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</si>
  <si>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</si>
  <si>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</si>
  <si>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</si>
  <si>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</si>
  <si>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</si>
  <si>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</si>
  <si>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</si>
  <si>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</si>
  <si>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</si>
  <si>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</si>
  <si>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</si>
  <si>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</si>
  <si>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</si>
  <si>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</si>
  <si>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</si>
  <si>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</si>
  <si>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</si>
  <si>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</si>
  <si>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</si>
  <si>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</si>
  <si>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</si>
  <si>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</si>
  <si>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</si>
  <si>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</si>
  <si>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</si>
  <si>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</si>
  <si>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</si>
  <si>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</si>
  <si>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</si>
  <si>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</si>
  <si>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</si>
  <si>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</si>
  <si>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</si>
  <si>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</si>
  <si>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</si>
  <si>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</si>
  <si>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</si>
  <si>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</si>
  <si>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</si>
  <si>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</si>
  <si>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</si>
  <si>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</si>
  <si>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</si>
  <si>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</si>
  <si>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</si>
  <si>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</si>
  <si>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</si>
  <si>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</si>
  <si>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</si>
  <si>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</si>
  <si>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</si>
  <si>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</si>
  <si>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</si>
  <si>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</si>
  <si>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</si>
  <si>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</si>
  <si>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</si>
  <si>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</si>
  <si>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</si>
  <si>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</si>
  <si>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</si>
  <si>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</si>
  <si>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</si>
  <si>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</si>
  <si>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</si>
  <si>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</si>
  <si>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</si>
  <si>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</si>
  <si>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</si>
  <si>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</si>
  <si>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</si>
  <si>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</si>
  <si>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</si>
  <si>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</si>
  <si>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</si>
  <si>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</si>
  <si>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</si>
  <si>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</si>
  <si>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</si>
  <si>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</si>
  <si>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</si>
  <si>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</si>
  <si>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</si>
  <si>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</si>
  <si>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</si>
  <si>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</si>
  <si>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</si>
  <si>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</si>
  <si>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</si>
  <si>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</si>
  <si>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</si>
  <si>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</si>
  <si>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</si>
  <si>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</si>
  <si>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</si>
  <si>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</si>
  <si>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</si>
  <si>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</si>
  <si>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</si>
  <si>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</si>
  <si>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</si>
  <si>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</si>
  <si>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</si>
  <si>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</si>
  <si>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</si>
  <si>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</si>
  <si>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</si>
  <si>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</si>
  <si>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</si>
  <si>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</si>
  <si>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</si>
  <si>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</si>
  <si>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</si>
  <si>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</si>
  <si>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</si>
  <si>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</si>
  <si>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</si>
  <si>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</si>
  <si>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</si>
  <si>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</si>
  <si>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</si>
  <si>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</si>
  <si>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</si>
  <si>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</si>
  <si>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</si>
  <si>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</si>
  <si>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</si>
  <si>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</si>
  <si>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</si>
  <si>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</si>
  <si>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</si>
  <si>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</si>
  <si>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</si>
  <si>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</si>
  <si>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</si>
  <si>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</si>
  <si>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</si>
  <si>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</si>
  <si>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</si>
  <si>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</si>
  <si>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</si>
  <si>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</si>
  <si>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</si>
  <si>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</si>
  <si>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</si>
  <si>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</si>
  <si>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</si>
  <si>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</si>
  <si>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</si>
  <si>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</si>
  <si>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</si>
  <si>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</si>
  <si>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</si>
  <si>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</si>
  <si>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</si>
  <si>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</si>
  <si>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</si>
  <si>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</si>
  <si>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</si>
  <si>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</si>
  <si>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</si>
  <si>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</si>
  <si>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</si>
  <si>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</si>
  <si>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</si>
  <si>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</si>
  <si>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</si>
  <si>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</si>
  <si>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</si>
  <si>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</si>
  <si>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</si>
  <si>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</si>
  <si>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</si>
  <si>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</si>
  <si>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</si>
  <si>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</si>
  <si>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</si>
  <si>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</si>
  <si>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</si>
  <si>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</si>
  <si>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</si>
  <si>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</si>
  <si>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</si>
  <si>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</si>
  <si>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</si>
  <si>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</si>
  <si>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</si>
  <si>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</si>
  <si>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</si>
  <si>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</si>
  <si>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</si>
  <si>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</si>
  <si>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</si>
  <si>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</si>
  <si>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</si>
  <si>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</si>
  <si>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</si>
  <si>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</si>
  <si>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</si>
  <si>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</si>
  <si>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</si>
  <si>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</si>
  <si>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</si>
  <si>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</si>
  <si>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</si>
  <si>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</si>
  <si>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</si>
  <si>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</si>
  <si>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</si>
  <si>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</si>
  <si>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</si>
  <si>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</si>
  <si>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</si>
  <si>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</si>
  <si>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</si>
  <si>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</si>
  <si>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</si>
  <si>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</si>
  <si>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</si>
  <si>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</si>
  <si>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</si>
  <si>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</si>
  <si>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</si>
  <si>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</si>
  <si>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</si>
  <si>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</si>
  <si>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</si>
  <si>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</si>
  <si>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</si>
  <si>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</si>
  <si>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</si>
  <si>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</si>
  <si>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</si>
  <si>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</si>
  <si>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</si>
  <si>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</si>
  <si>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</si>
  <si>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</si>
  <si>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</si>
  <si>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</si>
  <si>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</si>
  <si>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</si>
  <si>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</si>
  <si>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</si>
  <si>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</si>
  <si>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</si>
  <si>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</si>
  <si>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</si>
  <si>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</si>
  <si>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</si>
  <si>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</si>
  <si>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</si>
  <si>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</si>
  <si>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</si>
  <si>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</si>
  <si>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</si>
  <si>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</si>
  <si>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</si>
  <si>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</si>
  <si>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</si>
  <si>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</si>
  <si>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</si>
  <si>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</si>
  <si>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</si>
  <si>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</si>
  <si>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</si>
  <si>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</si>
  <si>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</si>
  <si>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</si>
  <si>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</si>
  <si>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</si>
  <si>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</si>
  <si>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</si>
  <si>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</si>
  <si>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</si>
  <si>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</si>
  <si>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</si>
  <si>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</si>
  <si>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</si>
  <si>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</si>
  <si>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</si>
  <si>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</si>
  <si>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</si>
  <si>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</si>
  <si>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</si>
  <si>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</si>
  <si>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</si>
  <si>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</si>
  <si>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</si>
  <si>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</si>
  <si>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</si>
  <si>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</si>
  <si>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</si>
  <si>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</si>
  <si>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</si>
  <si>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</si>
  <si>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</si>
  <si>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</si>
  <si>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</si>
  <si>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</si>
  <si>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</si>
  <si>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</si>
  <si>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</si>
  <si>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</si>
  <si>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</si>
  <si>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</si>
  <si>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</si>
  <si>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</si>
  <si>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</si>
  <si>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</si>
  <si>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</si>
  <si>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</si>
  <si>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</si>
  <si>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</si>
  <si>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</si>
  <si>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</si>
  <si>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</si>
  <si>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</si>
  <si>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</si>
  <si>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</si>
  <si>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</si>
  <si>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</si>
  <si>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</si>
  <si>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</si>
  <si>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</si>
  <si>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</si>
  <si>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</si>
  <si>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</si>
  <si>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</si>
  <si>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</si>
  <si>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</si>
  <si>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</si>
  <si>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</si>
  <si>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</si>
  <si>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</si>
  <si>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</si>
  <si>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</si>
  <si>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</si>
  <si>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</si>
  <si>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</si>
  <si>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</si>
  <si>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</si>
  <si>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</si>
  <si>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</si>
  <si>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</si>
  <si>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</si>
  <si>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</si>
  <si>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</si>
  <si>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</si>
  <si>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</si>
  <si>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</si>
  <si>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</si>
  <si>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</si>
  <si>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</si>
  <si>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</si>
  <si>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</si>
  <si>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</si>
  <si>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</si>
  <si>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</si>
  <si>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</si>
  <si>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</si>
  <si>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</si>
  <si>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</si>
  <si>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</si>
  <si>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</si>
  <si>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</si>
  <si>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</si>
  <si>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</si>
  <si>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</si>
  <si>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</si>
  <si>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</si>
  <si>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</si>
  <si>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</si>
  <si>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</si>
  <si>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</si>
  <si>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</si>
  <si>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</si>
  <si>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</si>
  <si>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</si>
  <si>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</si>
  <si>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</si>
  <si>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</si>
  <si>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</si>
  <si>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</si>
  <si>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</si>
  <si>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</si>
  <si>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</si>
  <si>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</si>
  <si>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</si>
  <si>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</si>
  <si>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</si>
  <si>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</si>
  <si>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</si>
  <si>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</si>
  <si>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</si>
  <si>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</si>
  <si>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</si>
  <si>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</si>
  <si>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</si>
  <si>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</si>
  <si>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</si>
  <si>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</si>
  <si>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</si>
  <si>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</si>
  <si>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</si>
  <si>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</si>
  <si>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</si>
  <si>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</si>
  <si>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</si>
  <si>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</si>
  <si>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</si>
  <si>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</si>
  <si>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</si>
  <si>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</si>
  <si>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</si>
  <si>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</si>
  <si>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</si>
  <si>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</si>
  <si>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</si>
  <si>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</si>
  <si>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</si>
  <si>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</si>
  <si>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</si>
  <si>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</si>
  <si>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</si>
  <si>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</si>
  <si>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</si>
  <si>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</si>
  <si>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</si>
  <si>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</si>
  <si>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</si>
  <si>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</si>
  <si>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</si>
  <si>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</si>
  <si>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</si>
  <si>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</si>
  <si>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</si>
  <si>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</si>
  <si>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</si>
  <si>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</si>
  <si>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</si>
  <si>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</si>
  <si>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</si>
  <si>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</si>
  <si>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</si>
  <si>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</si>
  <si>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</si>
  <si>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</si>
  <si>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</si>
  <si>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</si>
  <si>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</si>
  <si>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</si>
  <si>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</si>
  <si>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</si>
  <si>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</si>
  <si>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</si>
  <si>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</si>
  <si>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</si>
  <si>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</si>
  <si>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</si>
  <si>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</si>
  <si>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</si>
  <si>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</si>
  <si>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</si>
  <si>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</si>
  <si>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</si>
  <si>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</si>
  <si>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</si>
  <si>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</si>
  <si>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</si>
  <si>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</si>
  <si>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</si>
  <si>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</si>
  <si>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</si>
  <si>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</si>
  <si>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</si>
  <si>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</si>
  <si>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</si>
  <si>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</si>
  <si>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</si>
  <si>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</si>
  <si>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</si>
  <si>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</si>
  <si>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</si>
  <si>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</si>
  <si>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</si>
  <si>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</si>
  <si>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</si>
  <si>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</si>
  <si>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</si>
  <si>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</si>
  <si>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</si>
  <si>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</si>
  <si>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</si>
  <si>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</si>
  <si>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</si>
  <si>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</si>
  <si>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</si>
  <si>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</si>
  <si>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</si>
  <si>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</si>
  <si>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</si>
  <si>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</si>
  <si>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</si>
  <si>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</si>
  <si>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</si>
  <si>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</si>
  <si>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</si>
  <si>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</si>
  <si>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</si>
  <si>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</si>
  <si>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</si>
  <si>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</si>
  <si>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</si>
  <si>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</si>
  <si>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</si>
  <si>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</si>
  <si>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</si>
  <si>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</si>
  <si>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</si>
  <si>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</si>
  <si>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</si>
  <si>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</si>
  <si>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</si>
  <si>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</si>
  <si>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</si>
  <si>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</si>
  <si>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</si>
  <si>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</si>
  <si>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</si>
  <si>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</si>
  <si>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</si>
  <si>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</si>
  <si>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</si>
  <si>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</si>
  <si>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</si>
  <si>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</si>
  <si>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</si>
  <si>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</si>
  <si>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</si>
  <si>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</si>
  <si>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</si>
  <si>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</si>
  <si>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</si>
  <si>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</si>
  <si>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</si>
  <si>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</si>
  <si>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</si>
  <si>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</si>
  <si>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</si>
  <si>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</si>
  <si>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</si>
  <si>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</si>
  <si>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</si>
  <si>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</si>
  <si>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</si>
  <si>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</si>
  <si>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</si>
  <si>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</si>
  <si>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</si>
  <si>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</si>
  <si>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</si>
  <si>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</si>
  <si>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</si>
  <si>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</si>
  <si>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</si>
  <si>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</si>
  <si>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</si>
  <si>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</si>
  <si>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</si>
  <si>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</si>
  <si>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</si>
  <si>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</si>
  <si>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</si>
  <si>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</si>
  <si>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</si>
  <si>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</si>
  <si>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</si>
  <si>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</si>
  <si>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</si>
  <si>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</si>
  <si>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</si>
  <si>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</si>
  <si>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</si>
  <si>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</si>
  <si>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</si>
  <si>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</si>
  <si>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</si>
  <si>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</si>
  <si>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</si>
  <si>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</si>
  <si>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</si>
  <si>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</si>
  <si>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</si>
  <si>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</si>
  <si>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</si>
  <si>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</si>
  <si>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</si>
  <si>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</si>
  <si>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</si>
  <si>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</si>
  <si>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</si>
  <si>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</si>
  <si>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</si>
  <si>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</si>
  <si>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</si>
  <si>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</si>
  <si>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</si>
  <si>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</si>
  <si>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</si>
  <si>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</si>
  <si>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</si>
  <si>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</si>
  <si>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</si>
  <si>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</si>
  <si>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</si>
  <si>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</si>
  <si>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</si>
  <si>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</si>
  <si>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</si>
  <si>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</si>
  <si>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</si>
  <si>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</si>
  <si>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</si>
  <si>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</si>
  <si>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</si>
  <si>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</si>
  <si>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</si>
  <si>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</si>
  <si>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</si>
  <si>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</si>
  <si>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</si>
  <si>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</si>
  <si>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</si>
  <si>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</si>
  <si>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</si>
  <si>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</si>
  <si>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</si>
  <si>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</si>
  <si>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</si>
  <si>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</si>
  <si>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</si>
  <si>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</si>
  <si>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</si>
  <si>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</si>
  <si>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</si>
  <si>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</si>
  <si>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</si>
  <si>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</si>
  <si>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</si>
  <si>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</si>
  <si>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</si>
  <si>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</si>
  <si>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</si>
  <si>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</si>
  <si>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</si>
  <si>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</si>
  <si>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</si>
  <si>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</si>
  <si>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</si>
  <si>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</si>
  <si>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</si>
  <si>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</si>
  <si>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</si>
  <si>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</si>
  <si>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</si>
  <si>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</si>
  <si>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</si>
  <si>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</si>
  <si>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</si>
  <si>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</si>
  <si>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</si>
  <si>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</si>
  <si>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</si>
  <si>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</si>
  <si>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</si>
  <si>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</si>
  <si>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</si>
  <si>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</si>
  <si>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</si>
  <si>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</si>
  <si>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</si>
  <si>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</si>
  <si>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</si>
  <si>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</si>
  <si>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</si>
  <si>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</si>
  <si>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</si>
  <si>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</si>
  <si>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</si>
  <si>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</si>
  <si>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</si>
  <si>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</si>
  <si>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</si>
  <si>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</si>
  <si>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</si>
  <si>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</si>
  <si>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</si>
  <si>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</si>
  <si>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</si>
  <si>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</si>
  <si>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</si>
  <si>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</si>
  <si>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</si>
  <si>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</si>
  <si>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</si>
  <si>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</si>
  <si>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</si>
  <si>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</si>
  <si>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</si>
  <si>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</si>
  <si>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</si>
  <si>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</si>
  <si>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</si>
  <si>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</si>
  <si>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</si>
  <si>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</si>
  <si>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</si>
  <si>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</si>
  <si>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</si>
  <si>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</si>
  <si>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</si>
  <si>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</si>
  <si>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</si>
  <si>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</si>
  <si>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</si>
  <si>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</si>
  <si>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</si>
  <si>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</si>
  <si>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</si>
  <si>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</si>
  <si>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</si>
  <si>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</si>
  <si>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</si>
  <si>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</si>
  <si>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</si>
  <si>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</si>
  <si>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</si>
  <si>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</si>
  <si>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</si>
  <si>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</si>
  <si>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</si>
  <si>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</si>
  <si>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</si>
  <si>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</si>
  <si>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</si>
  <si>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</si>
  <si>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</si>
  <si>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</si>
  <si>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</si>
  <si>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</si>
  <si>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</si>
  <si>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</si>
  <si>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</si>
  <si>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</si>
  <si>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</si>
  <si>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</si>
  <si>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</si>
  <si>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</si>
  <si>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</si>
  <si>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</si>
  <si>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</si>
  <si>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</si>
  <si>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</si>
  <si>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</si>
  <si>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</si>
  <si>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</si>
  <si>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</si>
  <si>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</si>
  <si>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</si>
  <si>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</si>
  <si>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</si>
  <si>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</si>
  <si>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</si>
  <si>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</si>
  <si>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</si>
  <si>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</si>
  <si>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</si>
  <si>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</si>
  <si>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</si>
  <si>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</si>
  <si>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</si>
  <si>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</si>
  <si>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</si>
  <si>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</si>
  <si>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</si>
  <si>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</si>
  <si>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</si>
  <si>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</si>
  <si>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</si>
  <si>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</si>
  <si>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</si>
  <si>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</si>
  <si>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</si>
  <si>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</si>
  <si>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</si>
  <si>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</si>
  <si>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</si>
  <si>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</si>
  <si>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</si>
  <si>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</si>
  <si>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</si>
  <si>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</si>
  <si>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</si>
  <si>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</si>
  <si>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</si>
  <si>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</si>
  <si>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</si>
  <si>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</si>
  <si>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</si>
  <si>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</si>
  <si>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</si>
  <si>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</si>
  <si>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</si>
  <si>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</si>
  <si>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</si>
  <si>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</si>
  <si>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</si>
  <si>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</si>
  <si>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</si>
  <si>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</si>
  <si>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</si>
  <si>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</si>
  <si>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</si>
  <si>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</si>
  <si>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</si>
  <si>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</si>
  <si>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</si>
  <si>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</si>
  <si>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</si>
  <si>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</si>
  <si>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</si>
  <si>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</si>
  <si>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</si>
  <si>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</si>
  <si>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</si>
  <si>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</si>
  <si>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</si>
  <si>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</si>
  <si>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</si>
  <si>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</si>
  <si>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</si>
  <si>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</si>
  <si>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</si>
  <si>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</si>
  <si>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</si>
  <si>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</si>
  <si>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</si>
  <si>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</si>
  <si>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</si>
  <si>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</si>
  <si>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</si>
  <si>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</si>
  <si>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</si>
  <si>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</si>
  <si>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</si>
  <si>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</si>
  <si>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</si>
  <si>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</si>
  <si>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</si>
  <si>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</si>
  <si>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</si>
  <si>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</si>
  <si>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</si>
  <si>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</si>
  <si>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</si>
  <si>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</si>
  <si>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</si>
  <si>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</si>
  <si>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</si>
  <si>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</si>
  <si>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</si>
  <si>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</si>
  <si>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</si>
  <si>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</si>
  <si>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</si>
  <si>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</si>
  <si>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</si>
  <si>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</si>
  <si>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</si>
  <si>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</si>
  <si>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</si>
  <si>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</si>
  <si>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</si>
  <si>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</si>
  <si>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</si>
  <si>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</si>
  <si>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</si>
  <si>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</si>
  <si>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</si>
  <si>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</si>
  <si>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</si>
  <si>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</si>
  <si>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</si>
  <si>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</si>
  <si>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</si>
  <si>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</si>
  <si>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</si>
  <si>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</si>
  <si>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</si>
  <si>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</si>
  <si>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</si>
  <si>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</si>
  <si>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</si>
  <si>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</si>
  <si>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</si>
  <si>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</si>
  <si>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</si>
  <si>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</si>
  <si>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</si>
  <si>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</si>
  <si>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</si>
  <si>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</si>
  <si>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</si>
  <si>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</si>
  <si>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</si>
  <si>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</si>
  <si>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</si>
  <si>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</si>
  <si>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</si>
  <si>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</si>
  <si>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</si>
  <si>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</si>
  <si>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</si>
  <si>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</si>
  <si>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</si>
  <si>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</si>
  <si>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</si>
  <si>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</si>
  <si>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</si>
  <si>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</si>
  <si>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</si>
  <si>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</si>
  <si>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</si>
  <si>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</si>
  <si>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</si>
  <si>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</si>
  <si>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</si>
  <si>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</si>
  <si>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</si>
  <si>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</si>
  <si>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</si>
  <si>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</si>
  <si>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</si>
  <si>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</si>
  <si>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</si>
  <si>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</si>
  <si>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</si>
  <si>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</si>
  <si>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</si>
  <si>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</si>
  <si>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</si>
  <si>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</si>
  <si>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</si>
  <si>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</si>
  <si>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</si>
  <si>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</si>
  <si>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</si>
  <si>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</si>
  <si>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</si>
  <si>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</si>
  <si>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</si>
  <si>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</si>
  <si>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</si>
  <si>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</si>
  <si>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</si>
  <si>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</si>
  <si>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</si>
  <si>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</si>
  <si>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</si>
  <si>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</si>
  <si>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</si>
  <si>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</si>
  <si>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</si>
  <si>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</si>
  <si>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</si>
  <si>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</si>
  <si>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</si>
  <si>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</si>
  <si>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</si>
  <si>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</si>
  <si>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</si>
  <si>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</si>
  <si>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</si>
  <si>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</si>
  <si>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</si>
  <si>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</si>
  <si>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</si>
  <si>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</si>
  <si>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</si>
  <si>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</si>
  <si>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</si>
  <si>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</si>
  <si>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</si>
  <si>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</si>
  <si>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</si>
  <si>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</si>
  <si>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</si>
  <si>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</si>
  <si>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</si>
  <si>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</si>
  <si>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</si>
  <si>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</si>
  <si>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</si>
  <si>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</si>
  <si>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</si>
  <si>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</si>
  <si>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</si>
  <si>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</si>
  <si>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</si>
  <si>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</si>
  <si>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</si>
  <si>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</si>
  <si>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</si>
  <si>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</si>
  <si>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</si>
  <si>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</si>
  <si>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</si>
  <si>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</si>
  <si>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</si>
  <si>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</si>
  <si>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</si>
  <si>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</si>
  <si>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</si>
  <si>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</si>
  <si>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</si>
  <si>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</si>
  <si>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</si>
  <si>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</si>
  <si>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</si>
  <si>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</si>
  <si>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</si>
  <si>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</si>
  <si>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</si>
  <si>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</si>
  <si>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</si>
  <si>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</si>
  <si>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</si>
  <si>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</si>
  <si>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</si>
  <si>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</si>
  <si>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</si>
  <si>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</si>
  <si>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</si>
  <si>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</si>
  <si>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</si>
  <si>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</si>
  <si>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</si>
  <si>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</si>
  <si>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</si>
  <si>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</si>
  <si>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</si>
  <si>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</si>
  <si>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</si>
  <si>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</si>
  <si>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</si>
  <si>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</si>
  <si>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</si>
  <si>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</si>
  <si>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</si>
  <si>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</si>
  <si>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</si>
  <si>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</si>
  <si>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</si>
  <si>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</si>
  <si>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</si>
  <si>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</si>
  <si>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</si>
  <si>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</si>
  <si>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</si>
  <si>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</si>
  <si>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</si>
  <si>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</si>
  <si>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</si>
  <si>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</si>
  <si>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</si>
  <si>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</si>
  <si>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</si>
  <si>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</si>
  <si>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</si>
  <si>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</si>
  <si>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</si>
  <si>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</si>
  <si>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</si>
  <si>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</si>
  <si>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</si>
  <si>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</si>
  <si>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</si>
  <si>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</si>
  <si>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</si>
  <si>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</si>
  <si>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</si>
  <si>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</si>
  <si>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</si>
  <si>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</si>
  <si>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</si>
  <si>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</si>
  <si>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</si>
  <si>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</si>
  <si>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</si>
  <si>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</si>
  <si>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</si>
  <si>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</si>
  <si>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</si>
  <si>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</si>
  <si>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</si>
  <si>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</si>
  <si>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</si>
  <si>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</si>
  <si>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</si>
  <si>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</si>
  <si>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</si>
  <si>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</si>
  <si>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</si>
  <si>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</si>
  <si>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</si>
  <si>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</si>
  <si>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</si>
  <si>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</si>
  <si>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</si>
  <si>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</si>
  <si>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</si>
  <si>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</si>
  <si>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</si>
  <si>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</si>
  <si>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</si>
  <si>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</si>
  <si>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</si>
  <si>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</si>
  <si>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</si>
  <si>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</si>
  <si>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</si>
  <si>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</si>
  <si>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</si>
  <si>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</si>
  <si>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</si>
  <si>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</si>
  <si>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</si>
  <si>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</si>
  <si>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</si>
  <si>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</si>
  <si>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</si>
  <si>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</si>
  <si>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</si>
  <si>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</si>
  <si>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</si>
  <si>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</si>
  <si>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</si>
  <si>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</si>
  <si>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</si>
  <si>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</si>
  <si>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</si>
  <si>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</si>
  <si>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</si>
  <si>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</si>
  <si>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</si>
  <si>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</si>
  <si>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</si>
  <si>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</si>
  <si>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</si>
  <si>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</si>
  <si>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</si>
  <si>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</si>
  <si>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</si>
  <si>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</si>
  <si>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</si>
  <si>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</si>
  <si>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</si>
  <si>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</si>
  <si>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</si>
  <si>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</si>
  <si>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</si>
  <si>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</si>
  <si>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</si>
  <si>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</si>
  <si>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</si>
  <si>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</si>
  <si>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</si>
  <si>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</si>
  <si>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</si>
  <si>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</si>
  <si>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</si>
  <si>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</si>
  <si>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</si>
  <si>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</si>
  <si>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</si>
  <si>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</si>
  <si>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</si>
  <si>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</si>
  <si>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</si>
  <si>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</si>
  <si>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</si>
  <si>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</si>
  <si>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</si>
  <si>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</si>
  <si>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</si>
  <si>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</si>
  <si>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</si>
  <si>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</si>
  <si>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</si>
  <si>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</si>
  <si>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</si>
  <si>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</si>
  <si>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</si>
  <si>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</si>
  <si>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</si>
  <si>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</si>
  <si>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</si>
  <si>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</si>
  <si>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</si>
  <si>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</si>
  <si>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</si>
  <si>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</si>
  <si>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</si>
  <si>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</si>
  <si>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</si>
  <si>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</si>
  <si>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</si>
  <si>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</si>
  <si>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</si>
  <si>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</si>
  <si>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</si>
  <si>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</si>
  <si>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</si>
  <si>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</si>
  <si>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</si>
  <si>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</si>
  <si>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</si>
  <si>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</si>
  <si>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</si>
  <si>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</si>
  <si>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</si>
  <si>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</si>
  <si>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</si>
  <si>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</si>
  <si>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</si>
  <si>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</si>
  <si>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</si>
  <si>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</si>
  <si>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</si>
  <si>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</si>
  <si>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</si>
  <si>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</si>
  <si>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</si>
  <si>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</si>
  <si>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</si>
  <si>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</si>
  <si>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</si>
  <si>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</si>
  <si>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</si>
  <si>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</si>
  <si>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</si>
  <si>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</si>
  <si>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</si>
  <si>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</si>
  <si>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</si>
  <si>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</si>
  <si>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</si>
  <si>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</si>
  <si>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</si>
  <si>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</si>
  <si>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</si>
  <si>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</si>
  <si>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</si>
  <si>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</si>
  <si>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</si>
  <si>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</si>
  <si>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</si>
  <si>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</si>
  <si>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</si>
  <si>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</si>
  <si>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</si>
  <si>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</si>
  <si>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</si>
  <si>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</si>
  <si>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</si>
  <si>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</si>
  <si>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</si>
  <si>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</si>
  <si>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</si>
  <si>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</si>
  <si>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</si>
  <si>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</si>
  <si>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</si>
  <si>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</si>
  <si>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</si>
  <si>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</si>
  <si>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</si>
  <si>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</si>
  <si>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</si>
  <si>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</si>
  <si>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</si>
  <si>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</si>
  <si>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</si>
  <si>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</si>
  <si>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</si>
  <si>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</si>
  <si>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</si>
  <si>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</si>
  <si>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San Diego River Conservancy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</si>
</sst>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4" zoomScale="70" zoomScaleNormal="70" workbookViewId="0">
      <selection activeCell="S23" sqref="S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772</v>
      </c>
      <c r="G5" s="194"/>
      <c r="H5" s="194"/>
      <c r="I5" s="194"/>
      <c r="L5" s="12"/>
      <c r="M5" s="12"/>
      <c r="N5" s="12"/>
      <c r="O5" s="12"/>
      <c r="P5" s="12"/>
      <c r="Q5" s="12"/>
    </row>
    <row r="6" spans="1:20" ht="16.5" customHeight="1" x14ac:dyDescent="0.25">
      <c r="A6" s="188" t="s">
        <v>1634</v>
      </c>
      <c r="B6" s="188"/>
      <c r="C6" s="188"/>
      <c r="D6" s="188"/>
      <c r="E6" s="188"/>
      <c r="F6" s="195">
        <v>140</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237975</v>
      </c>
      <c r="M17" s="143">
        <v>237975</v>
      </c>
      <c r="P17" s="143">
        <v>237975</v>
      </c>
      <c r="Q17" s="155"/>
      <c r="S17" s="154">
        <f t="shared" si="0"/>
        <v>0</v>
      </c>
      <c r="T17" s="180" t="s">
        <v>1684</v>
      </c>
    </row>
    <row r="18" spans="1:20" ht="16.5" customHeight="1" x14ac:dyDescent="0.25">
      <c r="A18" s="54"/>
      <c r="B18" s="9" t="s">
        <v>168</v>
      </c>
      <c r="C18" s="9"/>
      <c r="D18" s="9"/>
      <c r="E18" s="140"/>
      <c r="F18" s="141"/>
      <c r="G18" s="141"/>
      <c r="H18" s="142"/>
      <c r="I18" s="142"/>
      <c r="J18" s="178">
        <f>P18</f>
        <v>9510</v>
      </c>
      <c r="M18" s="143">
        <v>9510</v>
      </c>
      <c r="P18" s="152">
        <f>IF(SUM($Q$20:$Q$23)&gt;SUM($P$15:$P$17),SUM($Q$20:$Q$23)-SUM($P$15:$P$17),0)</f>
        <v>9510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71392</v>
      </c>
      <c r="N22" s="143">
        <v>71392</v>
      </c>
      <c r="P22" s="155"/>
      <c r="Q22" s="143">
        <v>71392</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176093</v>
      </c>
      <c r="N23" s="143">
        <v>176093</v>
      </c>
      <c r="P23" s="155"/>
      <c r="Q23" s="143">
        <v>176093</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247485</v>
      </c>
      <c r="K26" s="107">
        <f>SUM(K15:K25)</f>
        <v>247485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35696</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35696</v>
      </c>
    </row>
    <row r="59" spans="1:16" ht="16.5" customHeight="1" x14ac:dyDescent="0.25">
      <c r="A59" s="54"/>
      <c r="C59" s="16"/>
      <c r="D59" s="16"/>
      <c r="E59" s="16"/>
      <c r="F59" s="17"/>
      <c r="G59" s="17"/>
      <c r="H59" s="18"/>
      <c r="I59" s="18"/>
      <c r="J59" s="107">
        <f>SUM(J55:J58)</f>
        <v>35696</v>
      </c>
      <c r="K59" s="107">
        <f>SUM(K55:K58)</f>
        <v>35696</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33845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1447</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35292</v>
      </c>
    </row>
    <row r="65" spans="1:12" ht="16.5" customHeight="1" x14ac:dyDescent="0.25">
      <c r="A65" s="54"/>
      <c r="C65" s="16"/>
      <c r="D65" s="16"/>
      <c r="E65" s="16"/>
      <c r="F65" s="17"/>
      <c r="G65" s="17"/>
      <c r="H65" s="18"/>
      <c r="I65" s="18"/>
      <c r="J65" s="107">
        <f>SUM(J62:J64)</f>
        <v>35292</v>
      </c>
      <c r="K65" s="107">
        <f>SUM(K62:K64)</f>
        <v>35292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33845</v>
      </c>
      <c r="K68" s="144"/>
    </row>
    <row r="69" spans="1:12" ht="16.5" customHeight="1" x14ac:dyDescent="0.25">
      <c r="A69" s="54"/>
      <c r="B69" s="9"/>
      <c r="C69" s="9" t="s">
        <v>185</v>
      </c>
      <c r="D69" s="140"/>
      <c r="E69" s="140"/>
      <c r="F69" s="141"/>
      <c r="G69" s="141"/>
      <c r="H69" s="142"/>
      <c r="I69" s="142"/>
      <c r="J69" s="144"/>
      <c r="K69" s="143">
        <v>33845</v>
      </c>
      <c r="L69" s="10" t="str">
        <f>IF($J$62=$K$69,"","&lt;- Accts 0848 must agree")</f>
        <v/>
      </c>
    </row>
    <row r="70" spans="1:12" ht="16.5" customHeight="1" x14ac:dyDescent="0.25">
      <c r="A70" s="54"/>
      <c r="C70" s="16"/>
      <c r="D70" s="16"/>
      <c r="E70" s="16"/>
      <c r="F70" s="17"/>
      <c r="G70" s="17"/>
      <c r="H70" s="18"/>
      <c r="I70" s="18"/>
      <c r="J70" s="107">
        <f>SUM(J68:J69)</f>
        <v>33845</v>
      </c>
      <c r="K70" s="107">
        <f>SUM(K68:K69)</f>
        <v>33845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35914</v>
      </c>
      <c r="K75" s="144"/>
    </row>
    <row r="76" spans="1:12" ht="16.5" customHeight="1" x14ac:dyDescent="0.25">
      <c r="A76" s="54"/>
      <c r="B76" s="9"/>
      <c r="C76" s="9" t="s">
        <v>193</v>
      </c>
      <c r="D76" s="140"/>
      <c r="E76" s="140"/>
      <c r="F76" s="141"/>
      <c r="G76" s="141"/>
      <c r="H76" s="142"/>
      <c r="I76" s="142"/>
      <c r="J76" s="144"/>
      <c r="K76" s="143">
        <v>35914</v>
      </c>
    </row>
    <row r="77" spans="1:12" ht="16.5" customHeight="1" x14ac:dyDescent="0.2">
      <c r="A77" s="54"/>
      <c r="B77" s="191" t="s">
        <v>1672</v>
      </c>
      <c r="C77" s="191"/>
      <c r="D77" s="191"/>
      <c r="E77" s="191"/>
      <c r="F77" s="191"/>
      <c r="G77" s="191"/>
      <c r="H77" s="191"/>
      <c r="I77" s="191"/>
      <c r="J77" s="107">
        <f>SUM(J75:J76)</f>
        <v>35914</v>
      </c>
      <c r="K77" s="107">
        <f>SUM(K75:K76)</f>
        <v>35914</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237975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-107088</v>
      </c>
    </row>
    <row r="128" spans="1:12" ht="16.5" customHeight="1" x14ac:dyDescent="0.25">
      <c r="D128" s="140" t="s">
        <v>1656</v>
      </c>
      <c r="H128" s="10"/>
      <c r="K128" s="169">
        <f>-K23-K48+J68+J75+J96-K113</f>
        <v>-106334</v>
      </c>
    </row>
    <row r="129" spans="4:11" ht="16.5" customHeight="1" x14ac:dyDescent="0.25">
      <c r="D129" s="140" t="s">
        <v>1657</v>
      </c>
      <c r="H129" s="10"/>
      <c r="K129" s="169">
        <f>-K76</f>
        <v>-35914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N20" sqref="N2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3845</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35914</v>
      </c>
      <c r="C13" s="55">
        <v>1134</v>
      </c>
      <c r="D13" s="202" t="s">
        <v>4</v>
      </c>
      <c r="E13" s="203"/>
      <c r="F13" s="203"/>
      <c r="G13" s="29"/>
      <c r="H13" s="29"/>
      <c r="I13" s="29"/>
      <c r="J13" s="29"/>
      <c r="K13" s="29"/>
      <c r="L13" s="29"/>
      <c r="M13" s="29"/>
    </row>
    <row r="14" spans="1:13" x14ac:dyDescent="0.2">
      <c r="A14" s="51" t="str">
        <f>LEFT(A13,4)+1&amp;"–"&amp;RIGHT(A13,4)+1</f>
        <v>2025–2026</v>
      </c>
      <c r="B14" s="55">
        <v>38090</v>
      </c>
      <c r="C14" s="55">
        <v>802</v>
      </c>
      <c r="D14" s="202"/>
      <c r="E14" s="203"/>
      <c r="F14" s="203"/>
    </row>
    <row r="15" spans="1:13" ht="15.75" x14ac:dyDescent="0.2">
      <c r="A15" s="51" t="str">
        <f>LEFT(A14,4)+1&amp;"–"&amp;RIGHT(A14,4)+1</f>
        <v>2026–2027</v>
      </c>
      <c r="B15" s="55">
        <v>40330</v>
      </c>
      <c r="C15" s="55">
        <v>450</v>
      </c>
      <c r="D15" s="198" t="s">
        <v>124</v>
      </c>
      <c r="E15" s="198"/>
      <c r="F15" s="198"/>
      <c r="G15" s="30"/>
      <c r="H15" s="30"/>
      <c r="I15" s="30"/>
      <c r="J15" s="30"/>
      <c r="K15" s="30"/>
      <c r="L15" s="30"/>
      <c r="M15" s="30"/>
    </row>
    <row r="16" spans="1:13" x14ac:dyDescent="0.2">
      <c r="A16" s="51" t="str">
        <f>LEFT(A15,4)+1&amp;"–"&amp;RIGHT(A15,4)+1</f>
        <v>2027–2028</v>
      </c>
      <c r="B16" s="55">
        <v>27914</v>
      </c>
      <c r="C16" s="55">
        <v>94</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3845</v>
      </c>
      <c r="C40" s="213"/>
      <c r="E40" s="32"/>
    </row>
    <row r="41" spans="1:13" ht="15.75" x14ac:dyDescent="0.25">
      <c r="A41" s="5" t="s">
        <v>191</v>
      </c>
      <c r="B41" s="197" t="str">
        <f>B10</f>
        <v>San Diego River Conservancy</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3845</v>
      </c>
      <c r="C71" s="213"/>
    </row>
    <row r="72" spans="1:13" ht="15.75" x14ac:dyDescent="0.25">
      <c r="A72" s="5" t="s">
        <v>191</v>
      </c>
      <c r="B72" s="197" t="str">
        <f>B10</f>
        <v>San Diego River Conservancy</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I19" sqref="I19"/>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0140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3845 - San Diego River Conservancy</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0140 Journal Entries'!$F$8="Governmental Fund",'LS-Fund 0140 Journal Entries'!$K$23,0)</f>
        <v>176093</v>
      </c>
      <c r="G10" s="58"/>
      <c r="H10" s="61">
        <f>IF('LS-Fund 0140 Journal Entries'!$F$8="Governmental Fund",SUM('LS-Fund 0140 Journal Entries'!$K$48,'LS-Fund 0140 Journal Entries'!K113),0)</f>
        <v>0</v>
      </c>
      <c r="I10" s="58"/>
      <c r="J10" s="61">
        <f>IF('LS-Fund 0140 Journal Entries'!$F$8="Governmental Fund",SUM('LS-Fund 0140 Journal Entries'!$J$68,'LS-Fund 0140 Journal Entries'!J96),0)</f>
        <v>33845</v>
      </c>
      <c r="K10" s="58"/>
      <c r="L10" s="63">
        <f>SUM(F10+H10-J10)</f>
        <v>142248</v>
      </c>
      <c r="M10" s="58"/>
      <c r="N10" s="61">
        <f>IF('LS-Fund 0140 Journal Entries'!$F$8="Governmental Fund",'LS-Fund 0140 Journal Entries'!$K$76,0)</f>
        <v>35914</v>
      </c>
      <c r="O10" s="58"/>
      <c r="P10" s="63">
        <f>L10-N10</f>
        <v>106334</v>
      </c>
      <c r="Q10" s="43"/>
    </row>
    <row r="11" spans="2:17" ht="19.5" thickTop="1" thickBot="1" x14ac:dyDescent="0.3">
      <c r="B11" s="41"/>
      <c r="C11" s="45" t="s">
        <v>18</v>
      </c>
      <c r="F11" s="62">
        <f>SUM(F10:F10)</f>
        <v>176093</v>
      </c>
      <c r="G11" s="58"/>
      <c r="H11" s="62">
        <f>SUM(H10:H10)</f>
        <v>0</v>
      </c>
      <c r="I11" s="58"/>
      <c r="J11" s="62">
        <f>SUM(J10:J10)</f>
        <v>33845</v>
      </c>
      <c r="K11" s="58"/>
      <c r="L11" s="62">
        <f>SUM(L10:L10)</f>
        <v>142248</v>
      </c>
      <c r="M11" s="58"/>
      <c r="N11" s="62">
        <f>SUM(N10:N10)</f>
        <v>35914</v>
      </c>
      <c r="O11" s="58"/>
      <c r="P11" s="62">
        <f>SUM(P10:P10)</f>
        <v>106334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0140 Journal Entries'!$F$8="Proprietary - Internal Service Fund",'LS-Fund 0140 Journal Entries'!$K$23,0)</f>
        <v>0</v>
      </c>
      <c r="G14" s="58"/>
      <c r="H14" s="61">
        <f>IF('LS-Fund 0140 Journal Entries'!$F$8="Proprietary - Internal Service Fund",SUM('LS-Fund 0140 Journal Entries'!$K$48,'LS-Fund 0140 Journal Entries'!K113),0)</f>
        <v>0</v>
      </c>
      <c r="I14" s="58"/>
      <c r="J14" s="61">
        <f>IF('LS-Fund 0140 Journal Entries'!$F$8="Proprietary - Internal Service Fund",SUM('LS-Fund 0140 Journal Entries'!$J$68,'LS-Fund 0140 Journal Entries'!J96),0)</f>
        <v>0</v>
      </c>
      <c r="K14" s="58"/>
      <c r="L14" s="63">
        <f>SUM(F14+H14-J14)</f>
        <v>0</v>
      </c>
      <c r="M14" s="58"/>
      <c r="N14" s="61">
        <f>IF('LS-Fund 0140 Journal Entries'!$F$8="Proprietary - Internal Service Fund",'LS-Fund 0140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0140 Journal Entries'!$F$8="Proprietary - Enterprise Fund",'LS-Fund 0140 Journal Entries'!$K$23,0)</f>
        <v>0</v>
      </c>
      <c r="G18" s="58"/>
      <c r="H18" s="61">
        <f>IF('LS-Fund 0140 Journal Entries'!$F$8="Proprietary - Enterprise Fund",SUM('LS-Fund 0140 Journal Entries'!$K$48,'LS-Fund 0140 Journal Entries'!K113),0)</f>
        <v>0</v>
      </c>
      <c r="I18" s="58"/>
      <c r="J18" s="61">
        <f>IF('LS-Fund 0140 Journal Entries'!$F$8="Proprietary - Enterprise Fund",SUM('LS-Fund 0140 Journal Entries'!$J$68,'LS-Fund 0140 Journal Entries'!J96),0)</f>
        <v>0</v>
      </c>
      <c r="K18" s="58"/>
      <c r="L18" s="63">
        <f>SUM(F18+H18-J18)</f>
        <v>0</v>
      </c>
      <c r="M18" s="58"/>
      <c r="N18" s="61">
        <f>IF('LS-Fund 0140 Journal Entries'!$F$8="Proprietary - Enterprise Fund",'LS-Fund 0140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topLeftCell="A9" zoomScaleNormal="100" workbookViewId="0">
      <selection activeCell="P19" sqref="P1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0140 Journal Entries'!$F$8="Governmental Fund",'LS-Fund 0140 Journal Entries'!$K$23,0)</f>
        <v>176093</v>
      </c>
      <c r="C16" s="116" t="s">
        <v>145</v>
      </c>
      <c r="D16" s="84">
        <f>IF('LS-Fund 0140 Journal Entries'!$F$8="Governmental Fund",'LS-Fund 0140 Journal Entries'!$K$48,0)</f>
        <v>0</v>
      </c>
      <c r="E16" s="118" t="s">
        <v>146</v>
      </c>
      <c r="F16" s="84">
        <f>IF('LS-Fund 0140 Journal Entries'!$F$8="Governmental Fund",'LS-Fund 0140 Journal Entries'!$J$68,0)</f>
        <v>33845</v>
      </c>
      <c r="G16" s="117" t="s">
        <v>146</v>
      </c>
      <c r="H16" s="84">
        <f>IF('LS-Fund 0140 Journal Entries'!$F$8="Governmental Fund",'LS-Fund 0140 Journal Entries'!$J$96,0)</f>
        <v>0</v>
      </c>
      <c r="I16" s="117" t="s">
        <v>145</v>
      </c>
      <c r="J16" s="84">
        <f>IF('LS-Fund 0140 Journal Entries'!$F$8="Governmental Fund",'LS-Fund 0140 Journal Entries'!$K$113,0)</f>
        <v>0</v>
      </c>
      <c r="K16" s="118" t="s">
        <v>149</v>
      </c>
      <c r="L16" s="87">
        <f>+B16+D16-F16-H16+J16</f>
        <v>142248</v>
      </c>
      <c r="M16" s="86"/>
      <c r="N16" s="88">
        <f>SUM('LS-Department Note Disclosure'!B13:B36)</f>
        <v>142248</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0140 Journal Entries'!$F$8="Proprietary - Internal Service Fund",'LS-Fund 0140 Journal Entries'!$K$23,0)</f>
        <v>0</v>
      </c>
      <c r="C24" s="116" t="s">
        <v>145</v>
      </c>
      <c r="D24" s="84">
        <f>IF('LS-Fund 0140 Journal Entries'!$F$8="Proprietary - Internal Service Fund",'LS-Fund 0140 Journal Entries'!$K$48,0)</f>
        <v>0</v>
      </c>
      <c r="E24" s="118" t="s">
        <v>146</v>
      </c>
      <c r="F24" s="84">
        <f>IF('LS-Fund 0140 Journal Entries'!$F$8="Proprietary - Internal Service Fund",'LS-Fund 0140 Journal Entries'!$J$68,0)</f>
        <v>0</v>
      </c>
      <c r="G24" s="117" t="s">
        <v>146</v>
      </c>
      <c r="H24" s="84">
        <f>IF('LS-Fund 0140 Journal Entries'!$F$8="Proprietary - Internal Service Fund",'LS-Fund 0140 Journal Entries'!$J$96,0)</f>
        <v>0</v>
      </c>
      <c r="I24" s="117" t="s">
        <v>145</v>
      </c>
      <c r="J24" s="84">
        <f>IF('LS-Fund 0140 Journal Entries'!$F$8="Proprietary - Internal Service Fund",'LS-Fund 0140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0140 Journal Entries'!$F$8="Proprietary - Enterprise Fund",'LS-Fund 0140 Journal Entries'!$K$23,0)</f>
        <v>0</v>
      </c>
      <c r="C33" s="116" t="s">
        <v>145</v>
      </c>
      <c r="D33" s="84">
        <f>IF('LS-Fund 0140 Journal Entries'!$F$8="Proprietary - Enterprise Fund",'LS-Fund 0140 Journal Entries'!$K$48,0)</f>
        <v>0</v>
      </c>
      <c r="E33" s="118" t="s">
        <v>146</v>
      </c>
      <c r="F33" s="84">
        <f>IF('LS-Fund 0140 Journal Entries'!$F$8="Proprietary - Enterprise Fund",'LS-Fund 0140 Journal Entries'!$J$68,0)</f>
        <v>0</v>
      </c>
      <c r="G33" s="117" t="s">
        <v>146</v>
      </c>
      <c r="H33" s="84">
        <f>IF('LS-Fund 0140 Journal Entries'!$F$8="Proprietary - Enterprise Fund",'LS-Fund 0140 Journal Entries'!$J$96,0)</f>
        <v>0</v>
      </c>
      <c r="I33" s="117" t="s">
        <v>145</v>
      </c>
      <c r="J33" s="84">
        <f>IF('LS-Fund 0140 Journal Entries'!$F$8="Proprietary - Enterprise Fund",'LS-Fund 0140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0140 Journal Entries'!$F$8="Governmental Fund",'LS-Fund 0140 Journal Entries'!$K$76,0)</f>
        <v>35914</v>
      </c>
      <c r="C42" s="92"/>
      <c r="E42" s="92"/>
      <c r="G42" s="115"/>
      <c r="H42" s="115"/>
      <c r="I42" s="115"/>
      <c r="J42" s="115"/>
      <c r="K42" s="92"/>
      <c r="L42" s="92"/>
      <c r="M42" s="93"/>
      <c r="N42" s="88">
        <f>'LS-Department Note Disclosure'!B13</f>
        <v>35914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176093</v>
      </c>
      <c r="J66" s="97">
        <f>SUM(D66)</f>
        <v>176093</v>
      </c>
      <c r="L66" s="98" t="str">
        <f>CONCATENATE("Balance July 1, ",LEFT('LS-Department Note Disclosure'!$B$8,4))</f>
        <v>Balance July 1, 2023</v>
      </c>
      <c r="N66" s="97">
        <f>'LS-Lease Liabilities'!F10</f>
        <v>176093</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33845</v>
      </c>
      <c r="E68" s="119" t="s">
        <v>145</v>
      </c>
      <c r="F68" s="79" t="s">
        <v>1678</v>
      </c>
      <c r="H68" s="97">
        <f>$H$16</f>
        <v>0</v>
      </c>
      <c r="J68" s="97">
        <f>SUM(D68,H68)</f>
        <v>33845</v>
      </c>
      <c r="L68" s="98" t="s">
        <v>13</v>
      </c>
      <c r="N68" s="97">
        <f>'LS-Lease Liabilities'!J10</f>
        <v>33845</v>
      </c>
      <c r="P68" s="89">
        <f t="shared" si="0"/>
        <v>0</v>
      </c>
    </row>
    <row r="69" spans="1:17" x14ac:dyDescent="0.25">
      <c r="B69" s="79" t="s">
        <v>155</v>
      </c>
      <c r="D69" s="97">
        <f>$B$42</f>
        <v>35914</v>
      </c>
      <c r="J69" s="97">
        <f>SUM(D69)</f>
        <v>35914</v>
      </c>
      <c r="L69" s="98" t="s">
        <v>14</v>
      </c>
      <c r="N69" s="97">
        <f>'LS-Lease Liabilities'!N10</f>
        <v>35914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2024-12-19T22:35:12Z</dcterms:modified>
</cp:coreProperties>
</file>