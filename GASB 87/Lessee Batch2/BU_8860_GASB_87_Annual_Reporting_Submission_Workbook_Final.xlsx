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60428490-7123-4779-9159-6CB83112F4F0}" xr6:coauthVersionLast="47" xr6:coauthVersionMax="47" xr10:uidLastSave="{00000000-0000-0000-0000-000000000000}"/>
  <bookViews>
    <workbookView xWindow="-120" yWindow="-120" windowWidth="29040" windowHeight="15840" tabRatio="921" firstSheet="3"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Entry 0-Support" sheetId="16" r:id="rId5"/>
    <sheet name="Entry 1-3 Support" sheetId="17" r:id="rId6"/>
    <sheet name="Entry 4-7 Support" sheetId="18" r:id="rId7"/>
    <sheet name="LS-Department Note Disclosure" sheetId="3" r:id="rId8"/>
    <sheet name="LS-Dept Note Disclosure Support" sheetId="20" r:id="rId9"/>
    <sheet name="LS-Lease Liabilities" sheetId="4" r:id="rId10"/>
    <sheet name="LS-Check Figures  " sheetId="7" r:id="rId11"/>
    <sheet name="LR-Version Changes" sheetId="15" state="hidden" r:id="rId12"/>
    <sheet name="LR-Fund #### Journal Entries" sheetId="5" state="hidden" r:id="rId13"/>
    <sheet name="LR-Department Note Disclosure" sheetId="6" state="hidden" r:id="rId14"/>
    <sheet name="LR-Check Figures" sheetId="12" state="hidden" r:id="rId15"/>
    <sheet name="FP-Version Changes" sheetId="14" state="hidden" r:id="rId16"/>
    <sheet name="FP-Fund #### Journal Entries" sheetId="8" state="hidden" r:id="rId17"/>
    <sheet name="FP-Lease Liabilities" sheetId="10" state="hidden" r:id="rId18"/>
  </sheets>
  <externalReferences>
    <externalReference r:id="rId1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5">#REF!</definedName>
    <definedName name="AgencyCode" localSheetId="14">#REF!</definedName>
    <definedName name="AgencyCode" localSheetId="11">#REF!</definedName>
    <definedName name="AgencyCode">#REF!</definedName>
    <definedName name="AgencyCode1" localSheetId="15">#REF!</definedName>
    <definedName name="AgencyCode1" localSheetId="14">#REF!</definedName>
    <definedName name="AgencyCode1" localSheetId="11">#REF!</definedName>
    <definedName name="AgencyCode1">#REF!</definedName>
    <definedName name="AnalystGASB">[1]DeveloperInfo!$D$20</definedName>
    <definedName name="Annuity" localSheetId="15">#REF!</definedName>
    <definedName name="Annuity" localSheetId="14">#REF!</definedName>
    <definedName name="Annuity" localSheetId="11">#REF!</definedName>
    <definedName name="Annuity">#REF!</definedName>
    <definedName name="Annuity1" localSheetId="15">#REF!</definedName>
    <definedName name="Annuity1" localSheetId="14">#REF!</definedName>
    <definedName name="Annuity1" localSheetId="11">#REF!</definedName>
    <definedName name="Annuity1">#REF!</definedName>
    <definedName name="AnnuityLY" localSheetId="15">#REF!</definedName>
    <definedName name="AnnuityLY" localSheetId="14">#REF!</definedName>
    <definedName name="AnnuityLY" localSheetId="1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5">#REF!</definedName>
    <definedName name="EmployerRates" localSheetId="14">#REF!</definedName>
    <definedName name="EmployerRates" localSheetId="11">#REF!</definedName>
    <definedName name="EmployerRates">#REF!</definedName>
    <definedName name="EmployerRates1" localSheetId="15">#REF!</definedName>
    <definedName name="EmployerRates1" localSheetId="14">#REF!</definedName>
    <definedName name="EmployerRates1" localSheetId="11">#REF!</definedName>
    <definedName name="EmployerRates1">#REF!</definedName>
    <definedName name="EmployerRatesLEO" localSheetId="15">#REF!</definedName>
    <definedName name="EmployerRatesLEO" localSheetId="14">#REF!</definedName>
    <definedName name="EmployerRatesLEO" localSheetId="11">#REF!</definedName>
    <definedName name="EmployerRatesLEO">#REF!</definedName>
    <definedName name="EmployerRatesLEO1" localSheetId="15">#REF!</definedName>
    <definedName name="EmployerRatesLEO1" localSheetId="14">#REF!</definedName>
    <definedName name="EmployerRatesLEO1" localSheetId="11">#REF!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5">#REF!</definedName>
    <definedName name="Pension" localSheetId="14">#REF!</definedName>
    <definedName name="Pension" localSheetId="11">#REF!</definedName>
    <definedName name="Pension">#REF!</definedName>
    <definedName name="Pension1" localSheetId="15">#REF!</definedName>
    <definedName name="Pension1" localSheetId="14">#REF!</definedName>
    <definedName name="Pension1" localSheetId="11">#REF!</definedName>
    <definedName name="Pension1">#REF!</definedName>
    <definedName name="PensionLY" localSheetId="15">#REF!</definedName>
    <definedName name="PensionLY" localSheetId="14">#REF!</definedName>
    <definedName name="PensionLY" localSheetId="11">#REF!</definedName>
    <definedName name="PensionLY">#REF!</definedName>
    <definedName name="PlanNameLongGASB">[1]DeveloperInfo!$D$7</definedName>
    <definedName name="PlanNameShortGASB">[1]DeveloperInfo!$D$8</definedName>
    <definedName name="_xlnm.Print_Area" localSheetId="16">'FP-Fund #### Journal Entries'!$A$1:$R$84</definedName>
    <definedName name="_xlnm.Print_Area" localSheetId="17">'FP-Lease Liabilities'!$A$1:$S$23</definedName>
    <definedName name="_xlnm.Print_Area" localSheetId="14">'LR-Check Figures'!$A$1:$Q$59</definedName>
    <definedName name="_xlnm.Print_Area" localSheetId="13">'LR-Department Note Disclosure'!$A$1:$E$99</definedName>
    <definedName name="_xlnm.Print_Area" localSheetId="12">'LR-Fund #### Journal Entries'!$A$1:$R$70</definedName>
    <definedName name="_xlnm.Print_Area" localSheetId="7">'LS-Department Note Disclosure'!$A$1:$F$96</definedName>
    <definedName name="_xlnm.Print_Area" localSheetId="3">'LS-Fund 0001 Journal Entries'!$A$1:$R$130</definedName>
    <definedName name="_xlnm.Print_Area" localSheetId="9">'LS-Lease Liabilities'!$A$1:$U$24</definedName>
    <definedName name="ProjDisc?">[1]DeveloperInfo!$D$65</definedName>
    <definedName name="ProValResults" localSheetId="15">#REF!</definedName>
    <definedName name="ProValResults" localSheetId="14">#REF!</definedName>
    <definedName name="ProValResults" localSheetId="11">#REF!</definedName>
    <definedName name="ProValResults">#REF!</definedName>
    <definedName name="ProValResults1" localSheetId="15">#REF!</definedName>
    <definedName name="ProValResults1" localSheetId="14">#REF!</definedName>
    <definedName name="ProValResults1" localSheetId="11">#REF!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5">#REF!</definedName>
    <definedName name="TableData" localSheetId="14">#REF!</definedName>
    <definedName name="TableData" localSheetId="11">#REF!</definedName>
    <definedName name="TableData">#REF!</definedName>
    <definedName name="TableData1" localSheetId="15">#REF!</definedName>
    <definedName name="TableData1" localSheetId="14">#REF!</definedName>
    <definedName name="TableData1" localSheetId="11">#REF!</definedName>
    <definedName name="TableData1">#REF!</definedName>
    <definedName name="Type" localSheetId="15">#REF!</definedName>
    <definedName name="Type" localSheetId="14">#REF!</definedName>
    <definedName name="Type" localSheetId="11">#REF!</definedName>
    <definedName name="Type">#REF!</definedName>
    <definedName name="TypeAnnuity" localSheetId="15">#REF!</definedName>
    <definedName name="TypeAnnuity" localSheetId="14">#REF!</definedName>
    <definedName name="TypeAnnuity" localSheetId="11">#REF!</definedName>
    <definedName name="TypeAnnuity">#REF!</definedName>
    <definedName name="TypeAnnuity1" localSheetId="15">#REF!</definedName>
    <definedName name="TypeAnnuity1" localSheetId="14">#REF!</definedName>
    <definedName name="TypeAnnuity1" localSheetId="11">#REF!</definedName>
    <definedName name="TypeAnnuity1">#REF!</definedName>
    <definedName name="TypePension" localSheetId="15">#REF!</definedName>
    <definedName name="TypePension" localSheetId="14">#REF!</definedName>
    <definedName name="TypePension" localSheetId="11">#REF!</definedName>
    <definedName name="TypePension">#REF!</definedName>
    <definedName name="TypePension1" localSheetId="15">#REF!</definedName>
    <definedName name="TypePension1" localSheetId="14">#REF!</definedName>
    <definedName name="TypePension1" localSheetId="11">#REF!</definedName>
    <definedName name="TypePension1">#REF!</definedName>
    <definedName name="UnfundedData" localSheetId="15">#REF!</definedName>
    <definedName name="UnfundedData" localSheetId="14">#REF!</definedName>
    <definedName name="UnfundedData" localSheetId="11">#REF!</definedName>
    <definedName name="UnfundedData">#REF!</definedName>
    <definedName name="UnfundedData1" localSheetId="15">#REF!</definedName>
    <definedName name="UnfundedData1" localSheetId="14">#REF!</definedName>
    <definedName name="UnfundedData1" localSheetId="11">#REF!</definedName>
    <definedName name="UnfundedData1">#REF!</definedName>
    <definedName name="UnfundedLY" localSheetId="15">#REF!</definedName>
    <definedName name="UnfundedLY" localSheetId="14">#REF!</definedName>
    <definedName name="UnfundedLY" localSheetId="11">#REF!</definedName>
    <definedName name="UnfundedLY">#REF!</definedName>
    <definedName name="UnfundedLY1" localSheetId="15">#REF!</definedName>
    <definedName name="UnfundedLY1" localSheetId="14">#REF!</definedName>
    <definedName name="UnfundedLY1" localSheetId="11">#REF!</definedName>
    <definedName name="UnfundedLY1">#REF!</definedName>
    <definedName name="UnfundedLYLEO1" localSheetId="15">#REF!</definedName>
    <definedName name="UnfundedLYLEO1" localSheetId="14">#REF!</definedName>
    <definedName name="UnfundedLYLEO1" localSheetId="11">#REF!</definedName>
    <definedName name="UnfundedLYLEO1">#REF!</definedName>
    <definedName name="UnfunedLYLEO" localSheetId="15">#REF!</definedName>
    <definedName name="UnfunedLYLEO" localSheetId="14">#REF!</definedName>
    <definedName name="UnfunedLYLEO" localSheetId="1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<sst xmlns="http://schemas.openxmlformats.org/spreadsheetml/2006/main" count="8072" uniqueCount="1809">
  <si>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</si>
  <si>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</si>
  <si>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</si>
  <si>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</si>
  <si>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</si>
  <si>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</si>
  <si>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</si>
  <si>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</si>
  <si>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</si>
  <si>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</si>
  <si>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</si>
  <si>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</si>
  <si>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</si>
  <si>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</si>
  <si>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</si>
  <si>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</si>
  <si>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</si>
  <si>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</si>
  <si>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</si>
  <si>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</si>
  <si>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</si>
  <si>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</si>
  <si>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</si>
  <si>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</si>
  <si>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</si>
  <si>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</si>
  <si>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</si>
  <si>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</si>
  <si>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</si>
  <si>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</si>
  <si>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</si>
  <si>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</si>
  <si>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</si>
  <si>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</si>
  <si>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</si>
  <si>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</si>
  <si>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</si>
  <si>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</si>
  <si>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</si>
  <si>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</si>
  <si>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</si>
  <si>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</si>
  <si>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</si>
  <si>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</si>
  <si>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</si>
  <si>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</si>
  <si>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</si>
  <si>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</si>
  <si>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</si>
  <si>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</si>
  <si>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</si>
  <si>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</si>
  <si>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</si>
  <si>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</si>
  <si>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</si>
  <si>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</si>
  <si>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</si>
  <si>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</si>
  <si>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</si>
  <si>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</si>
  <si>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</si>
  <si>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</si>
  <si>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</si>
  <si>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</si>
  <si>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</si>
  <si>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</si>
  <si>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</si>
  <si>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</si>
  <si>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</si>
  <si>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</si>
  <si>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</si>
  <si>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</si>
  <si>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</si>
  <si>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</si>
  <si>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</si>
  <si>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</si>
  <si>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</si>
  <si>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</si>
  <si>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</si>
  <si>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</si>
  <si>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</si>
  <si>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</si>
  <si>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</si>
  <si>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</si>
  <si>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</si>
  <si>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</si>
  <si>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</si>
  <si>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</si>
  <si>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</si>
  <si>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</si>
  <si>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</si>
  <si>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</si>
  <si>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</si>
  <si>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</si>
  <si>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</si>
  <si>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</si>
  <si>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</si>
  <si>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</si>
  <si>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</si>
  <si>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</si>
  <si>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</si>
  <si>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</si>
  <si>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</si>
  <si>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</si>
  <si>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</si>
  <si>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</si>
  <si>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</si>
  <si>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</si>
  <si>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</si>
  <si>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</si>
  <si>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</si>
  <si>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</si>
  <si>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</si>
  <si>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</si>
  <si>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</si>
  <si>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</si>
  <si>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</si>
  <si>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</si>
  <si>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</si>
  <si>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</si>
  <si>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</si>
  <si>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</si>
  <si>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</si>
  <si>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</si>
  <si>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</si>
  <si>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</si>
  <si>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</si>
  <si>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</si>
  <si>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</si>
  <si>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</si>
  <si>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</si>
  <si>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</si>
  <si>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</si>
  <si>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</si>
  <si>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</si>
  <si>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</si>
  <si>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</si>
  <si>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</si>
  <si>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</si>
  <si>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</si>
  <si>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</si>
  <si>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</si>
  <si>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</si>
  <si>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</si>
  <si>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</si>
  <si>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</si>
  <si>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</si>
  <si>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</si>
  <si>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</si>
  <si>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</si>
  <si>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</si>
  <si>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</si>
  <si>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</si>
  <si>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</si>
  <si>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</si>
  <si>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</si>
  <si>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</si>
  <si>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</si>
  <si>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</si>
  <si>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</si>
  <si>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</si>
  <si>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</si>
  <si>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</si>
  <si>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</si>
  <si>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</si>
  <si>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</si>
  <si>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</si>
  <si>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</si>
  <si>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</si>
  <si>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</si>
  <si>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</si>
  <si>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</si>
  <si>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</si>
  <si>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</si>
  <si>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</si>
  <si>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</si>
  <si>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</si>
  <si>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</si>
  <si>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</si>
  <si>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</si>
  <si>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</si>
  <si>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</si>
  <si>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</si>
  <si>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</si>
  <si>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</si>
  <si>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</si>
  <si>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</si>
  <si>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</si>
  <si>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</si>
  <si>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</si>
  <si>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</si>
  <si>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</si>
  <si>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</si>
  <si>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</si>
  <si>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</si>
  <si>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</si>
  <si>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</si>
  <si>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</si>
  <si>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</si>
  <si>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</si>
  <si>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</si>
  <si>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</si>
  <si>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</si>
  <si>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</si>
  <si>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</si>
  <si>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</si>
  <si>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</si>
  <si>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</si>
  <si>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</si>
  <si>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</si>
  <si>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</si>
  <si>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</si>
  <si>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</si>
  <si>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</si>
  <si>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</si>
  <si>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</si>
  <si>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</si>
  <si>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</si>
  <si>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</si>
  <si>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</si>
  <si>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</si>
  <si>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</si>
  <si>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</si>
  <si>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</si>
  <si>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</si>
  <si>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</si>
  <si>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</si>
  <si>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</si>
  <si>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</si>
  <si>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</si>
  <si>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</si>
  <si>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</si>
  <si>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</si>
  <si>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</si>
  <si>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</si>
  <si>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</si>
  <si>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</si>
  <si>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</si>
  <si>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</si>
  <si>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</si>
  <si>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</si>
  <si>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</si>
  <si>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</si>
  <si>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</si>
  <si>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</si>
  <si>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</si>
  <si>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</si>
  <si>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</si>
  <si>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</si>
  <si>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</si>
  <si>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</si>
  <si>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</si>
  <si>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</si>
  <si>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</si>
  <si>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</si>
  <si>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</si>
  <si>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</si>
  <si>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</si>
  <si>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</si>
  <si>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</si>
  <si>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</si>
  <si>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</si>
  <si>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</si>
  <si>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</si>
  <si>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</si>
  <si>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</si>
  <si>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</si>
  <si>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</si>
  <si>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</si>
  <si>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</si>
  <si>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</si>
  <si>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</si>
  <si>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</si>
  <si>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</si>
  <si>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</si>
  <si>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</si>
  <si>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</si>
  <si>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</si>
  <si>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</si>
  <si>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</si>
  <si>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</si>
  <si>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</si>
  <si>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</si>
  <si>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</si>
  <si>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</si>
  <si>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</si>
  <si>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</si>
  <si>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</si>
  <si>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</si>
  <si>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</si>
  <si>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</si>
  <si>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</si>
  <si>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</si>
  <si>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</si>
  <si>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</si>
  <si>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</si>
  <si>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</si>
  <si>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</si>
  <si>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</si>
  <si>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</si>
  <si>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</si>
  <si>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</si>
  <si>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</si>
  <si>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</si>
  <si>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</si>
  <si>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</si>
  <si>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</si>
  <si>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</si>
  <si>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</si>
  <si>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</si>
  <si>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</si>
  <si>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</si>
  <si>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</si>
  <si>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</si>
  <si>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</si>
  <si>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</si>
  <si>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</si>
  <si>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</si>
  <si>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</si>
  <si>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</si>
  <si>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</si>
  <si>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</si>
  <si>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</si>
  <si>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</si>
  <si>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</si>
  <si>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</si>
  <si>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</si>
  <si>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</si>
  <si>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</si>
  <si>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</si>
  <si>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</si>
  <si>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</si>
  <si>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</si>
  <si>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</si>
  <si>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</si>
  <si>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</si>
  <si>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</si>
  <si>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</si>
  <si>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</si>
  <si>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</si>
  <si>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</si>
  <si>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</si>
  <si>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</si>
  <si>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</si>
  <si>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</si>
  <si>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</si>
  <si>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</si>
  <si>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</si>
  <si>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</si>
  <si>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</si>
  <si>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</si>
  <si>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</si>
  <si>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</si>
  <si>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</si>
  <si>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</si>
  <si>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</si>
  <si>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</si>
  <si>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</si>
  <si>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</si>
  <si>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</si>
  <si>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</si>
  <si>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</si>
  <si>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</si>
  <si>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</si>
  <si>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</si>
  <si>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</si>
  <si>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</si>
  <si>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</si>
  <si>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</si>
  <si>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</si>
  <si>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</si>
  <si>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</si>
  <si>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</si>
  <si>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</si>
  <si>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</si>
  <si>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</si>
  <si>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</si>
  <si>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</si>
  <si>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</si>
  <si>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</si>
  <si>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</si>
  <si>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</si>
  <si>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</si>
  <si>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</si>
  <si>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</si>
  <si>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</si>
  <si>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</si>
  <si>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</si>
  <si>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</si>
  <si>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</si>
  <si>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</si>
  <si>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</si>
  <si>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</si>
  <si>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</si>
  <si>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</si>
  <si>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</si>
  <si>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</si>
  <si>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</si>
  <si>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</si>
  <si>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</si>
  <si>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</si>
  <si>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</si>
  <si>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</si>
  <si>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</si>
  <si>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</si>
  <si>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</si>
  <si>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</si>
  <si>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</si>
  <si>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</si>
  <si>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</si>
  <si>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</si>
  <si>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</si>
  <si>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</si>
  <si>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</si>
  <si>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</si>
  <si>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</si>
  <si>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</si>
  <si>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</si>
  <si>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</si>
  <si>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</si>
  <si>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</si>
  <si>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</si>
  <si>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</si>
  <si>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</si>
  <si>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</si>
  <si>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</si>
  <si>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</si>
  <si>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</si>
  <si>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</si>
  <si>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</si>
  <si>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</si>
  <si>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</si>
  <si>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</si>
  <si>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</si>
  <si>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</si>
  <si>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</si>
  <si>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</si>
  <si>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</si>
  <si>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</si>
  <si>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</si>
  <si>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</si>
  <si>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</si>
  <si>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</si>
  <si>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</si>
  <si>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</si>
  <si>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</si>
  <si>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</si>
  <si>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</si>
  <si>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</si>
  <si>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</si>
  <si>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</si>
  <si>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</si>
  <si>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</si>
  <si>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</si>
  <si>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</si>
  <si>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</si>
  <si>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</si>
  <si>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</si>
  <si>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</si>
  <si>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</si>
  <si>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</si>
  <si>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</si>
  <si>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</si>
  <si>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</si>
  <si>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</si>
  <si>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</si>
  <si>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</si>
  <si>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</si>
  <si>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</si>
  <si>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</si>
  <si>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</si>
  <si>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</si>
  <si>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</si>
  <si>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</si>
  <si>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</si>
  <si>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</si>
  <si>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</si>
  <si>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</si>
  <si>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</si>
  <si>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</si>
  <si>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</si>
  <si>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</si>
  <si>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</si>
  <si>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</si>
  <si>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</si>
  <si>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</si>
  <si>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</si>
  <si>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</si>
  <si>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</si>
  <si>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</si>
  <si>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</si>
  <si>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</si>
  <si>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</si>
  <si>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</si>
  <si>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</si>
  <si>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</si>
  <si>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</si>
  <si>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</si>
  <si>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</si>
  <si>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</si>
  <si>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</si>
  <si>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</si>
  <si>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</si>
  <si>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</si>
  <si>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</si>
  <si>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</si>
  <si>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</si>
  <si>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</si>
  <si>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</si>
  <si>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</si>
  <si>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</si>
  <si>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</si>
  <si>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</si>
  <si>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</si>
  <si>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</si>
  <si>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</si>
  <si>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</si>
  <si>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</si>
  <si>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</si>
  <si>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</si>
  <si>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</si>
  <si>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</si>
  <si>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</si>
  <si>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</si>
  <si>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</si>
  <si>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</si>
  <si>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</si>
  <si>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</si>
  <si>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</si>
  <si>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</si>
  <si>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</si>
  <si>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</si>
  <si>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</si>
  <si>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</si>
  <si>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</si>
  <si>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</si>
  <si>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</si>
  <si>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</si>
  <si>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</si>
  <si>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</si>
  <si>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</si>
  <si>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</si>
  <si>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</si>
  <si>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</si>
  <si>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</si>
  <si>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</si>
  <si>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</si>
  <si>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</si>
  <si>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</si>
  <si>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</si>
  <si>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</si>
  <si>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</si>
  <si>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</si>
  <si>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</si>
  <si>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</si>
  <si>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</si>
  <si>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</si>
  <si>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</si>
  <si>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</si>
  <si>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</si>
  <si>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</si>
  <si>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</si>
  <si>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</si>
  <si>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</si>
  <si>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</si>
  <si>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</si>
  <si>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</si>
  <si>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</si>
  <si>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</si>
  <si>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</si>
  <si>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</si>
  <si>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</si>
  <si>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</si>
  <si>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</si>
  <si>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</si>
  <si>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</si>
  <si>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</si>
  <si>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</si>
  <si>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</si>
  <si>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</si>
  <si>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</si>
  <si>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</si>
  <si>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</si>
  <si>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</si>
  <si>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</si>
  <si>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</si>
  <si>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</si>
  <si>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</si>
  <si>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</si>
  <si>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</si>
  <si>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</si>
  <si>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</si>
  <si>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</si>
  <si>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</si>
  <si>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</si>
  <si>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</si>
  <si>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</si>
  <si>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</si>
  <si>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</si>
  <si>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</si>
  <si>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</si>
  <si>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</si>
  <si>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</si>
  <si>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</si>
  <si>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</si>
  <si>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</si>
  <si>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</si>
  <si>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</si>
  <si>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</si>
  <si>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</si>
  <si>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</si>
  <si>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</si>
  <si>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</si>
  <si>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</si>
  <si>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</si>
  <si>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</si>
  <si>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</si>
  <si>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</si>
  <si>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</si>
  <si>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</si>
  <si>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</si>
  <si>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</si>
  <si>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</si>
  <si>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</si>
  <si>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</si>
  <si>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</si>
  <si>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</si>
  <si>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</si>
  <si>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</si>
  <si>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</si>
  <si>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</si>
  <si>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</si>
  <si>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</si>
  <si>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</si>
  <si>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</si>
  <si>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</si>
  <si>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</si>
  <si>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</si>
  <si>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</si>
  <si>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</si>
  <si>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</si>
  <si>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</si>
  <si>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</si>
  <si>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</si>
  <si>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</si>
  <si>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</si>
  <si>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</si>
  <si>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</si>
  <si>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</si>
  <si>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</si>
  <si>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</si>
  <si>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</si>
  <si>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</si>
  <si>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</si>
  <si>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</si>
  <si>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</si>
  <si>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</si>
  <si>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</si>
  <si>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</si>
  <si>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</si>
  <si>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</si>
  <si>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</si>
  <si>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</si>
  <si>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</si>
  <si>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</si>
  <si>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</si>
  <si>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</si>
  <si>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</si>
  <si>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</si>
  <si>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</si>
  <si>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</si>
  <si>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</si>
  <si>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</si>
  <si>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</si>
  <si>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</si>
  <si>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</si>
  <si>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</si>
  <si>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</si>
  <si>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</si>
  <si>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</si>
  <si>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</si>
  <si>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</si>
  <si>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</si>
  <si>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</si>
  <si>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</si>
  <si>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</si>
  <si>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</si>
  <si>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</si>
  <si>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</si>
  <si>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</si>
  <si>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</si>
  <si>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</si>
  <si>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</si>
  <si>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</si>
  <si>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</si>
  <si>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</si>
  <si>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</si>
  <si>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</si>
  <si>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</si>
  <si>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</si>
  <si>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</si>
  <si>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</si>
  <si>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</si>
  <si>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</si>
  <si>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</si>
  <si>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</si>
  <si>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</si>
  <si>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</si>
  <si>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</si>
  <si>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</si>
  <si>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</si>
  <si>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</si>
  <si>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</si>
  <si>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</si>
  <si>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</si>
  <si>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</si>
  <si>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</si>
  <si>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</si>
  <si>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</si>
  <si>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</si>
  <si>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</si>
  <si>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</si>
  <si>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</si>
  <si>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</si>
  <si>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</si>
  <si>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</si>
  <si>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</si>
  <si>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</si>
  <si>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</si>
  <si>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</si>
  <si>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</si>
  <si>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</si>
  <si>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</si>
  <si>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</si>
  <si>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</si>
  <si>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</si>
  <si>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</si>
  <si>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</si>
  <si>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</si>
  <si>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</si>
  <si>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</si>
  <si>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</si>
  <si>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</si>
  <si>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</si>
  <si>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</si>
  <si>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</si>
  <si>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</si>
  <si>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</si>
  <si>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</si>
  <si>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</si>
  <si>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</si>
  <si>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</si>
  <si>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</si>
  <si>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</si>
  <si>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</si>
  <si>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</si>
  <si>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</si>
  <si>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</si>
  <si>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</si>
  <si>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</si>
  <si>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</si>
  <si>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</si>
  <si>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</si>
  <si>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</si>
  <si>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</si>
  <si>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</si>
  <si>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</si>
  <si>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</si>
  <si>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</si>
  <si>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</si>
  <si>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</si>
  <si>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</si>
  <si>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</si>
  <si>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</si>
  <si>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</si>
  <si>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</si>
  <si>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</si>
  <si>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</si>
  <si>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</si>
  <si>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</si>
  <si>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</si>
  <si>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</si>
  <si>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</si>
  <si>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</si>
  <si>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</si>
  <si>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</si>
  <si>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</si>
  <si>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</si>
  <si>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</si>
  <si>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</si>
  <si>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</si>
  <si>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</si>
  <si>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</si>
  <si>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</si>
  <si>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</si>
  <si>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</si>
  <si>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</si>
  <si>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</si>
  <si>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</si>
  <si>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</si>
  <si>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</si>
  <si>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</si>
  <si>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</si>
  <si>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</si>
  <si>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</si>
  <si>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</si>
  <si>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</si>
  <si>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</si>
  <si>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</si>
  <si>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</si>
  <si>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</si>
  <si>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</si>
  <si>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</si>
  <si>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</si>
  <si>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</si>
  <si>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</si>
  <si>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</si>
  <si>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</si>
  <si>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</si>
  <si>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</si>
  <si>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</si>
  <si>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</si>
  <si>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</si>
  <si>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</si>
  <si>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</si>
  <si>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</si>
  <si>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</si>
  <si>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</si>
  <si>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</si>
  <si>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</si>
  <si>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</si>
  <si>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</si>
  <si>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</si>
  <si>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</si>
  <si>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</si>
  <si>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</si>
  <si>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</si>
  <si>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</si>
  <si>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</si>
  <si>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</si>
  <si>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</si>
  <si>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</si>
  <si>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</si>
  <si>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</si>
  <si>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</si>
  <si>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</si>
  <si>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</si>
  <si>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</si>
  <si>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</si>
  <si>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</si>
  <si>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</si>
  <si>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</si>
  <si>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</si>
  <si>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</si>
  <si>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</si>
  <si>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</si>
  <si>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</si>
  <si>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</si>
  <si>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</si>
  <si>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</si>
  <si>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</si>
  <si>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</si>
  <si>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</si>
  <si>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</si>
  <si>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</si>
  <si>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</si>
  <si>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</si>
  <si>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</si>
  <si>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</si>
  <si>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</si>
  <si>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</si>
  <si>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</si>
  <si>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</si>
  <si>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</si>
  <si>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</si>
  <si>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</si>
  <si>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</si>
  <si>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</si>
  <si>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</si>
  <si>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</si>
  <si>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</si>
  <si>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</si>
  <si>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</si>
  <si>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</si>
  <si>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</si>
  <si>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</si>
  <si>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</si>
  <si>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</si>
  <si>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</si>
  <si>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</si>
  <si>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</si>
  <si>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</si>
  <si>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</si>
  <si>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</si>
  <si>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</si>
  <si>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</si>
  <si>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</si>
  <si>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</si>
  <si>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</si>
  <si>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</si>
  <si>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</si>
  <si>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</si>
  <si>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</si>
  <si>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</si>
  <si>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</si>
  <si>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</si>
  <si>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</si>
  <si>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</si>
  <si>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</si>
  <si>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</si>
  <si>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</si>
  <si>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</si>
  <si>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</si>
  <si>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</si>
  <si>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</si>
  <si>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</si>
  <si>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</si>
  <si>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</si>
  <si>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</si>
  <si>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</si>
  <si>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</si>
  <si>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</si>
  <si>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</si>
  <si>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</si>
  <si>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</si>
  <si>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</si>
  <si>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</si>
  <si>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</si>
  <si>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</si>
  <si>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</si>
  <si>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</si>
  <si>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</si>
  <si>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</si>
  <si>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</si>
  <si>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</si>
  <si>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</si>
  <si>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</si>
  <si>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</si>
  <si>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</si>
  <si>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</si>
  <si>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</si>
  <si>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</si>
  <si>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</si>
  <si>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</si>
  <si>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</si>
  <si>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</si>
  <si>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</si>
  <si>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</si>
  <si>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</si>
  <si>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</si>
  <si>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</si>
  <si>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</si>
  <si>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</si>
  <si>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</si>
  <si>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</si>
  <si>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</si>
  <si>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</si>
  <si>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</si>
  <si>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</si>
  <si>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</si>
  <si>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</si>
  <si>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</si>
  <si>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</si>
  <si>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</si>
  <si>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</si>
  <si>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</si>
  <si>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</si>
  <si>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</si>
  <si>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</si>
  <si>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</si>
  <si>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</si>
  <si>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</si>
  <si>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</si>
  <si>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</si>
  <si>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</si>
  <si>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</si>
  <si>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</si>
  <si>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</si>
  <si>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</si>
  <si>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</si>
  <si>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</si>
  <si>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</si>
  <si>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</si>
  <si>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</si>
  <si>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</si>
  <si>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</si>
  <si>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</si>
  <si>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</si>
  <si>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</si>
  <si>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</si>
  <si>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</si>
  <si>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</si>
  <si>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</si>
  <si>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</si>
  <si>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</si>
  <si>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</si>
  <si>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</si>
  <si>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</si>
  <si>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</si>
  <si>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</si>
  <si>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</si>
  <si>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</si>
  <si>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</si>
  <si>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</si>
  <si>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</si>
  <si>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</si>
  <si>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</si>
  <si>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</si>
  <si>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</si>
  <si>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</si>
  <si>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</si>
  <si>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</si>
  <si>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</si>
  <si>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</si>
  <si>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</si>
  <si>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</si>
  <si>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</si>
  <si>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</si>
  <si>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</si>
  <si>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</si>
  <si>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</si>
  <si>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</si>
  <si>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</si>
  <si>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</si>
  <si>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</si>
  <si>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</si>
  <si>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</si>
  <si>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</si>
  <si>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</si>
  <si>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</si>
  <si>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</si>
  <si>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</si>
  <si>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</si>
  <si>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</si>
  <si>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</si>
  <si>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</si>
  <si>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</si>
  <si>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</si>
  <si>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</si>
  <si>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</si>
  <si>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</si>
  <si>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</si>
  <si>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</si>
  <si>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</si>
  <si>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</si>
  <si>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</si>
  <si>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</si>
  <si>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</si>
  <si>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</si>
  <si>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</si>
  <si>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</si>
  <si>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</si>
  <si>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</si>
  <si>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</si>
  <si>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</si>
  <si>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</si>
  <si>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</si>
  <si>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</si>
  <si>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</si>
  <si>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</si>
  <si>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</si>
  <si>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</si>
  <si>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</si>
  <si>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</si>
  <si>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</si>
  <si>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</si>
  <si>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</si>
  <si>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</si>
  <si>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</si>
  <si>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</si>
  <si>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</si>
  <si>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</si>
  <si>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</si>
  <si>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</si>
  <si>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</si>
  <si>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</si>
  <si>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</si>
  <si>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</si>
  <si>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</si>
  <si>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</si>
  <si>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</si>
  <si>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</si>
  <si>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</si>
  <si>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</si>
  <si>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</si>
  <si>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</si>
  <si>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</si>
  <si>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</si>
  <si>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</si>
  <si>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</si>
  <si>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</si>
  <si>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</si>
  <si>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</si>
  <si>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</si>
  <si>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</si>
  <si>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</si>
  <si>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</si>
  <si>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</si>
  <si>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</si>
  <si>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</si>
  <si>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</si>
  <si>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</si>
  <si>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</si>
  <si>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</si>
  <si>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</si>
  <si>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</si>
  <si>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</si>
  <si>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</si>
  <si>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</si>
  <si>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</si>
  <si>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</si>
  <si>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</si>
  <si>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</si>
  <si>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</si>
  <si>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</si>
  <si>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</si>
  <si>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</si>
  <si>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</si>
  <si>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</si>
  <si>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</si>
  <si>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</si>
  <si>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</si>
  <si>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</si>
  <si>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</si>
  <si>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</si>
  <si>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</si>
  <si>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</si>
  <si>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</si>
  <si>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</si>
  <si>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</si>
  <si>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</si>
  <si>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</si>
  <si>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</si>
  <si>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</si>
  <si>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</si>
  <si>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</si>
  <si>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</si>
  <si>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</si>
  <si>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</si>
  <si>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</si>
  <si>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</si>
  <si>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</si>
  <si>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</si>
  <si>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</si>
  <si>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</si>
  <si>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</si>
  <si>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</si>
  <si>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</si>
  <si>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</si>
  <si>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</si>
  <si>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</si>
  <si>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</si>
  <si>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</si>
  <si>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</si>
  <si>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</si>
  <si>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</si>
  <si>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</si>
  <si>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</si>
  <si>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</si>
  <si>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</si>
  <si>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</si>
  <si>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</si>
  <si>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</si>
  <si>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</si>
  <si>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</si>
  <si>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</si>
  <si>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</si>
  <si>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</si>
  <si>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</si>
  <si>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</si>
  <si>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</si>
  <si>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</si>
  <si>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</si>
  <si>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</si>
  <si>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</si>
  <si>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</si>
  <si>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</si>
  <si>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</si>
  <si>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</si>
  <si>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</si>
  <si>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</si>
  <si>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</si>
  <si>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</si>
  <si>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</si>
  <si>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</si>
  <si>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</si>
  <si>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</si>
  <si>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</si>
  <si>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</si>
  <si>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</si>
  <si>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</si>
  <si>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</si>
  <si>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</si>
  <si>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</si>
  <si>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</si>
  <si>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</si>
  <si>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</si>
  <si>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</si>
  <si>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</si>
  <si>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</si>
  <si>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</si>
  <si>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</si>
  <si>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</si>
  <si>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</si>
  <si>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</si>
  <si>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</si>
  <si>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</si>
  <si>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</si>
  <si>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</si>
  <si>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</si>
  <si>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</si>
  <si>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</si>
  <si>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</si>
  <si>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</si>
  <si>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</si>
  <si>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</si>
  <si>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</si>
  <si>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</si>
  <si>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</si>
  <si>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</si>
  <si>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</si>
  <si>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</si>
  <si>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</si>
  <si>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</si>
  <si>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</si>
  <si>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</si>
  <si>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</si>
  <si>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</si>
  <si>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</si>
  <si>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</si>
  <si>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</si>
  <si>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</si>
  <si>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</si>
  <si>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</si>
  <si>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</si>
  <si>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</si>
  <si>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</si>
  <si>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</si>
  <si>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</si>
  <si>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</si>
  <si>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</si>
  <si>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</si>
  <si>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</si>
  <si>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</si>
  <si>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</si>
  <si>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</si>
  <si>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</si>
  <si>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</si>
  <si>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</si>
  <si>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</si>
  <si>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</si>
  <si>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</si>
  <si>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</si>
  <si>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</si>
  <si>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</si>
  <si>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</si>
  <si>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</si>
  <si>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</si>
  <si>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</si>
  <si>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</si>
  <si>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</si>
  <si>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</si>
  <si>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</si>
  <si>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</si>
  <si>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</si>
  <si>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</si>
  <si>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</si>
  <si>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</si>
  <si>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</si>
  <si>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</si>
  <si>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</si>
  <si>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</si>
  <si>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</si>
  <si>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</si>
  <si>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</si>
  <si>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</si>
  <si>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</si>
  <si>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</si>
  <si>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</si>
  <si>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</si>
  <si>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</si>
  <si>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</si>
  <si>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</si>
  <si>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</si>
  <si>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</si>
  <si>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</si>
  <si>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</si>
  <si>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</si>
  <si>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</si>
  <si>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</si>
  <si>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</si>
  <si>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</si>
  <si>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</si>
  <si>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</si>
  <si>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</si>
  <si>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</si>
  <si>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</si>
  <si>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</si>
  <si>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</si>
  <si>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</si>
  <si>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</si>
  <si>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</si>
  <si>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</si>
  <si>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</si>
  <si>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</si>
  <si>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</si>
  <si>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</si>
  <si>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</si>
  <si>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</si>
  <si>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</si>
  <si>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</si>
  <si>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</si>
  <si>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</si>
  <si>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</si>
  <si>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</si>
  <si>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</si>
  <si>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</si>
  <si>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</si>
  <si>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</si>
  <si>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</si>
  <si>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</si>
  <si>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</si>
  <si>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</si>
  <si>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</si>
  <si>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</si>
  <si>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</si>
  <si>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</si>
  <si>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</si>
  <si>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</si>
  <si>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</si>
  <si>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</si>
  <si>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</si>
  <si>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</si>
  <si>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</si>
  <si>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</si>
  <si>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</si>
  <si>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</si>
  <si>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</si>
  <si>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</si>
  <si>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</si>
  <si>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</si>
  <si>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</si>
  <si>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</si>
  <si>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</si>
  <si>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</si>
  <si>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</si>
  <si>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</si>
  <si>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</si>
  <si>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</si>
  <si>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</si>
  <si>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</si>
  <si>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</si>
  <si>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</si>
  <si>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</si>
  <si>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</si>
  <si>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</si>
  <si>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</si>
  <si>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</si>
  <si>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</si>
  <si>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</si>
  <si>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</si>
  <si>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</si>
  <si>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</si>
  <si>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</si>
  <si>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</si>
  <si>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</si>
  <si>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</si>
  <si>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</si>
  <si>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</si>
  <si>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</si>
  <si>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</si>
  <si>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</si>
  <si>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</si>
  <si>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</si>
  <si>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</si>
  <si>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</si>
  <si>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</si>
  <si>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</si>
  <si>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</si>
  <si>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</si>
  <si>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</si>
  <si>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</si>
  <si>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</si>
  <si>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</si>
  <si>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</si>
  <si>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</si>
  <si>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</si>
  <si>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</si>
  <si>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</si>
  <si>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</si>
  <si>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</si>
  <si>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</si>
  <si>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</si>
  <si>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</si>
  <si>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</si>
  <si>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</si>
  <si>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</si>
  <si>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</si>
  <si>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</si>
  <si>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</si>
  <si>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</si>
  <si>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</si>
  <si>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</si>
  <si>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</si>
  <si>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</si>
  <si>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</si>
  <si>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</si>
  <si>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</si>
  <si>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</si>
  <si>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</si>
  <si>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</si>
  <si>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</si>
  <si>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</si>
  <si>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</si>
  <si>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</si>
  <si>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</si>
  <si>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</si>
  <si>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</si>
  <si>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</si>
  <si>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</si>
  <si>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</si>
  <si>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</si>
  <si>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</si>
  <si>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</si>
  <si>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</si>
  <si>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</si>
  <si>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</si>
  <si>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</si>
  <si>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</si>
  <si>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</si>
  <si>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</si>
  <si>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</si>
  <si>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</si>
  <si>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</si>
  <si>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</si>
  <si>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</si>
  <si>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</si>
  <si>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</si>
  <si>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</si>
  <si>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</si>
  <si>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</si>
  <si>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</si>
  <si>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</si>
  <si>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</si>
  <si>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</si>
  <si>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</si>
  <si>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</si>
  <si>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</si>
  <si>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</si>
  <si>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</si>
  <si>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</si>
  <si>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</si>
  <si>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</si>
  <si>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</si>
  <si>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</si>
  <si>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</si>
  <si>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</si>
  <si>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</si>
  <si>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</si>
  <si>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</si>
  <si>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</si>
  <si>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</si>
  <si>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</si>
  <si>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</si>
  <si>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</si>
  <si>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</si>
  <si>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</si>
  <si>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</si>
  <si>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</si>
  <si>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</si>
  <si>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</si>
  <si>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</si>
  <si>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</si>
  <si>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</si>
  <si>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</si>
  <si>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</si>
  <si>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</si>
  <si>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</si>
  <si>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</si>
  <si>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</si>
  <si>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</si>
  <si>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</si>
  <si>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</si>
  <si>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</si>
  <si>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</si>
  <si>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</si>
  <si>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</si>
  <si>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</si>
  <si>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</si>
  <si>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</si>
  <si>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</si>
  <si>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</si>
  <si>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</si>
  <si>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</si>
  <si>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</si>
  <si>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</si>
  <si>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</si>
  <si>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</si>
  <si>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</si>
  <si>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</si>
  <si>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</si>
  <si>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</si>
  <si>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</si>
  <si>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</si>
  <si>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</si>
  <si>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</si>
  <si>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</si>
  <si>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</si>
  <si>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</si>
  <si>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</si>
  <si>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</si>
  <si>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</si>
  <si>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</si>
  <si>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</si>
  <si>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</si>
  <si>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</si>
  <si>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</si>
  <si>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</si>
  <si>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</si>
  <si>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</si>
  <si>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</si>
  <si>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</si>
  <si>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</si>
  <si>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</si>
  <si>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</si>
  <si>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</si>
  <si>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</si>
  <si>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</si>
  <si>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</si>
  <si>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</si>
  <si>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</si>
  <si>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</si>
  <si>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</si>
  <si>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</si>
  <si>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</si>
  <si>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</si>
  <si>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</si>
  <si>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</si>
  <si>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</si>
  <si>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</si>
  <si>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</si>
  <si>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</si>
  <si>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</si>
  <si>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</si>
  <si>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</si>
  <si>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</si>
  <si>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</si>
  <si>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</si>
  <si>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</si>
  <si>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</si>
  <si>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</si>
  <si>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</si>
  <si>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</si>
  <si>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</si>
  <si>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</si>
  <si>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</si>
  <si>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</si>
  <si>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</si>
  <si>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</si>
  <si>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</si>
  <si>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</si>
  <si>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</si>
  <si>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</si>
  <si>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</si>
  <si>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</si>
  <si>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</si>
  <si>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</si>
  <si>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</si>
  <si>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</si>
  <si>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</si>
  <si>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</si>
  <si>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</si>
  <si>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</si>
  <si>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</si>
  <si>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</si>
  <si>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</si>
  <si>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</si>
  <si>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</si>
  <si>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</si>
  <si>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</si>
  <si>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</si>
  <si>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</si>
  <si>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Department of Finance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</si>
  <si>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</si>
  <si>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</si>
  <si>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</si>
  <si>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</si>
  <si>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</si>
  <si>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</si>
  <si>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</si>
  <si>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</si>
  <si>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</si>
  <si>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</si>
  <si>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</si>
  <si>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</si>
  <si>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</si>
  <si>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</si>
  <si>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</si>
  <si>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</si>
  <si>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</si>
  <si>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</si>
  <si>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</si>
  <si>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</si>
  <si>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</si>
  <si>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</si>
  <si>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</si>
  <si>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</si>
  <si>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</si>
  <si>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</si>
  <si>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</si>
  <si>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</si>
  <si>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</si>
  <si>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</si>
  <si>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</si>
  <si>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</si>
  <si>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</si>
  <si>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</si>
  <si>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</si>
  <si>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</si>
  <si>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</si>
  <si>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</si>
  <si>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</si>
  <si>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</si>
  <si>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</si>
  <si>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</si>
  <si>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</si>
  <si>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</si>
  <si>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</si>
  <si>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</si>
  <si>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</si>
  <si>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</si>
  <si>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</si>
  <si>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</si>
  <si>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</si>
  <si>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</si>
  <si>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</si>
  <si>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</si>
  <si>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</si>
  <si>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</si>
  <si>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</si>
  <si>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</si>
  <si>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</si>
  <si>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</si>
  <si>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</si>
  <si>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</si>
  <si>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</si>
  <si>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</si>
  <si>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</si>
  <si>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</si>
  <si>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</si>
  <si>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</si>
  <si>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</si>
  <si>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</si>
  <si>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</si>
  <si>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</si>
  <si>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</si>
  <si>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Entry 1-3 is to record any new leases during  the reporting year </t>
  </si>
  <si>
    <t>Entry 4 - total for Fiscal year 2023</t>
  </si>
  <si>
    <t>Entry 5-7</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</si>
  <si>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</si>
  <si>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</si>
  <si>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</si>
  <si>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</si>
  <si>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</si>
  <si>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</si>
  <si>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</si>
  <si>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 xml:space="preserve">Department of Finance </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</si>
  <si>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</si>
  <si>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</si>
  <si>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</si>
  <si>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</si>
  <si>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</si>
  <si>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</si>
  <si>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</si>
  <si>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Enter the principal and interest for each fiscal year</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</si>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</sst>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6" fontId="6" fillId="2" borderId="0" xfId="2" applyNumberFormat="1" applyFont="1" applyFill="1" applyAlignment="1" applyProtection="1">
      <alignment horizontal="left" vertical="top"/>
      <protection locked="0"/>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66674</xdr:colOff>
      <xdr:row>28</xdr:row>
      <xdr:rowOff>138327</xdr:rowOff>
    </xdr:to>
    <xdr:pic>
      <xdr:nvPicPr>
        <xdr:cNvPr id="2" name="Picture 1" descr="Graphical user interface, application&#10;&#10;Description automatically generated with medium confidence">
          <a:extLst>
            <a:ext uri="{FF2B5EF4-FFF2-40B4-BE49-F238E27FC236}">
              <a16:creationId xmlns:a16="http://schemas.microsoft.com/office/drawing/2014/main" id="{99BA628F-ADA1-32FE-3F1C-F2A9C165497B}"/>
            </a:ext>
          </a:extLst>
        </xdr:cNvPr>
        <xdr:cNvPicPr>
          <a:picLocks noChangeAspect="1"/>
        </xdr:cNvPicPr>
      </xdr:nvPicPr>
      <xdr:blipFill>
        <a:blip xmlns:r="http://schemas.openxmlformats.org/officeDocument/2006/relationships" r:embed="rId1"/>
        <a:stretch>
          <a:fillRect/>
        </a:stretch>
      </xdr:blipFill>
      <xdr:spPr>
        <a:xfrm>
          <a:off x="0" y="0"/>
          <a:ext cx="11649074" cy="5472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39</xdr:row>
      <xdr:rowOff>57150</xdr:rowOff>
    </xdr:from>
    <xdr:to>
      <xdr:col>9</xdr:col>
      <xdr:colOff>533400</xdr:colOff>
      <xdr:row>49</xdr:row>
      <xdr:rowOff>34290</xdr:rowOff>
    </xdr:to>
    <xdr:pic>
      <xdr:nvPicPr>
        <xdr:cNvPr id="2" name="Picture 1" descr="A picture containing application&#10;&#10;Description automatically generated">
          <a:extLst>
            <a:ext uri="{FF2B5EF4-FFF2-40B4-BE49-F238E27FC236}">
              <a16:creationId xmlns:a16="http://schemas.microsoft.com/office/drawing/2014/main" id="{D07B37A8-50E1-DC8E-B18C-118E634BBDCA}"/>
            </a:ext>
          </a:extLst>
        </xdr:cNvPr>
        <xdr:cNvPicPr>
          <a:picLocks noChangeAspect="1"/>
        </xdr:cNvPicPr>
      </xdr:nvPicPr>
      <xdr:blipFill>
        <a:blip xmlns:r="http://schemas.openxmlformats.org/officeDocument/2006/relationships" r:embed="rId1"/>
        <a:stretch>
          <a:fillRect/>
        </a:stretch>
      </xdr:blipFill>
      <xdr:spPr>
        <a:xfrm>
          <a:off x="76200" y="7486650"/>
          <a:ext cx="5943600" cy="1882140"/>
        </a:xfrm>
        <a:prstGeom prst="rect">
          <a:avLst/>
        </a:prstGeom>
      </xdr:spPr>
    </xdr:pic>
    <xdr:clientData/>
  </xdr:twoCellAnchor>
  <xdr:twoCellAnchor editAs="oneCell">
    <xdr:from>
      <xdr:col>0</xdr:col>
      <xdr:colOff>0</xdr:colOff>
      <xdr:row>1</xdr:row>
      <xdr:rowOff>1</xdr:rowOff>
    </xdr:from>
    <xdr:to>
      <xdr:col>16</xdr:col>
      <xdr:colOff>500765</xdr:colOff>
      <xdr:row>38</xdr:row>
      <xdr:rowOff>142875</xdr:rowOff>
    </xdr:to>
    <xdr:pic>
      <xdr:nvPicPr>
        <xdr:cNvPr id="3" name="Picture 2">
          <a:extLst>
            <a:ext uri="{FF2B5EF4-FFF2-40B4-BE49-F238E27FC236}">
              <a16:creationId xmlns:a16="http://schemas.microsoft.com/office/drawing/2014/main" id="{3A0BB0D3-CC74-A43A-1DE9-F3AAF3A4292F}"/>
            </a:ext>
          </a:extLst>
        </xdr:cNvPr>
        <xdr:cNvPicPr>
          <a:picLocks noChangeAspect="1"/>
        </xdr:cNvPicPr>
      </xdr:nvPicPr>
      <xdr:blipFill>
        <a:blip xmlns:r="http://schemas.openxmlformats.org/officeDocument/2006/relationships" r:embed="rId2"/>
        <a:stretch>
          <a:fillRect/>
        </a:stretch>
      </xdr:blipFill>
      <xdr:spPr>
        <a:xfrm>
          <a:off x="0" y="190501"/>
          <a:ext cx="10254365" cy="71913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28</xdr:col>
      <xdr:colOff>540724</xdr:colOff>
      <xdr:row>8</xdr:row>
      <xdr:rowOff>47476</xdr:rowOff>
    </xdr:to>
    <xdr:pic>
      <xdr:nvPicPr>
        <xdr:cNvPr id="2" name="Picture 1">
          <a:extLst>
            <a:ext uri="{FF2B5EF4-FFF2-40B4-BE49-F238E27FC236}">
              <a16:creationId xmlns:a16="http://schemas.microsoft.com/office/drawing/2014/main" id="{1EFB4F63-BB26-D0B2-2A65-BD6034D9C2A5}"/>
            </a:ext>
          </a:extLst>
        </xdr:cNvPr>
        <xdr:cNvPicPr>
          <a:picLocks noChangeAspect="1"/>
        </xdr:cNvPicPr>
      </xdr:nvPicPr>
      <xdr:blipFill>
        <a:blip xmlns:r="http://schemas.openxmlformats.org/officeDocument/2006/relationships" r:embed="rId1"/>
        <a:stretch>
          <a:fillRect/>
        </a:stretch>
      </xdr:blipFill>
      <xdr:spPr>
        <a:xfrm>
          <a:off x="0" y="381000"/>
          <a:ext cx="17609524" cy="1190476"/>
        </a:xfrm>
        <a:prstGeom prst="rect">
          <a:avLst/>
        </a:prstGeom>
      </xdr:spPr>
    </xdr:pic>
    <xdr:clientData/>
  </xdr:twoCellAnchor>
  <xdr:twoCellAnchor editAs="oneCell">
    <xdr:from>
      <xdr:col>0</xdr:col>
      <xdr:colOff>0</xdr:colOff>
      <xdr:row>12</xdr:row>
      <xdr:rowOff>0</xdr:rowOff>
    </xdr:from>
    <xdr:to>
      <xdr:col>18</xdr:col>
      <xdr:colOff>65295</xdr:colOff>
      <xdr:row>33</xdr:row>
      <xdr:rowOff>18548</xdr:rowOff>
    </xdr:to>
    <xdr:pic>
      <xdr:nvPicPr>
        <xdr:cNvPr id="5" name="Picture 4">
          <a:extLst>
            <a:ext uri="{FF2B5EF4-FFF2-40B4-BE49-F238E27FC236}">
              <a16:creationId xmlns:a16="http://schemas.microsoft.com/office/drawing/2014/main" id="{49D7389E-7EBD-722C-3378-EDF7CB666264}"/>
            </a:ext>
          </a:extLst>
        </xdr:cNvPr>
        <xdr:cNvPicPr>
          <a:picLocks noChangeAspect="1"/>
        </xdr:cNvPicPr>
      </xdr:nvPicPr>
      <xdr:blipFill>
        <a:blip xmlns:r="http://schemas.openxmlformats.org/officeDocument/2006/relationships" r:embed="rId2"/>
        <a:stretch>
          <a:fillRect/>
        </a:stretch>
      </xdr:blipFill>
      <xdr:spPr>
        <a:xfrm>
          <a:off x="0" y="2286000"/>
          <a:ext cx="11038095" cy="40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18</xdr:col>
      <xdr:colOff>198628</xdr:colOff>
      <xdr:row>23</xdr:row>
      <xdr:rowOff>142333</xdr:rowOff>
    </xdr:to>
    <xdr:pic>
      <xdr:nvPicPr>
        <xdr:cNvPr id="2" name="Picture 1">
          <a:extLst>
            <a:ext uri="{FF2B5EF4-FFF2-40B4-BE49-F238E27FC236}">
              <a16:creationId xmlns:a16="http://schemas.microsoft.com/office/drawing/2014/main" id="{DCE50F92-33B3-B914-6CAC-981444DD6BCC}"/>
            </a:ext>
          </a:extLst>
        </xdr:cNvPr>
        <xdr:cNvPicPr>
          <a:picLocks noChangeAspect="1"/>
        </xdr:cNvPicPr>
      </xdr:nvPicPr>
      <xdr:blipFill>
        <a:blip xmlns:r="http://schemas.openxmlformats.org/officeDocument/2006/relationships" r:embed="rId1"/>
        <a:stretch>
          <a:fillRect/>
        </a:stretch>
      </xdr:blipFill>
      <xdr:spPr>
        <a:xfrm>
          <a:off x="0" y="190500"/>
          <a:ext cx="11171428" cy="4333333"/>
        </a:xfrm>
        <a:prstGeom prst="rect">
          <a:avLst/>
        </a:prstGeom>
      </xdr:spPr>
    </xdr:pic>
    <xdr:clientData/>
  </xdr:twoCellAnchor>
  <xdr:twoCellAnchor editAs="oneCell">
    <xdr:from>
      <xdr:col>0</xdr:col>
      <xdr:colOff>0</xdr:colOff>
      <xdr:row>28</xdr:row>
      <xdr:rowOff>0</xdr:rowOff>
    </xdr:from>
    <xdr:to>
      <xdr:col>11</xdr:col>
      <xdr:colOff>94400</xdr:colOff>
      <xdr:row>64</xdr:row>
      <xdr:rowOff>132476</xdr:rowOff>
    </xdr:to>
    <xdr:pic>
      <xdr:nvPicPr>
        <xdr:cNvPr id="3" name="Picture 2">
          <a:extLst>
            <a:ext uri="{FF2B5EF4-FFF2-40B4-BE49-F238E27FC236}">
              <a16:creationId xmlns:a16="http://schemas.microsoft.com/office/drawing/2014/main" id="{54C35032-21C2-1BD3-38A7-24EF10046BB3}"/>
            </a:ext>
          </a:extLst>
        </xdr:cNvPr>
        <xdr:cNvPicPr>
          <a:picLocks noChangeAspect="1"/>
        </xdr:cNvPicPr>
      </xdr:nvPicPr>
      <xdr:blipFill>
        <a:blip xmlns:r="http://schemas.openxmlformats.org/officeDocument/2006/relationships" r:embed="rId2"/>
        <a:stretch>
          <a:fillRect/>
        </a:stretch>
      </xdr:blipFill>
      <xdr:spPr>
        <a:xfrm>
          <a:off x="0" y="5334000"/>
          <a:ext cx="6800000" cy="69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R108" sqref="R108"/>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4" t="s">
        <v>1578</v>
      </c>
      <c r="B1" s="264"/>
      <c r="C1" s="264"/>
      <c r="D1" s="264"/>
      <c r="E1" s="264"/>
      <c r="F1" s="264"/>
      <c r="G1" s="264"/>
      <c r="H1" s="264"/>
      <c r="I1" s="264"/>
      <c r="J1" s="264"/>
      <c r="K1" s="264"/>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0" t="s">
        <v>1580</v>
      </c>
      <c r="B3" s="260"/>
      <c r="C3" s="260"/>
      <c r="D3" s="260"/>
      <c r="E3" s="260"/>
      <c r="F3" s="265" t="s">
        <v>15</v>
      </c>
      <c r="G3" s="265"/>
      <c r="H3" s="265"/>
      <c r="I3" s="265"/>
    </row>
    <row r="4" spans="1:20" ht="16.5" customHeight="1" x14ac:dyDescent="0.2">
      <c r="A4" s="260" t="s">
        <v>1581</v>
      </c>
      <c r="B4" s="260"/>
      <c r="C4" s="260"/>
      <c r="D4" s="260"/>
      <c r="E4" s="260"/>
      <c r="F4" s="266" t="s">
        <v>1582</v>
      </c>
      <c r="G4" s="266"/>
      <c r="H4" s="266"/>
      <c r="I4" s="266"/>
    </row>
    <row r="5" spans="1:20" ht="16.5" customHeight="1" x14ac:dyDescent="0.2">
      <c r="A5" s="260" t="s">
        <v>1583</v>
      </c>
      <c r="B5" s="260"/>
      <c r="C5" s="260"/>
      <c r="D5" s="260"/>
      <c r="E5" s="260"/>
      <c r="F5" s="266" t="s">
        <v>1287</v>
      </c>
      <c r="G5" s="266"/>
      <c r="H5" s="266"/>
      <c r="I5" s="266"/>
      <c r="L5" s="240"/>
      <c r="M5" s="240"/>
      <c r="N5" s="240"/>
      <c r="O5" s="240"/>
      <c r="P5" s="240"/>
      <c r="Q5" s="240"/>
    </row>
    <row r="6" spans="1:20" ht="16.5" customHeight="1" x14ac:dyDescent="0.25">
      <c r="A6" s="260" t="s">
        <v>1584</v>
      </c>
      <c r="B6" s="260"/>
      <c r="C6" s="260"/>
      <c r="D6" s="260"/>
      <c r="E6" s="260"/>
      <c r="F6" s="267">
        <v>1</v>
      </c>
      <c r="G6" s="267"/>
      <c r="H6" s="267"/>
      <c r="I6" s="267"/>
      <c r="L6" s="35"/>
      <c r="M6" s="35"/>
      <c r="N6" s="35"/>
      <c r="O6" s="35"/>
      <c r="P6" s="240"/>
      <c r="Q6" s="240"/>
    </row>
    <row r="7" spans="1:20" ht="16.5" customHeight="1" x14ac:dyDescent="0.25">
      <c r="A7" s="260" t="s">
        <v>1585</v>
      </c>
      <c r="B7" s="260"/>
      <c r="C7" s="260"/>
      <c r="D7" s="260"/>
      <c r="E7" s="260"/>
      <c r="F7" s="267" t="s">
        <v>1</v>
      </c>
      <c r="G7" s="267"/>
      <c r="H7" s="267"/>
      <c r="I7" s="267"/>
      <c r="K7" s="84"/>
      <c r="L7" s="35"/>
      <c r="M7" s="35"/>
      <c r="N7" s="35"/>
      <c r="O7" s="35"/>
      <c r="P7" s="240"/>
      <c r="Q7" s="240"/>
    </row>
    <row r="8" spans="1:20" ht="16.5" customHeight="1" x14ac:dyDescent="0.25">
      <c r="A8" s="260" t="s">
        <v>1586</v>
      </c>
      <c r="B8" s="260"/>
      <c r="C8" s="260"/>
      <c r="D8" s="260"/>
      <c r="E8" s="260"/>
      <c r="F8" s="267" t="s">
        <v>4</v>
      </c>
      <c r="G8" s="267"/>
      <c r="H8" s="267"/>
      <c r="I8" s="267"/>
      <c r="K8" s="84"/>
      <c r="L8" s="35"/>
      <c r="M8" s="35"/>
      <c r="N8" s="35"/>
      <c r="O8" s="35"/>
      <c r="P8" s="240"/>
      <c r="Q8" s="240"/>
    </row>
    <row r="9" spans="1:20" ht="16.5" customHeight="1" x14ac:dyDescent="0.25">
      <c r="A9" s="260" t="s">
        <v>1587</v>
      </c>
      <c r="B9" s="260"/>
      <c r="C9" s="260"/>
      <c r="D9" s="260"/>
      <c r="E9" s="260"/>
      <c r="F9" s="268" t="str">
        <f>IFERROR(IF(F7="Proprietary","Proprietary Fund",VLOOKUP(F5,qryIndex02a!$A$2:$K$654,4,FALSE)),"Unidentified")</f>
        <v>GENERAL GOVERNMENT</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1588</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1589</v>
      </c>
      <c r="B13" s="199"/>
      <c r="D13" s="175"/>
      <c r="E13" s="175"/>
      <c r="F13" s="176"/>
      <c r="G13" s="176"/>
      <c r="H13" s="166"/>
      <c r="I13" s="166"/>
      <c r="J13" s="171"/>
      <c r="K13" s="171"/>
    </row>
    <row r="14" spans="1:20" ht="16.5" customHeight="1" x14ac:dyDescent="0.3">
      <c r="A14" s="133">
        <v>0</v>
      </c>
      <c r="B14" s="164" t="s">
        <v>1590</v>
      </c>
      <c r="C14" s="38"/>
      <c r="D14" s="38"/>
      <c r="E14" s="38"/>
      <c r="F14" s="39"/>
      <c r="G14" s="39"/>
      <c r="H14" s="40"/>
      <c r="I14" s="40"/>
      <c r="J14" s="171"/>
      <c r="K14" s="171"/>
      <c r="L14" s="172"/>
      <c r="M14" s="261" t="s">
        <v>1591</v>
      </c>
      <c r="N14" s="262"/>
      <c r="O14" s="172"/>
      <c r="P14" s="261" t="s">
        <v>1592</v>
      </c>
      <c r="Q14" s="262"/>
      <c r="R14" s="172"/>
      <c r="S14" s="206" t="s">
        <v>1593</v>
      </c>
    </row>
    <row r="15" spans="1:20" ht="16.5" customHeight="1" x14ac:dyDescent="0.25">
      <c r="A15" s="212" t="s">
        <v>1594</v>
      </c>
      <c r="B15" s="24" t="s">
        <v>1595</v>
      </c>
      <c r="C15" s="24"/>
      <c r="D15" s="24"/>
      <c r="E15" s="177"/>
      <c r="F15" s="178"/>
      <c r="G15" s="178"/>
      <c r="H15" s="179"/>
      <c r="I15" s="179"/>
      <c r="J15" s="232">
        <f>M15</f>
        <v>0</v>
      </c>
      <c r="M15" s="180"/>
      <c r="P15" s="180"/>
      <c r="Q15" s="208"/>
      <c r="S15" s="207">
        <f t="shared" ref="S15:S19" si="0">P15-M15</f>
        <v>0</v>
      </c>
      <c r="T15" s="235" t="s">
        <v>1596</v>
      </c>
    </row>
    <row r="16" spans="1:20" ht="16.5" customHeight="1" x14ac:dyDescent="0.25">
      <c r="A16" s="212" t="s">
        <v>1594</v>
      </c>
      <c r="B16" s="24" t="s">
        <v>1597</v>
      </c>
      <c r="C16" s="24"/>
      <c r="D16" s="24"/>
      <c r="E16" s="177"/>
      <c r="F16" s="178"/>
      <c r="G16" s="178"/>
      <c r="H16" s="179"/>
      <c r="I16" s="179"/>
      <c r="J16" s="232">
        <f>M16</f>
        <v>0</v>
      </c>
      <c r="M16" s="180"/>
      <c r="P16" s="180"/>
      <c r="Q16" s="208"/>
      <c r="S16" s="207">
        <f t="shared" si="0"/>
        <v>0</v>
      </c>
      <c r="T16" s="235" t="s">
        <v>1596</v>
      </c>
    </row>
    <row r="17" spans="1:20" ht="16.5" customHeight="1" x14ac:dyDescent="0.25">
      <c r="A17" s="212" t="s">
        <v>1594</v>
      </c>
      <c r="B17" s="24" t="s">
        <v>1598</v>
      </c>
      <c r="C17" s="24"/>
      <c r="D17" s="24"/>
      <c r="E17" s="177"/>
      <c r="F17" s="178"/>
      <c r="G17" s="178"/>
      <c r="H17" s="179"/>
      <c r="I17" s="179"/>
      <c r="J17" s="232">
        <f>M17</f>
        <v>11519797</v>
      </c>
      <c r="M17" s="180">
        <v>11519797</v>
      </c>
      <c r="P17" s="180">
        <v>11519797</v>
      </c>
      <c r="Q17" s="208"/>
      <c r="S17" s="207">
        <f t="shared" si="0"/>
        <v>0</v>
      </c>
      <c r="T17" s="235" t="s">
        <v>1596</v>
      </c>
    </row>
    <row r="18" spans="1:20" ht="16.5" customHeight="1" x14ac:dyDescent="0.25">
      <c r="A18" s="86"/>
      <c r="B18" s="24" t="s">
        <v>1599</v>
      </c>
      <c r="C18" s="24"/>
      <c r="D18" s="24"/>
      <c r="E18" s="177"/>
      <c r="F18" s="178"/>
      <c r="G18" s="178"/>
      <c r="H18" s="179"/>
      <c r="I18" s="179"/>
      <c r="J18" s="232">
        <f>P18</f>
        <v>76351</v>
      </c>
      <c r="M18" s="180">
        <v>76351</v>
      </c>
      <c r="P18" s="205">
        <f>IF(SUM($Q$20:$Q$23)&gt;SUM($P$15:$P$17),SUM($Q$20:$Q$23)-SUM($P$15:$P$17),0)</f>
        <v>76351</v>
      </c>
      <c r="Q18" s="208"/>
      <c r="S18" s="207">
        <f t="shared" si="0"/>
        <v>0</v>
      </c>
      <c r="T18" s="234" t="s">
        <v>1600</v>
      </c>
    </row>
    <row r="19" spans="1:20" ht="16.5" customHeight="1" x14ac:dyDescent="0.25">
      <c r="A19" s="86"/>
      <c r="B19" s="24" t="s">
        <v>1601</v>
      </c>
      <c r="C19" s="24"/>
      <c r="D19" s="24"/>
      <c r="E19" s="177"/>
      <c r="F19" s="178"/>
      <c r="G19" s="178"/>
      <c r="H19" s="179"/>
      <c r="I19" s="179"/>
      <c r="J19" s="232">
        <f>IF(SUM($K$20:$K$24)&gt;SUM($J$15:$J$18),SUM($K$20:$K$24)-SUM($J$15:$J$18),0)</f>
        <v>0</v>
      </c>
      <c r="M19" s="180"/>
      <c r="P19" s="208"/>
      <c r="Q19" s="208"/>
      <c r="S19" s="207">
        <f t="shared" si="0"/>
        <v>0</v>
      </c>
      <c r="T19" s="234" t="s">
        <v>1600</v>
      </c>
    </row>
    <row r="20" spans="1:20" ht="16.5" customHeight="1" x14ac:dyDescent="0.25">
      <c r="A20" s="86"/>
      <c r="B20" s="24"/>
      <c r="C20" s="24" t="s">
        <v>1602</v>
      </c>
      <c r="D20" s="24"/>
      <c r="E20" s="177"/>
      <c r="F20" s="178"/>
      <c r="G20" s="178"/>
      <c r="H20" s="179"/>
      <c r="I20" s="179"/>
      <c r="J20" s="197"/>
      <c r="K20" s="232">
        <f>N20</f>
        <v>0</v>
      </c>
      <c r="N20" s="180"/>
      <c r="P20" s="208"/>
      <c r="Q20" s="180"/>
      <c r="S20" s="207">
        <f>Q20-N20</f>
        <v>0</v>
      </c>
      <c r="T20" s="234" t="s">
        <v>1600</v>
      </c>
    </row>
    <row r="21" spans="1:20" ht="16.5" customHeight="1" x14ac:dyDescent="0.25">
      <c r="A21" s="86"/>
      <c r="B21" s="24"/>
      <c r="C21" s="24" t="s">
        <v>1603</v>
      </c>
      <c r="D21" s="24"/>
      <c r="E21" s="177"/>
      <c r="F21" s="178"/>
      <c r="G21" s="178"/>
      <c r="H21" s="179"/>
      <c r="I21" s="179"/>
      <c r="J21" s="197"/>
      <c r="K21" s="232">
        <f>N21</f>
        <v>0</v>
      </c>
      <c r="N21" s="180"/>
      <c r="P21" s="208"/>
      <c r="Q21" s="180"/>
      <c r="S21" s="207">
        <f>Q21-N21</f>
        <v>0</v>
      </c>
      <c r="T21" s="234" t="s">
        <v>1600</v>
      </c>
    </row>
    <row r="22" spans="1:20" ht="16.5" customHeight="1" x14ac:dyDescent="0.25">
      <c r="A22" s="86"/>
      <c r="B22" s="24"/>
      <c r="C22" s="24" t="s">
        <v>1604</v>
      </c>
      <c r="D22" s="24"/>
      <c r="E22" s="177"/>
      <c r="F22" s="178"/>
      <c r="G22" s="178"/>
      <c r="H22" s="179"/>
      <c r="I22" s="179"/>
      <c r="J22" s="197"/>
      <c r="K22" s="232">
        <f>N22</f>
        <v>7089106</v>
      </c>
      <c r="N22" s="180">
        <v>7089106</v>
      </c>
      <c r="P22" s="208"/>
      <c r="Q22" s="180">
        <v>7089106</v>
      </c>
      <c r="S22" s="207">
        <f t="shared" ref="S22:S25" si="1">Q22-N22</f>
        <v>0</v>
      </c>
      <c r="T22" s="234" t="s">
        <v>1600</v>
      </c>
    </row>
    <row r="23" spans="1:20" ht="16.5" customHeight="1" x14ac:dyDescent="0.25">
      <c r="A23" s="218" t="s">
        <v>1605</v>
      </c>
      <c r="B23" s="24"/>
      <c r="C23" s="24" t="s">
        <v>1606</v>
      </c>
      <c r="D23" s="24"/>
      <c r="E23" s="177"/>
      <c r="F23" s="178"/>
      <c r="G23" s="178"/>
      <c r="H23" s="179"/>
      <c r="I23" s="179"/>
      <c r="J23" s="197"/>
      <c r="K23" s="232">
        <f>N23</f>
        <v>4507042</v>
      </c>
      <c r="N23" s="180">
        <v>4507042</v>
      </c>
      <c r="P23" s="208"/>
      <c r="Q23" s="180">
        <v>4507042</v>
      </c>
      <c r="S23" s="207">
        <f t="shared" si="1"/>
        <v>0</v>
      </c>
      <c r="T23" s="234" t="s">
        <v>1600</v>
      </c>
    </row>
    <row r="24" spans="1:20" ht="16.5" customHeight="1" x14ac:dyDescent="0.25">
      <c r="A24" s="86"/>
      <c r="B24" s="24"/>
      <c r="C24" s="24" t="s">
        <v>1607</v>
      </c>
      <c r="D24" s="24"/>
      <c r="E24" s="177"/>
      <c r="F24" s="178"/>
      <c r="G24" s="178"/>
      <c r="H24" s="179"/>
      <c r="I24" s="179"/>
      <c r="J24" s="197"/>
      <c r="K24" s="232">
        <f>Q24</f>
        <v>0</v>
      </c>
      <c r="N24" s="180"/>
      <c r="P24" s="208"/>
      <c r="Q24" s="205">
        <f>IF(SUM($Q$20:$Q$23)&lt;SUM($P$15:$P$17),-SUM($Q$20:$Q$23)+SUM($P$15:$P$17),0)</f>
        <v>0</v>
      </c>
      <c r="S24" s="207">
        <f t="shared" si="1"/>
        <v>0</v>
      </c>
      <c r="T24" s="234" t="s">
        <v>1600</v>
      </c>
    </row>
    <row r="25" spans="1:20" ht="16.5" customHeight="1" x14ac:dyDescent="0.25">
      <c r="A25" s="86"/>
      <c r="B25" s="24"/>
      <c r="C25" s="24" t="s">
        <v>1608</v>
      </c>
      <c r="D25" s="24"/>
      <c r="E25" s="177"/>
      <c r="F25" s="178"/>
      <c r="G25" s="178"/>
      <c r="H25" s="179"/>
      <c r="I25" s="179"/>
      <c r="J25" s="197"/>
      <c r="K25" s="232">
        <f>IF(SUM($K$20:$K$24)&lt;SUM($J$15:$J$18),-SUM($K$20:$K$24)+SUM($J$15:$J$18),0)</f>
        <v>0</v>
      </c>
      <c r="N25" s="180"/>
      <c r="P25" s="208"/>
      <c r="Q25" s="208"/>
      <c r="S25" s="207">
        <f t="shared" si="1"/>
        <v>0</v>
      </c>
      <c r="T25" s="234" t="s">
        <v>1600</v>
      </c>
    </row>
    <row r="26" spans="1:20" ht="16.5" customHeight="1" x14ac:dyDescent="0.25">
      <c r="A26" s="86"/>
      <c r="C26" s="42"/>
      <c r="D26" s="42"/>
      <c r="E26" s="42"/>
      <c r="F26" s="163"/>
      <c r="G26" s="163"/>
      <c r="H26" s="44"/>
      <c r="I26" s="44"/>
      <c r="J26" s="140">
        <f>SUM(J15:J25)</f>
        <v>11596148</v>
      </c>
      <c r="K26" s="140">
        <f>SUM(K15:K25)</f>
        <v>11596148</v>
      </c>
      <c r="L26" s="48" t="str">
        <f>IF(J26=K26,"&lt;- Debits and Credits equal each other.","&lt;- Debits and Credits do not equal each other.")</f>
        <v>&lt;- Debits and Credits equal each other.</v>
      </c>
    </row>
    <row r="27" spans="1:20" ht="16.5" customHeight="1" x14ac:dyDescent="0.25">
      <c r="A27" s="1"/>
      <c r="B27" s="166" t="s">
        <v>1609</v>
      </c>
      <c r="C27" s="45"/>
      <c r="D27" s="42"/>
      <c r="E27" s="42"/>
      <c r="F27" s="43"/>
      <c r="G27" s="43"/>
      <c r="H27" s="44"/>
      <c r="I27" s="44"/>
      <c r="J27" s="41"/>
      <c r="K27" s="41"/>
      <c r="L27" s="19"/>
    </row>
    <row r="28" spans="1:20" ht="16.149999999999999" customHeight="1" x14ac:dyDescent="0.3">
      <c r="A28" s="1"/>
      <c r="B28" s="219" t="s">
        <v>1610</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1611</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1612</v>
      </c>
      <c r="D32" s="175"/>
      <c r="E32" s="175"/>
      <c r="F32" s="176"/>
      <c r="G32" s="176"/>
      <c r="H32" s="166"/>
      <c r="I32" s="166"/>
      <c r="J32" s="171"/>
      <c r="K32" s="171"/>
    </row>
    <row r="33" spans="1:12" ht="16.5" customHeight="1" x14ac:dyDescent="0.25">
      <c r="B33" s="24" t="s">
        <v>1613</v>
      </c>
      <c r="C33" s="24"/>
      <c r="D33" s="177"/>
      <c r="E33" s="177"/>
      <c r="F33" s="178"/>
      <c r="G33" s="178"/>
      <c r="H33" s="179"/>
      <c r="I33" s="179"/>
      <c r="J33" s="180">
        <v>27306783</v>
      </c>
      <c r="K33" s="181"/>
    </row>
    <row r="34" spans="1:12" ht="16.5" customHeight="1" x14ac:dyDescent="0.25">
      <c r="A34" s="86"/>
      <c r="B34" s="24"/>
      <c r="C34" s="24" t="s">
        <v>1614</v>
      </c>
      <c r="D34" s="177"/>
      <c r="E34" s="177"/>
      <c r="F34" s="178"/>
      <c r="G34" s="178"/>
      <c r="H34" s="179"/>
      <c r="I34" s="179"/>
      <c r="J34" s="181"/>
      <c r="K34" s="180">
        <v>27306783</v>
      </c>
    </row>
    <row r="35" spans="1:12" ht="16.5" customHeight="1" x14ac:dyDescent="0.25">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27306783</v>
      </c>
      <c r="K36" s="140">
        <f>SUM(K33:K35)</f>
        <v>27306783</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1615</v>
      </c>
      <c r="C38" s="38"/>
      <c r="D38" s="38"/>
      <c r="E38" s="38"/>
      <c r="F38" s="39"/>
      <c r="G38" s="39"/>
      <c r="H38" s="40"/>
      <c r="I38" s="40"/>
      <c r="J38" s="41"/>
      <c r="K38" s="41"/>
      <c r="L38" s="19"/>
    </row>
    <row r="39" spans="1:12" ht="16.5" customHeight="1" x14ac:dyDescent="0.25">
      <c r="A39" s="212" t="s">
        <v>1594</v>
      </c>
      <c r="B39" s="24" t="s">
        <v>1595</v>
      </c>
      <c r="C39" s="24"/>
      <c r="D39" s="177"/>
      <c r="E39" s="177"/>
      <c r="F39" s="178"/>
      <c r="G39" s="178"/>
      <c r="H39" s="179"/>
      <c r="I39" s="179"/>
      <c r="J39" s="180"/>
      <c r="K39" s="181"/>
    </row>
    <row r="40" spans="1:12" ht="16.5" customHeight="1" x14ac:dyDescent="0.25">
      <c r="A40" s="212" t="s">
        <v>1594</v>
      </c>
      <c r="B40" s="24" t="s">
        <v>1597</v>
      </c>
      <c r="C40" s="24"/>
      <c r="D40" s="177"/>
      <c r="E40" s="177"/>
      <c r="F40" s="178"/>
      <c r="G40" s="178"/>
      <c r="H40" s="179"/>
      <c r="I40" s="179"/>
      <c r="J40" s="180"/>
      <c r="K40" s="181"/>
    </row>
    <row r="41" spans="1:12" ht="16.5" customHeight="1" x14ac:dyDescent="0.25">
      <c r="A41" s="212" t="s">
        <v>1594</v>
      </c>
      <c r="B41" s="24" t="s">
        <v>1598</v>
      </c>
      <c r="C41" s="24"/>
      <c r="D41" s="177"/>
      <c r="E41" s="177"/>
      <c r="F41" s="178"/>
      <c r="G41" s="178"/>
      <c r="H41" s="179"/>
      <c r="I41" s="179"/>
      <c r="J41" s="180">
        <v>27306783</v>
      </c>
      <c r="K41" s="181"/>
    </row>
    <row r="42" spans="1:12" ht="16.5" customHeight="1" x14ac:dyDescent="0.25">
      <c r="A42" s="86"/>
      <c r="B42" s="24"/>
      <c r="C42" s="24" t="s">
        <v>1616</v>
      </c>
      <c r="D42" s="177"/>
      <c r="E42" s="177"/>
      <c r="F42" s="178"/>
      <c r="G42" s="178"/>
      <c r="H42" s="179"/>
      <c r="I42" s="179"/>
      <c r="J42" s="181"/>
      <c r="K42" s="180">
        <v>27306783</v>
      </c>
    </row>
    <row r="43" spans="1:12" ht="16.5" customHeight="1" x14ac:dyDescent="0.25">
      <c r="A43" s="86"/>
      <c r="B43" s="166" t="s">
        <v>1617</v>
      </c>
      <c r="C43" s="38"/>
      <c r="D43" s="38"/>
      <c r="E43" s="38"/>
      <c r="F43" s="39"/>
      <c r="G43" s="39"/>
      <c r="H43" s="40"/>
      <c r="I43" s="40"/>
      <c r="J43" s="140">
        <f>SUM(J39:J42)</f>
        <v>27306783</v>
      </c>
      <c r="K43" s="140">
        <f>SUM(K39:K42)</f>
        <v>27306783</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1618</v>
      </c>
      <c r="C46" s="175"/>
      <c r="D46" s="175"/>
      <c r="E46" s="175"/>
      <c r="F46" s="176"/>
      <c r="G46" s="176"/>
      <c r="H46" s="166"/>
      <c r="I46" s="166"/>
      <c r="J46" s="171"/>
      <c r="K46" s="171"/>
    </row>
    <row r="47" spans="1:12" ht="16.5" customHeight="1" x14ac:dyDescent="0.25">
      <c r="B47" s="24" t="s">
        <v>1619</v>
      </c>
      <c r="C47" s="24"/>
      <c r="D47" s="177"/>
      <c r="E47" s="177"/>
      <c r="F47" s="178"/>
      <c r="G47" s="178"/>
      <c r="H47" s="179"/>
      <c r="I47" s="179"/>
      <c r="J47" s="180">
        <v>27306783</v>
      </c>
      <c r="K47" s="181"/>
    </row>
    <row r="48" spans="1:12" ht="16.5" customHeight="1" x14ac:dyDescent="0.25">
      <c r="A48" s="218" t="s">
        <v>1605</v>
      </c>
      <c r="B48" s="24"/>
      <c r="C48" s="24" t="s">
        <v>1606</v>
      </c>
      <c r="D48" s="177"/>
      <c r="E48" s="177"/>
      <c r="F48" s="178"/>
      <c r="G48" s="178"/>
      <c r="H48" s="179"/>
      <c r="I48" s="179"/>
      <c r="J48" s="181"/>
      <c r="K48" s="180">
        <v>27306783</v>
      </c>
    </row>
    <row r="49" spans="1:16" ht="16.5" customHeight="1" x14ac:dyDescent="0.25">
      <c r="A49" s="86"/>
      <c r="C49" s="38"/>
      <c r="D49" s="38"/>
      <c r="E49" s="38"/>
      <c r="F49" s="39"/>
      <c r="G49" s="39"/>
      <c r="H49" s="40"/>
      <c r="I49" s="40"/>
      <c r="J49" s="140">
        <f>SUM(J47:J48)</f>
        <v>27306783</v>
      </c>
      <c r="K49" s="140">
        <f>SUM(K47:K48)</f>
        <v>27306783</v>
      </c>
      <c r="L49" s="48" t="str">
        <f>IF(J49=K49,"&lt;- Debits and Credits equal each other.","&lt;- Debits and Credits do not equal each other.")</f>
        <v>&lt;- Debits and Credits equal each other.</v>
      </c>
    </row>
    <row r="50" spans="1:16" ht="16.5" customHeight="1" x14ac:dyDescent="0.25">
      <c r="A50" s="86"/>
      <c r="B50" s="219" t="s">
        <v>1620</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1621</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1622</v>
      </c>
      <c r="C54" s="175"/>
      <c r="D54" s="175"/>
      <c r="E54" s="175"/>
      <c r="F54" s="176"/>
      <c r="G54" s="176"/>
      <c r="H54" s="166"/>
      <c r="I54" s="166"/>
      <c r="J54" s="171"/>
      <c r="K54" s="171"/>
    </row>
    <row r="55" spans="1:16" ht="16.5" customHeight="1" x14ac:dyDescent="0.25">
      <c r="B55" s="24" t="s">
        <v>1623</v>
      </c>
      <c r="C55" s="48"/>
      <c r="D55" s="177"/>
      <c r="E55" s="177"/>
      <c r="F55" s="178"/>
      <c r="G55" s="178"/>
      <c r="H55" s="179"/>
      <c r="I55" s="179"/>
      <c r="J55" s="180">
        <v>3128902</v>
      </c>
      <c r="K55" s="181"/>
    </row>
    <row r="56" spans="1:16" ht="16.5" customHeight="1" x14ac:dyDescent="0.25">
      <c r="A56" s="86"/>
      <c r="B56" s="48"/>
      <c r="C56" s="24" t="s">
        <v>1602</v>
      </c>
      <c r="D56" s="177"/>
      <c r="E56" s="177"/>
      <c r="F56" s="178"/>
      <c r="G56" s="178"/>
      <c r="H56" s="179"/>
      <c r="I56" s="179"/>
      <c r="J56" s="182"/>
      <c r="K56" s="180"/>
    </row>
    <row r="57" spans="1:16" ht="16.5" customHeight="1" x14ac:dyDescent="0.25">
      <c r="A57" s="86"/>
      <c r="B57" s="48"/>
      <c r="C57" s="24" t="s">
        <v>1603</v>
      </c>
      <c r="D57" s="177"/>
      <c r="E57" s="177"/>
      <c r="F57" s="178"/>
      <c r="G57" s="178"/>
      <c r="H57" s="179"/>
      <c r="I57" s="179"/>
      <c r="J57" s="182"/>
      <c r="K57" s="180"/>
    </row>
    <row r="58" spans="1:16" ht="16.5" customHeight="1" x14ac:dyDescent="0.25">
      <c r="A58" s="86"/>
      <c r="B58" s="24"/>
      <c r="C58" s="24" t="s">
        <v>1604</v>
      </c>
      <c r="D58" s="177"/>
      <c r="E58" s="177"/>
      <c r="F58" s="178"/>
      <c r="G58" s="178"/>
      <c r="H58" s="179"/>
      <c r="I58" s="179"/>
      <c r="J58" s="181"/>
      <c r="K58" s="180">
        <v>3128902</v>
      </c>
    </row>
    <row r="59" spans="1:16" ht="16.5" customHeight="1" x14ac:dyDescent="0.25">
      <c r="A59" s="86"/>
      <c r="C59" s="38"/>
      <c r="D59" s="38"/>
      <c r="E59" s="38"/>
      <c r="F59" s="39"/>
      <c r="G59" s="39"/>
      <c r="H59" s="40"/>
      <c r="I59" s="40"/>
      <c r="J59" s="140">
        <f>SUM(J55:J58)</f>
        <v>3128902</v>
      </c>
      <c r="K59" s="140">
        <f>SUM(K55:K58)</f>
        <v>3128902</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1624</v>
      </c>
      <c r="C61" s="175"/>
      <c r="D61" s="175"/>
      <c r="E61" s="175"/>
      <c r="F61" s="176"/>
      <c r="G61" s="176"/>
      <c r="H61" s="166"/>
      <c r="I61" s="166"/>
      <c r="J61" s="171"/>
      <c r="K61" s="171"/>
    </row>
    <row r="62" spans="1:16" ht="16.5" customHeight="1" x14ac:dyDescent="0.25">
      <c r="B62" s="24" t="s">
        <v>1625</v>
      </c>
      <c r="C62" s="24"/>
      <c r="D62" s="177"/>
      <c r="E62" s="177"/>
      <c r="F62" s="178"/>
      <c r="G62" s="178"/>
      <c r="H62" s="179"/>
      <c r="I62" s="179"/>
      <c r="J62" s="183">
        <v>2584536</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579800</v>
      </c>
      <c r="K63" s="184"/>
    </row>
    <row r="64" spans="1:16" ht="16.5" customHeight="1" x14ac:dyDescent="0.25">
      <c r="A64" s="86"/>
      <c r="B64" s="24"/>
      <c r="C64" s="24" t="str">
        <f>IF($F$7="Proprietary","Cr: Acct 0870 - SERVICES &amp; CHARGES (MG ADJ)",VLOOKUP($F$9,'Drop Down Menus'!$F$2:$G$10,2,FALSE))</f>
        <v>Cr: Acct 0808 - GENERAL GOV. (GAAP ADJ)</v>
      </c>
      <c r="D64" s="177"/>
      <c r="E64" s="177"/>
      <c r="F64" s="178"/>
      <c r="G64" s="178"/>
      <c r="H64" s="179"/>
      <c r="I64" s="179"/>
      <c r="J64" s="184"/>
      <c r="K64" s="180">
        <v>3164336</v>
      </c>
    </row>
    <row r="65" spans="1:12" ht="16.5" customHeight="1" x14ac:dyDescent="0.25">
      <c r="A65" s="86"/>
      <c r="C65" s="38"/>
      <c r="D65" s="38"/>
      <c r="E65" s="38"/>
      <c r="F65" s="39"/>
      <c r="G65" s="39"/>
      <c r="H65" s="40"/>
      <c r="I65" s="40"/>
      <c r="J65" s="140">
        <f>SUM(J62:J64)</f>
        <v>3164336</v>
      </c>
      <c r="K65" s="140">
        <f>SUM(K62:K64)</f>
        <v>3164336</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1626</v>
      </c>
      <c r="C67" s="175"/>
      <c r="D67" s="175"/>
      <c r="E67" s="175"/>
      <c r="F67" s="176"/>
      <c r="G67" s="176"/>
      <c r="H67" s="166"/>
      <c r="I67" s="166"/>
      <c r="J67" s="171"/>
      <c r="K67" s="171"/>
    </row>
    <row r="68" spans="1:12" ht="16.5" customHeight="1" x14ac:dyDescent="0.25">
      <c r="A68" s="218" t="s">
        <v>1605</v>
      </c>
      <c r="B68" s="24" t="s">
        <v>1627</v>
      </c>
      <c r="C68" s="24"/>
      <c r="D68" s="177"/>
      <c r="E68" s="177"/>
      <c r="F68" s="178"/>
      <c r="G68" s="178"/>
      <c r="H68" s="179"/>
      <c r="I68" s="179"/>
      <c r="J68" s="180">
        <v>2584536</v>
      </c>
      <c r="K68" s="181"/>
    </row>
    <row r="69" spans="1:12" ht="16.5" customHeight="1" x14ac:dyDescent="0.25">
      <c r="A69" s="86"/>
      <c r="B69" s="24"/>
      <c r="C69" s="24" t="s">
        <v>1628</v>
      </c>
      <c r="D69" s="177"/>
      <c r="E69" s="177"/>
      <c r="F69" s="178"/>
      <c r="G69" s="178"/>
      <c r="H69" s="179"/>
      <c r="I69" s="179"/>
      <c r="J69" s="181"/>
      <c r="K69" s="180">
        <v>2584536</v>
      </c>
      <c r="L69" s="34" t="str">
        <f>IF($J$62=$K$69,"","&lt;- Accts 0848 must agree")</f>
        <v/>
      </c>
    </row>
    <row r="70" spans="1:12" ht="16.5" customHeight="1" x14ac:dyDescent="0.25">
      <c r="A70" s="86"/>
      <c r="C70" s="38"/>
      <c r="D70" s="38"/>
      <c r="E70" s="38"/>
      <c r="F70" s="39"/>
      <c r="G70" s="39"/>
      <c r="H70" s="40"/>
      <c r="I70" s="40"/>
      <c r="J70" s="140">
        <f>SUM(J68:J69)</f>
        <v>2584536</v>
      </c>
      <c r="K70" s="140">
        <f>SUM(K68:K69)</f>
        <v>2584536</v>
      </c>
      <c r="L70" s="48" t="str">
        <f>IF(J70=K70,"&lt;- Debits and Credits equal each other.","&lt;- Debits and Credits do not equal each other.")</f>
        <v>&lt;- Debits and Credits equal each other.</v>
      </c>
    </row>
    <row r="71" spans="1:12" ht="16.5" customHeight="1" x14ac:dyDescent="0.25">
      <c r="A71" s="86"/>
      <c r="B71" s="219" t="s">
        <v>1629</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1630</v>
      </c>
      <c r="C74" s="175"/>
      <c r="D74" s="175"/>
      <c r="E74" s="175"/>
      <c r="F74" s="176"/>
      <c r="G74" s="176"/>
      <c r="H74" s="166"/>
      <c r="I74" s="166"/>
      <c r="J74" s="171"/>
      <c r="K74" s="171"/>
    </row>
    <row r="75" spans="1:12" ht="16.5" customHeight="1" x14ac:dyDescent="0.25">
      <c r="A75" s="218" t="s">
        <v>1605</v>
      </c>
      <c r="B75" s="24" t="s">
        <v>1627</v>
      </c>
      <c r="C75" s="24"/>
      <c r="D75" s="177"/>
      <c r="E75" s="177"/>
      <c r="F75" s="178"/>
      <c r="G75" s="178"/>
      <c r="H75" s="179"/>
      <c r="I75" s="179"/>
      <c r="J75" s="180">
        <v>2965501</v>
      </c>
      <c r="K75" s="181"/>
    </row>
    <row r="76" spans="1:12" ht="16.5" customHeight="1" x14ac:dyDescent="0.25">
      <c r="A76" s="86"/>
      <c r="B76" s="24"/>
      <c r="C76" s="24" t="s">
        <v>1631</v>
      </c>
      <c r="D76" s="177"/>
      <c r="E76" s="177"/>
      <c r="F76" s="178"/>
      <c r="G76" s="178"/>
      <c r="H76" s="179"/>
      <c r="I76" s="179"/>
      <c r="J76" s="181"/>
      <c r="K76" s="180">
        <v>2965501</v>
      </c>
    </row>
    <row r="77" spans="1:12" ht="16.5" customHeight="1" x14ac:dyDescent="0.2">
      <c r="A77" s="86"/>
      <c r="B77" s="263" t="s">
        <v>1632</v>
      </c>
      <c r="C77" s="263"/>
      <c r="D77" s="263"/>
      <c r="E77" s="263"/>
      <c r="F77" s="263"/>
      <c r="G77" s="263"/>
      <c r="H77" s="263"/>
      <c r="I77" s="263"/>
      <c r="J77" s="140">
        <f>SUM(J75:J76)</f>
        <v>2965501</v>
      </c>
      <c r="K77" s="140">
        <f>SUM(K75:K76)</f>
        <v>2965501</v>
      </c>
      <c r="L77" s="48" t="str">
        <f>IF(J77=K77,"&lt;- Debits and Credits equal each other.","&lt;- Debits and Credits do not equal each other.")</f>
        <v>&lt;- Debits and Credits equal each other.</v>
      </c>
    </row>
    <row r="78" spans="1:12" ht="16.5" customHeight="1" x14ac:dyDescent="0.2">
      <c r="A78" s="86"/>
      <c r="B78" s="263"/>
      <c r="C78" s="263"/>
      <c r="D78" s="263"/>
      <c r="E78" s="263"/>
      <c r="F78" s="263"/>
      <c r="G78" s="263"/>
      <c r="H78" s="263"/>
      <c r="I78" s="263"/>
      <c r="J78" s="140"/>
      <c r="K78" s="140"/>
      <c r="L78" s="19"/>
    </row>
    <row r="79" spans="1:12" ht="24.6" customHeight="1" x14ac:dyDescent="0.2">
      <c r="A79" s="86"/>
      <c r="B79" s="263"/>
      <c r="C79" s="263"/>
      <c r="D79" s="263"/>
      <c r="E79" s="263"/>
      <c r="F79" s="263"/>
      <c r="G79" s="263"/>
      <c r="H79" s="263"/>
      <c r="I79" s="263"/>
      <c r="J79" s="140"/>
      <c r="K79" s="140"/>
      <c r="L79" s="19"/>
    </row>
    <row r="80" spans="1:12" ht="16.5" customHeight="1" x14ac:dyDescent="0.25">
      <c r="A80" s="1"/>
      <c r="B80" s="219" t="s">
        <v>1633</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1634</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1635</v>
      </c>
      <c r="H84" s="170"/>
    </row>
    <row r="85" spans="1:16" ht="16.5" customHeight="1" x14ac:dyDescent="0.25">
      <c r="B85" s="24" t="s">
        <v>1636</v>
      </c>
      <c r="C85" s="24"/>
      <c r="D85" s="177"/>
      <c r="E85" s="177"/>
      <c r="F85" s="178"/>
      <c r="G85" s="178"/>
      <c r="H85" s="179"/>
      <c r="I85" s="179"/>
      <c r="J85" s="180"/>
      <c r="K85" s="181"/>
      <c r="L85" s="19"/>
    </row>
    <row r="86" spans="1:16" ht="16.5" customHeight="1" x14ac:dyDescent="0.2">
      <c r="A86" s="86"/>
      <c r="B86" s="24" t="s">
        <v>1637</v>
      </c>
      <c r="C86" s="48"/>
      <c r="D86" s="48"/>
      <c r="E86" s="48"/>
      <c r="F86" s="48"/>
      <c r="G86" s="48"/>
      <c r="H86" s="48"/>
      <c r="I86" s="48"/>
      <c r="J86" s="180"/>
      <c r="K86" s="185"/>
    </row>
    <row r="87" spans="1:16" ht="16.5" customHeight="1" x14ac:dyDescent="0.2">
      <c r="A87" s="86"/>
      <c r="B87" s="24" t="s">
        <v>1638</v>
      </c>
      <c r="C87" s="48"/>
      <c r="D87" s="48"/>
      <c r="E87" s="48"/>
      <c r="F87" s="48"/>
      <c r="G87" s="48"/>
      <c r="H87" s="48"/>
      <c r="I87" s="48"/>
      <c r="J87" s="180"/>
      <c r="K87" s="185"/>
    </row>
    <row r="88" spans="1:16" ht="16.5" customHeight="1" x14ac:dyDescent="0.2">
      <c r="A88" s="212" t="s">
        <v>1594</v>
      </c>
      <c r="B88" s="48"/>
      <c r="C88" s="24" t="s">
        <v>1639</v>
      </c>
      <c r="D88" s="48"/>
      <c r="E88" s="48"/>
      <c r="F88" s="48"/>
      <c r="G88" s="48"/>
      <c r="H88" s="48"/>
      <c r="I88" s="48"/>
      <c r="J88" s="185"/>
      <c r="K88" s="180"/>
    </row>
    <row r="89" spans="1:16" ht="16.5" customHeight="1" x14ac:dyDescent="0.2">
      <c r="A89" s="212" t="s">
        <v>1594</v>
      </c>
      <c r="B89" s="48"/>
      <c r="C89" s="24" t="s">
        <v>1640</v>
      </c>
      <c r="D89" s="48"/>
      <c r="E89" s="48"/>
      <c r="F89" s="48"/>
      <c r="G89" s="48"/>
      <c r="H89" s="48"/>
      <c r="I89" s="48"/>
      <c r="J89" s="185"/>
      <c r="K89" s="180"/>
    </row>
    <row r="90" spans="1:16" ht="16.5" customHeight="1" x14ac:dyDescent="0.2">
      <c r="A90" s="212" t="s">
        <v>1594</v>
      </c>
      <c r="B90" s="48"/>
      <c r="C90" s="24" t="s">
        <v>1641</v>
      </c>
      <c r="D90" s="48"/>
      <c r="E90" s="48"/>
      <c r="F90" s="48"/>
      <c r="G90" s="48"/>
      <c r="H90" s="48"/>
      <c r="I90" s="48"/>
      <c r="J90" s="185"/>
      <c r="K90" s="180"/>
    </row>
    <row r="91" spans="1:16" ht="16.5" customHeight="1" x14ac:dyDescent="0.25">
      <c r="B91" s="166" t="s">
        <v>1642</v>
      </c>
      <c r="H91" s="34"/>
      <c r="J91" s="141">
        <f>SUM(J85:J90)</f>
        <v>0</v>
      </c>
      <c r="K91" s="141">
        <f>SUM(K85:K90)</f>
        <v>0</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1643</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1644</v>
      </c>
      <c r="C95" s="173"/>
      <c r="D95" s="173"/>
      <c r="E95" s="173"/>
      <c r="F95" s="173"/>
      <c r="G95" s="173"/>
      <c r="H95" s="173"/>
      <c r="I95" s="173"/>
      <c r="J95" s="174"/>
      <c r="K95" s="174"/>
    </row>
    <row r="96" spans="1:16" ht="16.5" customHeight="1" x14ac:dyDescent="0.2">
      <c r="A96" s="218" t="s">
        <v>1605</v>
      </c>
      <c r="B96" s="24" t="s">
        <v>1627</v>
      </c>
      <c r="C96" s="24"/>
      <c r="D96" s="249"/>
      <c r="E96" s="249"/>
      <c r="F96" s="249"/>
      <c r="G96" s="249"/>
      <c r="H96" s="249"/>
      <c r="I96" s="249"/>
      <c r="J96" s="180">
        <v>4507042</v>
      </c>
      <c r="K96" s="186"/>
    </row>
    <row r="97" spans="1:12" ht="16.5" customHeight="1" x14ac:dyDescent="0.2">
      <c r="B97" s="24" t="s">
        <v>1636</v>
      </c>
      <c r="C97" s="48"/>
      <c r="D97" s="48"/>
      <c r="E97" s="48"/>
      <c r="F97" s="48"/>
      <c r="G97" s="48"/>
      <c r="H97" s="48"/>
      <c r="I97" s="48"/>
      <c r="J97" s="180"/>
      <c r="K97" s="48"/>
    </row>
    <row r="98" spans="1:12" ht="16.5" customHeight="1" x14ac:dyDescent="0.2">
      <c r="B98" s="24" t="s">
        <v>1637</v>
      </c>
      <c r="C98" s="48"/>
      <c r="D98" s="48"/>
      <c r="E98" s="48"/>
      <c r="F98" s="48"/>
      <c r="G98" s="48"/>
      <c r="H98" s="48"/>
      <c r="I98" s="48"/>
      <c r="J98" s="180"/>
      <c r="K98" s="48"/>
    </row>
    <row r="99" spans="1:12" ht="16.5" customHeight="1" x14ac:dyDescent="0.2">
      <c r="B99" s="24" t="s">
        <v>1638</v>
      </c>
      <c r="C99" s="48"/>
      <c r="D99" s="48"/>
      <c r="E99" s="48"/>
      <c r="F99" s="48"/>
      <c r="G99" s="48"/>
      <c r="H99" s="48"/>
      <c r="I99" s="48"/>
      <c r="J99" s="180">
        <v>7089106</v>
      </c>
      <c r="K99" s="48"/>
    </row>
    <row r="100" spans="1:12" ht="16.5" customHeight="1" x14ac:dyDescent="0.2">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
      <c r="A101" s="212" t="s">
        <v>1594</v>
      </c>
      <c r="B101" s="48"/>
      <c r="C101" s="24" t="s">
        <v>1639</v>
      </c>
      <c r="D101" s="48"/>
      <c r="E101" s="48"/>
      <c r="F101" s="48"/>
      <c r="G101" s="48"/>
      <c r="H101" s="48"/>
      <c r="I101" s="48"/>
      <c r="J101" s="48"/>
      <c r="K101" s="180"/>
    </row>
    <row r="102" spans="1:12" ht="16.5" customHeight="1" x14ac:dyDescent="0.2">
      <c r="A102" s="212" t="s">
        <v>1594</v>
      </c>
      <c r="B102" s="48"/>
      <c r="C102" s="24" t="s">
        <v>1640</v>
      </c>
      <c r="D102" s="48"/>
      <c r="E102" s="48"/>
      <c r="F102" s="48"/>
      <c r="G102" s="48"/>
      <c r="H102" s="48"/>
      <c r="I102" s="48"/>
      <c r="J102" s="48"/>
      <c r="K102" s="180"/>
    </row>
    <row r="103" spans="1:12" ht="16.5" customHeight="1" x14ac:dyDescent="0.2">
      <c r="A103" s="212" t="s">
        <v>1594</v>
      </c>
      <c r="B103" s="48"/>
      <c r="C103" s="24" t="s">
        <v>1641</v>
      </c>
      <c r="D103" s="48"/>
      <c r="E103" s="48"/>
      <c r="F103" s="48"/>
      <c r="G103" s="48"/>
      <c r="H103" s="48"/>
      <c r="I103" s="48"/>
      <c r="J103" s="48"/>
      <c r="K103" s="180">
        <v>11519797</v>
      </c>
    </row>
    <row r="104" spans="1:12" ht="16.5" customHeight="1" x14ac:dyDescent="0.2">
      <c r="B104" s="48"/>
      <c r="C104" s="24" t="str">
        <f>IF($F$7="Proprietary","Dr: Acct 0870 - SERVICES &amp; CHARGES (MG ADJ)",VLOOKUP($F$9,'Drop Down Menus'!$F$2:$G$10,2,FALSE))</f>
        <v>Cr: Acct 0808 - GENERAL GOV. (GAAP ADJ)</v>
      </c>
      <c r="D104" s="48"/>
      <c r="E104" s="48"/>
      <c r="F104" s="48"/>
      <c r="G104" s="48"/>
      <c r="H104" s="48"/>
      <c r="I104" s="48"/>
      <c r="J104" s="48"/>
      <c r="K104" s="180">
        <v>76351</v>
      </c>
    </row>
    <row r="105" spans="1:12" ht="16.5" customHeight="1" x14ac:dyDescent="0.25">
      <c r="B105" s="166" t="s">
        <v>1642</v>
      </c>
      <c r="H105" s="34"/>
      <c r="J105" s="141">
        <f>SUM(J96:J104)</f>
        <v>11596148</v>
      </c>
      <c r="K105" s="141">
        <f>SUM(K96:K104)</f>
        <v>11596148</v>
      </c>
      <c r="L105" s="48" t="str">
        <f>IF(J105=K105,"&lt;- Debits and Credits equal each other.","&lt;- Debits and Credits do not equal each other.")</f>
        <v>&lt;- Debits and Credits equal each other.</v>
      </c>
    </row>
    <row r="106" spans="1:12" ht="16.5" customHeight="1" x14ac:dyDescent="0.25">
      <c r="B106" s="219" t="s">
        <v>1629</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1645</v>
      </c>
      <c r="C109" s="173"/>
      <c r="D109" s="173"/>
    </row>
    <row r="110" spans="1:12" ht="16.5" customHeight="1" x14ac:dyDescent="0.2">
      <c r="A110" s="212" t="s">
        <v>1594</v>
      </c>
      <c r="B110" s="24" t="s">
        <v>1595</v>
      </c>
      <c r="C110" s="24"/>
      <c r="D110" s="249"/>
      <c r="E110" s="48"/>
      <c r="F110" s="48"/>
      <c r="G110" s="48"/>
      <c r="H110" s="48"/>
      <c r="I110" s="48"/>
      <c r="J110" s="180"/>
      <c r="K110" s="48"/>
    </row>
    <row r="111" spans="1:12" ht="16.5" customHeight="1" x14ac:dyDescent="0.2">
      <c r="A111" s="212" t="s">
        <v>1594</v>
      </c>
      <c r="B111" s="24" t="s">
        <v>1597</v>
      </c>
      <c r="C111" s="24"/>
      <c r="D111" s="249"/>
      <c r="E111" s="48"/>
      <c r="F111" s="48"/>
      <c r="G111" s="48"/>
      <c r="H111" s="48"/>
      <c r="I111" s="48"/>
      <c r="J111" s="180"/>
      <c r="K111" s="48"/>
    </row>
    <row r="112" spans="1:12" ht="16.5" customHeight="1" x14ac:dyDescent="0.2">
      <c r="A112" s="212" t="s">
        <v>1594</v>
      </c>
      <c r="B112" s="24" t="s">
        <v>1598</v>
      </c>
      <c r="C112" s="24"/>
      <c r="D112" s="249"/>
      <c r="E112" s="48"/>
      <c r="F112" s="48"/>
      <c r="G112" s="48"/>
      <c r="H112" s="48"/>
      <c r="I112" s="48"/>
      <c r="J112" s="180"/>
      <c r="K112" s="48"/>
    </row>
    <row r="113" spans="1:12" ht="16.5" customHeight="1" x14ac:dyDescent="0.2">
      <c r="A113" s="218" t="s">
        <v>1605</v>
      </c>
      <c r="B113" s="24"/>
      <c r="C113" s="24" t="s">
        <v>1606</v>
      </c>
      <c r="D113" s="249"/>
      <c r="E113" s="48"/>
      <c r="F113" s="48"/>
      <c r="G113" s="48"/>
      <c r="H113" s="48"/>
      <c r="I113" s="48"/>
      <c r="J113" s="48"/>
      <c r="K113" s="180"/>
    </row>
    <row r="114" spans="1:12" ht="16.5" customHeight="1" x14ac:dyDescent="0.25">
      <c r="A114" s="14"/>
      <c r="B114" s="166" t="s">
        <v>1617</v>
      </c>
      <c r="C114" s="150"/>
      <c r="D114" s="150"/>
      <c r="H114" s="34"/>
      <c r="J114" s="141">
        <f>SUM(J110:J113)</f>
        <v>0</v>
      </c>
      <c r="K114" s="141">
        <f>SUM(K110:K113)</f>
        <v>0</v>
      </c>
      <c r="L114" s="48" t="str">
        <f>IF(J114=K114,"&lt;- Debits and Credits equal each other.","&lt;- Debits and Credits do not equal each other.")</f>
        <v>&lt;- Debits and Credits equal each other.</v>
      </c>
    </row>
    <row r="115" spans="1:12" ht="16.5" customHeight="1" x14ac:dyDescent="0.25">
      <c r="A115" s="14"/>
      <c r="B115" s="219" t="s">
        <v>1620</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1646</v>
      </c>
      <c r="E120" s="214"/>
      <c r="F120" s="215"/>
      <c r="G120" s="215"/>
      <c r="H120" s="215"/>
      <c r="I120" s="216"/>
      <c r="J120" s="216"/>
      <c r="K120" s="217"/>
    </row>
    <row r="121" spans="1:12" ht="16.5" customHeight="1" x14ac:dyDescent="0.25">
      <c r="H121" s="34"/>
      <c r="K121" s="223" t="s">
        <v>1647</v>
      </c>
    </row>
    <row r="122" spans="1:12" ht="16.5" customHeight="1" x14ac:dyDescent="0.25">
      <c r="D122" s="177" t="s">
        <v>1648</v>
      </c>
      <c r="H122" s="34"/>
      <c r="K122" s="222">
        <f>J15+J39-K88-K101+J110</f>
        <v>0</v>
      </c>
    </row>
    <row r="123" spans="1:12" ht="16.5" customHeight="1" x14ac:dyDescent="0.25">
      <c r="D123" s="177" t="s">
        <v>1649</v>
      </c>
      <c r="H123" s="34"/>
      <c r="K123" s="222">
        <f>J16+J40-K89-K102+J111</f>
        <v>0</v>
      </c>
    </row>
    <row r="124" spans="1:12" ht="16.5" customHeight="1" x14ac:dyDescent="0.25">
      <c r="D124" s="177" t="s">
        <v>1650</v>
      </c>
      <c r="H124" s="34"/>
      <c r="K124" s="222">
        <f>J17+J41-K90-K103+J112</f>
        <v>27306783</v>
      </c>
    </row>
    <row r="125" spans="1:12" ht="16.5" customHeight="1" x14ac:dyDescent="0.25">
      <c r="D125" s="177" t="s">
        <v>1651</v>
      </c>
      <c r="H125" s="34"/>
      <c r="K125" s="222">
        <f>-K20-K56+J85+J97</f>
        <v>0</v>
      </c>
    </row>
    <row r="126" spans="1:12" ht="16.5" customHeight="1" x14ac:dyDescent="0.25">
      <c r="D126" s="177" t="s">
        <v>1652</v>
      </c>
      <c r="H126" s="34"/>
      <c r="K126" s="222">
        <f>-K21-K57+J86+J98</f>
        <v>0</v>
      </c>
    </row>
    <row r="127" spans="1:12" ht="16.5" customHeight="1" x14ac:dyDescent="0.25">
      <c r="D127" s="177" t="s">
        <v>1653</v>
      </c>
      <c r="H127" s="34"/>
      <c r="K127" s="222">
        <f>-K22-K58+J87+J99</f>
        <v>-3128902</v>
      </c>
    </row>
    <row r="128" spans="1:12" ht="16.5" customHeight="1" x14ac:dyDescent="0.25">
      <c r="D128" s="177" t="s">
        <v>1654</v>
      </c>
      <c r="H128" s="34"/>
      <c r="K128" s="222">
        <f>-K23-K48+J68+J75+J96-K113</f>
        <v>-21756746</v>
      </c>
    </row>
    <row r="129" spans="4:11" ht="16.5" customHeight="1" x14ac:dyDescent="0.25">
      <c r="D129" s="177" t="s">
        <v>1655</v>
      </c>
      <c r="H129" s="34"/>
      <c r="K129" s="222">
        <f>-K76</f>
        <v>-2965501</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4B83-5463-46A7-9AE8-B667D91DC432}">
  <sheetPr>
    <tabColor theme="9" tint="0.59999389629810485"/>
  </sheetPr>
  <dimension ref="A1"/>
  <sheetViews>
    <sheetView workbookViewId="0">
      <selection activeCell="W16" sqref="W1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3CD6-EB74-4A7F-BC9C-B1C95E37C21E}">
  <sheetPr>
    <tabColor theme="9" tint="0.59999389629810485"/>
  </sheetPr>
  <dimension ref="N42"/>
  <sheetViews>
    <sheetView workbookViewId="0">
      <selection activeCell="M48" sqref="M48"/>
    </sheetView>
  </sheetViews>
  <sheetFormatPr defaultRowHeight="15" x14ac:dyDescent="0.25"/>
  <sheetData>
    <row r="42" spans="14:14" x14ac:dyDescent="0.25">
      <c r="N42" t="s">
        <v>1656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A230-7C81-4341-9250-7A6817DEE84A}">
  <sheetPr>
    <tabColor theme="9" tint="0.59999389629810485"/>
  </sheetPr>
  <dimension ref="A2:A11"/>
  <sheetViews>
    <sheetView workbookViewId="0">
      <selection activeCell="A13" sqref="A13"/>
    </sheetView>
  </sheetViews>
  <sheetFormatPr defaultRowHeight="15" x14ac:dyDescent="0.25"/>
  <sheetData>
    <row r="2" spans="1:1" x14ac:dyDescent="0.25">
      <c r="A2" t="s">
        <v>1657</v>
      </c>
    </row>
    <row r="11" spans="1:1" x14ac:dyDescent="0.25">
      <c r="A11" t="s">
        <v>1658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L11" sqref="L1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1659</v>
      </c>
      <c r="B1" s="280"/>
      <c r="C1" s="280"/>
      <c r="D1" s="280"/>
      <c r="E1" s="280"/>
      <c r="F1" s="280"/>
      <c r="G1" s="5"/>
      <c r="H1" s="5"/>
      <c r="I1" s="5"/>
      <c r="J1" s="5"/>
      <c r="K1" s="5"/>
      <c r="L1" s="5"/>
      <c r="M1" s="5"/>
    </row>
    <row r="2" spans="1:13" ht="64.150000000000006" customHeight="1" x14ac:dyDescent="0.25">
      <c r="A2" s="279" t="s">
        <v>1660</v>
      </c>
      <c r="B2" s="279"/>
      <c r="C2" s="279"/>
      <c r="D2" s="279"/>
      <c r="E2" s="279"/>
      <c r="F2" s="279"/>
      <c r="G2" s="5"/>
      <c r="H2" s="5"/>
      <c r="I2" s="5"/>
      <c r="J2" s="5"/>
      <c r="K2" s="5"/>
      <c r="L2" s="5"/>
      <c r="M2" s="5"/>
    </row>
    <row r="3" spans="1:13" ht="31.9" customHeight="1" x14ac:dyDescent="0.25">
      <c r="A3" s="284" t="s">
        <v>1661</v>
      </c>
      <c r="B3" s="284"/>
      <c r="C3" s="284"/>
      <c r="D3" s="47"/>
      <c r="E3" s="5"/>
      <c r="F3" s="5"/>
      <c r="G3" s="5"/>
      <c r="H3" s="5"/>
      <c r="I3" s="5"/>
      <c r="J3" s="5"/>
      <c r="K3" s="5"/>
      <c r="L3" s="5"/>
      <c r="M3" s="5"/>
    </row>
    <row r="4" spans="1:13" ht="31.15" customHeight="1" x14ac:dyDescent="0.25">
      <c r="A4" s="285" t="s">
        <v>1662</v>
      </c>
      <c r="B4" s="285"/>
      <c r="C4" s="285"/>
      <c r="D4" s="47"/>
      <c r="E4" s="5"/>
      <c r="F4" s="5"/>
      <c r="G4" s="5"/>
      <c r="H4" s="5"/>
      <c r="I4" s="5"/>
      <c r="J4" s="5"/>
      <c r="K4" s="5"/>
      <c r="L4" s="5"/>
      <c r="M4" s="5"/>
    </row>
    <row r="5" spans="1:13" ht="31.15" customHeight="1" x14ac:dyDescent="0.25">
      <c r="A5" s="285" t="s">
        <v>1663</v>
      </c>
      <c r="B5" s="285"/>
      <c r="C5" s="285"/>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1664</v>
      </c>
      <c r="B7" s="5"/>
      <c r="C7" s="5"/>
      <c r="D7" s="5"/>
      <c r="E7" s="5"/>
      <c r="F7" s="5"/>
      <c r="G7" s="5"/>
      <c r="H7" s="5"/>
      <c r="I7" s="5"/>
      <c r="J7" s="5"/>
      <c r="K7" s="5"/>
      <c r="L7" s="5"/>
      <c r="M7" s="5"/>
    </row>
    <row r="8" spans="1:13" ht="15.75" x14ac:dyDescent="0.25">
      <c r="A8" s="250" t="s">
        <v>1580</v>
      </c>
      <c r="B8" s="281" t="s">
        <v>15</v>
      </c>
      <c r="C8" s="281"/>
      <c r="D8" s="5"/>
      <c r="E8" s="5"/>
      <c r="F8" s="5"/>
    </row>
    <row r="9" spans="1:13" ht="15.75" x14ac:dyDescent="0.25">
      <c r="A9" s="250" t="s">
        <v>1665</v>
      </c>
      <c r="B9" s="282">
        <v>8860</v>
      </c>
      <c r="C9" s="282"/>
      <c r="D9" s="5"/>
      <c r="E9" s="5"/>
      <c r="F9" s="5"/>
    </row>
    <row r="10" spans="1:13" ht="15.75" x14ac:dyDescent="0.25">
      <c r="A10" s="250" t="s">
        <v>1581</v>
      </c>
      <c r="B10" s="283" t="s">
        <v>1666</v>
      </c>
      <c r="C10" s="283"/>
      <c r="D10" s="5"/>
      <c r="E10" s="5"/>
      <c r="F10" s="5"/>
      <c r="G10" s="244"/>
      <c r="H10" s="244"/>
      <c r="I10" s="244"/>
      <c r="J10" s="244"/>
      <c r="K10" s="244"/>
      <c r="L10" s="244"/>
      <c r="M10" s="244"/>
    </row>
    <row r="11" spans="1:13" ht="32.25" customHeight="1" x14ac:dyDescent="0.25">
      <c r="A11" s="274" t="s">
        <v>1667</v>
      </c>
      <c r="B11" s="275"/>
      <c r="C11" s="275"/>
      <c r="D11" s="5"/>
      <c r="E11" s="5"/>
      <c r="F11" s="5"/>
      <c r="G11" s="245"/>
      <c r="H11" s="245"/>
      <c r="I11" s="245"/>
      <c r="J11" s="245"/>
      <c r="K11" s="245"/>
      <c r="L11" s="245"/>
      <c r="M11" s="245"/>
    </row>
    <row r="12" spans="1:13" ht="15" customHeight="1" x14ac:dyDescent="0.25">
      <c r="A12" s="75"/>
      <c r="B12" s="76" t="s">
        <v>1668</v>
      </c>
      <c r="C12" s="76" t="s">
        <v>1669</v>
      </c>
      <c r="D12" s="277" t="str">
        <f>"All of the below questions are for Fiscal Year "&amp;$B$8&amp;":"</f>
        <v>All of the below questions are for Fiscal Year 2023–2024:</v>
      </c>
      <c r="E12" s="277"/>
      <c r="F12" s="277"/>
      <c r="G12" s="245"/>
      <c r="H12" s="245"/>
      <c r="I12" s="245"/>
      <c r="J12" s="245"/>
      <c r="K12" s="245"/>
      <c r="L12" s="245"/>
      <c r="M12" s="245"/>
    </row>
    <row r="13" spans="1:13" ht="15.6" customHeight="1" x14ac:dyDescent="0.25">
      <c r="A13" s="75" t="str">
        <f>RIGHT(B8,4)&amp;"–"&amp;RIGHT(B8,4)+1</f>
        <v>2024–2025</v>
      </c>
      <c r="B13" s="87">
        <v>2965501</v>
      </c>
      <c r="C13" s="87">
        <v>565610</v>
      </c>
      <c r="D13" s="272" t="s">
        <v>1670</v>
      </c>
      <c r="E13" s="273"/>
      <c r="F13" s="273"/>
      <c r="G13" s="245"/>
      <c r="H13" s="245"/>
      <c r="I13" s="245"/>
      <c r="J13" s="245"/>
      <c r="K13" s="245"/>
      <c r="L13" s="245"/>
      <c r="M13" s="245"/>
    </row>
    <row r="14" spans="1:13" x14ac:dyDescent="0.2">
      <c r="A14" s="75" t="str">
        <f>LEFT(A13,4)+1&amp;"–"&amp;RIGHT(A13,4)+1</f>
        <v>2025–2026</v>
      </c>
      <c r="B14" s="87">
        <v>3127329</v>
      </c>
      <c r="C14" s="87">
        <v>492059</v>
      </c>
      <c r="D14" s="272"/>
      <c r="E14" s="273"/>
      <c r="F14" s="273"/>
    </row>
    <row r="15" spans="1:13" ht="15.75" x14ac:dyDescent="0.2">
      <c r="A15" s="75" t="str">
        <f>LEFT(A14,4)+1&amp;"–"&amp;RIGHT(A14,4)+1</f>
        <v>2026–2027</v>
      </c>
      <c r="B15" s="87">
        <v>3295348</v>
      </c>
      <c r="C15" s="87">
        <v>414525</v>
      </c>
      <c r="D15" s="269" t="s">
        <v>3</v>
      </c>
      <c r="E15" s="269"/>
      <c r="F15" s="269"/>
      <c r="G15" s="51"/>
      <c r="H15" s="51"/>
      <c r="I15" s="51"/>
      <c r="J15" s="51"/>
      <c r="K15" s="51"/>
      <c r="L15" s="51"/>
      <c r="M15" s="51"/>
    </row>
    <row r="16" spans="1:13" x14ac:dyDescent="0.2">
      <c r="A16" s="75" t="str">
        <f>LEFT(A15,4)+1&amp;"–"&amp;RIGHT(A15,4)+1</f>
        <v>2027–2028</v>
      </c>
      <c r="B16" s="87">
        <v>3469767</v>
      </c>
      <c r="C16" s="87">
        <v>332853</v>
      </c>
      <c r="D16" s="271" t="str">
        <f>"If yes, record the dollar amount of variable payments below for fiscal year "&amp;$B$8&amp;":"</f>
        <v>If yes, record the dollar amount of variable payments below for fiscal year 2023–2024:</v>
      </c>
      <c r="E16" s="271"/>
      <c r="F16" s="271"/>
      <c r="G16" s="52"/>
      <c r="H16" s="52"/>
      <c r="I16" s="52"/>
      <c r="J16" s="52"/>
      <c r="K16" s="52"/>
    </row>
    <row r="17" spans="1:13" ht="15" customHeight="1" x14ac:dyDescent="0.2">
      <c r="A17" s="75" t="str">
        <f>LEFT(A16,4)+1&amp;"–"&amp;RIGHT(A16,4)+1</f>
        <v>2028–2029</v>
      </c>
      <c r="B17" s="87">
        <v>3650798</v>
      </c>
      <c r="C17" s="87">
        <v>246888</v>
      </c>
      <c r="D17" s="269">
        <v>7853.3</v>
      </c>
      <c r="E17" s="269"/>
      <c r="F17" s="269"/>
      <c r="G17" s="52"/>
      <c r="H17" s="52"/>
      <c r="I17" s="52"/>
      <c r="J17" s="52"/>
      <c r="K17" s="52"/>
    </row>
    <row r="18" spans="1:13" ht="15" customHeight="1" x14ac:dyDescent="0.25">
      <c r="A18" s="75" t="str">
        <f>LEFT(A17,4)+1&amp;"–"&amp;RIGHT(A17,4)+5</f>
        <v>2029–2034</v>
      </c>
      <c r="B18" s="87">
        <v>8213504</v>
      </c>
      <c r="C18" s="87">
        <v>218574</v>
      </c>
      <c r="D18" s="272" t="s">
        <v>1671</v>
      </c>
      <c r="E18" s="273"/>
      <c r="F18" s="273"/>
      <c r="G18" s="245"/>
      <c r="H18" s="245"/>
      <c r="I18" s="245"/>
      <c r="J18" s="245"/>
      <c r="K18" s="245"/>
      <c r="L18" s="245"/>
      <c r="M18" s="245"/>
    </row>
    <row r="19" spans="1:13" x14ac:dyDescent="0.2">
      <c r="A19" s="75" t="str">
        <f t="shared" ref="A19:A32" si="0">LEFT(A18,4)+5&amp;"–"&amp;RIGHT(A18,4)+5</f>
        <v>2034–2039</v>
      </c>
      <c r="B19" s="87"/>
      <c r="C19" s="87"/>
      <c r="D19" s="272"/>
      <c r="E19" s="273"/>
      <c r="F19" s="273"/>
    </row>
    <row r="20" spans="1:13" ht="15.75" x14ac:dyDescent="0.2">
      <c r="A20" s="75" t="str">
        <f t="shared" si="0"/>
        <v>2039–2044</v>
      </c>
      <c r="B20" s="87"/>
      <c r="C20" s="87"/>
      <c r="D20" s="269" t="s">
        <v>10</v>
      </c>
      <c r="E20" s="269"/>
      <c r="F20" s="269"/>
      <c r="G20" s="51"/>
      <c r="H20" s="51"/>
      <c r="I20" s="51"/>
      <c r="J20" s="51"/>
      <c r="K20" s="51"/>
      <c r="L20" s="51"/>
      <c r="M20" s="51"/>
    </row>
    <row r="21" spans="1:13" ht="15" customHeight="1" x14ac:dyDescent="0.2">
      <c r="A21" s="75" t="str">
        <f t="shared" si="0"/>
        <v>2044–2049</v>
      </c>
      <c r="B21" s="87"/>
      <c r="C21" s="87"/>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75" t="str">
        <f t="shared" si="0"/>
        <v>2049–2054</v>
      </c>
      <c r="B22" s="87"/>
      <c r="C22" s="87"/>
      <c r="D22" s="270"/>
      <c r="E22" s="271"/>
      <c r="F22" s="271"/>
    </row>
    <row r="23" spans="1:13" x14ac:dyDescent="0.2">
      <c r="A23" s="75" t="str">
        <f t="shared" si="0"/>
        <v>2054–2059</v>
      </c>
      <c r="B23" s="87"/>
      <c r="C23" s="87"/>
      <c r="D23" s="269">
        <v>0</v>
      </c>
      <c r="E23" s="269"/>
      <c r="F23" s="269"/>
    </row>
    <row r="24" spans="1:13" x14ac:dyDescent="0.2">
      <c r="A24" s="75" t="str">
        <f t="shared" si="0"/>
        <v>2059–2064</v>
      </c>
      <c r="B24" s="87"/>
      <c r="C24" s="87"/>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75" t="str">
        <f t="shared" si="0"/>
        <v>2064–2069</v>
      </c>
      <c r="B25" s="87"/>
      <c r="C25" s="87"/>
      <c r="D25" s="270"/>
      <c r="E25" s="271"/>
      <c r="F25" s="271"/>
    </row>
    <row r="26" spans="1:13" x14ac:dyDescent="0.2">
      <c r="A26" s="75" t="str">
        <f t="shared" si="0"/>
        <v>2069–2074</v>
      </c>
      <c r="B26" s="87"/>
      <c r="C26" s="87"/>
      <c r="D26" s="286">
        <v>0</v>
      </c>
      <c r="E26" s="269"/>
      <c r="F26" s="269"/>
    </row>
    <row r="27" spans="1:13" ht="15" customHeight="1" x14ac:dyDescent="0.2">
      <c r="A27" s="75" t="str">
        <f t="shared" si="0"/>
        <v>2074–2079</v>
      </c>
      <c r="B27" s="87"/>
      <c r="C27" s="87"/>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75" t="str">
        <f t="shared" si="0"/>
        <v>2079–2084</v>
      </c>
      <c r="B28" s="87"/>
      <c r="C28" s="87"/>
      <c r="D28" s="272"/>
      <c r="E28" s="273"/>
      <c r="F28" s="273"/>
      <c r="G28" s="53"/>
      <c r="H28" s="53"/>
      <c r="I28" s="53"/>
      <c r="J28" s="53"/>
      <c r="K28" s="53"/>
      <c r="L28" s="53"/>
      <c r="M28" s="53"/>
    </row>
    <row r="29" spans="1:13" ht="15.75" x14ac:dyDescent="0.2">
      <c r="A29" s="75" t="str">
        <f t="shared" si="0"/>
        <v>2084–2089</v>
      </c>
      <c r="B29" s="87"/>
      <c r="C29" s="87"/>
      <c r="D29" s="269" t="s">
        <v>10</v>
      </c>
      <c r="E29" s="269"/>
      <c r="F29" s="269"/>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2"/>
      <c r="F30" s="242"/>
      <c r="G30" s="53"/>
      <c r="H30" s="53"/>
      <c r="I30" s="53"/>
      <c r="J30" s="53"/>
      <c r="K30" s="53"/>
      <c r="L30" s="53"/>
      <c r="M30" s="53"/>
    </row>
    <row r="31" spans="1:13" ht="15" customHeight="1" x14ac:dyDescent="0.2">
      <c r="A31" s="75" t="str">
        <f t="shared" si="0"/>
        <v>2094–2099</v>
      </c>
      <c r="B31" s="87"/>
      <c r="C31" s="87"/>
      <c r="D31" s="269" t="s">
        <v>10</v>
      </c>
      <c r="E31" s="269"/>
      <c r="F31" s="269"/>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69"/>
      <c r="E33" s="269"/>
      <c r="F33" s="269"/>
    </row>
    <row r="34" spans="1:13" ht="15" customHeight="1" x14ac:dyDescent="0.2">
      <c r="A34" s="75" t="str">
        <f>LEFT(A33,4)+5&amp;"–"&amp;RIGHT(A33,4)+5</f>
        <v>2109–2114</v>
      </c>
      <c r="B34" s="87"/>
      <c r="C34" s="87"/>
      <c r="G34" s="244"/>
      <c r="H34" s="244"/>
      <c r="I34" s="244"/>
      <c r="J34" s="244"/>
      <c r="K34" s="244"/>
      <c r="L34" s="244"/>
      <c r="M34" s="244"/>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1672</v>
      </c>
      <c r="F38" s="53"/>
    </row>
    <row r="39" spans="1:13" ht="15.75" x14ac:dyDescent="0.25">
      <c r="A39" s="250" t="s">
        <v>1580</v>
      </c>
      <c r="B39" s="276" t="str">
        <f>B8</f>
        <v>2023–2024</v>
      </c>
      <c r="C39" s="276"/>
      <c r="E39" s="242"/>
    </row>
    <row r="40" spans="1:13" ht="15.6" customHeight="1" x14ac:dyDescent="0.25">
      <c r="A40" s="250" t="s">
        <v>1665</v>
      </c>
      <c r="B40" s="278">
        <f>B9</f>
        <v>8860</v>
      </c>
      <c r="C40" s="278"/>
      <c r="E40" s="242"/>
    </row>
    <row r="41" spans="1:13" ht="15.75" x14ac:dyDescent="0.25">
      <c r="A41" s="250" t="s">
        <v>1581</v>
      </c>
      <c r="B41" s="276" t="str">
        <f>B10</f>
        <v xml:space="preserve">Department of Finance </v>
      </c>
      <c r="C41" s="276"/>
      <c r="E41" s="242"/>
    </row>
    <row r="42" spans="1:13" ht="32.25" customHeight="1" x14ac:dyDescent="0.25">
      <c r="A42" s="274" t="s">
        <v>1667</v>
      </c>
      <c r="B42" s="275"/>
      <c r="C42" s="275"/>
      <c r="D42" s="5"/>
      <c r="E42" s="5"/>
      <c r="F42" s="5"/>
      <c r="G42" s="245"/>
      <c r="H42" s="245"/>
      <c r="I42" s="245"/>
      <c r="J42" s="245"/>
      <c r="K42" s="245"/>
      <c r="L42" s="245"/>
      <c r="M42" s="245"/>
    </row>
    <row r="43" spans="1:13" ht="15" customHeight="1" x14ac:dyDescent="0.25">
      <c r="A43" s="75"/>
      <c r="B43" s="76" t="s">
        <v>1668</v>
      </c>
      <c r="C43" s="76" t="s">
        <v>1669</v>
      </c>
      <c r="D43" s="277" t="str">
        <f>"All of the below questions are for Fiscal Year "&amp;$B$8&amp;":"</f>
        <v>All of the below questions are for Fiscal Year 2023–2024:</v>
      </c>
      <c r="E43" s="277"/>
      <c r="F43" s="277"/>
    </row>
    <row r="44" spans="1:13" ht="15" customHeight="1" x14ac:dyDescent="0.2">
      <c r="A44" s="75" t="str">
        <f>RIGHT(B39,4)&amp;"–"&amp;RIGHT(B39,4)+1</f>
        <v>2024–2025</v>
      </c>
      <c r="B44" s="87"/>
      <c r="C44" s="87"/>
      <c r="D44" s="272" t="s">
        <v>1670</v>
      </c>
      <c r="E44" s="273"/>
      <c r="F44" s="273"/>
    </row>
    <row r="45" spans="1:13" ht="15" customHeight="1" x14ac:dyDescent="0.2">
      <c r="A45" s="75" t="str">
        <f>LEFT(A44,4)+1&amp;"–"&amp;RIGHT(A44,4)+1</f>
        <v>2025–2026</v>
      </c>
      <c r="B45" s="87"/>
      <c r="C45" s="87"/>
      <c r="D45" s="272"/>
      <c r="E45" s="273"/>
      <c r="F45" s="273"/>
    </row>
    <row r="46" spans="1:13" x14ac:dyDescent="0.2">
      <c r="A46" s="75" t="str">
        <f>LEFT(A45,4)+1&amp;"–"&amp;RIGHT(A45,4)+1</f>
        <v>2026–2027</v>
      </c>
      <c r="B46" s="87"/>
      <c r="C46" s="87"/>
      <c r="D46" s="269"/>
      <c r="E46" s="269"/>
      <c r="F46" s="269"/>
    </row>
    <row r="47" spans="1:13" ht="15" customHeight="1" x14ac:dyDescent="0.2">
      <c r="A47" s="75" t="str">
        <f>LEFT(A46,4)+1&amp;"–"&amp;RIGHT(A46,4)+1</f>
        <v>2027–2028</v>
      </c>
      <c r="B47" s="87"/>
      <c r="C47" s="87"/>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75" t="str">
        <f>LEFT(A47,4)+1&amp;"–"&amp;RIGHT(A47,4)+1</f>
        <v>2028–2029</v>
      </c>
      <c r="B48" s="87"/>
      <c r="C48" s="87"/>
      <c r="D48" s="269"/>
      <c r="E48" s="269"/>
      <c r="F48" s="269"/>
    </row>
    <row r="49" spans="1:6" ht="15" customHeight="1" x14ac:dyDescent="0.2">
      <c r="A49" s="75" t="str">
        <f>LEFT(A48,4)+1&amp;"–"&amp;RIGHT(A48,4)+5</f>
        <v>2029–2034</v>
      </c>
      <c r="B49" s="87"/>
      <c r="C49" s="87"/>
      <c r="D49" s="272" t="s">
        <v>1671</v>
      </c>
      <c r="E49" s="273"/>
      <c r="F49" s="273"/>
    </row>
    <row r="50" spans="1:6" x14ac:dyDescent="0.2">
      <c r="A50" s="75" t="str">
        <f t="shared" ref="A50:A63" si="1">LEFT(A49,4)+5&amp;"–"&amp;RIGHT(A49,4)+5</f>
        <v>2034–2039</v>
      </c>
      <c r="B50" s="87"/>
      <c r="C50" s="87"/>
      <c r="D50" s="272"/>
      <c r="E50" s="273"/>
      <c r="F50" s="273"/>
    </row>
    <row r="51" spans="1:6" ht="15" customHeight="1" x14ac:dyDescent="0.2">
      <c r="A51" s="75" t="str">
        <f t="shared" si="1"/>
        <v>2039–2044</v>
      </c>
      <c r="B51" s="87"/>
      <c r="C51" s="87"/>
      <c r="D51" s="269"/>
      <c r="E51" s="269"/>
      <c r="F51" s="269"/>
    </row>
    <row r="52" spans="1:6" ht="15" customHeight="1" x14ac:dyDescent="0.2">
      <c r="A52" s="75" t="str">
        <f t="shared" si="1"/>
        <v>2044–2049</v>
      </c>
      <c r="B52" s="87"/>
      <c r="C52" s="87"/>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75" t="str">
        <f t="shared" si="1"/>
        <v>2049–2054</v>
      </c>
      <c r="B53" s="87"/>
      <c r="C53" s="87"/>
      <c r="D53" s="270"/>
      <c r="E53" s="271"/>
      <c r="F53" s="271"/>
    </row>
    <row r="54" spans="1:6" x14ac:dyDescent="0.2">
      <c r="A54" s="75" t="str">
        <f t="shared" si="1"/>
        <v>2054–2059</v>
      </c>
      <c r="B54" s="87"/>
      <c r="C54" s="87"/>
      <c r="D54" s="269"/>
      <c r="E54" s="269"/>
      <c r="F54" s="269"/>
    </row>
    <row r="55" spans="1:6" ht="15" customHeight="1" x14ac:dyDescent="0.2">
      <c r="A55" s="75" t="str">
        <f t="shared" si="1"/>
        <v>2059–2064</v>
      </c>
      <c r="B55" s="87"/>
      <c r="C55" s="87"/>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75" t="str">
        <f t="shared" si="1"/>
        <v>2064–2069</v>
      </c>
      <c r="B56" s="87"/>
      <c r="C56" s="87"/>
      <c r="D56" s="270"/>
      <c r="E56" s="271"/>
      <c r="F56" s="271"/>
    </row>
    <row r="57" spans="1:6" x14ac:dyDescent="0.2">
      <c r="A57" s="75" t="str">
        <f t="shared" si="1"/>
        <v>2069–2074</v>
      </c>
      <c r="B57" s="87"/>
      <c r="C57" s="87"/>
      <c r="D57" s="269"/>
      <c r="E57" s="269"/>
      <c r="F57" s="269"/>
    </row>
    <row r="58" spans="1:6" x14ac:dyDescent="0.2">
      <c r="A58" s="75" t="str">
        <f t="shared" si="1"/>
        <v>2074–2079</v>
      </c>
      <c r="B58" s="87"/>
      <c r="C58" s="87"/>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75" t="str">
        <f t="shared" si="1"/>
        <v>2079–2084</v>
      </c>
      <c r="B59" s="87"/>
      <c r="C59" s="87"/>
      <c r="D59" s="272"/>
      <c r="E59" s="273"/>
      <c r="F59" s="273"/>
    </row>
    <row r="60" spans="1:6" ht="15" customHeight="1" x14ac:dyDescent="0.2">
      <c r="A60" s="75" t="str">
        <f t="shared" si="1"/>
        <v>2084–2089</v>
      </c>
      <c r="B60" s="87"/>
      <c r="C60" s="87"/>
      <c r="D60" s="269"/>
      <c r="E60" s="269"/>
      <c r="F60" s="269"/>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2"/>
      <c r="F61" s="242"/>
    </row>
    <row r="62" spans="1:6" x14ac:dyDescent="0.2">
      <c r="A62" s="75" t="str">
        <f t="shared" si="1"/>
        <v>2094–2099</v>
      </c>
      <c r="B62" s="87"/>
      <c r="C62" s="87"/>
      <c r="D62" s="269"/>
      <c r="E62" s="269"/>
      <c r="F62" s="269"/>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69"/>
      <c r="E64" s="269"/>
      <c r="F64" s="269"/>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1673</v>
      </c>
    </row>
    <row r="70" spans="1:13" ht="15.75" x14ac:dyDescent="0.25">
      <c r="A70" s="250" t="s">
        <v>1580</v>
      </c>
      <c r="B70" s="276" t="str">
        <f>B8</f>
        <v>2023–2024</v>
      </c>
      <c r="C70" s="276"/>
    </row>
    <row r="71" spans="1:13" ht="15.75" x14ac:dyDescent="0.25">
      <c r="A71" s="250" t="s">
        <v>1665</v>
      </c>
      <c r="B71" s="278">
        <f>B9</f>
        <v>8860</v>
      </c>
      <c r="C71" s="278"/>
    </row>
    <row r="72" spans="1:13" ht="15.75" x14ac:dyDescent="0.25">
      <c r="A72" s="250" t="s">
        <v>1581</v>
      </c>
      <c r="B72" s="276" t="str">
        <f>B10</f>
        <v xml:space="preserve">Department of Finance </v>
      </c>
      <c r="C72" s="276"/>
    </row>
    <row r="73" spans="1:13" ht="32.25" customHeight="1" x14ac:dyDescent="0.25">
      <c r="A73" s="274" t="s">
        <v>1667</v>
      </c>
      <c r="B73" s="275"/>
      <c r="C73" s="275"/>
      <c r="D73" s="5"/>
      <c r="E73" s="5"/>
      <c r="F73" s="5"/>
      <c r="G73" s="245"/>
      <c r="H73" s="245"/>
      <c r="I73" s="245"/>
      <c r="J73" s="245"/>
      <c r="K73" s="245"/>
      <c r="L73" s="245"/>
      <c r="M73" s="245"/>
    </row>
    <row r="74" spans="1:13" ht="15.75" x14ac:dyDescent="0.25">
      <c r="A74" s="75"/>
      <c r="B74" s="76" t="s">
        <v>1668</v>
      </c>
      <c r="C74" s="76" t="s">
        <v>1669</v>
      </c>
      <c r="D74" s="277" t="str">
        <f>"All of the below questions are for Fiscal Year "&amp;$B$8&amp;":"</f>
        <v>All of the below questions are for Fiscal Year 2023–2024:</v>
      </c>
      <c r="E74" s="277"/>
      <c r="F74" s="277"/>
    </row>
    <row r="75" spans="1:13" ht="15" customHeight="1" x14ac:dyDescent="0.2">
      <c r="A75" s="75" t="str">
        <f>RIGHT(B70,4)&amp;"–"&amp;RIGHT(B70,4)+1</f>
        <v>2024–2025</v>
      </c>
      <c r="B75" s="87"/>
      <c r="C75" s="87"/>
      <c r="D75" s="272" t="s">
        <v>1670</v>
      </c>
      <c r="E75" s="273"/>
      <c r="F75" s="273"/>
    </row>
    <row r="76" spans="1:13" x14ac:dyDescent="0.2">
      <c r="A76" s="75" t="str">
        <f>LEFT(A75,4)+1&amp;"–"&amp;RIGHT(A75,4)+1</f>
        <v>2025–2026</v>
      </c>
      <c r="B76" s="87"/>
      <c r="C76" s="87"/>
      <c r="D76" s="272"/>
      <c r="E76" s="273"/>
      <c r="F76" s="273"/>
    </row>
    <row r="77" spans="1:13" x14ac:dyDescent="0.2">
      <c r="A77" s="75" t="str">
        <f>LEFT(A76,4)+1&amp;"–"&amp;RIGHT(A76,4)+1</f>
        <v>2026–2027</v>
      </c>
      <c r="B77" s="87"/>
      <c r="C77" s="87"/>
      <c r="D77" s="269"/>
      <c r="E77" s="269"/>
      <c r="F77" s="269"/>
    </row>
    <row r="78" spans="1:13" ht="15" customHeight="1" x14ac:dyDescent="0.2">
      <c r="A78" s="75" t="str">
        <f>LEFT(A77,4)+1&amp;"–"&amp;RIGHT(A77,4)+1</f>
        <v>2027–2028</v>
      </c>
      <c r="B78" s="87"/>
      <c r="C78" s="87"/>
      <c r="D78" s="271" t="str">
        <f>"If yes, record the dollar amount of variable payments below for fiscal year "&amp;$B$8&amp;":"</f>
        <v>If yes, record the dollar amount of variable payments below for fiscal year 2023–2024:</v>
      </c>
      <c r="E78" s="271"/>
      <c r="F78" s="271"/>
    </row>
    <row r="79" spans="1:13" x14ac:dyDescent="0.2">
      <c r="A79" s="75" t="str">
        <f>LEFT(A78,4)+1&amp;"–"&amp;RIGHT(A78,4)+1</f>
        <v>2028–2029</v>
      </c>
      <c r="B79" s="87"/>
      <c r="C79" s="87"/>
      <c r="D79" s="269"/>
      <c r="E79" s="269"/>
      <c r="F79" s="269"/>
    </row>
    <row r="80" spans="1:13" ht="15" customHeight="1" x14ac:dyDescent="0.2">
      <c r="A80" s="75" t="str">
        <f>LEFT(A79,4)+1&amp;"–"&amp;RIGHT(A79,4)+5</f>
        <v>2029–2034</v>
      </c>
      <c r="B80" s="87"/>
      <c r="C80" s="87"/>
      <c r="D80" s="272" t="s">
        <v>1671</v>
      </c>
      <c r="E80" s="273"/>
      <c r="F80" s="273"/>
    </row>
    <row r="81" spans="1:6" x14ac:dyDescent="0.2">
      <c r="A81" s="75" t="str">
        <f t="shared" ref="A81:A94" si="2">LEFT(A80,4)+5&amp;"–"&amp;RIGHT(A80,4)+5</f>
        <v>2034–2039</v>
      </c>
      <c r="B81" s="87"/>
      <c r="C81" s="87"/>
      <c r="D81" s="272"/>
      <c r="E81" s="273"/>
      <c r="F81" s="273"/>
    </row>
    <row r="82" spans="1:6" x14ac:dyDescent="0.2">
      <c r="A82" s="75" t="str">
        <f t="shared" si="2"/>
        <v>2039–2044</v>
      </c>
      <c r="B82" s="87"/>
      <c r="C82" s="87"/>
      <c r="D82" s="269"/>
      <c r="E82" s="269"/>
      <c r="F82" s="269"/>
    </row>
    <row r="83" spans="1:6" ht="15" customHeight="1" x14ac:dyDescent="0.2">
      <c r="A83" s="75" t="str">
        <f t="shared" si="2"/>
        <v>2044–2049</v>
      </c>
      <c r="B83" s="87"/>
      <c r="C83" s="87"/>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75" t="str">
        <f t="shared" si="2"/>
        <v>2049–2054</v>
      </c>
      <c r="B84" s="87"/>
      <c r="C84" s="87"/>
      <c r="D84" s="270"/>
      <c r="E84" s="271"/>
      <c r="F84" s="271"/>
    </row>
    <row r="85" spans="1:6" x14ac:dyDescent="0.2">
      <c r="A85" s="75" t="str">
        <f t="shared" si="2"/>
        <v>2054–2059</v>
      </c>
      <c r="B85" s="87"/>
      <c r="C85" s="87"/>
      <c r="D85" s="269"/>
      <c r="E85" s="269"/>
      <c r="F85" s="269"/>
    </row>
    <row r="86" spans="1:6" ht="15" customHeight="1" x14ac:dyDescent="0.2">
      <c r="A86" s="75" t="str">
        <f t="shared" si="2"/>
        <v>2059–2064</v>
      </c>
      <c r="B86" s="87"/>
      <c r="C86" s="87"/>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75" t="str">
        <f t="shared" si="2"/>
        <v>2064–2069</v>
      </c>
      <c r="B87" s="87"/>
      <c r="C87" s="87"/>
      <c r="D87" s="270"/>
      <c r="E87" s="271"/>
      <c r="F87" s="271"/>
    </row>
    <row r="88" spans="1:6" x14ac:dyDescent="0.2">
      <c r="A88" s="75" t="str">
        <f t="shared" si="2"/>
        <v>2069–2074</v>
      </c>
      <c r="B88" s="87"/>
      <c r="C88" s="87"/>
      <c r="D88" s="269"/>
      <c r="E88" s="269"/>
      <c r="F88" s="269"/>
    </row>
    <row r="89" spans="1:6" x14ac:dyDescent="0.2">
      <c r="A89" s="75" t="str">
        <f t="shared" si="2"/>
        <v>2074–2079</v>
      </c>
      <c r="B89" s="87"/>
      <c r="C89" s="87"/>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75" t="str">
        <f t="shared" si="2"/>
        <v>2079–2084</v>
      </c>
      <c r="B90" s="87"/>
      <c r="C90" s="87"/>
      <c r="D90" s="272"/>
      <c r="E90" s="273"/>
      <c r="F90" s="273"/>
    </row>
    <row r="91" spans="1:6" ht="15" customHeight="1" x14ac:dyDescent="0.2">
      <c r="A91" s="75" t="str">
        <f t="shared" si="2"/>
        <v>2084–2089</v>
      </c>
      <c r="B91" s="87"/>
      <c r="C91" s="87"/>
      <c r="D91" s="269"/>
      <c r="E91" s="269"/>
      <c r="F91" s="269"/>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2"/>
      <c r="F92" s="242"/>
    </row>
    <row r="93" spans="1:6" x14ac:dyDescent="0.2">
      <c r="A93" s="75" t="str">
        <f t="shared" si="2"/>
        <v>2094–2099</v>
      </c>
      <c r="B93" s="87"/>
      <c r="C93" s="87"/>
      <c r="D93" s="269"/>
      <c r="E93" s="269"/>
      <c r="F93" s="269"/>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69"/>
      <c r="E95" s="269"/>
      <c r="F95" s="269"/>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FF08C-15DD-449B-9D90-D9FCFF91A50A}">
  <sheetPr>
    <tabColor theme="9" tint="0.59999389629810485"/>
  </sheetPr>
  <dimension ref="A27"/>
  <sheetViews>
    <sheetView workbookViewId="0">
      <selection activeCell="Q30" sqref="Q30"/>
    </sheetView>
  </sheetViews>
  <sheetFormatPr defaultRowHeight="15" x14ac:dyDescent="0.25"/>
  <sheetData>
    <row r="27" spans="1:1" x14ac:dyDescent="0.25">
      <c r="A27" t="s">
        <v>1674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P32" sqref="P32"/>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1675</v>
      </c>
      <c r="K3" s="3"/>
      <c r="L3" s="3"/>
      <c r="M3" s="3"/>
      <c r="N3" s="3"/>
      <c r="O3" s="3"/>
      <c r="P3" s="3"/>
      <c r="Q3" s="63"/>
    </row>
    <row r="4" spans="2:17" ht="20.25" x14ac:dyDescent="0.3">
      <c r="B4" s="61"/>
      <c r="D4" s="3"/>
      <c r="E4" s="3"/>
      <c r="F4" s="3"/>
      <c r="G4" s="3"/>
      <c r="H4" s="3"/>
      <c r="I4" s="3"/>
      <c r="J4" s="62" t="str">
        <f>CONCATENATE("FY ",'LS-Fund 0001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 xml:space="preserve">Business Unit 8860 - Department of Finance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1676</v>
      </c>
      <c r="I7" s="65"/>
      <c r="J7" s="66" t="s">
        <v>1677</v>
      </c>
      <c r="K7" s="65"/>
      <c r="L7" s="64" t="str">
        <f>CONCATENATE("Balance        June 30, ",RIGHT(J4,4))</f>
        <v>Balance        June 30, 2024</v>
      </c>
      <c r="M7" s="65"/>
      <c r="N7" s="64" t="s">
        <v>1678</v>
      </c>
      <c r="O7" s="65"/>
      <c r="P7" s="64" t="s">
        <v>1679</v>
      </c>
      <c r="Q7" s="63"/>
    </row>
    <row r="8" spans="2:17" x14ac:dyDescent="0.25">
      <c r="B8" s="61"/>
      <c r="F8" s="210" t="s">
        <v>1680</v>
      </c>
      <c r="G8" s="65"/>
      <c r="H8" s="211" t="s">
        <v>1681</v>
      </c>
      <c r="I8" s="65"/>
      <c r="J8" s="211" t="s">
        <v>1682</v>
      </c>
      <c r="K8" s="65"/>
      <c r="L8" s="211"/>
      <c r="M8" s="65"/>
      <c r="N8" s="211" t="s">
        <v>1683</v>
      </c>
      <c r="O8" s="65"/>
      <c r="P8" s="209"/>
      <c r="Q8" s="63"/>
    </row>
    <row r="9" spans="2:17" x14ac:dyDescent="0.25">
      <c r="B9" s="61"/>
      <c r="C9" s="65" t="s">
        <v>1684</v>
      </c>
      <c r="Q9" s="63"/>
    </row>
    <row r="10" spans="2:17" ht="18.75" thickBot="1" x14ac:dyDescent="0.3">
      <c r="B10" s="61"/>
      <c r="D10" s="55" t="s">
        <v>1685</v>
      </c>
      <c r="F10" s="94">
        <f>IF('LS-Fund 0001 Journal Entries'!$F$8="Governmental Fund",'LS-Fund 0001 Journal Entries'!$K$23,0)</f>
        <v>4507042</v>
      </c>
      <c r="G10" s="90"/>
      <c r="H10" s="94">
        <f>IF('LS-Fund 0001 Journal Entries'!$F$8="Governmental Fund",SUM('LS-Fund 0001 Journal Entries'!$K$48,'LS-Fund 0001 Journal Entries'!K113),0)</f>
        <v>27306783</v>
      </c>
      <c r="I10" s="90"/>
      <c r="J10" s="94">
        <f>IF('LS-Fund 0001 Journal Entries'!$F$8="Governmental Fund",SUM('LS-Fund 0001 Journal Entries'!$J$68,'LS-Fund 0001 Journal Entries'!J96),0)</f>
        <v>7091578</v>
      </c>
      <c r="K10" s="90"/>
      <c r="L10" s="96">
        <f>SUM(F10+H10-J10)</f>
        <v>24722247</v>
      </c>
      <c r="M10" s="90"/>
      <c r="N10" s="94">
        <f>IF('LS-Fund 0001 Journal Entries'!$F$8="Governmental Fund",'LS-Fund 0001 Journal Entries'!$K$76,0)</f>
        <v>2965501</v>
      </c>
      <c r="O10" s="90"/>
      <c r="P10" s="96">
        <f>L10-N10</f>
        <v>21756746</v>
      </c>
      <c r="Q10" s="63"/>
    </row>
    <row r="11" spans="2:17" ht="19.5" thickTop="1" thickBot="1" x14ac:dyDescent="0.3">
      <c r="B11" s="61"/>
      <c r="C11" s="65" t="s">
        <v>1686</v>
      </c>
      <c r="F11" s="95">
        <f>SUM(F10:F10)</f>
        <v>4507042</v>
      </c>
      <c r="G11" s="90"/>
      <c r="H11" s="95">
        <f>SUM(H10:H10)</f>
        <v>27306783</v>
      </c>
      <c r="I11" s="90"/>
      <c r="J11" s="95">
        <f>SUM(J10:J10)</f>
        <v>7091578</v>
      </c>
      <c r="K11" s="90"/>
      <c r="L11" s="95">
        <f>SUM(L10:L10)</f>
        <v>24722247</v>
      </c>
      <c r="M11" s="90"/>
      <c r="N11" s="95">
        <f>SUM(N10:N10)</f>
        <v>2965501</v>
      </c>
      <c r="O11" s="90"/>
      <c r="P11" s="95">
        <f>SUM(P10:P10)</f>
        <v>21756746</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1687</v>
      </c>
      <c r="F13" s="90"/>
      <c r="G13" s="90"/>
      <c r="H13" s="90"/>
      <c r="I13" s="90"/>
      <c r="J13" s="90"/>
      <c r="K13" s="90"/>
      <c r="L13" s="90"/>
      <c r="M13" s="90"/>
      <c r="N13" s="90"/>
      <c r="O13" s="90"/>
      <c r="P13" s="90"/>
      <c r="Q13" s="63"/>
    </row>
    <row r="14" spans="2:17" ht="18.75" thickBot="1" x14ac:dyDescent="0.3">
      <c r="B14" s="61"/>
      <c r="D14" s="55" t="s">
        <v>1685</v>
      </c>
      <c r="F14" s="94">
        <f>IF('LS-Fund 0001 Journal Entries'!$F$8="Proprietary - Internal Service Fund",'LS-Fund 0001 Journal Entries'!$K$23,0)</f>
        <v>0</v>
      </c>
      <c r="G14" s="90"/>
      <c r="H14" s="94">
        <f>IF('LS-Fund 0001 Journal Entries'!$F$8="Proprietary - Internal Service Fund",SUM('LS-Fund 0001 Journal Entries'!$K$48,'LS-Fund 0001 Journal Entries'!K113),0)</f>
        <v>0</v>
      </c>
      <c r="I14" s="90"/>
      <c r="J14" s="94">
        <f>IF('LS-Fund 0001 Journal Entries'!$F$8="Proprietary - Internal Service Fund",SUM('LS-Fund 0001 Journal Entries'!$J$68,'LS-Fund 0001 Journal Entries'!J96),0)</f>
        <v>0</v>
      </c>
      <c r="K14" s="90"/>
      <c r="L14" s="96">
        <f>SUM(F14+H14-J14)</f>
        <v>0</v>
      </c>
      <c r="M14" s="90"/>
      <c r="N14" s="94">
        <f>IF('LS-Fund 0001 Journal Entries'!$F$8="Proprietary - Internal Service Fund",'LS-Fund 0001 Journal Entries'!$K$76,0)</f>
        <v>0</v>
      </c>
      <c r="O14" s="90"/>
      <c r="P14" s="96">
        <f>L14-N14</f>
        <v>0</v>
      </c>
      <c r="Q14" s="63"/>
    </row>
    <row r="15" spans="2:17" ht="19.5" thickTop="1" thickBot="1" x14ac:dyDescent="0.3">
      <c r="B15" s="61"/>
      <c r="C15" s="65" t="s">
        <v>1688</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1689</v>
      </c>
      <c r="F17" s="90"/>
      <c r="G17" s="90"/>
      <c r="H17" s="90"/>
      <c r="I17" s="90"/>
      <c r="J17" s="90"/>
      <c r="K17" s="90"/>
      <c r="L17" s="90"/>
      <c r="M17" s="90"/>
      <c r="N17" s="90"/>
      <c r="O17" s="90"/>
      <c r="P17" s="90"/>
      <c r="Q17" s="63"/>
    </row>
    <row r="18" spans="2:17" ht="18.75" thickBot="1" x14ac:dyDescent="0.3">
      <c r="B18" s="61"/>
      <c r="D18" s="55" t="s">
        <v>1685</v>
      </c>
      <c r="F18" s="94">
        <f>IF('LS-Fund 0001 Journal Entries'!$F$8="Proprietary - Enterprise Fund",'LS-Fund 0001 Journal Entries'!$K$23,0)</f>
        <v>0</v>
      </c>
      <c r="G18" s="90"/>
      <c r="H18" s="94">
        <f>IF('LS-Fund 0001 Journal Entries'!$F$8="Proprietary - Enterprise Fund",SUM('LS-Fund 0001 Journal Entries'!$K$48,'LS-Fund 0001 Journal Entries'!K113),0)</f>
        <v>0</v>
      </c>
      <c r="I18" s="90"/>
      <c r="J18" s="94">
        <f>IF('LS-Fund 0001 Journal Entries'!$F$8="Proprietary - Enterprise Fund",SUM('LS-Fund 0001 Journal Entries'!$J$68,'LS-Fund 0001 Journal Entries'!J96),0)</f>
        <v>0</v>
      </c>
      <c r="K18" s="90"/>
      <c r="L18" s="96">
        <f>SUM(F18+H18-J18)</f>
        <v>0</v>
      </c>
      <c r="M18" s="90"/>
      <c r="N18" s="94">
        <f>IF('LS-Fund 0001 Journal Entries'!$F$8="Proprietary - Enterprise Fund",'LS-Fund 0001 Journal Entries'!$K$76,0)</f>
        <v>0</v>
      </c>
      <c r="O18" s="90"/>
      <c r="P18" s="96">
        <f>L18-N18</f>
        <v>0</v>
      </c>
      <c r="Q18" s="63"/>
    </row>
    <row r="19" spans="2:17" ht="19.5" thickTop="1" thickBot="1" x14ac:dyDescent="0.3">
      <c r="B19" s="61"/>
      <c r="C19" s="65" t="s">
        <v>1690</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1691</v>
      </c>
    </row>
    <row r="23" spans="2:17" x14ac:dyDescent="0.25">
      <c r="B23" s="236" t="s">
        <v>1692</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H16" sqref="H16"/>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1693</v>
      </c>
      <c r="B1" s="98"/>
      <c r="C1" s="99"/>
      <c r="D1" s="98"/>
      <c r="E1" s="99"/>
      <c r="F1" s="100"/>
      <c r="G1" s="100"/>
      <c r="H1" s="100"/>
      <c r="I1" s="100"/>
      <c r="J1" s="100"/>
      <c r="K1" s="101"/>
      <c r="L1" s="100"/>
      <c r="M1" s="101"/>
      <c r="N1" s="98"/>
      <c r="O1" s="98"/>
      <c r="P1" s="98"/>
      <c r="Q1" s="98"/>
    </row>
    <row r="2" spans="1:17" s="102" customFormat="1" ht="15.75" x14ac:dyDescent="0.25">
      <c r="A2" s="97" t="s">
        <v>1694</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1695</v>
      </c>
      <c r="B4" s="105"/>
      <c r="C4" s="106"/>
      <c r="D4" s="105"/>
      <c r="E4" s="106"/>
      <c r="F4" s="105"/>
      <c r="G4" s="105"/>
      <c r="H4" s="105"/>
      <c r="I4" s="105"/>
      <c r="J4" s="105"/>
      <c r="K4" s="106"/>
      <c r="L4" s="105"/>
      <c r="M4" s="106"/>
      <c r="N4" s="105"/>
      <c r="O4" s="105"/>
      <c r="P4" s="105"/>
      <c r="Q4" s="105"/>
    </row>
    <row r="5" spans="1:17" ht="15" customHeight="1" x14ac:dyDescent="0.25">
      <c r="A5" s="287" t="s">
        <v>1696</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1692</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04" t="s">
        <v>1697</v>
      </c>
      <c r="B10" s="105"/>
      <c r="C10" s="106"/>
      <c r="D10" s="105"/>
      <c r="E10" s="106"/>
      <c r="F10" s="105"/>
      <c r="G10" s="105"/>
      <c r="H10" s="105"/>
      <c r="I10" s="105"/>
      <c r="J10" s="105"/>
      <c r="K10" s="106"/>
      <c r="L10" s="105"/>
      <c r="M10" s="106"/>
      <c r="N10" s="105"/>
      <c r="O10" s="105"/>
      <c r="P10" s="105"/>
      <c r="Q10" s="105"/>
    </row>
    <row r="11" spans="1:17" x14ac:dyDescent="0.25">
      <c r="A11" s="247"/>
      <c r="B11" s="132" t="s">
        <v>1698</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9" t="s">
        <v>1699</v>
      </c>
      <c r="C13" s="289"/>
      <c r="D13" s="289"/>
      <c r="E13" s="289"/>
      <c r="F13" s="289"/>
      <c r="G13" s="289"/>
      <c r="H13" s="289"/>
      <c r="I13" s="289"/>
      <c r="J13" s="289"/>
      <c r="K13" s="289"/>
      <c r="L13" s="289"/>
      <c r="M13" s="108"/>
      <c r="N13" s="248" t="s">
        <v>1700</v>
      </c>
      <c r="O13" s="109"/>
      <c r="P13" s="109"/>
      <c r="Q13" s="247"/>
    </row>
    <row r="14" spans="1:17" ht="15" customHeight="1" x14ac:dyDescent="0.25">
      <c r="A14" s="247"/>
      <c r="B14" s="220" t="s">
        <v>1701</v>
      </c>
      <c r="C14" s="220"/>
      <c r="D14" s="220" t="s">
        <v>1676</v>
      </c>
      <c r="E14" s="220"/>
      <c r="F14" s="220" t="s">
        <v>1677</v>
      </c>
      <c r="G14" s="220"/>
      <c r="H14" s="220" t="s">
        <v>1702</v>
      </c>
      <c r="I14" s="220"/>
      <c r="J14" s="220" t="s">
        <v>1703</v>
      </c>
      <c r="K14" s="220"/>
      <c r="L14" s="220"/>
      <c r="M14" s="108"/>
      <c r="N14" s="113"/>
      <c r="O14" s="109"/>
      <c r="P14" s="109"/>
      <c r="Q14" s="247"/>
    </row>
    <row r="15" spans="1:17" ht="15" customHeight="1" x14ac:dyDescent="0.25">
      <c r="A15" s="247"/>
      <c r="B15" s="110" t="s">
        <v>1704</v>
      </c>
      <c r="C15" s="111" t="s">
        <v>1705</v>
      </c>
      <c r="D15" s="110" t="s">
        <v>1706</v>
      </c>
      <c r="E15" s="110" t="s">
        <v>1707</v>
      </c>
      <c r="F15" s="110" t="s">
        <v>1708</v>
      </c>
      <c r="G15" s="110" t="s">
        <v>1707</v>
      </c>
      <c r="H15" s="110" t="s">
        <v>1709</v>
      </c>
      <c r="I15" s="110" t="s">
        <v>1705</v>
      </c>
      <c r="J15" s="110" t="s">
        <v>1710</v>
      </c>
      <c r="K15" s="111"/>
      <c r="L15" s="110"/>
      <c r="M15" s="111"/>
      <c r="N15" s="112" t="s">
        <v>1711</v>
      </c>
      <c r="O15" s="109"/>
      <c r="P15" s="113" t="s">
        <v>1712</v>
      </c>
      <c r="Q15" s="247"/>
    </row>
    <row r="16" spans="1:17" ht="15" customHeight="1" x14ac:dyDescent="0.25">
      <c r="A16" s="114"/>
      <c r="B16" s="115">
        <f>IF('LS-Fund 0001 Journal Entries'!$F$8="Governmental Fund",'LS-Fund 0001 Journal Entries'!$K$23,0)</f>
        <v>4507042</v>
      </c>
      <c r="C16" s="152" t="s">
        <v>1705</v>
      </c>
      <c r="D16" s="115">
        <f>IF('LS-Fund 0001 Journal Entries'!$F$8="Governmental Fund",'LS-Fund 0001 Journal Entries'!$K$48,0)</f>
        <v>27306783</v>
      </c>
      <c r="E16" s="154" t="s">
        <v>1707</v>
      </c>
      <c r="F16" s="115">
        <f>IF('LS-Fund 0001 Journal Entries'!$F$8="Governmental Fund",'LS-Fund 0001 Journal Entries'!$J$68,0)</f>
        <v>2584536</v>
      </c>
      <c r="G16" s="153" t="s">
        <v>1707</v>
      </c>
      <c r="H16" s="115">
        <f>IF('LS-Fund 0001 Journal Entries'!$F$8="Governmental Fund",'LS-Fund 0001 Journal Entries'!$J$96,0)</f>
        <v>4507042</v>
      </c>
      <c r="I16" s="153" t="s">
        <v>1705</v>
      </c>
      <c r="J16" s="115">
        <f>IF('LS-Fund 0001 Journal Entries'!$F$8="Governmental Fund",'LS-Fund 0001 Journal Entries'!$K$113,0)</f>
        <v>0</v>
      </c>
      <c r="K16" s="154" t="s">
        <v>1713</v>
      </c>
      <c r="L16" s="118">
        <f>+B16+D16-F16-H16+J16</f>
        <v>24722247</v>
      </c>
      <c r="M16" s="117"/>
      <c r="N16" s="119">
        <f>SUM('LS-Department Note Disclosure'!B13:B36)</f>
        <v>24722247</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1714</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9" t="s">
        <v>1699</v>
      </c>
      <c r="C21" s="289"/>
      <c r="D21" s="289"/>
      <c r="E21" s="289"/>
      <c r="F21" s="289"/>
      <c r="G21" s="289"/>
      <c r="H21" s="289"/>
      <c r="I21" s="289"/>
      <c r="J21" s="289"/>
      <c r="K21" s="289"/>
      <c r="L21" s="289"/>
      <c r="M21" s="108"/>
      <c r="N21" s="248" t="s">
        <v>1700</v>
      </c>
      <c r="O21" s="109"/>
      <c r="P21" s="109"/>
      <c r="Q21" s="247"/>
    </row>
    <row r="22" spans="1:17" ht="15" customHeight="1" x14ac:dyDescent="0.25">
      <c r="A22" s="247"/>
      <c r="B22" s="220" t="s">
        <v>1701</v>
      </c>
      <c r="C22" s="220"/>
      <c r="D22" s="220" t="s">
        <v>1676</v>
      </c>
      <c r="E22" s="220"/>
      <c r="F22" s="220" t="s">
        <v>1677</v>
      </c>
      <c r="G22" s="220"/>
      <c r="H22" s="220" t="s">
        <v>1702</v>
      </c>
      <c r="I22" s="220"/>
      <c r="J22" s="220" t="s">
        <v>1703</v>
      </c>
      <c r="K22" s="220"/>
      <c r="L22" s="220"/>
      <c r="M22" s="108"/>
      <c r="N22" s="113"/>
      <c r="O22" s="109"/>
      <c r="P22" s="109"/>
      <c r="Q22" s="247"/>
    </row>
    <row r="23" spans="1:17" ht="15" customHeight="1" x14ac:dyDescent="0.25">
      <c r="A23" s="247"/>
      <c r="B23" s="110" t="s">
        <v>1704</v>
      </c>
      <c r="C23" s="111" t="s">
        <v>1705</v>
      </c>
      <c r="D23" s="110" t="s">
        <v>1706</v>
      </c>
      <c r="E23" s="110" t="s">
        <v>1707</v>
      </c>
      <c r="F23" s="110" t="s">
        <v>1708</v>
      </c>
      <c r="G23" s="110" t="s">
        <v>1707</v>
      </c>
      <c r="H23" s="110" t="s">
        <v>1709</v>
      </c>
      <c r="I23" s="110" t="s">
        <v>1705</v>
      </c>
      <c r="J23" s="110" t="s">
        <v>1710</v>
      </c>
      <c r="K23" s="111"/>
      <c r="L23" s="110"/>
      <c r="M23" s="111"/>
      <c r="N23" s="112" t="s">
        <v>1711</v>
      </c>
      <c r="O23" s="109"/>
      <c r="P23" s="113" t="s">
        <v>1712</v>
      </c>
      <c r="Q23" s="247"/>
    </row>
    <row r="24" spans="1:17" ht="15" customHeight="1" x14ac:dyDescent="0.25">
      <c r="A24" s="114"/>
      <c r="B24" s="115">
        <f>IF('LS-Fund 0001 Journal Entries'!$F$8="Proprietary - Internal Service Fund",'LS-Fund 0001 Journal Entries'!$K$23,0)</f>
        <v>0</v>
      </c>
      <c r="C24" s="152" t="s">
        <v>1705</v>
      </c>
      <c r="D24" s="115">
        <f>IF('LS-Fund 0001 Journal Entries'!$F$8="Proprietary - Internal Service Fund",'LS-Fund 0001 Journal Entries'!$K$48,0)</f>
        <v>0</v>
      </c>
      <c r="E24" s="154" t="s">
        <v>1707</v>
      </c>
      <c r="F24" s="115">
        <f>IF('LS-Fund 0001 Journal Entries'!$F$8="Proprietary - Internal Service Fund",'LS-Fund 0001 Journal Entries'!$J$68,0)</f>
        <v>0</v>
      </c>
      <c r="G24" s="153" t="s">
        <v>1707</v>
      </c>
      <c r="H24" s="115">
        <f>IF('LS-Fund 0001 Journal Entries'!$F$8="Proprietary - Internal Service Fund",'LS-Fund 0001 Journal Entries'!$J$96,0)</f>
        <v>0</v>
      </c>
      <c r="I24" s="153" t="s">
        <v>1705</v>
      </c>
      <c r="J24" s="115">
        <f>IF('LS-Fund 0001 Journal Entries'!$F$8="Proprietary - Internal Service Fund",'LS-Fund 0001 Journal Entries'!$K$113,0)</f>
        <v>0</v>
      </c>
      <c r="K24" s="154" t="s">
        <v>1713</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1715</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9" t="s">
        <v>1699</v>
      </c>
      <c r="C30" s="289"/>
      <c r="D30" s="289"/>
      <c r="E30" s="289"/>
      <c r="F30" s="289"/>
      <c r="G30" s="289"/>
      <c r="H30" s="289"/>
      <c r="I30" s="289"/>
      <c r="J30" s="289"/>
      <c r="K30" s="289"/>
      <c r="L30" s="289"/>
      <c r="M30" s="108"/>
      <c r="N30" s="248" t="s">
        <v>1700</v>
      </c>
      <c r="O30" s="109"/>
      <c r="P30" s="109"/>
      <c r="Q30" s="247"/>
    </row>
    <row r="31" spans="1:17" ht="15" customHeight="1" x14ac:dyDescent="0.25">
      <c r="A31" s="247"/>
      <c r="B31" s="220" t="s">
        <v>1701</v>
      </c>
      <c r="C31" s="220"/>
      <c r="D31" s="220" t="s">
        <v>1676</v>
      </c>
      <c r="E31" s="220"/>
      <c r="F31" s="220" t="s">
        <v>1677</v>
      </c>
      <c r="G31" s="220"/>
      <c r="H31" s="220" t="s">
        <v>1702</v>
      </c>
      <c r="I31" s="220"/>
      <c r="J31" s="220" t="s">
        <v>1703</v>
      </c>
      <c r="K31" s="220"/>
      <c r="L31" s="220"/>
      <c r="M31" s="108"/>
      <c r="N31" s="113"/>
      <c r="O31" s="109"/>
      <c r="P31" s="109"/>
      <c r="Q31" s="247"/>
    </row>
    <row r="32" spans="1:17" ht="15" customHeight="1" x14ac:dyDescent="0.25">
      <c r="A32" s="247"/>
      <c r="B32" s="110" t="s">
        <v>1704</v>
      </c>
      <c r="C32" s="111" t="s">
        <v>1705</v>
      </c>
      <c r="D32" s="110" t="s">
        <v>1706</v>
      </c>
      <c r="E32" s="110" t="s">
        <v>1707</v>
      </c>
      <c r="F32" s="110" t="s">
        <v>1708</v>
      </c>
      <c r="G32" s="110" t="s">
        <v>1707</v>
      </c>
      <c r="H32" s="110" t="s">
        <v>1709</v>
      </c>
      <c r="I32" s="110" t="s">
        <v>1705</v>
      </c>
      <c r="J32" s="110" t="s">
        <v>1710</v>
      </c>
      <c r="K32" s="111"/>
      <c r="L32" s="110"/>
      <c r="M32" s="111"/>
      <c r="N32" s="112" t="s">
        <v>1711</v>
      </c>
      <c r="O32" s="109"/>
      <c r="P32" s="113" t="s">
        <v>1712</v>
      </c>
      <c r="Q32" s="247"/>
    </row>
    <row r="33" spans="1:17" ht="15" customHeight="1" x14ac:dyDescent="0.25">
      <c r="A33" s="114"/>
      <c r="B33" s="115">
        <f>IF('LS-Fund 0001 Journal Entries'!$F$8="Proprietary - Enterprise Fund",'LS-Fund 0001 Journal Entries'!$K$23,0)</f>
        <v>0</v>
      </c>
      <c r="C33" s="152" t="s">
        <v>1705</v>
      </c>
      <c r="D33" s="115">
        <f>IF('LS-Fund 0001 Journal Entries'!$F$8="Proprietary - Enterprise Fund",'LS-Fund 0001 Journal Entries'!$K$48,0)</f>
        <v>0</v>
      </c>
      <c r="E33" s="154" t="s">
        <v>1707</v>
      </c>
      <c r="F33" s="115">
        <f>IF('LS-Fund 0001 Journal Entries'!$F$8="Proprietary - Enterprise Fund",'LS-Fund 0001 Journal Entries'!$J$68,0)</f>
        <v>0</v>
      </c>
      <c r="G33" s="153" t="s">
        <v>1707</v>
      </c>
      <c r="H33" s="115">
        <f>IF('LS-Fund 0001 Journal Entries'!$F$8="Proprietary - Enterprise Fund",'LS-Fund 0001 Journal Entries'!$J$96,0)</f>
        <v>0</v>
      </c>
      <c r="I33" s="153" t="s">
        <v>1705</v>
      </c>
      <c r="J33" s="115">
        <f>IF('LS-Fund 0001 Journal Entries'!$F$8="Proprietary - Enterprise Fund",'LS-Fund 0001 Journal Entries'!$K$113,0)</f>
        <v>0</v>
      </c>
      <c r="K33" s="154" t="s">
        <v>1713</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1716</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1698</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9" t="s">
        <v>1699</v>
      </c>
      <c r="C40" s="289"/>
      <c r="D40" s="289"/>
      <c r="E40" s="132"/>
      <c r="F40" s="132"/>
      <c r="G40" s="132"/>
      <c r="H40" s="132"/>
      <c r="I40" s="132"/>
      <c r="J40" s="132"/>
      <c r="K40" s="132"/>
      <c r="L40" s="132"/>
      <c r="M40" s="108"/>
      <c r="N40" s="248" t="s">
        <v>1700</v>
      </c>
      <c r="O40" s="109"/>
      <c r="P40" s="109"/>
      <c r="Q40" s="247"/>
    </row>
    <row r="41" spans="1:17" ht="15" customHeight="1" x14ac:dyDescent="0.25">
      <c r="A41" s="247"/>
      <c r="B41" s="110" t="s">
        <v>1717</v>
      </c>
      <c r="C41" s="221" t="s">
        <v>1718</v>
      </c>
      <c r="E41" s="247"/>
      <c r="G41" s="110"/>
      <c r="H41" s="110"/>
      <c r="I41" s="110"/>
      <c r="J41" s="110"/>
      <c r="K41" s="247"/>
      <c r="L41" s="247"/>
      <c r="M41" s="111"/>
      <c r="N41" s="112" t="str">
        <f>CONCATENATE('LS-Department Note Disclosure'!$A$13," Principal Payments")</f>
        <v>2024–2025 Principal Payments</v>
      </c>
      <c r="O41" s="109"/>
      <c r="P41" s="113" t="s">
        <v>1712</v>
      </c>
      <c r="Q41" s="247"/>
    </row>
    <row r="42" spans="1:17" ht="15" customHeight="1" x14ac:dyDescent="0.25">
      <c r="A42" s="247"/>
      <c r="B42" s="115">
        <f>IF('LS-Fund 0001 Journal Entries'!$F$8="Governmental Fund",'LS-Fund 0001 Journal Entries'!$K$76,0)</f>
        <v>2965501</v>
      </c>
      <c r="C42" s="123"/>
      <c r="E42" s="123"/>
      <c r="G42" s="151"/>
      <c r="H42" s="151"/>
      <c r="I42" s="151"/>
      <c r="J42" s="151"/>
      <c r="K42" s="123"/>
      <c r="L42" s="123"/>
      <c r="M42" s="124"/>
      <c r="N42" s="119">
        <f>'LS-Department Note Disclosure'!B13</f>
        <v>2965501</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1714</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9" t="s">
        <v>1699</v>
      </c>
      <c r="C47" s="289"/>
      <c r="D47" s="289"/>
      <c r="E47" s="132"/>
      <c r="F47" s="132"/>
      <c r="G47" s="132"/>
      <c r="H47" s="132"/>
      <c r="I47" s="132"/>
      <c r="J47" s="132"/>
      <c r="K47" s="132"/>
      <c r="L47" s="132"/>
      <c r="M47" s="108"/>
      <c r="N47" s="248" t="s">
        <v>1700</v>
      </c>
      <c r="O47" s="109"/>
      <c r="P47" s="109"/>
      <c r="Q47" s="247"/>
    </row>
    <row r="48" spans="1:17" ht="15" customHeight="1" x14ac:dyDescent="0.25">
      <c r="A48" s="247"/>
      <c r="B48" s="110" t="s">
        <v>1717</v>
      </c>
      <c r="C48" s="221" t="s">
        <v>1718</v>
      </c>
      <c r="E48" s="247"/>
      <c r="G48" s="110"/>
      <c r="H48" s="110"/>
      <c r="I48" s="110"/>
      <c r="J48" s="110"/>
      <c r="K48" s="247"/>
      <c r="L48" s="247"/>
      <c r="M48" s="111"/>
      <c r="N48" s="112" t="str">
        <f>CONCATENATE('LS-Department Note Disclosure'!$A$44," Principal Payments")</f>
        <v>2024–2025 Principal Payments</v>
      </c>
      <c r="O48" s="109"/>
      <c r="P48" s="113" t="s">
        <v>1712</v>
      </c>
      <c r="Q48" s="247"/>
    </row>
    <row r="49" spans="1:17" x14ac:dyDescent="0.25">
      <c r="A49" s="247"/>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1715</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9" t="s">
        <v>1699</v>
      </c>
      <c r="C55" s="289"/>
      <c r="D55" s="289"/>
      <c r="E55" s="132"/>
      <c r="F55" s="132"/>
      <c r="G55" s="132"/>
      <c r="H55" s="132"/>
      <c r="I55" s="132"/>
      <c r="J55" s="132"/>
      <c r="K55" s="132"/>
      <c r="L55" s="132"/>
      <c r="M55" s="108"/>
      <c r="N55" s="248" t="s">
        <v>1700</v>
      </c>
      <c r="O55" s="109"/>
      <c r="P55" s="109"/>
      <c r="Q55" s="247"/>
    </row>
    <row r="56" spans="1:17" ht="15" customHeight="1" x14ac:dyDescent="0.25">
      <c r="A56" s="247"/>
      <c r="B56" s="110" t="s">
        <v>1717</v>
      </c>
      <c r="C56" s="221" t="s">
        <v>1718</v>
      </c>
      <c r="E56" s="247"/>
      <c r="G56" s="110"/>
      <c r="H56" s="110"/>
      <c r="I56" s="110"/>
      <c r="J56" s="110"/>
      <c r="K56" s="247"/>
      <c r="L56" s="247"/>
      <c r="M56" s="111"/>
      <c r="N56" s="112" t="str">
        <f>CONCATENATE('LS-Department Note Disclosure'!$A$75," Principal Payments")</f>
        <v>2024–2025 Principal Payments</v>
      </c>
      <c r="O56" s="109"/>
      <c r="P56" s="113" t="s">
        <v>1712</v>
      </c>
      <c r="Q56" s="247"/>
    </row>
    <row r="57" spans="1:17" x14ac:dyDescent="0.25">
      <c r="A57" s="247"/>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1719</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1698</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90" t="s">
        <v>1699</v>
      </c>
      <c r="C64" s="290"/>
      <c r="D64" s="290"/>
      <c r="E64" s="290"/>
      <c r="F64" s="290"/>
      <c r="G64" s="290"/>
      <c r="H64" s="290"/>
      <c r="I64" s="126"/>
      <c r="J64" s="248" t="s">
        <v>1720</v>
      </c>
      <c r="K64" s="126"/>
      <c r="L64" s="290" t="s">
        <v>1675</v>
      </c>
      <c r="M64" s="290"/>
      <c r="N64" s="290"/>
      <c r="O64" s="126"/>
      <c r="P64" s="126"/>
      <c r="Q64" s="247"/>
    </row>
    <row r="65" spans="1:17" x14ac:dyDescent="0.25">
      <c r="A65" s="247"/>
      <c r="B65" s="247"/>
      <c r="C65" s="247"/>
      <c r="D65" s="247"/>
      <c r="E65" s="247"/>
      <c r="F65" s="247"/>
      <c r="G65" s="247"/>
      <c r="H65" s="247"/>
      <c r="I65" s="247"/>
      <c r="J65" s="247"/>
      <c r="K65" s="247"/>
      <c r="L65" s="247"/>
      <c r="M65" s="247"/>
      <c r="N65" s="247"/>
      <c r="O65" s="247"/>
      <c r="P65" s="113" t="s">
        <v>1712</v>
      </c>
      <c r="Q65" s="247"/>
    </row>
    <row r="66" spans="1:17" x14ac:dyDescent="0.25">
      <c r="B66" s="110" t="s">
        <v>1704</v>
      </c>
      <c r="D66" s="128">
        <f>$B$16</f>
        <v>4507042</v>
      </c>
      <c r="J66" s="128">
        <f>SUM(D66)</f>
        <v>4507042</v>
      </c>
      <c r="L66" s="129" t="str">
        <f>CONCATENATE("Balance July 1, ",LEFT('LS-Department Note Disclosure'!$B$8,4))</f>
        <v>Balance July 1, 2023</v>
      </c>
      <c r="N66" s="128">
        <f>'LS-Lease Liabilities'!F10</f>
        <v>4507042</v>
      </c>
      <c r="P66" s="120">
        <f>J66-N66</f>
        <v>0</v>
      </c>
    </row>
    <row r="67" spans="1:17" x14ac:dyDescent="0.25">
      <c r="B67" s="110" t="s">
        <v>1706</v>
      </c>
      <c r="D67" s="128">
        <f>$D$16</f>
        <v>27306783</v>
      </c>
      <c r="E67" s="155" t="s">
        <v>1705</v>
      </c>
      <c r="F67" s="110" t="s">
        <v>1710</v>
      </c>
      <c r="H67" s="128">
        <f>$J$16</f>
        <v>0</v>
      </c>
      <c r="J67" s="128">
        <f>SUM(D67,H67)</f>
        <v>27306783</v>
      </c>
      <c r="L67" s="129" t="s">
        <v>1676</v>
      </c>
      <c r="N67" s="128">
        <f>'LS-Lease Liabilities'!H10</f>
        <v>27306783</v>
      </c>
      <c r="P67" s="120">
        <f t="shared" ref="P67:P69" si="0">J67-N67</f>
        <v>0</v>
      </c>
    </row>
    <row r="68" spans="1:17" x14ac:dyDescent="0.25">
      <c r="B68" s="110" t="s">
        <v>1708</v>
      </c>
      <c r="D68" s="128">
        <f>$F$16</f>
        <v>2584536</v>
      </c>
      <c r="E68" s="155" t="s">
        <v>1705</v>
      </c>
      <c r="F68" s="110" t="s">
        <v>1709</v>
      </c>
      <c r="H68" s="128">
        <f>$H$16</f>
        <v>4507042</v>
      </c>
      <c r="J68" s="128">
        <f>SUM(D68,H68)</f>
        <v>7091578</v>
      </c>
      <c r="L68" s="129" t="s">
        <v>1677</v>
      </c>
      <c r="N68" s="128">
        <f>'LS-Lease Liabilities'!J10</f>
        <v>7091578</v>
      </c>
      <c r="P68" s="120">
        <f t="shared" si="0"/>
        <v>0</v>
      </c>
    </row>
    <row r="69" spans="1:17" x14ac:dyDescent="0.25">
      <c r="B69" s="110" t="s">
        <v>1717</v>
      </c>
      <c r="D69" s="128">
        <f>$B$42</f>
        <v>2965501</v>
      </c>
      <c r="J69" s="128">
        <f>SUM(D69)</f>
        <v>2965501</v>
      </c>
      <c r="L69" s="129" t="s">
        <v>1678</v>
      </c>
      <c r="N69" s="128">
        <f>'LS-Lease Liabilities'!N10</f>
        <v>2965501</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1714</v>
      </c>
      <c r="C73" s="131"/>
    </row>
    <row r="74" spans="1:17" x14ac:dyDescent="0.25">
      <c r="B74" s="131"/>
    </row>
    <row r="75" spans="1:17" ht="15" customHeight="1" x14ac:dyDescent="0.25">
      <c r="B75" s="290" t="s">
        <v>1699</v>
      </c>
      <c r="C75" s="290"/>
      <c r="D75" s="290"/>
      <c r="E75" s="290"/>
      <c r="F75" s="290"/>
      <c r="G75" s="290"/>
      <c r="H75" s="290"/>
      <c r="I75" s="126"/>
      <c r="J75" s="248" t="s">
        <v>1720</v>
      </c>
      <c r="K75" s="126"/>
      <c r="L75" s="290" t="s">
        <v>1675</v>
      </c>
      <c r="M75" s="290"/>
      <c r="N75" s="290"/>
    </row>
    <row r="76" spans="1:17" x14ac:dyDescent="0.25">
      <c r="L76" s="247"/>
      <c r="M76" s="247"/>
      <c r="N76" s="247"/>
      <c r="O76" s="247"/>
      <c r="P76" s="113" t="s">
        <v>1712</v>
      </c>
    </row>
    <row r="77" spans="1:17" x14ac:dyDescent="0.25">
      <c r="B77" s="110" t="s">
        <v>1704</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1706</v>
      </c>
      <c r="D78" s="128">
        <f>D24</f>
        <v>0</v>
      </c>
      <c r="E78" s="155" t="s">
        <v>1705</v>
      </c>
      <c r="F78" s="110" t="s">
        <v>1710</v>
      </c>
      <c r="H78" s="128">
        <f>$J$24</f>
        <v>0</v>
      </c>
      <c r="J78" s="128">
        <f>SUM(D78,H78)</f>
        <v>0</v>
      </c>
      <c r="L78" s="129" t="s">
        <v>1676</v>
      </c>
      <c r="N78" s="128">
        <f>'LS-Lease Liabilities'!H14</f>
        <v>0</v>
      </c>
      <c r="P78" s="120">
        <f t="shared" ref="P78:P80" si="1">J78-N78</f>
        <v>0</v>
      </c>
    </row>
    <row r="79" spans="1:17" x14ac:dyDescent="0.25">
      <c r="B79" s="110" t="s">
        <v>1708</v>
      </c>
      <c r="D79" s="128">
        <f>F24</f>
        <v>0</v>
      </c>
      <c r="E79" s="155" t="s">
        <v>1705</v>
      </c>
      <c r="F79" s="110" t="s">
        <v>1709</v>
      </c>
      <c r="H79" s="128">
        <f>$H$24</f>
        <v>0</v>
      </c>
      <c r="J79" s="128">
        <f>SUM(D79,H79)</f>
        <v>0</v>
      </c>
      <c r="L79" s="129" t="s">
        <v>1677</v>
      </c>
      <c r="N79" s="128">
        <f>'LS-Lease Liabilities'!J14</f>
        <v>0</v>
      </c>
      <c r="P79" s="120">
        <f t="shared" si="1"/>
        <v>0</v>
      </c>
    </row>
    <row r="80" spans="1:17" x14ac:dyDescent="0.25">
      <c r="B80" s="110" t="s">
        <v>1717</v>
      </c>
      <c r="D80" s="128">
        <f>B49</f>
        <v>0</v>
      </c>
      <c r="J80" s="128">
        <f>SUM(D80)</f>
        <v>0</v>
      </c>
      <c r="L80" s="129" t="s">
        <v>1678</v>
      </c>
      <c r="N80" s="128">
        <f>'LS-Lease Liabilities'!N14</f>
        <v>0</v>
      </c>
      <c r="P80" s="120">
        <f t="shared" si="1"/>
        <v>0</v>
      </c>
    </row>
    <row r="81" spans="2:16" x14ac:dyDescent="0.25"/>
    <row r="82" spans="2:16" x14ac:dyDescent="0.25"/>
    <row r="83" spans="2:16" ht="4.9000000000000004" customHeight="1" x14ac:dyDescent="0.25"/>
    <row r="84" spans="2:16" x14ac:dyDescent="0.25">
      <c r="B84" s="131" t="s">
        <v>1715</v>
      </c>
      <c r="C84" s="131"/>
    </row>
    <row r="85" spans="2:16" x14ac:dyDescent="0.25">
      <c r="B85" s="131"/>
    </row>
    <row r="86" spans="2:16" ht="15" customHeight="1" x14ac:dyDescent="0.25">
      <c r="B86" s="290" t="s">
        <v>1699</v>
      </c>
      <c r="C86" s="290"/>
      <c r="D86" s="290"/>
      <c r="E86" s="290"/>
      <c r="F86" s="290"/>
      <c r="G86" s="290"/>
      <c r="H86" s="290"/>
      <c r="I86" s="126"/>
      <c r="J86" s="248" t="s">
        <v>1720</v>
      </c>
      <c r="K86" s="126"/>
      <c r="L86" s="290" t="s">
        <v>1675</v>
      </c>
      <c r="M86" s="290"/>
      <c r="N86" s="290"/>
    </row>
    <row r="87" spans="2:16" x14ac:dyDescent="0.25">
      <c r="L87" s="247"/>
      <c r="M87" s="247"/>
      <c r="N87" s="247"/>
      <c r="O87" s="247"/>
      <c r="P87" s="113" t="s">
        <v>1712</v>
      </c>
    </row>
    <row r="88" spans="2:16" x14ac:dyDescent="0.25">
      <c r="B88" s="110" t="s">
        <v>1704</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1706</v>
      </c>
      <c r="D89" s="128">
        <f>D33</f>
        <v>0</v>
      </c>
      <c r="E89" s="155" t="s">
        <v>1705</v>
      </c>
      <c r="F89" s="110" t="s">
        <v>1710</v>
      </c>
      <c r="H89" s="128">
        <f>$J$33</f>
        <v>0</v>
      </c>
      <c r="J89" s="128">
        <f>SUM(D89,H89)</f>
        <v>0</v>
      </c>
      <c r="L89" s="129" t="s">
        <v>1676</v>
      </c>
      <c r="N89" s="128">
        <f>'LS-Lease Liabilities'!H18</f>
        <v>0</v>
      </c>
      <c r="P89" s="120">
        <f t="shared" ref="P89:P91" si="2">J89-N89</f>
        <v>0</v>
      </c>
    </row>
    <row r="90" spans="2:16" x14ac:dyDescent="0.25">
      <c r="B90" s="110" t="s">
        <v>1708</v>
      </c>
      <c r="D90" s="128">
        <f>F33</f>
        <v>0</v>
      </c>
      <c r="E90" s="155" t="s">
        <v>1705</v>
      </c>
      <c r="F90" s="110" t="s">
        <v>1709</v>
      </c>
      <c r="H90" s="128">
        <f>$H$33</f>
        <v>0</v>
      </c>
      <c r="J90" s="128">
        <f>SUM(D90,H90)</f>
        <v>0</v>
      </c>
      <c r="L90" s="129" t="s">
        <v>1677</v>
      </c>
      <c r="N90" s="128">
        <f>'LS-Lease Liabilities'!J18</f>
        <v>0</v>
      </c>
      <c r="P90" s="120">
        <f t="shared" si="2"/>
        <v>0</v>
      </c>
    </row>
    <row r="91" spans="2:16" x14ac:dyDescent="0.25">
      <c r="B91" s="110" t="s">
        <v>1717</v>
      </c>
      <c r="D91" s="128">
        <f>B57</f>
        <v>0</v>
      </c>
      <c r="J91" s="128">
        <f>SUM(D91)</f>
        <v>0</v>
      </c>
      <c r="L91" s="129" t="s">
        <v>1678</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1721</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1722</v>
      </c>
      <c r="B11" s="224" t="s">
        <v>1552</v>
      </c>
      <c r="C11" s="224" t="s">
        <v>1553</v>
      </c>
      <c r="D11" s="224" t="s">
        <v>1723</v>
      </c>
      <c r="E11" s="224" t="s">
        <v>1555</v>
      </c>
      <c r="F11" s="224" t="s">
        <v>1556</v>
      </c>
    </row>
    <row r="12" spans="1:6" ht="42.75" x14ac:dyDescent="0.25">
      <c r="A12" s="224" t="s">
        <v>1722</v>
      </c>
      <c r="B12" s="224" t="s">
        <v>1557</v>
      </c>
      <c r="C12" s="224" t="s">
        <v>1558</v>
      </c>
      <c r="D12" s="224" t="s">
        <v>1558</v>
      </c>
      <c r="E12" s="224" t="s">
        <v>1724</v>
      </c>
      <c r="F12" s="224" t="s">
        <v>1560</v>
      </c>
    </row>
    <row r="13" spans="1:6" ht="28.5" x14ac:dyDescent="0.25">
      <c r="A13" s="224" t="s">
        <v>1722</v>
      </c>
      <c r="B13" s="224" t="s">
        <v>1725</v>
      </c>
      <c r="C13" s="224" t="s">
        <v>1726</v>
      </c>
      <c r="D13" s="224" t="s">
        <v>1726</v>
      </c>
      <c r="E13" s="224" t="s">
        <v>1727</v>
      </c>
      <c r="F13" s="224" t="s">
        <v>1728</v>
      </c>
    </row>
    <row r="14" spans="1:6" ht="28.5" x14ac:dyDescent="0.25">
      <c r="A14" s="224" t="s">
        <v>1561</v>
      </c>
      <c r="B14" s="224" t="s">
        <v>1562</v>
      </c>
      <c r="C14" s="224" t="s">
        <v>1729</v>
      </c>
      <c r="D14" s="224" t="s">
        <v>1729</v>
      </c>
      <c r="E14" s="224" t="s">
        <v>1564</v>
      </c>
      <c r="F14" s="224" t="s">
        <v>1565</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1730</v>
      </c>
      <c r="B1" s="264"/>
      <c r="C1" s="264"/>
      <c r="D1" s="264"/>
      <c r="E1" s="264"/>
      <c r="F1" s="264"/>
      <c r="G1" s="264"/>
      <c r="H1" s="264"/>
      <c r="I1" s="264"/>
      <c r="J1" s="264"/>
      <c r="K1" s="264"/>
      <c r="L1" s="5"/>
      <c r="M1" s="5"/>
      <c r="N1" s="5"/>
      <c r="O1" s="5"/>
      <c r="P1" s="5"/>
      <c r="Q1" s="5"/>
      <c r="R1" s="5"/>
      <c r="S1" s="5"/>
    </row>
    <row r="2" spans="1:20" ht="17.45" customHeight="1" x14ac:dyDescent="0.25">
      <c r="A2" s="295" t="s">
        <v>1579</v>
      </c>
      <c r="B2" s="295"/>
      <c r="C2" s="295"/>
      <c r="D2" s="295"/>
      <c r="E2" s="295"/>
      <c r="F2" s="295"/>
      <c r="G2" s="295"/>
      <c r="H2" s="295"/>
      <c r="I2" s="295"/>
      <c r="J2" s="33"/>
      <c r="L2" s="5"/>
      <c r="M2" s="5"/>
      <c r="N2" s="5"/>
      <c r="O2" s="5"/>
      <c r="P2" s="5"/>
      <c r="Q2" s="5"/>
      <c r="R2" s="5"/>
      <c r="S2" s="5"/>
    </row>
    <row r="3" spans="1:20" ht="17.45" customHeight="1" x14ac:dyDescent="0.25">
      <c r="A3" s="294" t="s">
        <v>1731</v>
      </c>
      <c r="B3" s="294"/>
      <c r="C3" s="294"/>
      <c r="D3" s="294"/>
      <c r="E3" s="239" t="s">
        <v>15</v>
      </c>
      <c r="H3" s="7"/>
      <c r="I3" s="7"/>
      <c r="J3" s="7"/>
      <c r="K3" s="7"/>
      <c r="L3" s="7"/>
      <c r="M3" s="7"/>
      <c r="N3" s="7"/>
      <c r="O3" s="7"/>
      <c r="P3" s="7"/>
      <c r="Q3" s="7"/>
      <c r="R3" s="7"/>
    </row>
    <row r="4" spans="1:20" ht="17.45" customHeight="1" x14ac:dyDescent="0.25">
      <c r="A4" s="294" t="s">
        <v>1581</v>
      </c>
      <c r="B4" s="294"/>
      <c r="C4" s="294"/>
      <c r="D4" s="294"/>
      <c r="E4" s="85"/>
      <c r="H4" s="7"/>
      <c r="I4" s="7"/>
      <c r="J4" s="7"/>
      <c r="K4" s="7"/>
      <c r="L4" s="7"/>
      <c r="M4" s="7"/>
      <c r="N4" s="7"/>
      <c r="O4" s="7"/>
      <c r="P4" s="7"/>
      <c r="Q4" s="7"/>
      <c r="R4" s="7"/>
    </row>
    <row r="5" spans="1:20" ht="17.45" customHeight="1" x14ac:dyDescent="0.25">
      <c r="A5" s="294" t="s">
        <v>1732</v>
      </c>
      <c r="B5" s="294"/>
      <c r="C5" s="294"/>
      <c r="D5" s="294"/>
      <c r="E5" s="146"/>
      <c r="H5" s="7"/>
      <c r="I5" s="7"/>
      <c r="J5" s="8"/>
      <c r="K5" s="8"/>
      <c r="L5" s="8"/>
      <c r="M5" s="8"/>
      <c r="N5" s="8"/>
      <c r="O5" s="8"/>
      <c r="P5" s="8"/>
      <c r="Q5" s="7"/>
      <c r="R5" s="7"/>
    </row>
    <row r="6" spans="1:20" ht="17.45" customHeight="1" x14ac:dyDescent="0.25">
      <c r="A6" s="294" t="s">
        <v>1733</v>
      </c>
      <c r="B6" s="294"/>
      <c r="C6" s="294"/>
      <c r="D6" s="294"/>
      <c r="E6" s="85"/>
      <c r="G6" s="8"/>
      <c r="H6" s="8"/>
      <c r="I6" s="8"/>
      <c r="J6" s="8"/>
      <c r="K6" s="8"/>
      <c r="L6" s="8"/>
      <c r="M6" s="8"/>
      <c r="N6" s="8"/>
      <c r="O6" s="8"/>
      <c r="P6" s="8"/>
      <c r="Q6" s="7"/>
      <c r="R6" s="7"/>
    </row>
    <row r="7" spans="1:20" ht="17.45" customHeight="1" x14ac:dyDescent="0.25">
      <c r="A7" s="294" t="s">
        <v>1585</v>
      </c>
      <c r="B7" s="294"/>
      <c r="C7" s="294"/>
      <c r="D7" s="294"/>
      <c r="E7" s="251"/>
      <c r="G7" s="8"/>
      <c r="H7" s="8"/>
      <c r="I7" s="8"/>
      <c r="J7" s="8"/>
      <c r="K7" s="8"/>
      <c r="L7" s="8"/>
      <c r="M7" s="8"/>
      <c r="N7" s="8"/>
      <c r="O7" s="8"/>
      <c r="P7" s="8"/>
      <c r="Q7" s="7"/>
      <c r="R7" s="7"/>
    </row>
    <row r="8" spans="1:20" ht="17.45" customHeight="1" x14ac:dyDescent="0.25">
      <c r="A8" s="294" t="s">
        <v>1586</v>
      </c>
      <c r="B8" s="294"/>
      <c r="C8" s="294"/>
      <c r="D8" s="294"/>
      <c r="E8" s="251"/>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1588</v>
      </c>
      <c r="B11" s="157"/>
      <c r="C11" s="158"/>
      <c r="D11" s="158"/>
      <c r="E11" s="158"/>
      <c r="F11" s="159"/>
      <c r="G11" s="159"/>
      <c r="H11" s="160"/>
      <c r="I11" s="160"/>
      <c r="J11" s="159"/>
      <c r="K11" s="159"/>
      <c r="L11" s="240"/>
      <c r="M11" s="240"/>
      <c r="N11" s="161"/>
      <c r="O11" s="161"/>
      <c r="P11" s="161"/>
    </row>
    <row r="12" spans="1:20" ht="17.45" customHeight="1" x14ac:dyDescent="0.25">
      <c r="A12" s="14" t="s">
        <v>1589</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1734</v>
      </c>
      <c r="C13" s="188"/>
      <c r="D13" s="188"/>
      <c r="E13" s="188"/>
      <c r="F13" s="188"/>
      <c r="G13" s="188"/>
      <c r="H13" s="188"/>
      <c r="I13" s="188"/>
      <c r="J13" s="189"/>
      <c r="M13" s="261" t="s">
        <v>1735</v>
      </c>
      <c r="N13" s="262"/>
      <c r="O13" s="172"/>
      <c r="P13" s="261" t="s">
        <v>1592</v>
      </c>
      <c r="Q13" s="262"/>
      <c r="R13" s="172"/>
      <c r="S13" s="206" t="s">
        <v>1593</v>
      </c>
    </row>
    <row r="14" spans="1:20" ht="17.45" customHeight="1" x14ac:dyDescent="0.2">
      <c r="B14" s="249" t="s">
        <v>1736</v>
      </c>
      <c r="C14" s="136"/>
      <c r="D14" s="136"/>
      <c r="E14" s="136"/>
      <c r="F14" s="136"/>
      <c r="G14" s="136"/>
      <c r="H14" s="136"/>
      <c r="I14" s="136"/>
      <c r="J14" s="232">
        <f>M14</f>
        <v>0</v>
      </c>
      <c r="K14" s="34"/>
      <c r="L14" s="34"/>
      <c r="M14" s="180"/>
      <c r="N14" s="34"/>
      <c r="O14" s="34"/>
      <c r="P14" s="180"/>
      <c r="Q14" s="208"/>
      <c r="R14" s="34"/>
      <c r="S14" s="207">
        <f>P14-M14</f>
        <v>0</v>
      </c>
      <c r="T14" s="234" t="s">
        <v>1600</v>
      </c>
    </row>
    <row r="15" spans="1:20" ht="17.45" customHeight="1" x14ac:dyDescent="0.2">
      <c r="A15" s="14"/>
      <c r="B15" s="249" t="s">
        <v>1599</v>
      </c>
      <c r="C15" s="136"/>
      <c r="D15" s="136"/>
      <c r="E15" s="136"/>
      <c r="F15" s="136"/>
      <c r="G15" s="136"/>
      <c r="H15" s="136"/>
      <c r="I15" s="136"/>
      <c r="J15" s="232">
        <f>P15</f>
        <v>0</v>
      </c>
      <c r="K15" s="34"/>
      <c r="L15" s="34"/>
      <c r="M15" s="180"/>
      <c r="N15" s="34"/>
      <c r="O15" s="34"/>
      <c r="P15" s="205">
        <f>IF(SUM($Q$17)&gt;SUM($P$14),SUM($Q$17)-SUM($P$14),0)</f>
        <v>0</v>
      </c>
      <c r="Q15" s="208"/>
      <c r="R15" s="34"/>
      <c r="S15" s="207">
        <f>P15-M15</f>
        <v>0</v>
      </c>
      <c r="T15" s="234" t="s">
        <v>1600</v>
      </c>
    </row>
    <row r="16" spans="1:20" ht="17.45" customHeight="1" x14ac:dyDescent="0.2">
      <c r="A16" s="14"/>
      <c r="B16" s="249" t="s">
        <v>1601</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1600</v>
      </c>
    </row>
    <row r="17" spans="1:22" ht="17.45" customHeight="1" x14ac:dyDescent="0.2">
      <c r="A17" s="14"/>
      <c r="B17" s="136"/>
      <c r="C17" s="249" t="s">
        <v>1737</v>
      </c>
      <c r="D17" s="136"/>
      <c r="E17" s="136"/>
      <c r="F17" s="136"/>
      <c r="G17" s="136"/>
      <c r="H17" s="136"/>
      <c r="I17" s="136"/>
      <c r="J17" s="249"/>
      <c r="K17" s="232">
        <f>N17</f>
        <v>0</v>
      </c>
      <c r="L17" s="34"/>
      <c r="M17" s="34"/>
      <c r="N17" s="180"/>
      <c r="O17" s="34"/>
      <c r="P17" s="208"/>
      <c r="Q17" s="180"/>
      <c r="R17" s="34"/>
      <c r="S17" s="207">
        <f t="shared" ref="S17:S19" si="0">Q17-N17</f>
        <v>0</v>
      </c>
      <c r="T17" s="234" t="s">
        <v>1600</v>
      </c>
    </row>
    <row r="18" spans="1:22" ht="17.45" customHeight="1" x14ac:dyDescent="0.2">
      <c r="A18" s="14"/>
      <c r="B18" s="136"/>
      <c r="C18" s="249" t="s">
        <v>1607</v>
      </c>
      <c r="D18" s="136"/>
      <c r="E18" s="136"/>
      <c r="F18" s="136"/>
      <c r="G18" s="136"/>
      <c r="H18" s="136"/>
      <c r="I18" s="136"/>
      <c r="J18" s="249"/>
      <c r="K18" s="232">
        <f>Q18</f>
        <v>0</v>
      </c>
      <c r="L18" s="34"/>
      <c r="M18" s="34"/>
      <c r="N18" s="180"/>
      <c r="O18" s="34"/>
      <c r="P18" s="208"/>
      <c r="Q18" s="205">
        <f>IF(SUM($Q$17)&lt;SUM($P$14),-SUM($Q$17)+SUM($P$14),0)</f>
        <v>0</v>
      </c>
      <c r="R18" s="34"/>
      <c r="S18" s="207">
        <f t="shared" si="0"/>
        <v>0</v>
      </c>
      <c r="T18" s="234" t="s">
        <v>1600</v>
      </c>
    </row>
    <row r="19" spans="1:22" ht="17.45" customHeight="1" x14ac:dyDescent="0.2">
      <c r="A19" s="14"/>
      <c r="B19" s="136"/>
      <c r="C19" s="249" t="s">
        <v>1608</v>
      </c>
      <c r="D19" s="136"/>
      <c r="E19" s="136"/>
      <c r="F19" s="136"/>
      <c r="G19" s="136"/>
      <c r="H19" s="136"/>
      <c r="I19" s="136"/>
      <c r="J19" s="249"/>
      <c r="K19" s="232">
        <f>IF(SUM($K$17:$K$18)&lt;SUM($J$14:$J$15),-SUM($K$17:$K$18)+SUM($J$14:$J$15),0)</f>
        <v>0</v>
      </c>
      <c r="L19" s="34"/>
      <c r="M19" s="34"/>
      <c r="N19" s="180"/>
      <c r="O19" s="34"/>
      <c r="P19" s="208"/>
      <c r="Q19" s="208"/>
      <c r="R19" s="34"/>
      <c r="S19" s="207">
        <f t="shared" si="0"/>
        <v>0</v>
      </c>
      <c r="T19" s="234" t="s">
        <v>1600</v>
      </c>
    </row>
    <row r="20" spans="1:22" ht="17.45" customHeight="1" x14ac:dyDescent="0.2">
      <c r="A20" s="14"/>
      <c r="C20" s="13"/>
      <c r="D20" s="138"/>
      <c r="E20" s="138"/>
      <c r="F20" s="138"/>
      <c r="G20" s="138"/>
      <c r="H20" s="138"/>
      <c r="I20" s="138"/>
      <c r="J20" s="140">
        <f>SUM(J14:J19)</f>
        <v>0</v>
      </c>
      <c r="K20" s="140">
        <f>SUM(K14:K19)</f>
        <v>0</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1611</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1738</v>
      </c>
      <c r="C23" s="192"/>
      <c r="D23" s="192"/>
      <c r="E23" s="192"/>
      <c r="F23" s="193"/>
      <c r="G23" s="191"/>
      <c r="H23" s="191"/>
      <c r="I23" s="194"/>
      <c r="J23" s="191"/>
      <c r="K23" s="191"/>
      <c r="L23" s="191"/>
      <c r="M23" s="191"/>
      <c r="R23" s="190"/>
      <c r="S23" s="190"/>
      <c r="T23" s="191"/>
      <c r="U23" s="191"/>
    </row>
    <row r="24" spans="1:22" ht="17.45" customHeight="1" x14ac:dyDescent="0.2">
      <c r="B24" s="249" t="s">
        <v>1736</v>
      </c>
      <c r="C24" s="249"/>
      <c r="D24" s="249"/>
      <c r="E24" s="249"/>
      <c r="F24" s="197"/>
      <c r="G24" s="197"/>
      <c r="H24" s="198"/>
      <c r="I24" s="186"/>
      <c r="J24" s="180"/>
      <c r="K24" s="197"/>
      <c r="L24" s="9"/>
      <c r="N24" s="17"/>
      <c r="O24" s="13"/>
      <c r="P24" s="9"/>
      <c r="Q24" s="9"/>
      <c r="R24" s="10"/>
      <c r="S24" s="10"/>
    </row>
    <row r="25" spans="1:22" ht="17.45" customHeight="1" x14ac:dyDescent="0.2">
      <c r="B25" s="249"/>
      <c r="C25" s="249" t="s">
        <v>1737</v>
      </c>
      <c r="D25" s="249"/>
      <c r="E25" s="249"/>
      <c r="F25" s="197"/>
      <c r="G25" s="197"/>
      <c r="H25" s="198"/>
      <c r="I25" s="186"/>
      <c r="J25" s="197"/>
      <c r="K25" s="180"/>
      <c r="M25" s="18"/>
      <c r="N25" s="4"/>
      <c r="O25" s="9"/>
      <c r="P25" s="9"/>
      <c r="Q25" s="9"/>
      <c r="R25" s="10"/>
      <c r="S25" s="10"/>
    </row>
    <row r="26" spans="1:22" ht="17.45" customHeight="1" x14ac:dyDescent="0.2">
      <c r="A26" s="14"/>
      <c r="C26" s="249"/>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1621</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1739</v>
      </c>
      <c r="O29" s="291"/>
      <c r="P29" s="291"/>
      <c r="Q29" s="291"/>
      <c r="R29" s="291"/>
      <c r="S29" s="291"/>
      <c r="T29" s="291"/>
      <c r="U29" s="291"/>
      <c r="V29" s="291"/>
    </row>
    <row r="30" spans="1:22" ht="17.45" customHeight="1" x14ac:dyDescent="0.2">
      <c r="B30" s="292" t="str">
        <f>IF($E$7="Governmental","Dr: Acct 0775 - OTHER INCOME","Dr: Acct 0755 - SALES &amp; SERVICES")</f>
        <v>Dr: Acct 0755 - SALES &amp; SERVICES</v>
      </c>
      <c r="C30" s="292"/>
      <c r="D30" s="292"/>
      <c r="E30" s="292"/>
      <c r="F30" s="292"/>
      <c r="G30" s="292"/>
      <c r="H30" s="292"/>
      <c r="I30" s="292"/>
      <c r="J30" s="180"/>
      <c r="K30" s="30"/>
      <c r="L30" s="9"/>
      <c r="N30" s="20"/>
      <c r="O30" s="9"/>
      <c r="P30" s="13"/>
      <c r="Q30" s="9"/>
      <c r="R30" s="9"/>
      <c r="S30" s="9"/>
      <c r="T30" s="9"/>
      <c r="U30" s="9"/>
      <c r="V30" s="9"/>
    </row>
    <row r="31" spans="1:22" ht="17.45" customHeight="1" x14ac:dyDescent="0.2">
      <c r="A31" s="14"/>
      <c r="B31" s="196"/>
      <c r="C31" s="249" t="s">
        <v>1740</v>
      </c>
      <c r="D31" s="249"/>
      <c r="E31" s="249"/>
      <c r="F31" s="249"/>
      <c r="G31" s="196"/>
      <c r="H31" s="196"/>
      <c r="I31" s="196"/>
      <c r="J31" s="30"/>
      <c r="K31" s="180"/>
      <c r="M31" s="18"/>
      <c r="N31" s="20"/>
      <c r="O31" s="9"/>
      <c r="P31" s="13"/>
      <c r="Q31" s="9"/>
      <c r="R31" s="9"/>
      <c r="S31" s="9"/>
      <c r="T31" s="9"/>
      <c r="U31" s="9"/>
      <c r="V31" s="9"/>
    </row>
    <row r="32" spans="1:22" ht="17.45" customHeight="1" x14ac:dyDescent="0.2">
      <c r="B32" s="249"/>
      <c r="C32" s="249" t="str">
        <f>IF($E$7="Governmental","Cr: Acct 0740 - INTEREST INCOME","Cr: Acct 0765 - INVESTMENT AND INTEREST")</f>
        <v>Cr: Acct 0765 - INVESTMENT AND INTEREST</v>
      </c>
      <c r="D32" s="249"/>
      <c r="E32" s="249"/>
      <c r="F32" s="249"/>
      <c r="G32" s="249"/>
      <c r="H32" s="249"/>
      <c r="I32" s="249"/>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1741</v>
      </c>
      <c r="C35" s="249"/>
      <c r="D35" s="9"/>
      <c r="E35" s="9"/>
      <c r="F35" s="9"/>
      <c r="G35" s="9"/>
      <c r="H35" s="9"/>
      <c r="I35" s="1"/>
      <c r="J35" s="9"/>
      <c r="K35" s="22"/>
      <c r="L35" s="9"/>
      <c r="O35" s="20"/>
      <c r="R35" s="9"/>
      <c r="S35" s="9"/>
      <c r="T35" s="9"/>
      <c r="U35" s="9"/>
      <c r="V35" s="9"/>
    </row>
    <row r="36" spans="1:22" ht="17.45" customHeight="1" x14ac:dyDescent="0.2">
      <c r="B36" s="276" t="s">
        <v>1742</v>
      </c>
      <c r="C36" s="276" t="s">
        <v>1737</v>
      </c>
      <c r="D36" s="276" t="s">
        <v>1737</v>
      </c>
      <c r="E36" s="276" t="s">
        <v>1737</v>
      </c>
      <c r="F36" s="249"/>
      <c r="G36" s="249"/>
      <c r="H36" s="249"/>
      <c r="I36" s="249"/>
      <c r="J36" s="180"/>
      <c r="K36" s="30"/>
      <c r="M36" s="18"/>
      <c r="R36" s="9"/>
      <c r="S36" s="9"/>
      <c r="T36" s="9"/>
      <c r="U36" s="9"/>
      <c r="V36" s="9"/>
    </row>
    <row r="37" spans="1:22" ht="17.45" customHeight="1" x14ac:dyDescent="0.2">
      <c r="A37" s="14"/>
      <c r="B37" s="249"/>
      <c r="C37" s="249" t="str">
        <f>IF($E$7="Governmental","Cr: Acct 0775 - OTHER INCOME","Cr: Acct 0778 - RENT")</f>
        <v>Cr: Acct 0778 - RENT</v>
      </c>
      <c r="D37" s="249"/>
      <c r="E37" s="249"/>
      <c r="F37" s="249"/>
      <c r="G37" s="249"/>
      <c r="H37" s="249"/>
      <c r="I37" s="249"/>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1743</v>
      </c>
      <c r="K40" s="195"/>
    </row>
    <row r="41" spans="1:22" ht="17.45" customHeight="1" x14ac:dyDescent="0.2">
      <c r="B41" s="276" t="s">
        <v>1744</v>
      </c>
      <c r="C41" s="276"/>
      <c r="D41" s="276"/>
      <c r="E41" s="276"/>
      <c r="F41" s="249"/>
      <c r="G41" s="249"/>
      <c r="H41" s="249"/>
      <c r="I41" s="249"/>
      <c r="J41" s="180"/>
      <c r="K41" s="30"/>
      <c r="L41" s="9"/>
      <c r="R41" s="9"/>
      <c r="S41" s="9"/>
      <c r="T41" s="9"/>
      <c r="U41" s="9"/>
      <c r="V41" s="9"/>
    </row>
    <row r="42" spans="1:22" ht="17.45" customHeight="1" x14ac:dyDescent="0.2">
      <c r="A42" s="14"/>
      <c r="B42" s="249"/>
      <c r="C42" s="276" t="s">
        <v>1740</v>
      </c>
      <c r="D42" s="276" t="s">
        <v>1745</v>
      </c>
      <c r="E42" s="276" t="s">
        <v>1745</v>
      </c>
      <c r="F42" s="249"/>
      <c r="G42" s="249"/>
      <c r="H42" s="249"/>
      <c r="I42" s="249"/>
      <c r="J42" s="30"/>
      <c r="K42" s="180"/>
      <c r="O42" s="9"/>
      <c r="P42" s="9"/>
      <c r="Q42" s="9"/>
      <c r="R42" s="9"/>
      <c r="S42" s="9"/>
      <c r="T42" s="9"/>
      <c r="U42" s="9"/>
      <c r="V42" s="9"/>
    </row>
    <row r="43" spans="1:22" ht="17.45" customHeight="1" x14ac:dyDescent="0.2">
      <c r="A43" s="14"/>
      <c r="B43" s="293" t="s">
        <v>1746</v>
      </c>
      <c r="C43" s="293"/>
      <c r="D43" s="293"/>
      <c r="E43" s="293"/>
      <c r="F43" s="293"/>
      <c r="G43" s="293"/>
      <c r="H43" s="293"/>
      <c r="I43" s="293"/>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3"/>
      <c r="C44" s="293"/>
      <c r="D44" s="293"/>
      <c r="E44" s="293"/>
      <c r="F44" s="293"/>
      <c r="G44" s="293"/>
      <c r="H44" s="293"/>
      <c r="I44" s="293"/>
      <c r="K44" s="25"/>
      <c r="L44" s="9"/>
      <c r="M44" s="18"/>
      <c r="O44" s="26"/>
    </row>
    <row r="45" spans="1:22" ht="17.45" customHeight="1" x14ac:dyDescent="0.25">
      <c r="A45" s="14"/>
      <c r="B45" s="293"/>
      <c r="C45" s="293"/>
      <c r="D45" s="293"/>
      <c r="E45" s="293"/>
      <c r="F45" s="293"/>
      <c r="G45" s="293"/>
      <c r="H45" s="293"/>
      <c r="I45" s="293"/>
      <c r="K45" s="25"/>
      <c r="M45" s="18"/>
      <c r="O45" s="26"/>
    </row>
    <row r="46" spans="1:22" ht="17.45" customHeight="1" x14ac:dyDescent="0.25">
      <c r="A46" s="14"/>
      <c r="B46" s="11"/>
      <c r="C46" s="9"/>
      <c r="K46" s="25"/>
      <c r="M46" s="18"/>
      <c r="O46" s="26"/>
    </row>
    <row r="47" spans="1:22" s="162" customFormat="1" ht="21" customHeight="1" x14ac:dyDescent="0.3">
      <c r="A47" s="156" t="s">
        <v>1643</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1747</v>
      </c>
      <c r="F48" s="9"/>
      <c r="G48" s="9"/>
      <c r="H48" s="9"/>
      <c r="I48" s="1"/>
      <c r="J48" s="27"/>
      <c r="K48" s="28"/>
      <c r="M48" s="18"/>
    </row>
    <row r="49" spans="1:15" ht="17.45" customHeight="1" x14ac:dyDescent="0.25">
      <c r="B49" s="249" t="s">
        <v>1742</v>
      </c>
      <c r="C49" s="24"/>
      <c r="D49" s="249"/>
      <c r="E49" s="249"/>
      <c r="F49" s="249"/>
      <c r="G49" s="249"/>
      <c r="H49" s="249"/>
      <c r="I49" s="249"/>
      <c r="J49" s="180"/>
      <c r="K49" s="6"/>
    </row>
    <row r="50" spans="1:15" ht="17.45" customHeight="1" x14ac:dyDescent="0.2">
      <c r="A50" s="14"/>
      <c r="B50" s="249" t="s">
        <v>1748</v>
      </c>
      <c r="C50" s="249"/>
      <c r="D50" s="249"/>
      <c r="E50" s="249"/>
      <c r="F50" s="249"/>
      <c r="G50" s="249"/>
      <c r="H50" s="249"/>
      <c r="I50" s="186"/>
      <c r="J50" s="180"/>
      <c r="K50" s="249"/>
      <c r="O50" s="26"/>
    </row>
    <row r="51" spans="1:15" ht="17.45" customHeight="1" x14ac:dyDescent="0.2">
      <c r="A51" s="14"/>
      <c r="B51" s="276" t="s">
        <v>1749</v>
      </c>
      <c r="C51" s="276" t="s">
        <v>1750</v>
      </c>
      <c r="D51" s="276" t="s">
        <v>1750</v>
      </c>
      <c r="E51" s="249"/>
      <c r="F51" s="249"/>
      <c r="G51" s="249"/>
      <c r="H51" s="249"/>
      <c r="I51" s="186"/>
      <c r="J51" s="180"/>
      <c r="K51" s="249"/>
      <c r="O51" s="26"/>
    </row>
    <row r="52" spans="1:15" ht="17.45" customHeight="1" x14ac:dyDescent="0.2">
      <c r="A52" s="14"/>
      <c r="B52" s="244"/>
      <c r="C52" s="244" t="s">
        <v>1740</v>
      </c>
      <c r="D52" s="244"/>
      <c r="E52" s="249"/>
      <c r="F52" s="249"/>
      <c r="G52" s="249"/>
      <c r="H52" s="249"/>
      <c r="I52" s="186"/>
      <c r="J52" s="249"/>
      <c r="K52" s="180"/>
      <c r="O52" s="26"/>
    </row>
    <row r="53" spans="1:15" ht="17.45" customHeight="1" x14ac:dyDescent="0.2">
      <c r="A53" s="14"/>
      <c r="B53" s="244"/>
      <c r="C53" s="244" t="s">
        <v>1751</v>
      </c>
      <c r="D53" s="244"/>
      <c r="E53" s="249"/>
      <c r="F53" s="249"/>
      <c r="G53" s="249"/>
      <c r="H53" s="249"/>
      <c r="I53" s="186"/>
      <c r="J53" s="249"/>
      <c r="K53" s="180"/>
      <c r="O53" s="26"/>
    </row>
    <row r="54" spans="1:15" ht="17.45" customHeight="1" x14ac:dyDescent="0.25">
      <c r="A54" s="14"/>
      <c r="B54" s="177"/>
      <c r="C54" s="244" t="s">
        <v>1752</v>
      </c>
      <c r="D54" s="244"/>
      <c r="E54" s="244"/>
      <c r="F54" s="249"/>
      <c r="G54" s="249"/>
      <c r="H54" s="249"/>
      <c r="I54" s="24"/>
      <c r="J54" s="30"/>
      <c r="K54" s="180"/>
    </row>
    <row r="55" spans="1:15" ht="17.45" customHeight="1" x14ac:dyDescent="0.3">
      <c r="A55" s="14"/>
      <c r="B55" s="167"/>
      <c r="C55" s="150"/>
      <c r="D55" s="150"/>
      <c r="E55" s="150"/>
      <c r="F55" s="249"/>
      <c r="G55" s="249"/>
      <c r="H55" s="249"/>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49"/>
      <c r="C56" s="249"/>
      <c r="D56" s="249"/>
      <c r="E56" s="249"/>
      <c r="F56" s="249"/>
      <c r="G56" s="249"/>
      <c r="H56" s="249"/>
      <c r="I56" s="24"/>
      <c r="J56" s="30"/>
      <c r="K56" s="22"/>
    </row>
    <row r="57" spans="1:15" ht="17.45" customHeight="1" x14ac:dyDescent="0.3">
      <c r="A57" s="168">
        <v>6</v>
      </c>
      <c r="B57" s="199" t="s">
        <v>1753</v>
      </c>
      <c r="D57" s="249"/>
      <c r="E57" s="249"/>
      <c r="F57" s="249"/>
      <c r="G57" s="249"/>
      <c r="H57" s="249"/>
      <c r="I57" s="24"/>
      <c r="J57" s="30"/>
      <c r="K57" s="22"/>
    </row>
    <row r="58" spans="1:15" ht="17.45" customHeight="1" x14ac:dyDescent="0.2">
      <c r="B58" s="249" t="s">
        <v>1736</v>
      </c>
      <c r="C58" s="24"/>
      <c r="D58" s="249"/>
      <c r="E58" s="249"/>
      <c r="F58" s="249"/>
      <c r="G58" s="249"/>
      <c r="H58" s="249"/>
      <c r="I58" s="24"/>
      <c r="J58" s="180"/>
      <c r="K58" s="30"/>
    </row>
    <row r="59" spans="1:15" ht="17.45" customHeight="1" x14ac:dyDescent="0.25">
      <c r="A59" s="14"/>
      <c r="B59" s="177"/>
      <c r="C59" s="249" t="s">
        <v>1737</v>
      </c>
      <c r="D59" s="249"/>
      <c r="E59" s="249"/>
      <c r="F59" s="249"/>
      <c r="G59" s="249"/>
      <c r="H59" s="249"/>
      <c r="I59" s="24"/>
      <c r="J59" s="30"/>
      <c r="K59" s="180"/>
    </row>
    <row r="60" spans="1:15" ht="17.45" customHeight="1" x14ac:dyDescent="0.3">
      <c r="A60" s="14"/>
      <c r="B60" s="167"/>
      <c r="C60" s="150"/>
      <c r="D60" s="249"/>
      <c r="E60" s="249"/>
      <c r="F60" s="249"/>
      <c r="G60" s="249"/>
      <c r="H60" s="249"/>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49"/>
      <c r="C61" s="249"/>
      <c r="D61" s="249"/>
      <c r="E61" s="249"/>
      <c r="F61" s="249"/>
      <c r="G61" s="249"/>
      <c r="H61" s="249"/>
      <c r="I61" s="23"/>
      <c r="J61" s="31"/>
      <c r="K61" s="30"/>
    </row>
    <row r="62" spans="1:15" ht="17.45" customHeight="1" x14ac:dyDescent="0.2">
      <c r="B62" s="32"/>
      <c r="C62" s="249"/>
      <c r="D62" s="249"/>
      <c r="E62" s="249"/>
      <c r="F62" s="249"/>
      <c r="G62" s="249"/>
      <c r="H62" s="249"/>
      <c r="I62" s="249"/>
    </row>
    <row r="63" spans="1:15" ht="17.45" customHeight="1" x14ac:dyDescent="0.25">
      <c r="B63" s="29"/>
      <c r="C63" s="249"/>
      <c r="D63" s="249"/>
      <c r="E63" s="249"/>
      <c r="F63" s="249"/>
      <c r="G63" s="249"/>
      <c r="H63" s="249"/>
      <c r="I63" s="249"/>
    </row>
    <row r="64" spans="1:15" ht="17.45" customHeight="1" x14ac:dyDescent="0.2">
      <c r="B64" s="32"/>
      <c r="C64" s="249"/>
      <c r="D64" s="249"/>
      <c r="E64" s="249"/>
      <c r="F64" s="249"/>
      <c r="G64" s="249"/>
      <c r="H64" s="249"/>
      <c r="I64" s="30"/>
      <c r="L64" s="9"/>
      <c r="M64" s="18"/>
    </row>
    <row r="65" spans="2:11" ht="20.25" x14ac:dyDescent="0.3">
      <c r="B65" s="249"/>
      <c r="C65" s="249"/>
      <c r="D65" s="213" t="s">
        <v>1754</v>
      </c>
      <c r="E65" s="214"/>
      <c r="F65" s="215"/>
      <c r="G65" s="215"/>
      <c r="H65" s="215"/>
      <c r="I65" s="216"/>
      <c r="J65" s="216"/>
      <c r="K65" s="217"/>
    </row>
    <row r="66" spans="2:11" ht="17.45" customHeight="1" x14ac:dyDescent="0.2">
      <c r="B66" s="249"/>
      <c r="C66" s="249"/>
      <c r="D66" s="34"/>
      <c r="E66" s="34"/>
      <c r="F66" s="34"/>
      <c r="G66" s="34"/>
      <c r="H66" s="34"/>
      <c r="I66" s="34"/>
      <c r="J66" s="34"/>
      <c r="K66" s="223" t="s">
        <v>1647</v>
      </c>
    </row>
    <row r="67" spans="2:11" ht="17.45" customHeight="1" x14ac:dyDescent="0.25">
      <c r="B67" s="27"/>
      <c r="D67" s="177" t="s">
        <v>1755</v>
      </c>
      <c r="E67" s="34"/>
      <c r="F67" s="34"/>
      <c r="G67" s="34"/>
      <c r="H67" s="34"/>
      <c r="I67" s="34"/>
      <c r="J67" s="34"/>
      <c r="K67" s="222">
        <f>J14+J24-K31-K42-K52+J58</f>
        <v>0</v>
      </c>
    </row>
    <row r="68" spans="2:11" ht="17.45" customHeight="1" x14ac:dyDescent="0.25">
      <c r="D68" s="177" t="s">
        <v>1756</v>
      </c>
      <c r="E68" s="34"/>
      <c r="F68" s="34"/>
      <c r="G68" s="34"/>
      <c r="H68" s="34"/>
      <c r="I68" s="34"/>
      <c r="J68" s="34"/>
      <c r="K68" s="222">
        <f>J41</f>
        <v>0</v>
      </c>
    </row>
    <row r="69" spans="2:11" ht="17.45" customHeight="1" x14ac:dyDescent="0.25">
      <c r="D69" s="177" t="s">
        <v>1757</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1659</v>
      </c>
      <c r="B1" s="280"/>
      <c r="C1" s="280"/>
      <c r="D1" s="280"/>
      <c r="E1" s="280"/>
      <c r="F1" s="143"/>
      <c r="G1" s="5"/>
      <c r="H1" s="5"/>
      <c r="I1" s="5"/>
      <c r="J1" s="5"/>
      <c r="K1" s="5"/>
      <c r="L1" s="5"/>
      <c r="M1" s="5"/>
      <c r="N1" s="5"/>
      <c r="O1" s="5"/>
      <c r="P1" s="5"/>
      <c r="Q1" s="5"/>
      <c r="R1" s="5"/>
      <c r="S1" s="5"/>
    </row>
    <row r="2" spans="1:19" ht="48" customHeight="1" x14ac:dyDescent="0.25">
      <c r="A2" s="279" t="s">
        <v>1660</v>
      </c>
      <c r="B2" s="279"/>
      <c r="C2" s="279"/>
      <c r="D2" s="279"/>
      <c r="E2" s="279"/>
      <c r="F2" s="86"/>
      <c r="G2" s="5"/>
      <c r="H2" s="5"/>
      <c r="I2" s="5"/>
      <c r="J2" s="5"/>
      <c r="K2" s="5"/>
      <c r="L2" s="5"/>
      <c r="M2" s="5"/>
      <c r="N2" s="5"/>
      <c r="O2" s="5"/>
      <c r="P2" s="5"/>
      <c r="Q2" s="5"/>
      <c r="R2" s="5"/>
      <c r="S2" s="5"/>
    </row>
    <row r="3" spans="1:19" ht="33" customHeight="1" x14ac:dyDescent="0.25">
      <c r="A3" s="300" t="s">
        <v>1661</v>
      </c>
      <c r="B3" s="300"/>
      <c r="C3" s="300"/>
      <c r="E3" s="245"/>
      <c r="F3" s="245"/>
      <c r="G3" s="245"/>
      <c r="H3" s="245"/>
      <c r="I3" s="245"/>
      <c r="J3" s="245"/>
      <c r="K3" s="245"/>
      <c r="L3" s="245"/>
      <c r="M3" s="245"/>
      <c r="N3" s="245"/>
      <c r="O3" s="245"/>
      <c r="P3" s="6"/>
      <c r="Q3" s="6"/>
      <c r="R3" s="6"/>
      <c r="S3" s="6"/>
    </row>
    <row r="4" spans="1:19" ht="31.15" customHeight="1" x14ac:dyDescent="0.25">
      <c r="A4" s="285" t="s">
        <v>1662</v>
      </c>
      <c r="B4" s="285"/>
      <c r="C4" s="285"/>
      <c r="E4" s="245"/>
      <c r="F4" s="245"/>
      <c r="G4" s="245"/>
      <c r="H4" s="245"/>
      <c r="I4" s="245"/>
      <c r="J4" s="245"/>
      <c r="K4" s="245"/>
      <c r="L4" s="245"/>
      <c r="M4" s="245"/>
      <c r="N4" s="245"/>
      <c r="O4" s="245"/>
      <c r="P4" s="6"/>
      <c r="Q4" s="6"/>
      <c r="R4" s="6"/>
      <c r="S4" s="6"/>
    </row>
    <row r="5" spans="1:19" ht="30.6" customHeight="1" x14ac:dyDescent="0.25">
      <c r="A5" s="285" t="s">
        <v>1663</v>
      </c>
      <c r="B5" s="285"/>
      <c r="C5" s="285"/>
      <c r="E5" s="245"/>
      <c r="F5" s="245"/>
      <c r="G5" s="245"/>
      <c r="H5" s="245"/>
      <c r="I5" s="245"/>
      <c r="J5" s="245"/>
      <c r="K5" s="245"/>
      <c r="L5" s="245"/>
      <c r="M5" s="245"/>
      <c r="N5" s="245"/>
      <c r="O5" s="245"/>
      <c r="P5" s="6"/>
      <c r="Q5" s="6"/>
      <c r="R5" s="6"/>
      <c r="S5" s="6"/>
    </row>
    <row r="6" spans="1:19" ht="15.75" x14ac:dyDescent="0.25">
      <c r="E6" s="245"/>
      <c r="F6" s="245"/>
      <c r="G6" s="245"/>
      <c r="H6" s="245"/>
      <c r="I6" s="245"/>
      <c r="J6" s="245"/>
      <c r="K6" s="245"/>
      <c r="L6" s="245"/>
      <c r="M6" s="245"/>
      <c r="N6" s="245"/>
      <c r="O6" s="245"/>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1664</v>
      </c>
      <c r="B8" s="5"/>
      <c r="C8" s="5"/>
      <c r="D8" s="7"/>
      <c r="F8" s="73"/>
      <c r="G8" s="73"/>
      <c r="H8" s="73"/>
      <c r="I8" s="73"/>
      <c r="J8" s="73"/>
      <c r="K8" s="73"/>
      <c r="L8" s="73"/>
      <c r="M8" s="73"/>
      <c r="N8" s="73"/>
      <c r="O8" s="73"/>
      <c r="P8" s="6"/>
      <c r="Q8" s="6"/>
      <c r="R8" s="6"/>
      <c r="S8" s="6"/>
    </row>
    <row r="9" spans="1:19" ht="15.75" x14ac:dyDescent="0.25">
      <c r="A9" s="250" t="s">
        <v>1580</v>
      </c>
      <c r="B9" s="298" t="s">
        <v>15</v>
      </c>
      <c r="C9" s="298"/>
      <c r="D9" s="47"/>
      <c r="F9" s="73"/>
      <c r="G9" s="73"/>
      <c r="H9" s="73"/>
      <c r="I9" s="73"/>
      <c r="J9" s="73"/>
      <c r="K9" s="73"/>
      <c r="L9" s="73"/>
      <c r="M9" s="73"/>
      <c r="N9" s="73"/>
      <c r="O9" s="73"/>
      <c r="P9" s="6"/>
      <c r="Q9" s="6"/>
      <c r="R9" s="6"/>
      <c r="S9" s="6"/>
    </row>
    <row r="10" spans="1:19" ht="15.75" x14ac:dyDescent="0.25">
      <c r="A10" s="250" t="s">
        <v>1665</v>
      </c>
      <c r="B10" s="299"/>
      <c r="C10" s="299"/>
      <c r="D10" s="74"/>
      <c r="F10" s="238"/>
      <c r="G10" s="238"/>
      <c r="H10" s="238"/>
      <c r="I10" s="238"/>
      <c r="J10" s="238"/>
      <c r="K10" s="238"/>
      <c r="L10" s="238"/>
      <c r="M10" s="238"/>
      <c r="N10" s="238"/>
      <c r="O10" s="238"/>
      <c r="P10" s="6"/>
      <c r="Q10" s="6"/>
      <c r="R10" s="6"/>
      <c r="S10" s="6"/>
    </row>
    <row r="11" spans="1:19" ht="15.75" x14ac:dyDescent="0.25">
      <c r="A11" s="250" t="s">
        <v>1581</v>
      </c>
      <c r="B11" s="298"/>
      <c r="C11" s="298"/>
      <c r="D11" s="74"/>
      <c r="F11" s="5"/>
      <c r="G11" s="5"/>
      <c r="H11" s="5"/>
      <c r="I11" s="5"/>
      <c r="J11" s="5"/>
      <c r="K11" s="5"/>
      <c r="L11" s="5"/>
      <c r="M11" s="5"/>
      <c r="N11" s="5"/>
      <c r="O11" s="5"/>
      <c r="P11" s="5"/>
      <c r="Q11" s="5"/>
      <c r="R11" s="5"/>
      <c r="S11" s="5"/>
    </row>
    <row r="12" spans="1:19" ht="30" customHeight="1" x14ac:dyDescent="0.25">
      <c r="A12" s="296" t="s">
        <v>1667</v>
      </c>
      <c r="B12" s="297"/>
      <c r="C12" s="297"/>
      <c r="D12" s="243"/>
      <c r="F12" s="5"/>
      <c r="G12" s="5"/>
      <c r="H12" s="5"/>
      <c r="I12" s="5"/>
      <c r="J12" s="5"/>
      <c r="K12" s="5"/>
      <c r="L12" s="5"/>
      <c r="M12" s="5"/>
      <c r="N12" s="5"/>
      <c r="O12" s="5"/>
      <c r="P12" s="5"/>
      <c r="Q12" s="5"/>
      <c r="R12" s="5"/>
      <c r="S12" s="5"/>
    </row>
    <row r="13" spans="1:19" ht="15.6" customHeight="1" x14ac:dyDescent="0.25">
      <c r="A13" s="75"/>
      <c r="B13" s="76" t="s">
        <v>1758</v>
      </c>
      <c r="C13" s="76" t="s">
        <v>1759</v>
      </c>
      <c r="D13" s="77"/>
      <c r="E13" s="245"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1" t="s">
        <v>1760</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1"/>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1"/>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1"/>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1"/>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1"/>
      <c r="F20" s="5"/>
      <c r="G20" s="79"/>
      <c r="H20" s="79"/>
      <c r="I20" s="5"/>
      <c r="J20" s="5"/>
      <c r="K20" s="5"/>
      <c r="L20" s="5"/>
      <c r="M20" s="5"/>
      <c r="N20" s="5"/>
      <c r="O20" s="5"/>
      <c r="P20" s="5"/>
      <c r="Q20" s="5"/>
      <c r="R20" s="5"/>
      <c r="S20" s="5"/>
    </row>
    <row r="21" spans="1:19" x14ac:dyDescent="0.2">
      <c r="A21" s="75" t="str">
        <f t="shared" si="0"/>
        <v>2039–2044</v>
      </c>
      <c r="B21" s="2"/>
      <c r="C21" s="2"/>
      <c r="D21" s="54"/>
      <c r="E21" s="271"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1"/>
      <c r="G22" s="20"/>
      <c r="H22" s="20"/>
    </row>
    <row r="23" spans="1:19" x14ac:dyDescent="0.2">
      <c r="A23" s="75" t="str">
        <f t="shared" si="0"/>
        <v>2049–2054</v>
      </c>
      <c r="B23" s="2"/>
      <c r="C23" s="2"/>
      <c r="D23" s="54"/>
      <c r="E23" s="241"/>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4"/>
      <c r="G30" s="244"/>
      <c r="H30" s="244"/>
      <c r="I30" s="244"/>
      <c r="J30" s="244"/>
      <c r="K30" s="244"/>
      <c r="L30" s="244"/>
      <c r="M30" s="244"/>
      <c r="N30" s="244"/>
      <c r="O30" s="244"/>
      <c r="P30" s="244"/>
    </row>
    <row r="31" spans="1:19" x14ac:dyDescent="0.2">
      <c r="A31" s="75" t="str">
        <f t="shared" si="0"/>
        <v>2089–2094</v>
      </c>
      <c r="B31" s="2"/>
      <c r="C31" s="2"/>
      <c r="D31" s="54"/>
      <c r="E31" s="7"/>
      <c r="F31" s="244"/>
      <c r="G31" s="244"/>
      <c r="H31" s="244"/>
      <c r="I31" s="244"/>
      <c r="J31" s="244"/>
      <c r="K31" s="244"/>
      <c r="L31" s="244"/>
      <c r="M31" s="244"/>
      <c r="N31" s="244"/>
      <c r="O31" s="244"/>
      <c r="P31" s="244"/>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1672</v>
      </c>
      <c r="F39" s="80"/>
      <c r="G39" s="80"/>
      <c r="H39" s="80"/>
      <c r="I39" s="80"/>
    </row>
    <row r="40" spans="1:19" ht="15.75" x14ac:dyDescent="0.25">
      <c r="A40" s="250" t="s">
        <v>1580</v>
      </c>
      <c r="B40" s="276" t="str">
        <f>B9</f>
        <v>2023–2024</v>
      </c>
      <c r="C40" s="276"/>
      <c r="D40" s="249"/>
      <c r="F40" s="80"/>
      <c r="G40" s="80"/>
      <c r="H40" s="80"/>
      <c r="I40" s="80"/>
    </row>
    <row r="41" spans="1:19" ht="15.75" x14ac:dyDescent="0.25">
      <c r="A41" s="250" t="s">
        <v>1665</v>
      </c>
      <c r="B41" s="278">
        <f>B10</f>
        <v>0</v>
      </c>
      <c r="C41" s="278"/>
      <c r="D41" s="246"/>
    </row>
    <row r="42" spans="1:19" ht="15.75" x14ac:dyDescent="0.25">
      <c r="A42" s="250" t="s">
        <v>1581</v>
      </c>
      <c r="B42" s="276">
        <f>B11</f>
        <v>0</v>
      </c>
      <c r="C42" s="276"/>
      <c r="D42" s="244"/>
    </row>
    <row r="43" spans="1:19" ht="30" customHeight="1" x14ac:dyDescent="0.25">
      <c r="A43" s="296" t="s">
        <v>1667</v>
      </c>
      <c r="B43" s="297"/>
      <c r="C43" s="297"/>
      <c r="D43" s="243"/>
      <c r="F43" s="5"/>
      <c r="G43" s="5"/>
      <c r="H43" s="5"/>
      <c r="I43" s="5"/>
      <c r="J43" s="5"/>
      <c r="K43" s="5"/>
      <c r="L43" s="5"/>
      <c r="M43" s="5"/>
      <c r="N43" s="5"/>
      <c r="O43" s="5"/>
      <c r="P43" s="5"/>
      <c r="Q43" s="5"/>
      <c r="R43" s="5"/>
      <c r="S43" s="5"/>
    </row>
    <row r="44" spans="1:19" ht="15.75" x14ac:dyDescent="0.25">
      <c r="A44" s="75"/>
      <c r="B44" s="76" t="s">
        <v>1758</v>
      </c>
      <c r="C44" s="76" t="s">
        <v>1759</v>
      </c>
      <c r="D44" s="82"/>
      <c r="E44" s="245"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1" t="s">
        <v>1760</v>
      </c>
    </row>
    <row r="46" spans="1:19" x14ac:dyDescent="0.2">
      <c r="A46" s="75" t="str">
        <f>LEFT(A45,4)+1&amp;"–"&amp;RIGHT(A45,4)+1</f>
        <v>2025–2026</v>
      </c>
      <c r="B46" s="2"/>
      <c r="C46" s="2"/>
      <c r="D46" s="54"/>
      <c r="E46" s="271"/>
    </row>
    <row r="47" spans="1:19" x14ac:dyDescent="0.2">
      <c r="A47" s="75" t="str">
        <f>LEFT(A46,4)+1&amp;"–"&amp;RIGHT(A46,4)+1</f>
        <v>2026–2027</v>
      </c>
      <c r="B47" s="2"/>
      <c r="C47" s="2"/>
      <c r="D47" s="54"/>
      <c r="E47" s="271"/>
    </row>
    <row r="48" spans="1:19" ht="15" customHeight="1" x14ac:dyDescent="0.2">
      <c r="A48" s="75" t="str">
        <f>LEFT(A47,4)+1&amp;"–"&amp;RIGHT(A47,4)+1</f>
        <v>2027–2028</v>
      </c>
      <c r="B48" s="2"/>
      <c r="C48" s="2"/>
      <c r="D48" s="78"/>
      <c r="E48" s="271"/>
    </row>
    <row r="49" spans="1:19" x14ac:dyDescent="0.2">
      <c r="A49" s="75" t="str">
        <f>LEFT(A48,4)+1&amp;"–"&amp;RIGHT(A48,4)+1</f>
        <v>2028–2029</v>
      </c>
      <c r="B49" s="2"/>
      <c r="C49" s="2"/>
      <c r="D49" s="78"/>
      <c r="E49" s="241"/>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1"/>
    </row>
    <row r="52" spans="1:19" x14ac:dyDescent="0.2">
      <c r="A52" s="75" t="str">
        <f t="shared" si="1"/>
        <v>2039–2044</v>
      </c>
      <c r="B52" s="2"/>
      <c r="C52" s="2"/>
      <c r="D52" s="54"/>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1"/>
    </row>
    <row r="54" spans="1:19" ht="15" customHeight="1" x14ac:dyDescent="0.2">
      <c r="A54" s="75" t="str">
        <f t="shared" si="1"/>
        <v>2049–2054</v>
      </c>
      <c r="B54" s="2"/>
      <c r="C54" s="2"/>
      <c r="D54" s="54"/>
      <c r="E54" s="241"/>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49"/>
      <c r="I58" s="249"/>
      <c r="J58" s="249"/>
      <c r="K58" s="249"/>
      <c r="L58" s="249"/>
      <c r="M58" s="249"/>
      <c r="N58" s="249"/>
      <c r="O58" s="249"/>
      <c r="P58" s="249"/>
      <c r="Q58" s="249"/>
      <c r="R58" s="249"/>
      <c r="S58" s="249"/>
    </row>
    <row r="59" spans="1:19" x14ac:dyDescent="0.2">
      <c r="A59" s="75" t="str">
        <f t="shared" si="1"/>
        <v>2074–2079</v>
      </c>
      <c r="B59" s="2"/>
      <c r="C59" s="2"/>
      <c r="D59" s="54"/>
      <c r="E59" s="11"/>
      <c r="F59" s="249"/>
      <c r="G59" s="249"/>
      <c r="H59" s="249"/>
      <c r="I59" s="249"/>
      <c r="J59" s="249"/>
      <c r="K59" s="249"/>
      <c r="L59" s="249"/>
      <c r="M59" s="249"/>
      <c r="N59" s="249"/>
      <c r="O59" s="249"/>
      <c r="P59" s="249"/>
      <c r="Q59" s="249"/>
      <c r="R59" s="249"/>
      <c r="S59" s="249"/>
    </row>
    <row r="60" spans="1:19" x14ac:dyDescent="0.2">
      <c r="A60" s="75" t="str">
        <f t="shared" si="1"/>
        <v>2079–2084</v>
      </c>
      <c r="B60" s="2"/>
      <c r="C60" s="2"/>
      <c r="D60" s="54"/>
      <c r="F60" s="249"/>
      <c r="G60" s="249"/>
      <c r="H60" s="249"/>
      <c r="I60" s="249"/>
      <c r="J60" s="249"/>
      <c r="K60" s="249"/>
      <c r="L60" s="249"/>
      <c r="M60" s="249"/>
      <c r="N60" s="249"/>
      <c r="O60" s="249"/>
      <c r="P60" s="249"/>
      <c r="Q60" s="249"/>
      <c r="R60" s="249"/>
      <c r="S60" s="249"/>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50"/>
    </row>
    <row r="64" spans="1:19" ht="15.75" x14ac:dyDescent="0.25">
      <c r="A64" s="75" t="str">
        <f t="shared" si="1"/>
        <v>2099–2104</v>
      </c>
      <c r="B64" s="2"/>
      <c r="C64" s="2"/>
      <c r="D64" s="54"/>
      <c r="E64" s="250"/>
    </row>
    <row r="65" spans="1:19" ht="15.75" x14ac:dyDescent="0.25">
      <c r="A65" s="75" t="str">
        <f t="shared" si="1"/>
        <v>2104–2109</v>
      </c>
      <c r="B65" s="2"/>
      <c r="C65" s="2"/>
      <c r="D65" s="54"/>
      <c r="E65" s="250"/>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1673</v>
      </c>
    </row>
    <row r="71" spans="1:19" ht="15.75" x14ac:dyDescent="0.25">
      <c r="A71" s="250" t="s">
        <v>1580</v>
      </c>
      <c r="B71" s="276" t="str">
        <f>B40</f>
        <v>2023–2024</v>
      </c>
      <c r="C71" s="276"/>
      <c r="D71" s="249"/>
    </row>
    <row r="72" spans="1:19" ht="15.75" x14ac:dyDescent="0.25">
      <c r="A72" s="250" t="s">
        <v>1665</v>
      </c>
      <c r="B72" s="278">
        <f>B41</f>
        <v>0</v>
      </c>
      <c r="C72" s="278"/>
      <c r="D72" s="246"/>
    </row>
    <row r="73" spans="1:19" ht="15.75" x14ac:dyDescent="0.25">
      <c r="A73" s="250" t="s">
        <v>1581</v>
      </c>
      <c r="B73" s="276">
        <f>B42</f>
        <v>0</v>
      </c>
      <c r="C73" s="276"/>
      <c r="D73" s="244"/>
    </row>
    <row r="74" spans="1:19" ht="30" customHeight="1" x14ac:dyDescent="0.25">
      <c r="A74" s="296" t="s">
        <v>1667</v>
      </c>
      <c r="B74" s="297"/>
      <c r="C74" s="297"/>
      <c r="D74" s="243"/>
      <c r="F74" s="5"/>
      <c r="G74" s="5"/>
      <c r="H74" s="5"/>
      <c r="I74" s="5"/>
      <c r="J74" s="5"/>
      <c r="K74" s="5"/>
      <c r="L74" s="5"/>
      <c r="M74" s="5"/>
      <c r="N74" s="5"/>
      <c r="O74" s="5"/>
      <c r="P74" s="5"/>
      <c r="Q74" s="5"/>
      <c r="R74" s="5"/>
      <c r="S74" s="5"/>
    </row>
    <row r="75" spans="1:19" ht="15.75" x14ac:dyDescent="0.25">
      <c r="A75" s="75"/>
      <c r="B75" s="76" t="s">
        <v>1758</v>
      </c>
      <c r="C75" s="76" t="s">
        <v>1759</v>
      </c>
      <c r="D75" s="82"/>
      <c r="E75" s="245"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1" t="s">
        <v>1760</v>
      </c>
    </row>
    <row r="77" spans="1:19" x14ac:dyDescent="0.2">
      <c r="A77" s="75" t="str">
        <f>LEFT(A76,4)+1&amp;"–"&amp;RIGHT(A76,4)+1</f>
        <v>2025–2026</v>
      </c>
      <c r="B77" s="2"/>
      <c r="C77" s="2"/>
      <c r="D77" s="54"/>
      <c r="E77" s="271"/>
    </row>
    <row r="78" spans="1:19" x14ac:dyDescent="0.2">
      <c r="A78" s="75" t="str">
        <f>LEFT(A77,4)+1&amp;"–"&amp;RIGHT(A77,4)+1</f>
        <v>2026–2027</v>
      </c>
      <c r="B78" s="2"/>
      <c r="C78" s="2"/>
      <c r="D78" s="54"/>
      <c r="E78" s="271"/>
    </row>
    <row r="79" spans="1:19" x14ac:dyDescent="0.2">
      <c r="A79" s="75" t="str">
        <f>LEFT(A78,4)+1&amp;"–"&amp;RIGHT(A78,4)+1</f>
        <v>2027–2028</v>
      </c>
      <c r="B79" s="2"/>
      <c r="C79" s="2"/>
      <c r="D79" s="78"/>
      <c r="E79" s="271"/>
    </row>
    <row r="80" spans="1:19" x14ac:dyDescent="0.2">
      <c r="A80" s="75" t="str">
        <f>LEFT(A79,4)+1&amp;"–"&amp;RIGHT(A79,4)+1</f>
        <v>2028–2029</v>
      </c>
      <c r="B80" s="2"/>
      <c r="C80" s="2"/>
      <c r="D80" s="78"/>
      <c r="E80" s="241"/>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1"/>
    </row>
    <row r="83" spans="1:5" x14ac:dyDescent="0.2">
      <c r="A83" s="75" t="str">
        <f t="shared" si="2"/>
        <v>2039–2044</v>
      </c>
      <c r="B83" s="2"/>
      <c r="C83" s="2"/>
      <c r="D83" s="54"/>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1"/>
    </row>
    <row r="85" spans="1:5" ht="15" customHeight="1" x14ac:dyDescent="0.2">
      <c r="A85" s="75" t="str">
        <f t="shared" si="2"/>
        <v>2049–2054</v>
      </c>
      <c r="B85" s="2"/>
      <c r="C85" s="2"/>
      <c r="D85" s="54"/>
      <c r="E85" s="241"/>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50"/>
    </row>
    <row r="95" spans="1:5" ht="15.75" x14ac:dyDescent="0.25">
      <c r="A95" s="75" t="str">
        <f t="shared" si="2"/>
        <v>2099–2104</v>
      </c>
      <c r="B95" s="2"/>
      <c r="C95" s="2"/>
      <c r="D95" s="54"/>
      <c r="E95" s="250"/>
    </row>
    <row r="96" spans="1:5" ht="15.75" x14ac:dyDescent="0.25">
      <c r="A96" s="75" t="str">
        <f t="shared" si="2"/>
        <v>2104–2109</v>
      </c>
      <c r="B96" s="2"/>
      <c r="C96" s="2"/>
      <c r="D96" s="54"/>
      <c r="E96" s="250"/>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49"/>
      <c r="B100" s="249"/>
      <c r="C100" s="249"/>
      <c r="D100" s="249"/>
    </row>
    <row r="101" spans="1:4" x14ac:dyDescent="0.2">
      <c r="A101" s="252"/>
      <c r="B101" s="252"/>
      <c r="C101" s="252"/>
      <c r="D101" s="252"/>
    </row>
    <row r="102" spans="1:4" x14ac:dyDescent="0.2">
      <c r="A102" s="242"/>
    </row>
    <row r="103" spans="1:4" x14ac:dyDescent="0.2">
      <c r="A103" s="242"/>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1761</v>
      </c>
      <c r="B1" s="98"/>
      <c r="C1" s="99"/>
      <c r="D1" s="98"/>
      <c r="E1" s="99"/>
      <c r="F1" s="100"/>
      <c r="G1" s="100"/>
      <c r="H1" s="100"/>
      <c r="I1" s="100"/>
      <c r="J1" s="100"/>
      <c r="K1" s="101"/>
      <c r="L1" s="100"/>
      <c r="M1" s="101"/>
      <c r="N1" s="98"/>
      <c r="O1" s="98"/>
      <c r="P1" s="98"/>
      <c r="Q1" s="98"/>
    </row>
    <row r="2" spans="1:17" s="102" customFormat="1" ht="15.75" x14ac:dyDescent="0.25">
      <c r="A2" s="97" t="s">
        <v>1694</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1695</v>
      </c>
      <c r="B4" s="105"/>
      <c r="C4" s="106"/>
      <c r="D4" s="105"/>
      <c r="E4" s="106"/>
      <c r="F4" s="105"/>
      <c r="G4" s="105"/>
      <c r="H4" s="105"/>
      <c r="I4" s="105"/>
      <c r="J4" s="105"/>
      <c r="K4" s="106"/>
      <c r="L4" s="105"/>
      <c r="M4" s="106"/>
      <c r="N4" s="105"/>
      <c r="O4" s="105"/>
      <c r="P4" s="105"/>
      <c r="Q4" s="105"/>
    </row>
    <row r="5" spans="1:17" ht="15" customHeight="1" x14ac:dyDescent="0.25">
      <c r="A5" s="287" t="s">
        <v>1762</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1692</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04" t="s">
        <v>1763</v>
      </c>
      <c r="B10" s="105"/>
      <c r="C10" s="106"/>
      <c r="D10" s="105"/>
      <c r="E10" s="106"/>
      <c r="F10" s="105"/>
      <c r="G10" s="105"/>
      <c r="H10" s="105"/>
      <c r="I10" s="105"/>
      <c r="J10" s="105"/>
      <c r="K10" s="106"/>
      <c r="L10" s="105"/>
      <c r="M10" s="106"/>
      <c r="N10" s="105"/>
      <c r="O10" s="105"/>
      <c r="P10" s="105"/>
      <c r="Q10" s="105"/>
    </row>
    <row r="11" spans="1:17" x14ac:dyDescent="0.25">
      <c r="A11" s="247"/>
      <c r="B11" s="132" t="s">
        <v>1698</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9" t="s">
        <v>1699</v>
      </c>
      <c r="C13" s="289"/>
      <c r="D13" s="289"/>
      <c r="E13" s="289"/>
      <c r="F13" s="289"/>
      <c r="G13" s="289"/>
      <c r="H13" s="289"/>
      <c r="I13" s="289"/>
      <c r="J13" s="289"/>
      <c r="K13" s="289"/>
      <c r="L13" s="289"/>
      <c r="M13" s="108"/>
      <c r="N13" s="248" t="s">
        <v>1700</v>
      </c>
      <c r="O13" s="109"/>
      <c r="P13" s="109"/>
      <c r="Q13" s="247"/>
    </row>
    <row r="14" spans="1:17" ht="15" customHeight="1" x14ac:dyDescent="0.25">
      <c r="A14" s="247"/>
      <c r="B14" s="220" t="s">
        <v>1701</v>
      </c>
      <c r="C14" s="220"/>
      <c r="D14" s="220" t="s">
        <v>1676</v>
      </c>
      <c r="E14" s="220"/>
      <c r="F14" s="220" t="s">
        <v>1677</v>
      </c>
      <c r="G14" s="220"/>
      <c r="H14" s="220" t="s">
        <v>1702</v>
      </c>
      <c r="I14" s="220"/>
      <c r="J14" s="220" t="s">
        <v>1703</v>
      </c>
      <c r="K14" s="220"/>
      <c r="L14" s="220"/>
      <c r="M14" s="108"/>
      <c r="N14" s="113"/>
      <c r="O14" s="109"/>
      <c r="P14" s="109"/>
      <c r="Q14" s="247"/>
    </row>
    <row r="15" spans="1:17" ht="15" customHeight="1" x14ac:dyDescent="0.25">
      <c r="A15" s="247"/>
      <c r="B15" s="110" t="s">
        <v>1704</v>
      </c>
      <c r="C15" s="111" t="s">
        <v>1705</v>
      </c>
      <c r="D15" s="110" t="s">
        <v>1764</v>
      </c>
      <c r="E15" s="110" t="s">
        <v>1707</v>
      </c>
      <c r="F15" s="110" t="s">
        <v>1765</v>
      </c>
      <c r="G15" s="110" t="s">
        <v>1707</v>
      </c>
      <c r="H15" s="110" t="s">
        <v>1766</v>
      </c>
      <c r="I15" s="110" t="s">
        <v>1705</v>
      </c>
      <c r="J15" s="110" t="s">
        <v>1708</v>
      </c>
      <c r="K15" s="111"/>
      <c r="L15" s="110"/>
      <c r="M15" s="111"/>
      <c r="N15" s="112" t="s">
        <v>1767</v>
      </c>
      <c r="O15" s="109"/>
      <c r="P15" s="113" t="s">
        <v>1712</v>
      </c>
      <c r="Q15" s="247"/>
    </row>
    <row r="16" spans="1:17" ht="15" customHeight="1" x14ac:dyDescent="0.25">
      <c r="A16" s="114"/>
      <c r="B16" s="115">
        <f>IF('LR-Fund #### Journal Entries'!$E$8="Governmental Fund",'LR-Fund #### Journal Entries'!$J$14,0)</f>
        <v>0</v>
      </c>
      <c r="C16" s="152" t="s">
        <v>1705</v>
      </c>
      <c r="D16" s="115">
        <f>IF('LR-Fund #### Journal Entries'!$E$8="Governmental Fund",'LR-Fund #### Journal Entries'!$J$24,0)</f>
        <v>0</v>
      </c>
      <c r="E16" s="154" t="s">
        <v>1707</v>
      </c>
      <c r="F16" s="115">
        <f>IF('LR-Fund #### Journal Entries'!$E$8="Governmental Fund",'LR-Fund #### Journal Entries'!$K$31,0)</f>
        <v>0</v>
      </c>
      <c r="G16" s="153" t="s">
        <v>1707</v>
      </c>
      <c r="H16" s="115">
        <f>IF('LR-Fund #### Journal Entries'!$E$8="Governmental Fund",'LR-Fund #### Journal Entries'!$K$52,0)</f>
        <v>0</v>
      </c>
      <c r="I16" s="153" t="s">
        <v>1705</v>
      </c>
      <c r="J16" s="115">
        <f>IF('LR-Fund #### Journal Entries'!$E$8="Governmental Fund",'LR-Fund #### Journal Entries'!$J$58,0)</f>
        <v>0</v>
      </c>
      <c r="K16" s="154" t="s">
        <v>1713</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1714</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9" t="s">
        <v>1699</v>
      </c>
      <c r="C21" s="289"/>
      <c r="D21" s="289"/>
      <c r="E21" s="289"/>
      <c r="F21" s="289"/>
      <c r="G21" s="289"/>
      <c r="H21" s="289"/>
      <c r="I21" s="289"/>
      <c r="J21" s="289"/>
      <c r="K21" s="289"/>
      <c r="L21" s="289"/>
      <c r="M21" s="108"/>
      <c r="N21" s="248" t="s">
        <v>1700</v>
      </c>
      <c r="O21" s="109"/>
      <c r="P21" s="109"/>
      <c r="Q21" s="247"/>
    </row>
    <row r="22" spans="1:17" ht="15" customHeight="1" x14ac:dyDescent="0.25">
      <c r="A22" s="247"/>
      <c r="B22" s="220" t="s">
        <v>1701</v>
      </c>
      <c r="C22" s="220"/>
      <c r="D22" s="220" t="s">
        <v>1676</v>
      </c>
      <c r="E22" s="220"/>
      <c r="F22" s="220" t="s">
        <v>1677</v>
      </c>
      <c r="G22" s="220"/>
      <c r="H22" s="220" t="s">
        <v>1702</v>
      </c>
      <c r="I22" s="220"/>
      <c r="J22" s="220" t="s">
        <v>1703</v>
      </c>
      <c r="K22" s="220"/>
      <c r="L22" s="220"/>
      <c r="M22" s="108"/>
      <c r="N22" s="113"/>
      <c r="O22" s="109"/>
      <c r="P22" s="109"/>
      <c r="Q22" s="247"/>
    </row>
    <row r="23" spans="1:17" ht="15" customHeight="1" x14ac:dyDescent="0.25">
      <c r="A23" s="247"/>
      <c r="B23" s="110" t="s">
        <v>1704</v>
      </c>
      <c r="C23" s="111" t="s">
        <v>1705</v>
      </c>
      <c r="D23" s="110" t="s">
        <v>1764</v>
      </c>
      <c r="E23" s="110" t="s">
        <v>1707</v>
      </c>
      <c r="F23" s="110" t="s">
        <v>1765</v>
      </c>
      <c r="G23" s="110" t="s">
        <v>1707</v>
      </c>
      <c r="H23" s="110" t="s">
        <v>1766</v>
      </c>
      <c r="I23" s="110" t="s">
        <v>1705</v>
      </c>
      <c r="J23" s="110" t="s">
        <v>1708</v>
      </c>
      <c r="K23" s="111"/>
      <c r="L23" s="110"/>
      <c r="M23" s="111"/>
      <c r="N23" s="112" t="s">
        <v>1767</v>
      </c>
      <c r="O23" s="109"/>
      <c r="P23" s="113" t="s">
        <v>1712</v>
      </c>
      <c r="Q23" s="247"/>
    </row>
    <row r="24" spans="1:17" ht="15" customHeight="1" x14ac:dyDescent="0.25">
      <c r="A24" s="114"/>
      <c r="B24" s="115">
        <f>IF('LR-Fund #### Journal Entries'!$E$8="Proprietary - Internal Service Fund",'LR-Fund #### Journal Entries'!$J$14,0)</f>
        <v>0</v>
      </c>
      <c r="C24" s="152" t="s">
        <v>1705</v>
      </c>
      <c r="D24" s="115">
        <f>IF('LR-Fund #### Journal Entries'!$E$8="Proprietary - Internal Service Fund",'LR-Fund #### Journal Entries'!$J$24,0)</f>
        <v>0</v>
      </c>
      <c r="E24" s="154" t="s">
        <v>1707</v>
      </c>
      <c r="F24" s="115">
        <f>IF('LR-Fund #### Journal Entries'!$E$8="Proprietary - Internal Service Fund",'LR-Fund #### Journal Entries'!$K$31,0)</f>
        <v>0</v>
      </c>
      <c r="G24" s="153" t="s">
        <v>1707</v>
      </c>
      <c r="H24" s="115">
        <f>IF('LR-Fund #### Journal Entries'!$E$8="Proprietary - Internal Service Fund",'LR-Fund #### Journal Entries'!$K$52,0)</f>
        <v>0</v>
      </c>
      <c r="I24" s="153" t="s">
        <v>1705</v>
      </c>
      <c r="J24" s="115">
        <f>IF('LR-Fund #### Journal Entries'!$E$8="Proprietary - Internal Service Fund",'LR-Fund #### Journal Entries'!$J$58,0)</f>
        <v>0</v>
      </c>
      <c r="K24" s="154" t="s">
        <v>1713</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1715</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9" t="s">
        <v>1699</v>
      </c>
      <c r="C30" s="289"/>
      <c r="D30" s="289"/>
      <c r="E30" s="289"/>
      <c r="F30" s="289"/>
      <c r="G30" s="289"/>
      <c r="H30" s="289"/>
      <c r="I30" s="289"/>
      <c r="J30" s="289"/>
      <c r="K30" s="289"/>
      <c r="L30" s="289"/>
      <c r="M30" s="108"/>
      <c r="N30" s="248" t="s">
        <v>1700</v>
      </c>
      <c r="O30" s="109"/>
      <c r="P30" s="109"/>
      <c r="Q30" s="247"/>
    </row>
    <row r="31" spans="1:17" ht="15" customHeight="1" x14ac:dyDescent="0.25">
      <c r="A31" s="247"/>
      <c r="B31" s="220" t="s">
        <v>1701</v>
      </c>
      <c r="C31" s="220"/>
      <c r="D31" s="220" t="s">
        <v>1676</v>
      </c>
      <c r="E31" s="220"/>
      <c r="F31" s="220" t="s">
        <v>1677</v>
      </c>
      <c r="G31" s="220"/>
      <c r="H31" s="220" t="s">
        <v>1702</v>
      </c>
      <c r="I31" s="220"/>
      <c r="J31" s="220" t="s">
        <v>1703</v>
      </c>
      <c r="K31" s="220"/>
      <c r="L31" s="220"/>
      <c r="M31" s="108"/>
      <c r="N31" s="113"/>
      <c r="O31" s="109"/>
      <c r="P31" s="109"/>
      <c r="Q31" s="247"/>
    </row>
    <row r="32" spans="1:17" ht="15" customHeight="1" x14ac:dyDescent="0.25">
      <c r="A32" s="247"/>
      <c r="B32" s="110" t="s">
        <v>1704</v>
      </c>
      <c r="C32" s="111" t="s">
        <v>1705</v>
      </c>
      <c r="D32" s="110" t="s">
        <v>1764</v>
      </c>
      <c r="E32" s="110" t="s">
        <v>1707</v>
      </c>
      <c r="F32" s="110" t="s">
        <v>1765</v>
      </c>
      <c r="G32" s="110" t="s">
        <v>1707</v>
      </c>
      <c r="H32" s="110" t="s">
        <v>1766</v>
      </c>
      <c r="I32" s="110" t="s">
        <v>1705</v>
      </c>
      <c r="J32" s="110" t="s">
        <v>1708</v>
      </c>
      <c r="K32" s="111"/>
      <c r="L32" s="110"/>
      <c r="M32" s="111"/>
      <c r="N32" s="112" t="s">
        <v>1767</v>
      </c>
      <c r="O32" s="109"/>
      <c r="P32" s="113" t="s">
        <v>1712</v>
      </c>
      <c r="Q32" s="247"/>
    </row>
    <row r="33" spans="1:17" ht="15" customHeight="1" x14ac:dyDescent="0.25">
      <c r="A33" s="114"/>
      <c r="B33" s="115">
        <f>IF('LR-Fund #### Journal Entries'!$E$8="Proprietary - Enterprise Fund",'LR-Fund #### Journal Entries'!$J$14,0)</f>
        <v>0</v>
      </c>
      <c r="C33" s="152" t="s">
        <v>1705</v>
      </c>
      <c r="D33" s="115">
        <f>IF('LR-Fund #### Journal Entries'!$E$8="Proprietary - Enterprise Fund",'LR-Fund #### Journal Entries'!$J$24,0)</f>
        <v>0</v>
      </c>
      <c r="E33" s="154" t="s">
        <v>1707</v>
      </c>
      <c r="F33" s="115">
        <f>IF('LR-Fund #### Journal Entries'!$E$8="Proprietary - Enterprise Fund",'LR-Fund #### Journal Entries'!$K$31,0)</f>
        <v>0</v>
      </c>
      <c r="G33" s="153" t="s">
        <v>1707</v>
      </c>
      <c r="H33" s="115">
        <f>IF('LR-Fund #### Journal Entries'!$E$8="Proprietary - Enterprise Fund",'LR-Fund #### Journal Entries'!$K$52,0)</f>
        <v>0</v>
      </c>
      <c r="I33" s="153" t="s">
        <v>1705</v>
      </c>
      <c r="J33" s="115">
        <f>IF('LR-Fund #### Journal Entries'!$E$8="Proprietary - Enterprise Fund",'LR-Fund #### Journal Entries'!$J$58,0)</f>
        <v>0</v>
      </c>
      <c r="K33" s="154" t="s">
        <v>1713</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1768</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1698</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9" t="s">
        <v>1699</v>
      </c>
      <c r="C40" s="289"/>
      <c r="D40" s="289"/>
      <c r="E40" s="132"/>
      <c r="F40" s="132"/>
      <c r="G40" s="132"/>
      <c r="H40" s="132"/>
      <c r="I40" s="132"/>
      <c r="J40" s="132"/>
      <c r="K40" s="132"/>
      <c r="L40" s="132"/>
      <c r="M40" s="108"/>
      <c r="N40" s="248" t="s">
        <v>1700</v>
      </c>
      <c r="O40" s="109"/>
      <c r="P40" s="109"/>
      <c r="Q40" s="247"/>
    </row>
    <row r="41" spans="1:17" ht="15" customHeight="1" x14ac:dyDescent="0.25">
      <c r="A41" s="247"/>
      <c r="B41" s="110" t="s">
        <v>1769</v>
      </c>
      <c r="C41" s="221" t="s">
        <v>1718</v>
      </c>
      <c r="E41" s="247"/>
      <c r="G41" s="110"/>
      <c r="H41" s="110"/>
      <c r="I41" s="110"/>
      <c r="J41" s="110"/>
      <c r="K41" s="247"/>
      <c r="L41" s="247"/>
      <c r="M41" s="111"/>
      <c r="N41" s="112" t="str">
        <f>CONCATENATE('LS-Department Note Disclosure'!$A$13," Principal Payments")</f>
        <v>2024–2025 Principal Payments</v>
      </c>
      <c r="O41" s="109"/>
      <c r="P41" s="113" t="s">
        <v>1712</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1714</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9" t="s">
        <v>1699</v>
      </c>
      <c r="C47" s="289"/>
      <c r="D47" s="289"/>
      <c r="E47" s="132"/>
      <c r="F47" s="132"/>
      <c r="G47" s="132"/>
      <c r="H47" s="132"/>
      <c r="I47" s="132"/>
      <c r="J47" s="132"/>
      <c r="K47" s="132"/>
      <c r="L47" s="132"/>
      <c r="M47" s="108"/>
      <c r="N47" s="248" t="s">
        <v>1700</v>
      </c>
      <c r="O47" s="109"/>
      <c r="P47" s="109"/>
      <c r="Q47" s="247"/>
    </row>
    <row r="48" spans="1:17" ht="15" customHeight="1" x14ac:dyDescent="0.25">
      <c r="A48" s="247"/>
      <c r="B48" s="110" t="s">
        <v>1769</v>
      </c>
      <c r="C48" s="221" t="s">
        <v>1718</v>
      </c>
      <c r="E48" s="247"/>
      <c r="G48" s="110"/>
      <c r="H48" s="110"/>
      <c r="I48" s="110"/>
      <c r="J48" s="110"/>
      <c r="K48" s="247"/>
      <c r="L48" s="247"/>
      <c r="M48" s="111"/>
      <c r="N48" s="112" t="str">
        <f>CONCATENATE('LS-Department Note Disclosure'!$A$44," Principal Payments")</f>
        <v>2024–2025 Principal Payments</v>
      </c>
      <c r="O48" s="109"/>
      <c r="P48" s="113" t="s">
        <v>1712</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1715</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9" t="s">
        <v>1699</v>
      </c>
      <c r="C55" s="289"/>
      <c r="D55" s="289"/>
      <c r="E55" s="132"/>
      <c r="F55" s="132"/>
      <c r="G55" s="132"/>
      <c r="H55" s="132"/>
      <c r="I55" s="132"/>
      <c r="J55" s="132"/>
      <c r="K55" s="132"/>
      <c r="L55" s="132"/>
      <c r="M55" s="108"/>
      <c r="N55" s="248" t="s">
        <v>1700</v>
      </c>
      <c r="O55" s="109"/>
      <c r="P55" s="109"/>
      <c r="Q55" s="247"/>
    </row>
    <row r="56" spans="1:17" ht="15" customHeight="1" x14ac:dyDescent="0.25">
      <c r="A56" s="247"/>
      <c r="B56" s="110" t="s">
        <v>1769</v>
      </c>
      <c r="C56" s="221" t="s">
        <v>1718</v>
      </c>
      <c r="E56" s="247"/>
      <c r="G56" s="110"/>
      <c r="H56" s="110"/>
      <c r="I56" s="110"/>
      <c r="J56" s="110"/>
      <c r="K56" s="247"/>
      <c r="L56" s="247"/>
      <c r="M56" s="111"/>
      <c r="N56" s="112" t="str">
        <f>CONCATENATE('LS-Department Note Disclosure'!$A$75," Principal Payments")</f>
        <v>2024–2025 Principal Payments</v>
      </c>
      <c r="O56" s="109"/>
      <c r="P56" s="113" t="s">
        <v>1712</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1770</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1771</v>
      </c>
      <c r="B11" s="224" t="s">
        <v>1552</v>
      </c>
      <c r="C11" s="224" t="s">
        <v>1553</v>
      </c>
      <c r="D11" s="224" t="s">
        <v>1554</v>
      </c>
      <c r="E11" s="224" t="s">
        <v>1555</v>
      </c>
      <c r="F11" s="224" t="s">
        <v>1556</v>
      </c>
    </row>
    <row r="12" spans="1:6" ht="42.75" x14ac:dyDescent="0.25">
      <c r="A12" s="224" t="s">
        <v>1771</v>
      </c>
      <c r="B12" s="224" t="s">
        <v>1557</v>
      </c>
      <c r="C12" s="224" t="s">
        <v>1558</v>
      </c>
      <c r="D12" s="224" t="s">
        <v>1558</v>
      </c>
      <c r="E12" s="224" t="s">
        <v>1559</v>
      </c>
      <c r="F12" s="224" t="s">
        <v>1560</v>
      </c>
    </row>
    <row r="13" spans="1:6" ht="42.75" x14ac:dyDescent="0.25">
      <c r="A13" s="224" t="s">
        <v>1772</v>
      </c>
      <c r="B13" s="224" t="s">
        <v>1773</v>
      </c>
      <c r="C13" s="224" t="s">
        <v>1553</v>
      </c>
      <c r="D13" s="224" t="s">
        <v>1572</v>
      </c>
      <c r="E13" s="224" t="s">
        <v>1774</v>
      </c>
      <c r="F13" s="224" t="s">
        <v>1574</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topLeftCell="A33" zoomScale="80" zoomScaleNormal="70" zoomScaleSheetLayoutView="80" workbookViewId="0">
      <selection activeCell="K7" sqref="K7"/>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4" t="s">
        <v>1775</v>
      </c>
      <c r="B1" s="264"/>
      <c r="C1" s="264"/>
      <c r="D1" s="264"/>
      <c r="E1" s="264"/>
      <c r="F1" s="264"/>
      <c r="G1" s="264"/>
      <c r="H1" s="264"/>
      <c r="I1" s="264"/>
      <c r="J1" s="264"/>
      <c r="K1" s="264"/>
      <c r="L1" s="136"/>
      <c r="M1" s="136"/>
      <c r="N1" s="136"/>
      <c r="O1" s="136"/>
    </row>
    <row r="2" spans="1:20" ht="15" customHeight="1" x14ac:dyDescent="0.25">
      <c r="A2" s="295" t="s">
        <v>1579</v>
      </c>
      <c r="B2" s="295"/>
      <c r="C2" s="295"/>
      <c r="D2" s="295"/>
      <c r="E2" s="295"/>
      <c r="F2" s="295"/>
      <c r="G2" s="295"/>
      <c r="H2" s="295"/>
      <c r="I2" s="295"/>
      <c r="J2" s="295"/>
      <c r="K2" s="295"/>
      <c r="L2" s="149"/>
      <c r="M2" s="149"/>
      <c r="N2" s="149"/>
      <c r="O2" s="149"/>
    </row>
    <row r="3" spans="1:20" ht="15.75" x14ac:dyDescent="0.25">
      <c r="A3" s="260" t="s">
        <v>1580</v>
      </c>
      <c r="B3" s="260"/>
      <c r="C3" s="260"/>
      <c r="D3" s="260"/>
      <c r="E3" s="260"/>
      <c r="F3" s="265" t="s">
        <v>15</v>
      </c>
      <c r="G3" s="265"/>
      <c r="H3" s="265"/>
      <c r="I3" s="265"/>
    </row>
    <row r="4" spans="1:20" ht="15.75" x14ac:dyDescent="0.2">
      <c r="A4" s="260" t="s">
        <v>1581</v>
      </c>
      <c r="B4" s="260"/>
      <c r="C4" s="260"/>
      <c r="D4" s="260"/>
      <c r="E4" s="260"/>
      <c r="F4" s="266"/>
      <c r="G4" s="266"/>
      <c r="H4" s="266"/>
      <c r="I4" s="266"/>
      <c r="L4" s="240"/>
      <c r="M4" s="240"/>
      <c r="N4" s="240"/>
      <c r="O4" s="240"/>
      <c r="P4" s="240"/>
      <c r="Q4" s="240"/>
    </row>
    <row r="5" spans="1:20" ht="15.75" x14ac:dyDescent="0.2">
      <c r="A5" s="260" t="s">
        <v>1583</v>
      </c>
      <c r="B5" s="260"/>
      <c r="C5" s="260"/>
      <c r="D5" s="260"/>
      <c r="E5" s="260"/>
      <c r="F5" s="266"/>
      <c r="G5" s="266"/>
      <c r="H5" s="266"/>
      <c r="I5" s="266"/>
      <c r="L5" s="35"/>
      <c r="M5" s="35"/>
      <c r="N5" s="35"/>
      <c r="O5" s="35"/>
      <c r="P5" s="240"/>
      <c r="Q5" s="240"/>
    </row>
    <row r="6" spans="1:20" ht="18" x14ac:dyDescent="0.25">
      <c r="A6" s="260" t="s">
        <v>1776</v>
      </c>
      <c r="B6" s="260"/>
      <c r="C6" s="260"/>
      <c r="D6" s="260"/>
      <c r="E6" s="260"/>
      <c r="F6" s="267"/>
      <c r="G6" s="267"/>
      <c r="H6" s="267"/>
      <c r="I6" s="267"/>
      <c r="K6" s="84"/>
      <c r="L6" s="35"/>
      <c r="M6" s="35"/>
      <c r="N6" s="35"/>
      <c r="O6" s="35"/>
      <c r="P6" s="240"/>
      <c r="Q6" s="240"/>
    </row>
    <row r="7" spans="1:20" ht="18" x14ac:dyDescent="0.25">
      <c r="A7" s="260" t="s">
        <v>1585</v>
      </c>
      <c r="B7" s="260"/>
      <c r="C7" s="260"/>
      <c r="D7" s="260"/>
      <c r="E7" s="260"/>
      <c r="F7" s="267"/>
      <c r="G7" s="267"/>
      <c r="H7" s="267"/>
      <c r="I7" s="267"/>
      <c r="K7" s="84"/>
      <c r="L7" s="35"/>
      <c r="M7" s="35"/>
      <c r="N7" s="35"/>
      <c r="O7" s="35"/>
      <c r="P7" s="240"/>
      <c r="Q7" s="240"/>
    </row>
    <row r="8" spans="1:20" ht="18" x14ac:dyDescent="0.25">
      <c r="A8" s="260" t="s">
        <v>1586</v>
      </c>
      <c r="B8" s="260"/>
      <c r="C8" s="260"/>
      <c r="D8" s="260"/>
      <c r="E8" s="260"/>
      <c r="F8" s="267"/>
      <c r="G8" s="267"/>
      <c r="H8" s="267"/>
      <c r="I8" s="267"/>
      <c r="K8" s="84"/>
      <c r="L8" s="35"/>
      <c r="M8" s="35"/>
      <c r="N8" s="35"/>
      <c r="O8" s="35"/>
      <c r="P8" s="240"/>
      <c r="Q8" s="240"/>
    </row>
    <row r="9" spans="1:20" ht="15.75" x14ac:dyDescent="0.25">
      <c r="A9" s="260" t="s">
        <v>1587</v>
      </c>
      <c r="B9" s="260"/>
      <c r="C9" s="260"/>
      <c r="D9" s="260"/>
      <c r="E9" s="260"/>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1777</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1589</v>
      </c>
      <c r="B13" s="189"/>
      <c r="C13" s="175"/>
      <c r="D13" s="175"/>
      <c r="E13" s="175"/>
      <c r="F13" s="176"/>
      <c r="G13" s="176"/>
      <c r="H13" s="166"/>
      <c r="I13" s="166"/>
      <c r="J13" s="171"/>
      <c r="K13" s="171"/>
    </row>
    <row r="14" spans="1:20" s="172" customFormat="1" ht="16.5" customHeight="1" x14ac:dyDescent="0.3">
      <c r="A14" s="168">
        <v>0</v>
      </c>
      <c r="B14" s="199" t="s">
        <v>1778</v>
      </c>
      <c r="C14" s="175"/>
      <c r="D14" s="175"/>
      <c r="E14" s="175"/>
      <c r="F14" s="176"/>
      <c r="G14" s="176"/>
      <c r="H14" s="166"/>
      <c r="I14" s="166"/>
      <c r="J14" s="171"/>
      <c r="K14" s="171"/>
      <c r="M14" s="261" t="s">
        <v>1779</v>
      </c>
      <c r="N14" s="262"/>
      <c r="P14" s="261" t="s">
        <v>1592</v>
      </c>
      <c r="Q14" s="262"/>
      <c r="S14" s="206" t="s">
        <v>1593</v>
      </c>
    </row>
    <row r="15" spans="1:20" ht="16.5" customHeight="1" x14ac:dyDescent="0.25">
      <c r="B15" s="24" t="s">
        <v>1780</v>
      </c>
      <c r="C15" s="177"/>
      <c r="D15" s="177"/>
      <c r="E15" s="177"/>
      <c r="F15" s="178"/>
      <c r="G15" s="178"/>
      <c r="H15" s="179"/>
      <c r="I15" s="179"/>
      <c r="J15" s="232">
        <f>M15</f>
        <v>0</v>
      </c>
      <c r="M15" s="180"/>
      <c r="P15" s="180"/>
      <c r="Q15" s="208"/>
      <c r="S15" s="207">
        <f>P15-M15</f>
        <v>0</v>
      </c>
      <c r="T15" s="235" t="s">
        <v>1596</v>
      </c>
    </row>
    <row r="16" spans="1:20" ht="16.5" customHeight="1" x14ac:dyDescent="0.25">
      <c r="A16" s="86"/>
      <c r="B16" s="24" t="s">
        <v>1781</v>
      </c>
      <c r="C16" s="177"/>
      <c r="D16" s="177"/>
      <c r="E16" s="177"/>
      <c r="F16" s="178"/>
      <c r="G16" s="178"/>
      <c r="H16" s="179"/>
      <c r="I16" s="179"/>
      <c r="J16" s="232">
        <f>M16</f>
        <v>0</v>
      </c>
      <c r="M16" s="180"/>
      <c r="P16" s="180"/>
      <c r="Q16" s="208"/>
      <c r="S16" s="207">
        <f>P16-M16</f>
        <v>0</v>
      </c>
      <c r="T16" s="235" t="s">
        <v>1596</v>
      </c>
    </row>
    <row r="17" spans="1:20" ht="16.5" customHeight="1" x14ac:dyDescent="0.25">
      <c r="A17" s="86"/>
      <c r="B17" s="24" t="s">
        <v>1782</v>
      </c>
      <c r="C17" s="177"/>
      <c r="D17" s="177"/>
      <c r="E17" s="177"/>
      <c r="F17" s="178"/>
      <c r="G17" s="178"/>
      <c r="H17" s="179"/>
      <c r="I17" s="179"/>
      <c r="J17" s="232">
        <f>M17</f>
        <v>0</v>
      </c>
      <c r="M17" s="180"/>
      <c r="P17" s="180"/>
      <c r="Q17" s="208"/>
      <c r="S17" s="207">
        <f>P17-M17</f>
        <v>0</v>
      </c>
      <c r="T17" s="235" t="s">
        <v>1596</v>
      </c>
    </row>
    <row r="18" spans="1:20" ht="16.5" customHeight="1" x14ac:dyDescent="0.25">
      <c r="A18" s="86"/>
      <c r="B18" s="24" t="s">
        <v>1599</v>
      </c>
      <c r="C18" s="177"/>
      <c r="D18" s="177"/>
      <c r="E18" s="177"/>
      <c r="F18" s="178"/>
      <c r="G18" s="178"/>
      <c r="H18" s="179"/>
      <c r="I18" s="179"/>
      <c r="J18" s="232">
        <f>P18</f>
        <v>0</v>
      </c>
      <c r="M18" s="180"/>
      <c r="P18" s="233">
        <f>IF(SUM($Q$21:$Q$23)&gt;SUM($P$15:$P$17),SUM($Q$21:$Q$23)-SUM($P$15:$P$17),0)</f>
        <v>0</v>
      </c>
      <c r="Q18" s="208"/>
      <c r="S18" s="207">
        <f>P18-M18</f>
        <v>0</v>
      </c>
      <c r="T18" s="234" t="s">
        <v>1600</v>
      </c>
    </row>
    <row r="19" spans="1:20" ht="16.5" customHeight="1" x14ac:dyDescent="0.25">
      <c r="A19" s="86"/>
      <c r="B19" s="24" t="s">
        <v>1601</v>
      </c>
      <c r="C19" s="177"/>
      <c r="D19" s="177"/>
      <c r="E19" s="177"/>
      <c r="F19" s="178"/>
      <c r="G19" s="178"/>
      <c r="H19" s="179"/>
      <c r="I19" s="179"/>
      <c r="J19" s="232">
        <f>IF(SUM($K$21:$K$24)&gt;SUM($J$15:$J$18),SUM($K$21:$K$24)-SUM($J$15:$J$18),0)</f>
        <v>0</v>
      </c>
      <c r="M19" s="180"/>
      <c r="P19" s="208"/>
      <c r="Q19" s="208"/>
      <c r="S19" s="207">
        <f>P19-M19</f>
        <v>0</v>
      </c>
      <c r="T19" s="234" t="s">
        <v>1600</v>
      </c>
    </row>
    <row r="20" spans="1:20" ht="16.5" customHeight="1" x14ac:dyDescent="0.25">
      <c r="A20" s="86"/>
      <c r="B20" s="201"/>
      <c r="C20" s="24" t="s">
        <v>1783</v>
      </c>
      <c r="D20" s="177"/>
      <c r="E20" s="177"/>
      <c r="F20" s="202"/>
      <c r="G20" s="202"/>
      <c r="H20" s="179"/>
      <c r="I20" s="179"/>
      <c r="J20" s="197"/>
      <c r="K20" s="231"/>
      <c r="P20" s="208"/>
      <c r="Q20" s="208"/>
    </row>
    <row r="21" spans="1:20" ht="16.5" customHeight="1" x14ac:dyDescent="0.25">
      <c r="A21" s="86"/>
      <c r="B21" s="201"/>
      <c r="C21" s="24" t="s">
        <v>1784</v>
      </c>
      <c r="D21" s="177"/>
      <c r="E21" s="177"/>
      <c r="F21" s="202"/>
      <c r="G21" s="202"/>
      <c r="H21" s="179"/>
      <c r="I21" s="179"/>
      <c r="J21" s="197"/>
      <c r="K21" s="232">
        <f>N21</f>
        <v>0</v>
      </c>
      <c r="N21" s="180"/>
      <c r="P21" s="208"/>
      <c r="Q21" s="180"/>
      <c r="S21" s="207">
        <f>Q21-N21</f>
        <v>0</v>
      </c>
      <c r="T21" s="234" t="s">
        <v>1600</v>
      </c>
    </row>
    <row r="22" spans="1:20" ht="16.5" customHeight="1" x14ac:dyDescent="0.25">
      <c r="A22" s="86"/>
      <c r="B22" s="201"/>
      <c r="C22" s="24" t="s">
        <v>1785</v>
      </c>
      <c r="D22" s="177"/>
      <c r="E22" s="177"/>
      <c r="F22" s="202"/>
      <c r="G22" s="202"/>
      <c r="H22" s="179"/>
      <c r="I22" s="179"/>
      <c r="J22" s="197"/>
      <c r="K22" s="232">
        <f>N22</f>
        <v>0</v>
      </c>
      <c r="N22" s="180"/>
      <c r="P22" s="208"/>
      <c r="Q22" s="180"/>
      <c r="S22" s="207">
        <f t="shared" ref="S22:S25" si="0">Q22-N22</f>
        <v>0</v>
      </c>
      <c r="T22" s="234" t="s">
        <v>1600</v>
      </c>
    </row>
    <row r="23" spans="1:20" ht="16.5" customHeight="1" x14ac:dyDescent="0.25">
      <c r="A23" s="86"/>
      <c r="B23" s="201"/>
      <c r="C23" s="24" t="s">
        <v>1786</v>
      </c>
      <c r="D23" s="177"/>
      <c r="E23" s="177"/>
      <c r="F23" s="202"/>
      <c r="G23" s="202"/>
      <c r="H23" s="179"/>
      <c r="I23" s="179"/>
      <c r="J23" s="197"/>
      <c r="K23" s="232">
        <f>N23</f>
        <v>0</v>
      </c>
      <c r="N23" s="180"/>
      <c r="P23" s="208"/>
      <c r="Q23" s="180"/>
      <c r="S23" s="207">
        <f t="shared" si="0"/>
        <v>0</v>
      </c>
      <c r="T23" s="234" t="s">
        <v>1600</v>
      </c>
    </row>
    <row r="24" spans="1:20" ht="16.5" customHeight="1" x14ac:dyDescent="0.25">
      <c r="A24" s="86"/>
      <c r="B24" s="201"/>
      <c r="C24" s="24" t="s">
        <v>1607</v>
      </c>
      <c r="D24" s="177"/>
      <c r="E24" s="177"/>
      <c r="F24" s="202"/>
      <c r="G24" s="202"/>
      <c r="H24" s="179"/>
      <c r="I24" s="179"/>
      <c r="J24" s="197"/>
      <c r="K24" s="232">
        <f>Q24</f>
        <v>0</v>
      </c>
      <c r="N24" s="180"/>
      <c r="P24" s="208"/>
      <c r="Q24" s="233">
        <f>IF(SUM($Q$21:$Q$23)&lt;SUM($P$15:$P$17),-SUM($Q$21:$Q$23)+SUM($P$15:$P$17),0)</f>
        <v>0</v>
      </c>
      <c r="S24" s="207">
        <f t="shared" si="0"/>
        <v>0</v>
      </c>
      <c r="T24" s="234" t="s">
        <v>1600</v>
      </c>
    </row>
    <row r="25" spans="1:20" ht="16.5" customHeight="1" x14ac:dyDescent="0.25">
      <c r="A25" s="86"/>
      <c r="B25" s="201"/>
      <c r="C25" s="24" t="s">
        <v>1608</v>
      </c>
      <c r="D25" s="177"/>
      <c r="E25" s="177"/>
      <c r="F25" s="202"/>
      <c r="G25" s="202"/>
      <c r="H25" s="179"/>
      <c r="I25" s="179"/>
      <c r="J25" s="197"/>
      <c r="K25" s="232">
        <f>IF(SUM($K$21:$K$24)&lt;SUM($J$15:$J$18),-SUM($K$21:$K$24)+SUM($J$15:$J$18),0)</f>
        <v>0</v>
      </c>
      <c r="N25" s="180"/>
      <c r="P25" s="208"/>
      <c r="Q25" s="208"/>
      <c r="S25" s="207">
        <f t="shared" si="0"/>
        <v>0</v>
      </c>
      <c r="T25" s="234" t="s">
        <v>1600</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1787</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1788</v>
      </c>
      <c r="C30" s="175"/>
      <c r="D30" s="175"/>
      <c r="E30" s="175"/>
      <c r="F30" s="176"/>
      <c r="G30" s="176"/>
      <c r="H30" s="166"/>
      <c r="I30" s="166"/>
      <c r="J30" s="171"/>
      <c r="K30" s="171"/>
    </row>
    <row r="31" spans="1:20" ht="16.5" customHeight="1" x14ac:dyDescent="0.25">
      <c r="B31" s="24" t="s">
        <v>1613</v>
      </c>
      <c r="C31" s="177"/>
      <c r="D31" s="177"/>
      <c r="E31" s="177"/>
      <c r="F31" s="178"/>
      <c r="G31" s="178"/>
      <c r="H31" s="179"/>
      <c r="I31" s="179"/>
      <c r="J31" s="180"/>
      <c r="K31" s="203"/>
    </row>
    <row r="32" spans="1:20" ht="16.5" customHeight="1" x14ac:dyDescent="0.25">
      <c r="A32" s="86"/>
      <c r="B32" s="177"/>
      <c r="C32" s="24" t="s">
        <v>1614</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1789</v>
      </c>
      <c r="C36" s="175"/>
      <c r="D36" s="175"/>
      <c r="E36" s="175"/>
      <c r="F36" s="176"/>
      <c r="G36" s="176"/>
      <c r="H36" s="166"/>
      <c r="I36" s="166"/>
      <c r="J36" s="171"/>
      <c r="K36" s="171"/>
    </row>
    <row r="37" spans="1:16" ht="16.5" customHeight="1" x14ac:dyDescent="0.25">
      <c r="B37" s="24" t="s">
        <v>1780</v>
      </c>
      <c r="C37" s="177"/>
      <c r="D37" s="177"/>
      <c r="E37" s="177"/>
      <c r="F37" s="178"/>
      <c r="G37" s="178"/>
      <c r="H37" s="179"/>
      <c r="I37" s="179"/>
      <c r="J37" s="180"/>
      <c r="K37" s="200"/>
    </row>
    <row r="38" spans="1:16" ht="16.5" customHeight="1" x14ac:dyDescent="0.25">
      <c r="A38" s="86"/>
      <c r="B38" s="24" t="s">
        <v>1781</v>
      </c>
      <c r="C38" s="177"/>
      <c r="D38" s="177"/>
      <c r="E38" s="177"/>
      <c r="F38" s="178"/>
      <c r="G38" s="178"/>
      <c r="H38" s="179"/>
      <c r="I38" s="179"/>
      <c r="J38" s="180"/>
      <c r="K38" s="200"/>
    </row>
    <row r="39" spans="1:16" ht="16.5" customHeight="1" x14ac:dyDescent="0.25">
      <c r="A39" s="86"/>
      <c r="B39" s="24" t="s">
        <v>1782</v>
      </c>
      <c r="C39" s="177"/>
      <c r="D39" s="177"/>
      <c r="E39" s="177"/>
      <c r="F39" s="178"/>
      <c r="G39" s="178"/>
      <c r="H39" s="179"/>
      <c r="I39" s="179"/>
      <c r="J39" s="180"/>
      <c r="K39" s="200"/>
    </row>
    <row r="40" spans="1:16" ht="16.5" customHeight="1" x14ac:dyDescent="0.25">
      <c r="A40" s="86"/>
      <c r="B40" s="201"/>
      <c r="C40" s="24" t="s">
        <v>1616</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1790</v>
      </c>
      <c r="C43" s="175"/>
      <c r="D43" s="175"/>
      <c r="E43" s="175"/>
      <c r="F43" s="176"/>
      <c r="G43" s="176"/>
      <c r="H43" s="166"/>
      <c r="I43" s="166"/>
      <c r="J43" s="171"/>
      <c r="K43" s="171"/>
    </row>
    <row r="44" spans="1:16" ht="16.5" customHeight="1" x14ac:dyDescent="0.25">
      <c r="B44" s="24" t="s">
        <v>1619</v>
      </c>
      <c r="C44" s="177"/>
      <c r="D44" s="177"/>
      <c r="E44" s="177"/>
      <c r="F44" s="178"/>
      <c r="G44" s="178"/>
      <c r="H44" s="179"/>
      <c r="I44" s="179"/>
      <c r="J44" s="180"/>
      <c r="K44" s="200"/>
    </row>
    <row r="45" spans="1:16" ht="16.5" customHeight="1" x14ac:dyDescent="0.25">
      <c r="A45" s="86"/>
      <c r="B45" s="177"/>
      <c r="C45" s="24" t="s">
        <v>1791</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1792</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1793</v>
      </c>
      <c r="C49" s="175"/>
      <c r="D49" s="175"/>
      <c r="E49" s="175"/>
      <c r="F49" s="176"/>
      <c r="G49" s="176"/>
      <c r="H49" s="166"/>
      <c r="I49" s="166"/>
      <c r="J49" s="171"/>
      <c r="K49" s="171"/>
    </row>
    <row r="50" spans="1:12" ht="16.5" customHeight="1" x14ac:dyDescent="0.25">
      <c r="A50" s="86"/>
      <c r="B50" s="24" t="s">
        <v>1623</v>
      </c>
      <c r="C50" s="48"/>
      <c r="D50" s="177"/>
      <c r="E50" s="177"/>
      <c r="F50" s="178"/>
      <c r="G50" s="178"/>
      <c r="H50" s="179"/>
      <c r="I50" s="179"/>
      <c r="J50" s="180"/>
      <c r="K50" s="200"/>
    </row>
    <row r="51" spans="1:12" ht="16.5" customHeight="1" x14ac:dyDescent="0.25">
      <c r="A51" s="86"/>
      <c r="B51" s="48"/>
      <c r="C51" s="24" t="s">
        <v>1785</v>
      </c>
      <c r="D51" s="177"/>
      <c r="E51" s="177"/>
      <c r="F51" s="178"/>
      <c r="G51" s="178"/>
      <c r="H51" s="179"/>
      <c r="I51" s="179"/>
      <c r="J51" s="203"/>
      <c r="K51" s="180"/>
    </row>
    <row r="52" spans="1:12" ht="16.5" customHeight="1" x14ac:dyDescent="0.25">
      <c r="A52" s="86"/>
      <c r="B52" s="48"/>
      <c r="C52" s="24" t="s">
        <v>1784</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1794</v>
      </c>
      <c r="C55" s="175"/>
      <c r="D55" s="175"/>
      <c r="E55" s="175"/>
      <c r="F55" s="176"/>
      <c r="G55" s="176"/>
      <c r="H55" s="166"/>
      <c r="I55" s="166"/>
      <c r="J55" s="171"/>
      <c r="K55" s="171"/>
    </row>
    <row r="56" spans="1:12" ht="16.5" customHeight="1" x14ac:dyDescent="0.25">
      <c r="B56" s="24" t="s">
        <v>1625</v>
      </c>
      <c r="C56" s="177"/>
      <c r="D56" s="177"/>
      <c r="E56" s="177"/>
      <c r="F56" s="178"/>
      <c r="G56" s="178"/>
      <c r="H56" s="179"/>
      <c r="I56" s="179"/>
      <c r="J56" s="180"/>
      <c r="K56" s="204"/>
      <c r="L56" s="34" t="str">
        <f>IF($J$56=$K$63,"","&lt;- Accts 0848 must agree")</f>
        <v/>
      </c>
    </row>
    <row r="57" spans="1:12" ht="16.5" customHeight="1" x14ac:dyDescent="0.25">
      <c r="A57" s="86"/>
      <c r="B57" s="24" t="str">
        <f>IF($F$7="Governmental","Dr: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1795</v>
      </c>
      <c r="C61" s="175"/>
      <c r="D61" s="175"/>
      <c r="E61" s="175"/>
      <c r="F61" s="176"/>
      <c r="G61" s="176"/>
      <c r="H61" s="166"/>
      <c r="I61" s="166"/>
      <c r="J61" s="171"/>
      <c r="K61" s="171"/>
    </row>
    <row r="62" spans="1:12" ht="16.5" customHeight="1" x14ac:dyDescent="0.25">
      <c r="B62" s="24" t="s">
        <v>1796</v>
      </c>
      <c r="C62" s="177"/>
      <c r="D62" s="177"/>
      <c r="E62" s="177"/>
      <c r="F62" s="178"/>
      <c r="G62" s="178"/>
      <c r="H62" s="179"/>
      <c r="I62" s="179"/>
      <c r="J62" s="180"/>
      <c r="K62" s="204"/>
    </row>
    <row r="63" spans="1:12" ht="16.5" customHeight="1" x14ac:dyDescent="0.25">
      <c r="A63" s="86"/>
      <c r="B63" s="177"/>
      <c r="C63" s="24" t="s">
        <v>1628</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1630</v>
      </c>
      <c r="C66" s="175"/>
      <c r="D66" s="175"/>
      <c r="E66" s="175"/>
      <c r="F66" s="176"/>
      <c r="G66" s="176"/>
      <c r="H66" s="166"/>
      <c r="I66" s="166"/>
      <c r="J66" s="171"/>
      <c r="K66" s="171"/>
    </row>
    <row r="67" spans="1:12" ht="16.5" customHeight="1" x14ac:dyDescent="0.25">
      <c r="B67" s="24" t="s">
        <v>1796</v>
      </c>
      <c r="C67" s="177"/>
      <c r="D67" s="177"/>
      <c r="E67" s="177"/>
      <c r="F67" s="178"/>
      <c r="G67" s="178"/>
      <c r="H67" s="179"/>
      <c r="I67" s="179"/>
      <c r="J67" s="180"/>
      <c r="K67" s="204"/>
    </row>
    <row r="68" spans="1:12" ht="16.5" customHeight="1" x14ac:dyDescent="0.25">
      <c r="A68" s="86"/>
      <c r="B68" s="177"/>
      <c r="C68" s="24" t="s">
        <v>1797</v>
      </c>
      <c r="D68" s="177"/>
      <c r="E68" s="177"/>
      <c r="F68" s="178"/>
      <c r="G68" s="178"/>
      <c r="H68" s="179"/>
      <c r="I68" s="179"/>
      <c r="J68" s="204"/>
      <c r="K68" s="180"/>
    </row>
    <row r="69" spans="1:12" ht="16.5" customHeight="1" x14ac:dyDescent="0.2">
      <c r="A69" s="86"/>
      <c r="B69" s="301" t="s">
        <v>1632</v>
      </c>
      <c r="C69" s="301"/>
      <c r="D69" s="301"/>
      <c r="E69" s="301"/>
      <c r="F69" s="301"/>
      <c r="G69" s="301"/>
      <c r="H69" s="301"/>
      <c r="I69" s="301"/>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1"/>
      <c r="C70" s="301"/>
      <c r="D70" s="301"/>
      <c r="E70" s="301"/>
      <c r="F70" s="301"/>
      <c r="G70" s="301"/>
      <c r="H70" s="301"/>
      <c r="I70" s="301"/>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1646</v>
      </c>
      <c r="E75" s="214"/>
      <c r="F75" s="215"/>
      <c r="G75" s="215"/>
      <c r="H75" s="215"/>
      <c r="I75" s="216"/>
      <c r="J75" s="216"/>
      <c r="K75" s="217"/>
    </row>
    <row r="76" spans="1:12" ht="16.5" customHeight="1" x14ac:dyDescent="0.25">
      <c r="H76" s="34"/>
      <c r="K76" s="223" t="s">
        <v>1647</v>
      </c>
    </row>
    <row r="77" spans="1:12" ht="16.5" customHeight="1" x14ac:dyDescent="0.25">
      <c r="D77" s="177" t="s">
        <v>1798</v>
      </c>
      <c r="H77" s="34"/>
      <c r="K77" s="222">
        <f>J15+J37</f>
        <v>0</v>
      </c>
    </row>
    <row r="78" spans="1:12" ht="16.5" customHeight="1" x14ac:dyDescent="0.25">
      <c r="D78" s="177" t="s">
        <v>1799</v>
      </c>
      <c r="H78" s="34"/>
      <c r="K78" s="222">
        <f>J16+J38</f>
        <v>0</v>
      </c>
    </row>
    <row r="79" spans="1:12" ht="16.5" customHeight="1" x14ac:dyDescent="0.25">
      <c r="D79" s="177" t="s">
        <v>1800</v>
      </c>
      <c r="H79" s="34"/>
      <c r="K79" s="222">
        <f>J17+J39</f>
        <v>0</v>
      </c>
    </row>
    <row r="80" spans="1:12" ht="16.5" customHeight="1" x14ac:dyDescent="0.25">
      <c r="D80" s="177" t="s">
        <v>1801</v>
      </c>
      <c r="H80" s="34"/>
      <c r="K80" s="222">
        <f>-K21-K52</f>
        <v>0</v>
      </c>
    </row>
    <row r="81" spans="4:11" ht="15.75" x14ac:dyDescent="0.25">
      <c r="D81" s="177" t="s">
        <v>1802</v>
      </c>
      <c r="H81" s="34"/>
      <c r="K81" s="222">
        <f>-K22-K51</f>
        <v>0</v>
      </c>
    </row>
    <row r="82" spans="4:11" ht="16.5" customHeight="1" x14ac:dyDescent="0.25">
      <c r="D82" s="177" t="s">
        <v>1803</v>
      </c>
      <c r="H82" s="34"/>
      <c r="K82" s="222">
        <f>-K23-K45+J62+J67</f>
        <v>0</v>
      </c>
    </row>
    <row r="83" spans="4:11" ht="16.5" customHeight="1" x14ac:dyDescent="0.25">
      <c r="D83" s="177" t="s">
        <v>1804</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1675</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1676</v>
      </c>
      <c r="I7" s="65"/>
      <c r="J7" s="66" t="s">
        <v>1677</v>
      </c>
      <c r="K7" s="65"/>
      <c r="L7" s="64" t="str">
        <f>CONCATENATE("Balance        June 30, ",RIGHT(J4,4))</f>
        <v>Balance        June 30, 2024</v>
      </c>
      <c r="M7" s="65"/>
      <c r="N7" s="64" t="s">
        <v>1678</v>
      </c>
      <c r="O7" s="65"/>
      <c r="P7" s="64" t="s">
        <v>1679</v>
      </c>
      <c r="Q7" s="63"/>
    </row>
    <row r="8" spans="2:17" x14ac:dyDescent="0.25">
      <c r="B8" s="61"/>
      <c r="F8" s="210" t="s">
        <v>1680</v>
      </c>
      <c r="G8" s="65"/>
      <c r="H8" s="210" t="s">
        <v>1805</v>
      </c>
      <c r="I8" s="65"/>
      <c r="J8" s="210" t="s">
        <v>1806</v>
      </c>
      <c r="K8" s="65"/>
      <c r="L8" s="209"/>
      <c r="M8" s="65"/>
      <c r="N8" s="210" t="s">
        <v>1683</v>
      </c>
      <c r="O8" s="65"/>
      <c r="P8" s="209"/>
      <c r="Q8" s="63"/>
    </row>
    <row r="9" spans="2:17" x14ac:dyDescent="0.25">
      <c r="B9" s="61"/>
      <c r="C9" s="65" t="s">
        <v>1684</v>
      </c>
      <c r="Q9" s="63"/>
    </row>
    <row r="10" spans="2:17" ht="36.75" thickBot="1" x14ac:dyDescent="0.3">
      <c r="B10" s="61"/>
      <c r="D10" s="67" t="s">
        <v>1807</v>
      </c>
      <c r="F10" s="91"/>
      <c r="G10" s="90"/>
      <c r="H10" s="91"/>
      <c r="I10" s="90"/>
      <c r="J10" s="91"/>
      <c r="K10" s="90"/>
      <c r="L10" s="90">
        <f>SUM(F10+H10-J10)</f>
        <v>0</v>
      </c>
      <c r="M10" s="90"/>
      <c r="N10" s="91"/>
      <c r="O10" s="90"/>
      <c r="P10" s="90">
        <f>L10-N10</f>
        <v>0</v>
      </c>
      <c r="Q10" s="63"/>
    </row>
    <row r="11" spans="2:17" ht="19.5" thickTop="1" thickBot="1" x14ac:dyDescent="0.3">
      <c r="B11" s="61"/>
      <c r="C11" s="65" t="s">
        <v>1686</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1687</v>
      </c>
      <c r="F13" s="90"/>
      <c r="G13" s="90"/>
      <c r="H13" s="90"/>
      <c r="I13" s="90"/>
      <c r="J13" s="90"/>
      <c r="K13" s="90"/>
      <c r="L13" s="90"/>
      <c r="M13" s="90"/>
      <c r="N13" s="90"/>
      <c r="O13" s="90"/>
      <c r="P13" s="90"/>
      <c r="Q13" s="63"/>
    </row>
    <row r="14" spans="2:17" ht="36.75" thickBot="1" x14ac:dyDescent="0.3">
      <c r="B14" s="61"/>
      <c r="D14" s="67" t="s">
        <v>1807</v>
      </c>
      <c r="F14" s="91"/>
      <c r="G14" s="90"/>
      <c r="H14" s="91"/>
      <c r="I14" s="90"/>
      <c r="J14" s="91"/>
      <c r="K14" s="90"/>
      <c r="L14" s="90">
        <f>SUM(F14+H14-J14)</f>
        <v>0</v>
      </c>
      <c r="M14" s="90"/>
      <c r="N14" s="91"/>
      <c r="O14" s="90"/>
      <c r="P14" s="90">
        <f>L14-N14</f>
        <v>0</v>
      </c>
      <c r="Q14" s="63"/>
    </row>
    <row r="15" spans="2:17" ht="19.5" thickTop="1" thickBot="1" x14ac:dyDescent="0.3">
      <c r="B15" s="61"/>
      <c r="C15" s="65" t="s">
        <v>1688</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1689</v>
      </c>
      <c r="F17" s="90"/>
      <c r="G17" s="90"/>
      <c r="H17" s="90"/>
      <c r="I17" s="90"/>
      <c r="J17" s="90"/>
      <c r="K17" s="90"/>
      <c r="L17" s="90"/>
      <c r="M17" s="90"/>
      <c r="N17" s="90"/>
      <c r="O17" s="90"/>
      <c r="P17" s="90"/>
      <c r="Q17" s="63"/>
    </row>
    <row r="18" spans="2:17" ht="36.75" thickBot="1" x14ac:dyDescent="0.3">
      <c r="B18" s="61"/>
      <c r="D18" s="67" t="s">
        <v>1807</v>
      </c>
      <c r="F18" s="91"/>
      <c r="G18" s="90"/>
      <c r="H18" s="91"/>
      <c r="I18" s="90"/>
      <c r="J18" s="91"/>
      <c r="K18" s="90"/>
      <c r="L18" s="90">
        <f>SUM(F18+H18-J18)</f>
        <v>0</v>
      </c>
      <c r="M18" s="90"/>
      <c r="N18" s="91"/>
      <c r="O18" s="90"/>
      <c r="P18" s="90">
        <f>L18-N18</f>
        <v>0</v>
      </c>
      <c r="Q18" s="63"/>
    </row>
    <row r="19" spans="2:17" ht="19.5" thickTop="1" thickBot="1" x14ac:dyDescent="0.3">
      <c r="B19" s="61"/>
      <c r="C19" s="65" t="s">
        <v>1690</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1808</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cf9bbc-61a0-48a2-ac17-6c71eb332d2b" xsi:nil="true"/>
    <Number xmlns="d48bccdd-9d79-4ff7-8c48-7ea1ac9c084a" xsi:nil="true"/>
    <lcf76f155ced4ddcb4097134ff3c332f xmlns="d48bccdd-9d79-4ff7-8c48-7ea1ac9c084a">
      <Terms xmlns="http://schemas.microsoft.com/office/infopath/2007/PartnerControls"/>
    </lcf76f155ced4ddcb4097134ff3c332f>
    <PrintOrder xmlns="d48bccdd-9d79-4ff7-8c48-7ea1ac9c08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77068CF4605047904B56A96DAF20C2" ma:contentTypeVersion="19" ma:contentTypeDescription="Create a new document." ma:contentTypeScope="" ma:versionID="df2174bc5b0c658a97db0cc171bd6dcd">
  <xsd:schema xmlns:xsd="http://www.w3.org/2001/XMLSchema" xmlns:xs="http://www.w3.org/2001/XMLSchema" xmlns:p="http://schemas.microsoft.com/office/2006/metadata/properties" xmlns:ns2="d48bccdd-9d79-4ff7-8c48-7ea1ac9c084a" xmlns:ns3="c1cf9bbc-61a0-48a2-ac17-6c71eb332d2b" targetNamespace="http://schemas.microsoft.com/office/2006/metadata/properties" ma:root="true" ma:fieldsID="2268d887ae99977aea2cd3fbc22a0370" ns2:_="" ns3:_="">
    <xsd:import namespace="d48bccdd-9d79-4ff7-8c48-7ea1ac9c084a"/>
    <xsd:import namespace="c1cf9bbc-61a0-48a2-ac17-6c71eb332d2b"/>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LengthInSeconds" minOccurs="0"/>
                <xsd:element ref="ns3:SharedWithUsers" minOccurs="0"/>
                <xsd:element ref="ns3:SharedWithDetails" minOccurs="0"/>
                <xsd:element ref="ns2:PrintOrder" minOccurs="0"/>
                <xsd:element ref="ns2:MediaServiceLocation" minOccurs="0"/>
                <xsd:element ref="ns2:Numbe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8bccdd-9d79-4ff7-8c48-7ea1ac9c08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1e71f10-7d85-4a8f-84e3-08ec610e8d2d"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PrintOrder" ma:index="20" nillable="true" ma:displayName="Print Order" ma:decimals="0" ma:format="Dropdown" ma:internalName="PrintOrder" ma:percentage="FALSE">
      <xsd:simpleType>
        <xsd:restriction base="dms:Number"/>
      </xsd:simpleType>
    </xsd:element>
    <xsd:element name="MediaServiceLocation" ma:index="21" nillable="true" ma:displayName="Location" ma:description="" ma:indexed="true" ma:internalName="MediaServiceLocation" ma:readOnly="true">
      <xsd:simpleType>
        <xsd:restriction base="dms:Text"/>
      </xsd:simpleType>
    </xsd:element>
    <xsd:element name="Number" ma:index="22" nillable="true" ma:displayName="Number" ma:format="Dropdown" ma:internalName="Number">
      <xsd:simpleType>
        <xsd:restriction base="dms:Text">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cf9bbc-61a0-48a2-ac17-6c71eb332d2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b6d3b5-e185-4215-8320-82b7c7dd3f41}" ma:internalName="TaxCatchAll" ma:showField="CatchAllData" ma:web="c1cf9bbc-61a0-48a2-ac17-6c71eb332d2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9A1FE1-2DE2-4462-A96E-831B693FD094}">
  <ds:schemaRefs>
    <ds:schemaRef ds:uri="http://schemas.microsoft.com/office/2006/metadata/properties"/>
    <ds:schemaRef ds:uri="http://schemas.microsoft.com/office/infopath/2007/PartnerControls"/>
    <ds:schemaRef ds:uri="c1cf9bbc-61a0-48a2-ac17-6c71eb332d2b"/>
    <ds:schemaRef ds:uri="d48bccdd-9d79-4ff7-8c48-7ea1ac9c084a"/>
  </ds:schemaRefs>
</ds:datastoreItem>
</file>

<file path=customXml/itemProps2.xml><?xml version="1.0" encoding="utf-8"?>
<ds:datastoreItem xmlns:ds="http://schemas.openxmlformats.org/officeDocument/2006/customXml" ds:itemID="{4C2367A0-E1C2-441F-BFA8-B2D528A6F866}">
  <ds:schemaRefs>
    <ds:schemaRef ds:uri="http://schemas.microsoft.com/sharepoint/v3/contenttype/forms"/>
  </ds:schemaRefs>
</ds:datastoreItem>
</file>

<file path=customXml/itemProps3.xml><?xml version="1.0" encoding="utf-8"?>
<ds:datastoreItem xmlns:ds="http://schemas.openxmlformats.org/officeDocument/2006/customXml" ds:itemID="{5CB45D1A-593B-4ACD-808D-1ADF2C1F2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8bccdd-9d79-4ff7-8c48-7ea1ac9c084a"/>
    <ds:schemaRef ds:uri="c1cf9bbc-61a0-48a2-ac17-6c71eb332d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Drop Down Menus</vt:lpstr>
      <vt:lpstr>qryIndex02a</vt:lpstr>
      <vt:lpstr>LS-Version Changes</vt:lpstr>
      <vt:lpstr>LS-Fund 0001 Journal Entries</vt:lpstr>
      <vt:lpstr>Entry 0-Support</vt:lpstr>
      <vt:lpstr>Entry 1-3 Support</vt:lpstr>
      <vt:lpstr>Entry 4-7 Support</vt:lpstr>
      <vt:lpstr>LS-Department Note Disclosure</vt:lpstr>
      <vt:lpstr>LS-Dept Note Disclosure Support</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Au, Jared</cp:lastModifiedBy>
  <cp:revision/>
  <dcterms:created xsi:type="dcterms:W3CDTF">2023-03-08T17:19:33Z</dcterms:created>
  <dcterms:modified xsi:type="dcterms:W3CDTF">2024-12-27T17:58:38Z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0x0101006877068CF4605047904B56A96DAF20C2</vt:lpwstr>
  </property>
  <property fmtid="{D5CDD505-2E9C-101B-9397-08002B2CF9AE}" pid="3" name="MediaServiceImageTags">
    <vt:lpwstr/>
  </property>
</Properties>
</file>