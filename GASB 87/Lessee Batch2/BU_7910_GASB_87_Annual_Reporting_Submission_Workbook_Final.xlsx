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8_{2E9AB276-C40C-4EDF-B790-C3E54E998F36}"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9740 Journal Entries" sheetId="16" r:id="rId5"/>
    <sheet name="LS-Department Note Disclosure" sheetId="3" r:id="rId6"/>
    <sheet name="LS-Lease Liabilities" sheetId="4"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Disclosure'!$A$1:$F$96</definedName>
    <definedName name="_xlnm.Print_Area" localSheetId="3">'LS-Fund 0001 Journal Entries'!$A$1:$Q$129</definedName>
    <definedName name="_xlnm.Print_Area" localSheetId="4">'LS-Fund 9740 Journal Entries'!$A$1:$Q$129</definedName>
    <definedName name="_xlnm.Print_Area" localSheetId="6">'LS-Lease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7" l="1"/>
  <c r="J24" i="7"/>
  <c r="H24" i="7"/>
  <c r="F24" i="7"/>
  <c r="D24" i="7"/>
  <c r="N14" i="4" l="1"/>
  <c r="J14" i="4"/>
  <c r="H14" i="4"/>
  <c r="K22" i="16" l="1"/>
  <c r="K127" i="16" s="1"/>
  <c r="K129" i="16"/>
  <c r="K122" i="16"/>
  <c r="K114" i="16"/>
  <c r="J114" i="16"/>
  <c r="L114" i="16" s="1"/>
  <c r="K105" i="16"/>
  <c r="J105" i="16"/>
  <c r="L105" i="16" s="1"/>
  <c r="K91" i="16"/>
  <c r="J91" i="16"/>
  <c r="L91" i="16" s="1"/>
  <c r="K77" i="16"/>
  <c r="J77" i="16"/>
  <c r="K70" i="16"/>
  <c r="J70" i="16"/>
  <c r="L69" i="16"/>
  <c r="K65" i="16"/>
  <c r="J65" i="16"/>
  <c r="B63" i="16"/>
  <c r="L62" i="16"/>
  <c r="K59" i="16"/>
  <c r="J59" i="16"/>
  <c r="L49" i="16"/>
  <c r="K49" i="16"/>
  <c r="J49" i="16"/>
  <c r="K43" i="16"/>
  <c r="J43" i="16"/>
  <c r="L43" i="16" s="1"/>
  <c r="K36" i="16"/>
  <c r="J36" i="16"/>
  <c r="L36" i="16" s="1"/>
  <c r="S25" i="16"/>
  <c r="Q24" i="16"/>
  <c r="S24" i="16" s="1"/>
  <c r="K24" i="16"/>
  <c r="S23" i="16"/>
  <c r="K23" i="16"/>
  <c r="S21" i="16"/>
  <c r="K21" i="16"/>
  <c r="K126" i="16" s="1"/>
  <c r="S20" i="16"/>
  <c r="K20" i="16"/>
  <c r="S19" i="16"/>
  <c r="P18" i="16"/>
  <c r="S18" i="16" s="1"/>
  <c r="J18" i="16"/>
  <c r="S17" i="16"/>
  <c r="J17" i="16"/>
  <c r="K124" i="16" s="1"/>
  <c r="S16" i="16"/>
  <c r="J16" i="16"/>
  <c r="K123" i="16" s="1"/>
  <c r="S15" i="16"/>
  <c r="J15" i="16"/>
  <c r="F9" i="16"/>
  <c r="B100" i="16" s="1"/>
  <c r="K128" i="16" l="1"/>
  <c r="B24" i="7"/>
  <c r="F14" i="4"/>
  <c r="L59" i="16"/>
  <c r="L70" i="16"/>
  <c r="L65" i="16"/>
  <c r="L77" i="16"/>
  <c r="S22" i="16"/>
  <c r="K25" i="16"/>
  <c r="K26" i="16" s="1"/>
  <c r="K125" i="16"/>
  <c r="C104" i="16"/>
  <c r="C35" i="16"/>
  <c r="C64" i="16"/>
  <c r="J19" i="16"/>
  <c r="J26" i="16" s="1"/>
  <c r="L26" i="16" l="1"/>
  <c r="B63" i="2" l="1"/>
  <c r="J18" i="4"/>
  <c r="J10" i="4"/>
  <c r="H18" i="4"/>
  <c r="H10" i="4"/>
  <c r="N18" i="4"/>
  <c r="N10" i="4"/>
  <c r="F18"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H78" i="7"/>
  <c r="H79" i="7"/>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78" i="7"/>
  <c r="J78" i="7" s="1"/>
  <c r="P78" i="7" s="1"/>
  <c r="D16" i="7"/>
  <c r="B57" i="7"/>
  <c r="D91" i="7" s="1"/>
  <c r="J91" i="7" s="1"/>
  <c r="P91" i="7" s="1"/>
  <c r="D80" i="7"/>
  <c r="J80" i="7" s="1"/>
  <c r="P80" i="7" s="1"/>
  <c r="B42" i="7"/>
  <c r="F33" i="7"/>
  <c r="D90" i="7" s="1"/>
  <c r="J90" i="7" s="1"/>
  <c r="P90" i="7" s="1"/>
  <c r="D79" i="7"/>
  <c r="J79" i="7" s="1"/>
  <c r="P79" i="7" s="1"/>
  <c r="F16" i="7"/>
  <c r="N57" i="7"/>
  <c r="N49" i="7"/>
  <c r="N42" i="7"/>
  <c r="N33" i="7"/>
  <c r="N24" i="7"/>
  <c r="B33"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<sst xmlns="http://schemas.openxmlformats.org/spreadsheetml/2006/main" count="7858" uniqueCount="1716">
  <si>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</si>
  <si>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</si>
  <si>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</si>
  <si>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</si>
  <si>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</si>
  <si>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</si>
  <si>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</si>
  <si>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</si>
  <si>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</si>
  <si>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</si>
  <si>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</si>
  <si>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</si>
  <si>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</si>
  <si>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</si>
  <si>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</si>
  <si>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</si>
  <si>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</si>
  <si>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</si>
  <si>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</si>
  <si>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</si>
  <si>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</si>
  <si>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</si>
  <si>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</si>
  <si>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</si>
  <si>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</si>
  <si>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</si>
  <si>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</si>
  <si>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</si>
  <si>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</si>
  <si>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</si>
  <si>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</si>
  <si>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</si>
  <si>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</si>
  <si>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</si>
  <si>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</si>
  <si>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</si>
  <si>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</si>
  <si>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</si>
  <si>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</si>
  <si>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</si>
  <si>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</si>
  <si>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</si>
  <si>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</si>
  <si>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</si>
  <si>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</si>
  <si>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</si>
  <si>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</si>
  <si>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</si>
  <si>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</si>
  <si>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</si>
  <si>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</si>
  <si>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</si>
  <si>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</si>
  <si>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</si>
  <si>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</si>
  <si>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</si>
  <si>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</si>
  <si>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</si>
  <si>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</si>
  <si>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</si>
  <si>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</si>
  <si>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</si>
  <si>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</si>
  <si>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</si>
  <si>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</si>
  <si>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</si>
  <si>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</si>
  <si>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</si>
  <si>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</si>
  <si>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</si>
  <si>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</si>
  <si>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</si>
  <si>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</si>
  <si>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</si>
  <si>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</si>
  <si>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</si>
  <si>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</si>
  <si>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</si>
  <si>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</si>
  <si>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</si>
  <si>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</si>
  <si>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</si>
  <si>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</si>
  <si>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</si>
  <si>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</si>
  <si>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</si>
  <si>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</si>
  <si>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</si>
  <si>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</si>
  <si>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</si>
  <si>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</si>
  <si>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</si>
  <si>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</si>
  <si>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</si>
  <si>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</si>
  <si>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</si>
  <si>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</si>
  <si>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</si>
  <si>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</si>
  <si>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</si>
  <si>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</si>
  <si>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</si>
  <si>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</si>
  <si>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</si>
  <si>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</si>
  <si>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</si>
  <si>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</si>
  <si>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</si>
  <si>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</si>
  <si>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</si>
  <si>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</si>
  <si>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</si>
  <si>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</si>
  <si>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</si>
  <si>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</si>
  <si>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</si>
  <si>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</si>
  <si>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</si>
  <si>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</si>
  <si>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</si>
  <si>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</si>
  <si>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</si>
  <si>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</si>
  <si>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</si>
  <si>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</si>
  <si>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</si>
  <si>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</si>
  <si>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</si>
  <si>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</si>
  <si>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</si>
  <si>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</si>
  <si>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</si>
  <si>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</si>
  <si>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</si>
  <si>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</si>
  <si>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</si>
  <si>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</si>
  <si>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</si>
  <si>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</si>
  <si>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</si>
  <si>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</si>
  <si>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</si>
  <si>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</si>
  <si>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</si>
  <si>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</si>
  <si>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</si>
  <si>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</si>
  <si>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</si>
  <si>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</si>
  <si>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</si>
  <si>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</si>
  <si>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</si>
  <si>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</si>
  <si>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</si>
  <si>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</si>
  <si>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</si>
  <si>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</si>
  <si>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</si>
  <si>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</si>
  <si>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</si>
  <si>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</si>
  <si>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</si>
  <si>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</si>
  <si>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</si>
  <si>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</si>
  <si>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</si>
  <si>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</si>
  <si>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</si>
  <si>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</si>
  <si>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</si>
  <si>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</si>
  <si>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</si>
  <si>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</si>
  <si>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</si>
  <si>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</si>
  <si>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</si>
  <si>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</si>
  <si>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</si>
  <si>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</si>
  <si>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</si>
  <si>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</si>
  <si>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</si>
  <si>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</si>
  <si>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</si>
  <si>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</si>
  <si>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</si>
  <si>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</si>
  <si>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</si>
  <si>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</si>
  <si>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</si>
  <si>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</si>
  <si>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</si>
  <si>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</si>
  <si>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</si>
  <si>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</si>
  <si>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</si>
  <si>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</si>
  <si>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</si>
  <si>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</si>
  <si>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</si>
  <si>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</si>
  <si>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</si>
  <si>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</si>
  <si>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</si>
  <si>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</si>
  <si>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</si>
  <si>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</si>
  <si>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</si>
  <si>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</si>
  <si>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</si>
  <si>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</si>
  <si>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</si>
  <si>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</si>
  <si>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</si>
  <si>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</si>
  <si>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</si>
  <si>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</si>
  <si>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</si>
  <si>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</si>
  <si>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</si>
  <si>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</si>
  <si>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</si>
  <si>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</si>
  <si>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</si>
  <si>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</si>
  <si>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</si>
  <si>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</si>
  <si>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</si>
  <si>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</si>
  <si>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</si>
  <si>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</si>
  <si>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</si>
  <si>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</si>
  <si>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</si>
  <si>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</si>
  <si>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</si>
  <si>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</si>
  <si>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</si>
  <si>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</si>
  <si>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</si>
  <si>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</si>
  <si>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</si>
  <si>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</si>
  <si>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</si>
  <si>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</si>
  <si>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</si>
  <si>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</si>
  <si>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</si>
  <si>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</si>
  <si>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</si>
  <si>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</si>
  <si>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</si>
  <si>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</si>
  <si>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</si>
  <si>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</si>
  <si>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</si>
  <si>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</si>
  <si>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</si>
  <si>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</si>
  <si>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</si>
  <si>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</si>
  <si>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</si>
  <si>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</si>
  <si>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</si>
  <si>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</si>
  <si>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</si>
  <si>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</si>
  <si>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</si>
  <si>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</si>
  <si>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</si>
  <si>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</si>
  <si>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</si>
  <si>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</si>
  <si>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</si>
  <si>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</si>
  <si>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</si>
  <si>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</si>
  <si>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</si>
  <si>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</si>
  <si>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</si>
  <si>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</si>
  <si>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</si>
  <si>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</si>
  <si>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</si>
  <si>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</si>
  <si>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</si>
  <si>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</si>
  <si>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</si>
  <si>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</si>
  <si>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</si>
  <si>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</si>
  <si>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</si>
  <si>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</si>
  <si>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</si>
  <si>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</si>
  <si>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</si>
  <si>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</si>
  <si>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</si>
  <si>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</si>
  <si>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</si>
  <si>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</si>
  <si>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</si>
  <si>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</si>
  <si>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</si>
  <si>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</si>
  <si>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</si>
  <si>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</si>
  <si>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</si>
  <si>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</si>
  <si>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</si>
  <si>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</si>
  <si>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</si>
  <si>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</si>
  <si>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</si>
  <si>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</si>
  <si>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</si>
  <si>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</si>
  <si>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</si>
  <si>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</si>
  <si>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</si>
  <si>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</si>
  <si>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</si>
  <si>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</si>
  <si>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</si>
  <si>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</si>
  <si>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</si>
  <si>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</si>
  <si>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</si>
  <si>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</si>
  <si>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</si>
  <si>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</si>
  <si>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</si>
  <si>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</si>
  <si>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</si>
  <si>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</si>
  <si>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</si>
  <si>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</si>
  <si>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</si>
  <si>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</si>
  <si>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</si>
  <si>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</si>
  <si>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</si>
  <si>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</si>
  <si>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</si>
  <si>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</si>
  <si>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</si>
  <si>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</si>
  <si>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</si>
  <si>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</si>
  <si>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</si>
  <si>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</si>
  <si>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</si>
  <si>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</si>
  <si>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</si>
  <si>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</si>
  <si>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</si>
  <si>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</si>
  <si>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</si>
  <si>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</si>
  <si>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</si>
  <si>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</si>
  <si>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</si>
  <si>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</si>
  <si>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</si>
  <si>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</si>
  <si>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</si>
  <si>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</si>
  <si>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</si>
  <si>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</si>
  <si>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</si>
  <si>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</si>
  <si>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</si>
  <si>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</si>
  <si>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</si>
  <si>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</si>
  <si>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</si>
  <si>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</si>
  <si>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</si>
  <si>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</si>
  <si>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</si>
  <si>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</si>
  <si>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</si>
  <si>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</si>
  <si>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</si>
  <si>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</si>
  <si>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</si>
  <si>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</si>
  <si>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</si>
  <si>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</si>
  <si>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</si>
  <si>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</si>
  <si>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</si>
  <si>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</si>
  <si>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</si>
  <si>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</si>
  <si>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</si>
  <si>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</si>
  <si>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</si>
  <si>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</si>
  <si>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</si>
  <si>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</si>
  <si>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</si>
  <si>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</si>
  <si>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</si>
  <si>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</si>
  <si>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</si>
  <si>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</si>
  <si>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</si>
  <si>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</si>
  <si>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</si>
  <si>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</si>
  <si>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</si>
  <si>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</si>
  <si>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</si>
  <si>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</si>
  <si>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</si>
  <si>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</si>
  <si>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</si>
  <si>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</si>
  <si>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</si>
  <si>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</si>
  <si>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</si>
  <si>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</si>
  <si>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</si>
  <si>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</si>
  <si>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</si>
  <si>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</si>
  <si>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</si>
  <si>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</si>
  <si>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</si>
  <si>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</si>
  <si>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</si>
  <si>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</si>
  <si>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</si>
  <si>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</si>
  <si>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</si>
  <si>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</si>
  <si>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</si>
  <si>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</si>
  <si>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</si>
  <si>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</si>
  <si>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</si>
  <si>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</si>
  <si>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</si>
  <si>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</si>
  <si>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</si>
  <si>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</si>
  <si>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</si>
  <si>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</si>
  <si>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</si>
  <si>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</si>
  <si>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</si>
  <si>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</si>
  <si>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</si>
  <si>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</si>
  <si>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</si>
  <si>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</si>
  <si>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</si>
  <si>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</si>
  <si>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</si>
  <si>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</si>
  <si>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</si>
  <si>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</si>
  <si>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</si>
  <si>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</si>
  <si>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</si>
  <si>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</si>
  <si>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</si>
  <si>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</si>
  <si>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</si>
  <si>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</si>
  <si>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</si>
  <si>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</si>
  <si>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</si>
  <si>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</si>
  <si>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</si>
  <si>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</si>
  <si>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</si>
  <si>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</si>
  <si>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</si>
  <si>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</si>
  <si>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</si>
  <si>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</si>
  <si>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</si>
  <si>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</si>
  <si>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</si>
  <si>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</si>
  <si>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</si>
  <si>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</si>
  <si>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</si>
  <si>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</si>
  <si>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</si>
  <si>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</si>
  <si>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</si>
  <si>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</si>
  <si>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</si>
  <si>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</si>
  <si>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</si>
  <si>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</si>
  <si>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</si>
  <si>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</si>
  <si>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</si>
  <si>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</si>
  <si>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</si>
  <si>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</si>
  <si>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</si>
  <si>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</si>
  <si>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</si>
  <si>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</si>
  <si>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</si>
  <si>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</si>
  <si>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</si>
  <si>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</si>
  <si>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</si>
  <si>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</si>
  <si>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</si>
  <si>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</si>
  <si>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</si>
  <si>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</si>
  <si>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</si>
  <si>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</si>
  <si>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</si>
  <si>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</si>
  <si>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</si>
  <si>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</si>
  <si>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</si>
  <si>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</si>
  <si>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</si>
  <si>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</si>
  <si>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</si>
  <si>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</si>
  <si>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</si>
  <si>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</si>
  <si>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</si>
  <si>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</si>
  <si>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</si>
  <si>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</si>
  <si>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</si>
  <si>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</si>
  <si>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</si>
  <si>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</si>
  <si>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</si>
  <si>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</si>
  <si>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</si>
  <si>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</si>
  <si>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</si>
  <si>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</si>
  <si>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</si>
  <si>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</si>
  <si>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</si>
  <si>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</si>
  <si>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</si>
  <si>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</si>
  <si>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</si>
  <si>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</si>
  <si>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</si>
  <si>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</si>
  <si>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</si>
  <si>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</si>
  <si>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</si>
  <si>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</si>
  <si>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</si>
  <si>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</si>
  <si>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</si>
  <si>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</si>
  <si>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</si>
  <si>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</si>
  <si>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</si>
  <si>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</si>
  <si>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</si>
  <si>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</si>
  <si>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</si>
  <si>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</si>
  <si>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</si>
  <si>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</si>
  <si>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</si>
  <si>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</si>
  <si>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</si>
  <si>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</si>
  <si>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</si>
  <si>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</si>
  <si>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</si>
  <si>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</si>
  <si>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</si>
  <si>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</si>
  <si>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</si>
  <si>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</si>
  <si>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</si>
  <si>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</si>
  <si>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</si>
  <si>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</si>
  <si>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</si>
  <si>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</si>
  <si>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</si>
  <si>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</si>
  <si>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</si>
  <si>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</si>
  <si>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</si>
  <si>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</si>
  <si>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</si>
  <si>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</si>
  <si>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</si>
  <si>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</si>
  <si>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</si>
  <si>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</si>
  <si>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</si>
  <si>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</si>
  <si>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</si>
  <si>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</si>
  <si>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</si>
  <si>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</si>
  <si>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</si>
  <si>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</si>
  <si>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</si>
  <si>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</si>
  <si>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</si>
  <si>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</si>
  <si>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</si>
  <si>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</si>
  <si>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</si>
  <si>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</si>
  <si>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</si>
  <si>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</si>
  <si>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</si>
  <si>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</si>
  <si>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</si>
  <si>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</si>
  <si>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</si>
  <si>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</si>
  <si>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</si>
  <si>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</si>
  <si>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</si>
  <si>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</si>
  <si>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</si>
  <si>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</si>
  <si>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</si>
  <si>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</si>
  <si>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</si>
  <si>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</si>
  <si>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</si>
  <si>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</si>
  <si>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</si>
  <si>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</si>
  <si>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</si>
  <si>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</si>
  <si>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</si>
  <si>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</si>
  <si>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</si>
  <si>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</si>
  <si>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</si>
  <si>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</si>
  <si>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</si>
  <si>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</si>
  <si>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</si>
  <si>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</si>
  <si>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</si>
  <si>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</si>
  <si>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</si>
  <si>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</si>
  <si>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</si>
  <si>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</si>
  <si>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</si>
  <si>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</si>
  <si>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</si>
  <si>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</si>
  <si>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</si>
  <si>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</si>
  <si>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</si>
  <si>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</si>
  <si>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</si>
  <si>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</si>
  <si>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</si>
  <si>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</si>
  <si>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</si>
  <si>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</si>
  <si>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</si>
  <si>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</si>
  <si>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</si>
  <si>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</si>
  <si>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</si>
  <si>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</si>
  <si>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</si>
  <si>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</si>
  <si>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</si>
  <si>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</si>
  <si>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</si>
  <si>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</si>
  <si>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</si>
  <si>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</si>
  <si>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</si>
  <si>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</si>
  <si>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</si>
  <si>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</si>
  <si>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</si>
  <si>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</si>
  <si>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</si>
  <si>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</si>
  <si>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</si>
  <si>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</si>
  <si>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</si>
  <si>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</si>
  <si>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</si>
  <si>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</si>
  <si>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</si>
  <si>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</si>
  <si>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</si>
  <si>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</si>
  <si>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</si>
  <si>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</si>
  <si>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</si>
  <si>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</si>
  <si>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</si>
  <si>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</si>
  <si>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</si>
  <si>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</si>
  <si>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</si>
  <si>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</si>
  <si>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</si>
  <si>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</si>
  <si>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</si>
  <si>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</si>
  <si>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</si>
  <si>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</si>
  <si>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</si>
  <si>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</si>
  <si>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</si>
  <si>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</si>
  <si>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</si>
  <si>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</si>
  <si>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</si>
  <si>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</si>
  <si>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</si>
  <si>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</si>
  <si>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</si>
  <si>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</si>
  <si>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</si>
  <si>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</si>
  <si>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</si>
  <si>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</si>
  <si>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</si>
  <si>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</si>
  <si>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</si>
  <si>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</si>
  <si>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</si>
  <si>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</si>
  <si>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</si>
  <si>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</si>
  <si>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</si>
  <si>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</si>
  <si>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</si>
  <si>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</si>
  <si>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</si>
  <si>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</si>
  <si>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</si>
  <si>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</si>
  <si>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</si>
  <si>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</si>
  <si>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</si>
  <si>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</si>
  <si>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</si>
  <si>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</si>
  <si>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</si>
  <si>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</si>
  <si>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</si>
  <si>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</si>
  <si>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</si>
  <si>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</si>
  <si>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</si>
  <si>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</si>
  <si>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</si>
  <si>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</si>
  <si>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</si>
  <si>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</si>
  <si>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</si>
  <si>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</si>
  <si>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</si>
  <si>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</si>
  <si>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</si>
  <si>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</si>
  <si>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</si>
  <si>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</si>
  <si>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</si>
  <si>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</si>
  <si>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</si>
  <si>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</si>
  <si>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</si>
  <si>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</si>
  <si>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</si>
  <si>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</si>
  <si>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</si>
  <si>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</si>
  <si>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</si>
  <si>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</si>
  <si>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</si>
  <si>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</si>
  <si>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</si>
  <si>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</si>
  <si>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</si>
  <si>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</si>
  <si>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</si>
  <si>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</si>
  <si>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</si>
  <si>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</si>
  <si>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</si>
  <si>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</si>
  <si>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</si>
  <si>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</si>
  <si>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</si>
  <si>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</si>
  <si>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</si>
  <si>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</si>
  <si>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</si>
  <si>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</si>
  <si>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</si>
  <si>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</si>
  <si>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</si>
  <si>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</si>
  <si>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</si>
  <si>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</si>
  <si>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</si>
  <si>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</si>
  <si>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</si>
  <si>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</si>
  <si>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</si>
  <si>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</si>
  <si>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</si>
  <si>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</si>
  <si>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</si>
  <si>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</si>
  <si>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</si>
  <si>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</si>
  <si>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</si>
  <si>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</si>
  <si>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</si>
  <si>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</si>
  <si>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</si>
  <si>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</si>
  <si>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</si>
  <si>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</si>
  <si>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</si>
  <si>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</si>
  <si>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</si>
  <si>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</si>
  <si>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</si>
  <si>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</si>
  <si>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</si>
  <si>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</si>
  <si>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</si>
  <si>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</si>
  <si>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</si>
  <si>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</si>
  <si>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</si>
  <si>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</si>
  <si>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</si>
  <si>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</si>
  <si>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</si>
  <si>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</si>
  <si>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</si>
  <si>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</si>
  <si>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</si>
  <si>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</si>
  <si>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</si>
  <si>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</si>
  <si>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</si>
  <si>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</si>
  <si>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</si>
  <si>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</si>
  <si>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</si>
  <si>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</si>
  <si>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</si>
  <si>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</si>
  <si>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</si>
  <si>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</si>
  <si>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</si>
  <si>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</si>
  <si>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</si>
  <si>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</si>
  <si>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</si>
  <si>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</si>
  <si>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</si>
  <si>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</si>
  <si>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</si>
  <si>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</si>
  <si>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</si>
  <si>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</si>
  <si>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</si>
  <si>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</si>
  <si>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</si>
  <si>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</si>
  <si>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</si>
  <si>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</si>
  <si>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</si>
  <si>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</si>
  <si>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</si>
  <si>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</si>
  <si>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</si>
  <si>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</si>
  <si>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</si>
  <si>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</si>
  <si>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</si>
  <si>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</si>
  <si>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</si>
  <si>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</si>
  <si>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</si>
  <si>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</si>
  <si>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</si>
  <si>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</si>
  <si>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</si>
  <si>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</si>
  <si>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</si>
  <si>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</si>
  <si>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</si>
  <si>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</si>
  <si>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</si>
  <si>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</si>
  <si>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</si>
  <si>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</si>
  <si>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</si>
  <si>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</si>
  <si>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</si>
  <si>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</si>
  <si>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</si>
  <si>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</si>
  <si>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</si>
  <si>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</si>
  <si>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</si>
  <si>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</si>
  <si>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</si>
  <si>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</si>
  <si>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</si>
  <si>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</si>
  <si>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</si>
  <si>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</si>
  <si>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</si>
  <si>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</si>
  <si>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</si>
  <si>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</si>
  <si>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</si>
  <si>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</si>
  <si>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</si>
  <si>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</si>
  <si>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</si>
  <si>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</si>
  <si>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</si>
  <si>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</si>
  <si>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</si>
  <si>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</si>
  <si>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</si>
  <si>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</si>
  <si>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</si>
  <si>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</si>
  <si>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</si>
  <si>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</si>
  <si>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</si>
  <si>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</si>
  <si>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</si>
  <si>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</si>
  <si>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</si>
  <si>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</si>
  <si>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</si>
  <si>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</si>
  <si>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</si>
  <si>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</si>
  <si>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</si>
  <si>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</si>
  <si>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</si>
  <si>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</si>
  <si>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</si>
  <si>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</si>
  <si>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</si>
  <si>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</si>
  <si>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</si>
  <si>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</si>
  <si>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</si>
  <si>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</si>
  <si>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</si>
  <si>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</si>
  <si>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</si>
  <si>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</si>
  <si>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</si>
  <si>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</si>
  <si>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</si>
  <si>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</si>
  <si>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</si>
  <si>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</si>
  <si>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</si>
  <si>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</si>
  <si>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</si>
  <si>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</si>
  <si>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</si>
  <si>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</si>
  <si>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</si>
  <si>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</si>
  <si>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</si>
  <si>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</si>
  <si>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</si>
  <si>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</si>
  <si>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</si>
  <si>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</si>
  <si>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</si>
  <si>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</si>
  <si>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</si>
  <si>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</si>
  <si>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</si>
  <si>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</si>
  <si>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</si>
  <si>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</si>
  <si>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</si>
  <si>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</si>
  <si>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</si>
  <si>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</si>
  <si>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</si>
  <si>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</si>
  <si>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</si>
  <si>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</si>
  <si>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</si>
  <si>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</si>
  <si>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</si>
  <si>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</si>
  <si>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</si>
  <si>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</si>
  <si>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</si>
  <si>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</si>
  <si>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</si>
  <si>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</si>
  <si>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</si>
  <si>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</si>
  <si>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</si>
  <si>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</si>
  <si>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</si>
  <si>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</si>
  <si>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</si>
  <si>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</si>
  <si>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</si>
  <si>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</si>
  <si>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</si>
  <si>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</si>
  <si>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</si>
  <si>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</si>
  <si>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</si>
  <si>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</si>
  <si>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</si>
  <si>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</si>
  <si>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</si>
  <si>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</si>
  <si>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</si>
  <si>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</si>
  <si>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</si>
  <si>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</si>
  <si>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</si>
  <si>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</si>
  <si>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</si>
  <si>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</si>
  <si>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</si>
  <si>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</si>
  <si>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</si>
  <si>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</si>
  <si>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</si>
  <si>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</si>
  <si>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</si>
  <si>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</si>
  <si>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</si>
  <si>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</si>
  <si>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</si>
  <si>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</si>
  <si>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</si>
  <si>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</si>
  <si>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</si>
  <si>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</si>
  <si>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</si>
  <si>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</si>
  <si>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</si>
  <si>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</si>
  <si>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</si>
  <si>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</si>
  <si>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</si>
  <si>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</si>
  <si>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</si>
  <si>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</si>
  <si>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</si>
  <si>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</si>
  <si>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</si>
  <si>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</si>
  <si>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</si>
  <si>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</si>
  <si>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</si>
  <si>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</si>
  <si>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</si>
  <si>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</si>
  <si>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</si>
  <si>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</si>
  <si>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</si>
  <si>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</si>
  <si>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</si>
  <si>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</si>
  <si>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</si>
  <si>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</si>
  <si>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</si>
  <si>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</si>
  <si>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</si>
  <si>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</si>
  <si>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</si>
  <si>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</si>
  <si>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</si>
  <si>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</si>
  <si>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</si>
  <si>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</si>
  <si>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</si>
  <si>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</si>
  <si>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</si>
  <si>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</si>
  <si>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</si>
  <si>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</si>
  <si>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</si>
  <si>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</si>
  <si>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</si>
  <si>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</si>
  <si>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</si>
  <si>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</si>
  <si>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</si>
  <si>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</si>
  <si>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</si>
  <si>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</si>
  <si>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</si>
  <si>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</si>
  <si>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</si>
  <si>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</si>
  <si>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</si>
  <si>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</si>
  <si>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</si>
  <si>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</si>
  <si>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</si>
  <si>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</si>
  <si>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</si>
  <si>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</si>
  <si>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</si>
  <si>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</si>
  <si>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</si>
  <si>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</si>
  <si>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</si>
  <si>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</si>
  <si>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</si>
  <si>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</si>
  <si>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</si>
  <si>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</si>
  <si>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</si>
  <si>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</si>
  <si>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</si>
  <si>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</si>
  <si>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</si>
  <si>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</si>
  <si>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</si>
  <si>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</si>
  <si>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</si>
  <si>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</si>
  <si>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</si>
  <si>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</si>
  <si>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</si>
  <si>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</si>
  <si>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</si>
  <si>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</si>
  <si>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</si>
  <si>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</si>
  <si>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</si>
  <si>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</si>
  <si>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</si>
  <si>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</si>
  <si>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</si>
  <si>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</si>
  <si>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</si>
  <si>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</si>
  <si>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</si>
  <si>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</si>
  <si>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</si>
  <si>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</si>
  <si>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</si>
  <si>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</si>
  <si>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</si>
  <si>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</si>
  <si>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</si>
  <si>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</si>
  <si>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</si>
  <si>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</si>
  <si>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</si>
  <si>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</si>
  <si>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</si>
  <si>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</si>
  <si>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</si>
  <si>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</si>
  <si>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</si>
  <si>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</si>
  <si>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</si>
  <si>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</si>
  <si>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</si>
  <si>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</si>
  <si>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</si>
  <si>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</si>
  <si>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</si>
  <si>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</si>
  <si>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</si>
  <si>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</si>
  <si>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</si>
  <si>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</si>
  <si>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</si>
  <si>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</si>
  <si>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</si>
  <si>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</si>
  <si>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</si>
  <si>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</si>
  <si>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</si>
  <si>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</si>
  <si>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</si>
  <si>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</si>
  <si>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</si>
  <si>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</si>
  <si>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</si>
  <si>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</si>
  <si>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</si>
  <si>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</si>
  <si>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</si>
  <si>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</si>
  <si>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</si>
  <si>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</si>
  <si>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</si>
  <si>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</si>
  <si>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</si>
  <si>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</si>
  <si>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</si>
  <si>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</si>
  <si>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</si>
  <si>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</si>
  <si>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</si>
  <si>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</si>
  <si>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</si>
  <si>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</si>
  <si>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</si>
  <si>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</si>
  <si>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</si>
  <si>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</si>
  <si>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</si>
  <si>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</si>
  <si>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</si>
  <si>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</si>
  <si>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</si>
  <si>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</si>
  <si>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</si>
  <si>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</si>
  <si>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</si>
  <si>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</si>
  <si>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</si>
  <si>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</si>
  <si>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</si>
  <si>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</si>
  <si>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</si>
  <si>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</si>
  <si>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</si>
  <si>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</si>
  <si>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</si>
  <si>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</si>
  <si>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</si>
  <si>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</si>
  <si>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</si>
  <si>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</si>
  <si>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</si>
  <si>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</si>
  <si>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</si>
  <si>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</si>
  <si>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</si>
  <si>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</si>
  <si>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</si>
  <si>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</si>
  <si>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</si>
  <si>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</si>
  <si>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</si>
  <si>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</si>
  <si>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</si>
  <si>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</si>
  <si>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</si>
  <si>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</si>
  <si>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</si>
  <si>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</si>
  <si>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</si>
  <si>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</si>
  <si>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</si>
  <si>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</si>
  <si>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</si>
  <si>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</si>
  <si>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</si>
  <si>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</si>
  <si>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</si>
  <si>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</si>
  <si>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</si>
  <si>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</si>
  <si>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</si>
  <si>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</si>
  <si>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</si>
  <si>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</si>
  <si>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</si>
  <si>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</si>
  <si>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</si>
  <si>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</si>
  <si>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</si>
  <si>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</si>
  <si>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</si>
  <si>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</si>
  <si>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</si>
  <si>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</si>
  <si>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</si>
  <si>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</si>
  <si>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</si>
  <si>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</si>
  <si>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</si>
  <si>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</si>
  <si>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</si>
  <si>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</si>
  <si>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</si>
  <si>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</si>
  <si>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</si>
  <si>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</si>
  <si>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</si>
  <si>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</si>
  <si>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</si>
  <si>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</si>
  <si>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</si>
  <si>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</si>
  <si>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</si>
  <si>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</si>
  <si>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</si>
  <si>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</si>
  <si>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</si>
  <si>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</si>
  <si>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</si>
  <si>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</si>
  <si>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</si>
  <si>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</si>
  <si>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</si>
  <si>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</si>
  <si>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</si>
  <si>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</si>
  <si>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</si>
  <si>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</si>
  <si>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</si>
  <si>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</si>
  <si>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</si>
  <si>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</si>
  <si>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</si>
  <si>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</si>
  <si>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</si>
  <si>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</si>
  <si>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</si>
  <si>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</si>
  <si>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</si>
  <si>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</si>
  <si>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</si>
  <si>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</si>
  <si>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</si>
  <si>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</si>
  <si>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</si>
  <si>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</si>
  <si>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</si>
  <si>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</si>
  <si>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</si>
  <si>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</si>
  <si>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</si>
  <si>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</si>
  <si>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</si>
  <si>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</si>
  <si>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</si>
  <si>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</si>
  <si>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</si>
  <si>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</si>
  <si>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</si>
  <si>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</si>
  <si>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</si>
  <si>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</si>
  <si>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</si>
  <si>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</si>
  <si>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</si>
  <si>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</si>
  <si>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</si>
  <si>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</si>
  <si>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</si>
  <si>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</si>
  <si>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</si>
  <si>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</si>
  <si>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</si>
  <si>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</si>
  <si>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</si>
  <si>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</si>
  <si>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</si>
  <si>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</si>
  <si>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</si>
  <si>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</si>
  <si>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</si>
  <si>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</si>
  <si>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</si>
  <si>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</si>
  <si>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</si>
  <si>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</si>
  <si>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</si>
  <si>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</si>
  <si>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</si>
  <si>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</si>
  <si>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</si>
  <si>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</si>
  <si>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</si>
  <si>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</si>
  <si>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</si>
  <si>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</si>
  <si>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</si>
  <si>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</si>
  <si>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</si>
  <si>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</si>
  <si>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</si>
  <si>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</si>
  <si>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</si>
  <si>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</si>
  <si>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</si>
  <si>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</si>
  <si>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</si>
  <si>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</si>
  <si>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</si>
  <si>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</si>
  <si>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</si>
  <si>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</si>
  <si>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</si>
  <si>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</si>
  <si>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</si>
  <si>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</si>
  <si>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</si>
  <si>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</si>
  <si>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</si>
  <si>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</si>
  <si>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</si>
  <si>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</si>
  <si>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</si>
  <si>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</si>
  <si>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</si>
  <si>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</si>
  <si>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</si>
  <si>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</si>
  <si>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</si>
  <si>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</si>
  <si>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</si>
  <si>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</si>
  <si>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</si>
  <si>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</si>
  <si>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</si>
  <si>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</si>
  <si>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</si>
  <si>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</si>
  <si>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</si>
  <si>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</si>
  <si>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</si>
  <si>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</si>
  <si>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</si>
  <si>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</si>
  <si>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</si>
  <si>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</si>
  <si>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</si>
  <si>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</si>
  <si>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</si>
  <si>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</si>
  <si>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</si>
  <si>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</si>
  <si>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</si>
  <si>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</si>
  <si>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</si>
  <si>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</si>
  <si>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</si>
  <si>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</si>
  <si>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</si>
  <si>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</si>
  <si>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</si>
  <si>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</si>
  <si>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</si>
  <si>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</si>
  <si>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</si>
  <si>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</si>
  <si>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</si>
  <si>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</si>
  <si>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</si>
  <si>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</si>
  <si>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</si>
  <si>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</si>
  <si>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</si>
  <si>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</si>
  <si>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</si>
  <si>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</si>
  <si>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</si>
  <si>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</si>
  <si>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</si>
  <si>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</si>
  <si>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</si>
  <si>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</si>
  <si>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</si>
  <si>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</si>
  <si>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</si>
  <si>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</si>
  <si>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</si>
  <si>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</si>
  <si>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</si>
  <si>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</si>
  <si>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</si>
  <si>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</si>
  <si>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</si>
  <si>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</si>
  <si>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</si>
  <si>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</si>
  <si>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</si>
  <si>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</si>
  <si>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</si>
  <si>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</si>
  <si>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</si>
  <si>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</si>
  <si>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</si>
  <si>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</si>
  <si>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</si>
  <si>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</si>
  <si>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</si>
  <si>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</si>
  <si>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</si>
  <si>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</si>
  <si>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</si>
  <si>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</si>
  <si>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</si>
  <si>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</si>
  <si>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</si>
  <si>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</si>
  <si>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</si>
  <si>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</si>
  <si>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</si>
  <si>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</si>
  <si>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</si>
  <si>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</si>
  <si>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</si>
  <si>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</si>
  <si>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</si>
  <si>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</si>
  <si>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</si>
  <si>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</si>
  <si>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</si>
  <si>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</si>
  <si>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</si>
  <si>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</si>
  <si>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</si>
  <si>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</si>
  <si>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</si>
  <si>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</si>
  <si>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</si>
  <si>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</si>
  <si>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</si>
  <si>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</si>
  <si>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</si>
  <si>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</si>
  <si>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</si>
  <si>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</si>
  <si>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</si>
  <si>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</si>
  <si>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</si>
  <si>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</si>
  <si>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</si>
  <si>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</si>
  <si>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</si>
  <si>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</si>
  <si>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</si>
  <si>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</si>
  <si>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</si>
  <si>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</si>
  <si>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</si>
  <si>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</si>
  <si>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</si>
  <si>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</si>
  <si>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</si>
  <si>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</si>
  <si>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</si>
  <si>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</si>
  <si>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</si>
  <si>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</si>
  <si>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</si>
  <si>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</si>
  <si>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</si>
  <si>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</si>
  <si>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</si>
  <si>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</si>
  <si>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</si>
  <si>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</si>
  <si>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</si>
  <si>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</si>
  <si>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</si>
  <si>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</si>
  <si>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</si>
  <si>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</si>
  <si>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</si>
  <si>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</si>
  <si>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</si>
  <si>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</si>
  <si>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</si>
  <si>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</si>
  <si>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</si>
  <si>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</si>
  <si>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</si>
  <si>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</si>
  <si>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</si>
  <si>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</si>
  <si>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</si>
  <si>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</si>
  <si>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</si>
  <si>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</si>
  <si>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</si>
  <si>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</si>
  <si>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</si>
  <si>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</si>
  <si>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</si>
  <si>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</si>
  <si>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</si>
  <si>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</si>
  <si>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</si>
  <si>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</si>
  <si>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</si>
  <si>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</si>
  <si>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</si>
  <si>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</si>
  <si>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</si>
  <si>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</si>
  <si>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</si>
  <si>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</si>
  <si>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</si>
  <si>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</si>
  <si>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</si>
  <si>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</si>
  <si>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</si>
  <si>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</si>
  <si>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</si>
  <si>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</si>
  <si>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</si>
  <si>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</si>
  <si>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</si>
  <si>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</si>
  <si>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</si>
  <si>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</si>
  <si>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</si>
  <si>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</si>
  <si>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</si>
  <si>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</si>
  <si>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</si>
  <si>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</si>
  <si>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</si>
  <si>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</si>
  <si>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</si>
  <si>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</si>
  <si>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</si>
  <si>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</si>
  <si>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</si>
  <si>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</si>
  <si>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</si>
  <si>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</si>
  <si>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</si>
  <si>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</si>
  <si>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</si>
  <si>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</si>
  <si>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</si>
  <si>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</si>
  <si>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</si>
  <si>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</si>
  <si>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</si>
  <si>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</si>
  <si>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</si>
  <si>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</si>
  <si>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</si>
  <si>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</si>
  <si>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</si>
  <si>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</si>
  <si>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</si>
  <si>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</si>
  <si>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</si>
  <si>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</si>
  <si>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</si>
  <si>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</si>
  <si>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</si>
  <si>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</si>
  <si>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</si>
  <si>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</si>
  <si>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</si>
  <si>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</si>
  <si>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</si>
  <si>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</si>
  <si>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</si>
  <si>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</si>
  <si>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</si>
  <si>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</si>
  <si>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</si>
  <si>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</si>
  <si>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</si>
  <si>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</si>
  <si>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</si>
  <si>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</si>
  <si>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</si>
  <si>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</si>
  <si>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</si>
  <si>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</si>
  <si>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</si>
  <si>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</si>
  <si>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</si>
  <si>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</si>
  <si>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</si>
  <si>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</si>
  <si>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</si>
  <si>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</si>
  <si>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</si>
  <si>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</si>
  <si>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</si>
  <si>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</si>
  <si>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</si>
  <si>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</si>
  <si>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Office of Administrative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</si>
</sst>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19" sqref="E19"/>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sheetPr>
  <dimension ref="A1:T193"/>
  <sheetViews>
    <sheetView tabSelected="1" zoomScale="70" zoomScaleNormal="70" workbookViewId="0">
      <selection activeCell="M9" sqref="M9"/>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1226</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1413877</v>
      </c>
      <c r="M17" s="143">
        <v>1413877</v>
      </c>
      <c r="P17" s="143">
        <v>1413877</v>
      </c>
      <c r="Q17" s="155"/>
      <c r="S17" s="154">
        <f t="shared" si="0"/>
        <v>0</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165968</v>
      </c>
      <c r="M19" s="143">
        <v>165968</v>
      </c>
      <c r="P19" s="155"/>
      <c r="Q19" s="155"/>
      <c r="S19" s="154">
        <f t="shared" si="0"/>
        <v>-165968</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565551</v>
      </c>
      <c r="N22" s="143">
        <v>565551</v>
      </c>
      <c r="P22" s="155"/>
      <c r="Q22" s="143">
        <v>385604</v>
      </c>
      <c r="S22" s="154">
        <f t="shared" ref="S22:S25" si="1">Q22-N22</f>
        <v>-179947</v>
      </c>
      <c r="T22" s="179" t="s">
        <v>1668</v>
      </c>
    </row>
    <row r="23" spans="1:20" ht="16.5" customHeight="1" x14ac:dyDescent="0.25">
      <c r="A23" s="165" t="s">
        <v>1645</v>
      </c>
      <c r="B23" s="9"/>
      <c r="C23" s="9" t="s">
        <v>173</v>
      </c>
      <c r="D23" s="9"/>
      <c r="E23" s="140"/>
      <c r="F23" s="141"/>
      <c r="G23" s="141"/>
      <c r="H23" s="142"/>
      <c r="I23" s="142"/>
      <c r="J23" s="150"/>
      <c r="K23" s="178">
        <f>N23</f>
        <v>949045</v>
      </c>
      <c r="N23" s="143">
        <v>949045</v>
      </c>
      <c r="P23" s="155"/>
      <c r="Q23" s="143">
        <v>963024</v>
      </c>
      <c r="S23" s="154">
        <f t="shared" si="1"/>
        <v>13979</v>
      </c>
      <c r="T23" s="179" t="s">
        <v>1668</v>
      </c>
    </row>
    <row r="24" spans="1:20" ht="16.5" customHeight="1" x14ac:dyDescent="0.25">
      <c r="A24" s="54"/>
      <c r="B24" s="9"/>
      <c r="C24" s="9" t="s">
        <v>175</v>
      </c>
      <c r="D24" s="9"/>
      <c r="E24" s="140"/>
      <c r="F24" s="141"/>
      <c r="G24" s="141"/>
      <c r="H24" s="142"/>
      <c r="I24" s="142"/>
      <c r="J24" s="150"/>
      <c r="K24" s="178">
        <f>Q24</f>
        <v>65249</v>
      </c>
      <c r="N24" s="143"/>
      <c r="P24" s="155"/>
      <c r="Q24" s="152">
        <f>IF(SUM($Q$20:$Q$23)&lt;SUM($P$15:$P$17),-SUM($Q$20:$Q$23)+SUM($P$15:$P$17),0)</f>
        <v>65249</v>
      </c>
      <c r="S24" s="154">
        <f t="shared" si="1"/>
        <v>65249</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1579845</v>
      </c>
      <c r="K26" s="107">
        <f>SUM(K15:K25)</f>
        <v>1579845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282775</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282775</v>
      </c>
    </row>
    <row r="59" spans="1:16" ht="16.5" customHeight="1" x14ac:dyDescent="0.25">
      <c r="A59" s="54"/>
      <c r="C59" s="16"/>
      <c r="D59" s="16"/>
      <c r="E59" s="16"/>
      <c r="F59" s="17"/>
      <c r="G59" s="17"/>
      <c r="H59" s="18"/>
      <c r="I59" s="18"/>
      <c r="J59" s="107">
        <f>SUM(J55:J58)</f>
        <v>282775</v>
      </c>
      <c r="K59" s="107">
        <f>SUM(K55:K58)</f>
        <v>282775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234598</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6317</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240915</v>
      </c>
    </row>
    <row r="65" spans="1:12" ht="16.5" customHeight="1" x14ac:dyDescent="0.25">
      <c r="A65" s="54"/>
      <c r="C65" s="16"/>
      <c r="D65" s="16"/>
      <c r="E65" s="16"/>
      <c r="F65" s="17"/>
      <c r="G65" s="17"/>
      <c r="H65" s="18"/>
      <c r="I65" s="18"/>
      <c r="J65" s="107">
        <f>SUM(J62:J64)</f>
        <v>240915</v>
      </c>
      <c r="K65" s="107">
        <f>SUM(K62:K64)</f>
        <v>240915</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234598</v>
      </c>
      <c r="K68" s="144"/>
    </row>
    <row r="69" spans="1:12" ht="16.5" customHeight="1" x14ac:dyDescent="0.25">
      <c r="A69" s="54"/>
      <c r="B69" s="9"/>
      <c r="C69" s="9" t="s">
        <v>185</v>
      </c>
      <c r="D69" s="140"/>
      <c r="E69" s="140"/>
      <c r="F69" s="141"/>
      <c r="G69" s="141"/>
      <c r="H69" s="142"/>
      <c r="I69" s="142"/>
      <c r="J69" s="144"/>
      <c r="K69" s="143">
        <v>234598</v>
      </c>
      <c r="L69" s="10" t="str">
        <f>IF($J$62=$K$69,"","&lt;- Accts 0848 must agree")</f>
        <v/>
      </c>
    </row>
    <row r="70" spans="1:12" ht="16.5" customHeight="1" x14ac:dyDescent="0.25">
      <c r="A70" s="54"/>
      <c r="C70" s="16"/>
      <c r="D70" s="16"/>
      <c r="E70" s="16"/>
      <c r="F70" s="17"/>
      <c r="G70" s="17"/>
      <c r="H70" s="18"/>
      <c r="I70" s="18"/>
      <c r="J70" s="107">
        <f>SUM(J68:J69)</f>
        <v>234598</v>
      </c>
      <c r="K70" s="107">
        <f>SUM(K68:K69)</f>
        <v>234598</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236364</v>
      </c>
      <c r="K75" s="144"/>
    </row>
    <row r="76" spans="1:12" ht="16.5" customHeight="1" x14ac:dyDescent="0.25">
      <c r="A76" s="54"/>
      <c r="B76" s="9"/>
      <c r="C76" s="9" t="s">
        <v>193</v>
      </c>
      <c r="D76" s="140"/>
      <c r="E76" s="140"/>
      <c r="F76" s="141"/>
      <c r="G76" s="141"/>
      <c r="H76" s="142"/>
      <c r="I76" s="142"/>
      <c r="J76" s="144"/>
      <c r="K76" s="143">
        <v>236364</v>
      </c>
    </row>
    <row r="77" spans="1:12" ht="16.5" customHeight="1" x14ac:dyDescent="0.2">
      <c r="A77" s="54"/>
      <c r="B77" s="196" t="s">
        <v>1672</v>
      </c>
      <c r="C77" s="196"/>
      <c r="D77" s="196"/>
      <c r="E77" s="196"/>
      <c r="F77" s="196"/>
      <c r="G77" s="196"/>
      <c r="H77" s="196"/>
      <c r="I77" s="196"/>
      <c r="J77" s="107">
        <f>SUM(J75:J76)</f>
        <v>236364</v>
      </c>
      <c r="K77" s="107">
        <f>SUM(K75:K76)</f>
        <v>236364</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1413877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-848326</v>
      </c>
    </row>
    <row r="128" spans="1:12" ht="16.5" customHeight="1" x14ac:dyDescent="0.25">
      <c r="D128" s="140" t="s">
        <v>1656</v>
      </c>
      <c r="H128" s="10"/>
      <c r="K128" s="169">
        <f>-K23-K48+J68+J75+J96-K113</f>
        <v>-478083</v>
      </c>
    </row>
    <row r="129" spans="4:11" ht="16.5" customHeight="1" x14ac:dyDescent="0.25">
      <c r="D129" s="140" t="s">
        <v>1657</v>
      </c>
      <c r="H129" s="10"/>
      <c r="K129" s="169">
        <f>-K76</f>
        <v>-236364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 right="0" top="0.75" bottom="0" header="0.3" footer="0.3"/>
  <pageSetup paperSize="3" scale="50" fitToHeight="0" orientation="portrait"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8E7DF-2FE5-4BEC-99E8-9D14FEEBF670}">
  <sheetPr>
    <tabColor theme="9" tint="0.59999389629810485"/>
  </sheetPr>
  <dimension ref="A1:T193"/>
  <sheetViews>
    <sheetView zoomScale="70" zoomScaleNormal="70" workbookViewId="0">
      <selection activeCell="N22" sqref="N22:N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1226</v>
      </c>
      <c r="G5" s="191"/>
      <c r="H5" s="191"/>
      <c r="I5" s="191"/>
      <c r="L5" s="12"/>
      <c r="M5" s="12"/>
      <c r="N5" s="12"/>
      <c r="O5" s="12"/>
      <c r="P5" s="12"/>
      <c r="Q5" s="12"/>
    </row>
    <row r="6" spans="1:20" ht="16.5" customHeight="1" x14ac:dyDescent="0.25">
      <c r="A6" s="189" t="s">
        <v>1634</v>
      </c>
      <c r="B6" s="189"/>
      <c r="C6" s="189"/>
      <c r="D6" s="189"/>
      <c r="E6" s="189"/>
      <c r="F6" s="192">
        <v>9740</v>
      </c>
      <c r="G6" s="192"/>
      <c r="H6" s="192"/>
      <c r="I6" s="192"/>
      <c r="L6" s="13"/>
      <c r="M6" s="13"/>
      <c r="N6" s="13"/>
      <c r="O6" s="13"/>
      <c r="P6" s="12"/>
      <c r="Q6" s="12"/>
    </row>
    <row r="7" spans="1:20" ht="16.5" customHeight="1" x14ac:dyDescent="0.25">
      <c r="A7" s="189" t="s">
        <v>1</v>
      </c>
      <c r="B7" s="189"/>
      <c r="C7" s="189"/>
      <c r="D7" s="189"/>
      <c r="E7" s="189"/>
      <c r="F7" s="192" t="s">
        <v>121</v>
      </c>
      <c r="G7" s="192"/>
      <c r="H7" s="192"/>
      <c r="I7" s="192"/>
      <c r="K7" s="53"/>
      <c r="L7" s="13"/>
      <c r="M7" s="13"/>
      <c r="N7" s="13"/>
      <c r="O7" s="13"/>
      <c r="P7" s="12"/>
      <c r="Q7" s="12"/>
    </row>
    <row r="8" spans="1:20" ht="16.5" customHeight="1" x14ac:dyDescent="0.25">
      <c r="A8" s="189" t="s">
        <v>1616</v>
      </c>
      <c r="B8" s="189"/>
      <c r="C8" s="189"/>
      <c r="D8" s="189"/>
      <c r="E8" s="189"/>
      <c r="F8" s="192" t="s">
        <v>131</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Proprietary Fund</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942585</v>
      </c>
      <c r="M17" s="143">
        <v>942585</v>
      </c>
      <c r="P17" s="143">
        <v>942585</v>
      </c>
      <c r="Q17" s="155"/>
      <c r="S17" s="154">
        <f t="shared" si="0"/>
        <v>0</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110647</v>
      </c>
      <c r="M19" s="143">
        <v>110647</v>
      </c>
      <c r="P19" s="155"/>
      <c r="Q19" s="155"/>
      <c r="S19" s="154">
        <f t="shared" si="0"/>
        <v>-110647</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377034</v>
      </c>
      <c r="N22" s="143">
        <v>377034</v>
      </c>
      <c r="P22" s="155"/>
      <c r="Q22" s="143">
        <v>257068</v>
      </c>
      <c r="S22" s="154">
        <f t="shared" ref="S22:S25" si="1">Q22-N22</f>
        <v>-119966</v>
      </c>
      <c r="T22" s="179" t="s">
        <v>1668</v>
      </c>
    </row>
    <row r="23" spans="1:20" ht="16.5" customHeight="1" x14ac:dyDescent="0.25">
      <c r="A23" s="165" t="s">
        <v>1645</v>
      </c>
      <c r="B23" s="9"/>
      <c r="C23" s="9" t="s">
        <v>173</v>
      </c>
      <c r="D23" s="9"/>
      <c r="E23" s="140"/>
      <c r="F23" s="141"/>
      <c r="G23" s="141"/>
      <c r="H23" s="142"/>
      <c r="I23" s="142"/>
      <c r="J23" s="150"/>
      <c r="K23" s="178">
        <f>N23</f>
        <v>632697</v>
      </c>
      <c r="N23" s="143">
        <v>632697</v>
      </c>
      <c r="P23" s="155"/>
      <c r="Q23" s="143">
        <v>642016</v>
      </c>
      <c r="S23" s="154">
        <f t="shared" si="1"/>
        <v>9319</v>
      </c>
      <c r="T23" s="179" t="s">
        <v>1668</v>
      </c>
    </row>
    <row r="24" spans="1:20" ht="16.5" customHeight="1" x14ac:dyDescent="0.25">
      <c r="A24" s="54"/>
      <c r="B24" s="9"/>
      <c r="C24" s="9" t="s">
        <v>175</v>
      </c>
      <c r="D24" s="9"/>
      <c r="E24" s="140"/>
      <c r="F24" s="141"/>
      <c r="G24" s="141"/>
      <c r="H24" s="142"/>
      <c r="I24" s="142"/>
      <c r="J24" s="150"/>
      <c r="K24" s="178">
        <f>Q24</f>
        <v>43501</v>
      </c>
      <c r="N24" s="143"/>
      <c r="P24" s="155"/>
      <c r="Q24" s="152">
        <f>IF(SUM($Q$20:$Q$23)&lt;SUM($P$15:$P$17),-SUM($Q$20:$Q$23)+SUM($P$15:$P$17),0)</f>
        <v>43501</v>
      </c>
      <c r="S24" s="154">
        <f t="shared" si="1"/>
        <v>43501</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1053232</v>
      </c>
      <c r="K26" s="107">
        <f>SUM(K15:K25)</f>
        <v>1053232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0870 - SERVICES &amp; CHARGES (MG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188517</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188517</v>
      </c>
    </row>
    <row r="59" spans="1:16" ht="16.5" customHeight="1" x14ac:dyDescent="0.25">
      <c r="A59" s="54"/>
      <c r="C59" s="16"/>
      <c r="D59" s="16"/>
      <c r="E59" s="16"/>
      <c r="F59" s="17"/>
      <c r="G59" s="17"/>
      <c r="H59" s="18"/>
      <c r="I59" s="18"/>
      <c r="J59" s="107">
        <f>SUM(J55:J58)</f>
        <v>188517</v>
      </c>
      <c r="K59" s="107">
        <f>SUM(K55:K58)</f>
        <v>188517</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156399</v>
      </c>
      <c r="K62" s="147"/>
      <c r="L62" s="10" t="str">
        <f>IF($J$62=$K$69,"","&lt;- Accts 0848 must agree")</f>
        <v/>
      </c>
    </row>
    <row r="63" spans="1:16" ht="16.5" customHeight="1" x14ac:dyDescent="0.25">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4211</v>
      </c>
      <c r="K63" s="147"/>
    </row>
    <row r="64" spans="1:16" ht="16.5" customHeight="1" x14ac:dyDescent="0.25">
      <c r="A64" s="54"/>
      <c r="B64" s="9"/>
      <c r="C64" s="9" t="str">
        <f>IF($F$7="Proprietary","Cr: Acct 0870 - SERVICES &amp; CHARGES (MG ADJ)",VLOOKUP($F$9,'Drop Down Menus'!$F$2:$G$10,2,FALSE))</f>
        <v>Cr: Acct 0870 - SERVICES &amp; CHARGES (MG ADJ)</v>
      </c>
      <c r="D64" s="140"/>
      <c r="E64" s="140"/>
      <c r="F64" s="141"/>
      <c r="G64" s="141"/>
      <c r="H64" s="142"/>
      <c r="I64" s="142"/>
      <c r="J64" s="147"/>
      <c r="K64" s="143">
        <v>160610</v>
      </c>
    </row>
    <row r="65" spans="1:12" ht="16.5" customHeight="1" x14ac:dyDescent="0.25">
      <c r="A65" s="54"/>
      <c r="C65" s="16"/>
      <c r="D65" s="16"/>
      <c r="E65" s="16"/>
      <c r="F65" s="17"/>
      <c r="G65" s="17"/>
      <c r="H65" s="18"/>
      <c r="I65" s="18"/>
      <c r="J65" s="107">
        <f>SUM(J62:J64)</f>
        <v>160610</v>
      </c>
      <c r="K65" s="107">
        <f>SUM(K62:K64)</f>
        <v>160610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156399</v>
      </c>
      <c r="K68" s="144"/>
    </row>
    <row r="69" spans="1:12" ht="16.5" customHeight="1" x14ac:dyDescent="0.25">
      <c r="A69" s="54"/>
      <c r="B69" s="9"/>
      <c r="C69" s="9" t="s">
        <v>185</v>
      </c>
      <c r="D69" s="140"/>
      <c r="E69" s="140"/>
      <c r="F69" s="141"/>
      <c r="G69" s="141"/>
      <c r="H69" s="142"/>
      <c r="I69" s="142"/>
      <c r="J69" s="144"/>
      <c r="K69" s="143">
        <v>156399</v>
      </c>
      <c r="L69" s="10" t="str">
        <f>IF($J$62=$K$69,"","&lt;- Accts 0848 must agree")</f>
        <v/>
      </c>
    </row>
    <row r="70" spans="1:12" ht="16.5" customHeight="1" x14ac:dyDescent="0.25">
      <c r="A70" s="54"/>
      <c r="C70" s="16"/>
      <c r="D70" s="16"/>
      <c r="E70" s="16"/>
      <c r="F70" s="17"/>
      <c r="G70" s="17"/>
      <c r="H70" s="18"/>
      <c r="I70" s="18"/>
      <c r="J70" s="107">
        <f>SUM(J68:J69)</f>
        <v>156399</v>
      </c>
      <c r="K70" s="107">
        <f>SUM(K68:K69)</f>
        <v>156399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157576</v>
      </c>
      <c r="K75" s="144"/>
    </row>
    <row r="76" spans="1:12" ht="16.5" customHeight="1" x14ac:dyDescent="0.25">
      <c r="A76" s="54"/>
      <c r="B76" s="9"/>
      <c r="C76" s="9" t="s">
        <v>193</v>
      </c>
      <c r="D76" s="140"/>
      <c r="E76" s="140"/>
      <c r="F76" s="141"/>
      <c r="G76" s="141"/>
      <c r="H76" s="142"/>
      <c r="I76" s="142"/>
      <c r="J76" s="144"/>
      <c r="K76" s="143">
        <v>157576</v>
      </c>
    </row>
    <row r="77" spans="1:12" ht="16.5" customHeight="1" x14ac:dyDescent="0.2">
      <c r="A77" s="54"/>
      <c r="B77" s="196" t="s">
        <v>1672</v>
      </c>
      <c r="C77" s="196"/>
      <c r="D77" s="196"/>
      <c r="E77" s="196"/>
      <c r="F77" s="196"/>
      <c r="G77" s="196"/>
      <c r="H77" s="196"/>
      <c r="I77" s="196"/>
      <c r="J77" s="107">
        <f>SUM(J75:J76)</f>
        <v>157576</v>
      </c>
      <c r="K77" s="107">
        <f>SUM(K75:K76)</f>
        <v>157576</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Dr: Acct 0870 - SERVICES &amp; CHARGES (MG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942585</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-565551</v>
      </c>
    </row>
    <row r="128" spans="1:12" ht="16.5" customHeight="1" x14ac:dyDescent="0.25">
      <c r="D128" s="140" t="s">
        <v>1656</v>
      </c>
      <c r="H128" s="10"/>
      <c r="K128" s="169">
        <f>-K23-K48+J68+J75+J96-K113</f>
        <v>-318722</v>
      </c>
    </row>
    <row r="129" spans="4:11" ht="16.5" customHeight="1" x14ac:dyDescent="0.25">
      <c r="D129" s="140" t="s">
        <v>1657</v>
      </c>
      <c r="H129" s="10"/>
      <c r="K129" s="169">
        <f>-K76</f>
        <v>-157576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3D886933-2160-410B-AE23-281EB72A11DD}">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6B83261-072D-4577-9194-F88C2AD721BF}">
      <formula1>0</formula1>
    </dataValidation>
    <dataValidation operator="lessThan" allowBlank="1" showInputMessage="1" showErrorMessage="1" sqref="A3:A8" xr:uid="{BFB989B8-F030-4EDD-9A9C-C3B28BEDA4BF}"/>
  </dataValidations>
  <pageMargins left="0" right="0" top="0.75" bottom="0" header="0.3" footer="0.3"/>
  <pageSetup paperSize="3" scale="50" fitToHeight="0" orientation="portrait"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42FED4A-32DE-4CFE-8570-4057A6AAD7FA}">
          <x14:formula1>
            <xm:f>'Drop Down Menus'!$E$1:$E$3</xm:f>
          </x14:formula1>
          <xm:sqref>F8</xm:sqref>
        </x14:dataValidation>
        <x14:dataValidation type="list" allowBlank="1" showInputMessage="1" showErrorMessage="1" xr:uid="{BF58C908-8DDA-468C-B1DF-DEF4B2389C4C}">
          <x14:formula1>
            <xm:f>'Drop Down Menus'!$B$1:$B$2</xm:f>
          </x14:formula1>
          <xm:sqref>F7</xm:sqref>
        </x14:dataValidation>
        <x14:dataValidation type="list" allowBlank="1" showInputMessage="1" showErrorMessage="1" xr:uid="{3A760A50-A550-46A7-A4C1-05A53A0BE49A}">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8" zoomScale="70" zoomScaleNormal="70" workbookViewId="0">
      <selection activeCell="F40" sqref="F4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7910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236364</v>
      </c>
      <c r="C13" s="55">
        <v>4550</v>
      </c>
      <c r="D13" s="202" t="s">
        <v>4</v>
      </c>
      <c r="E13" s="203"/>
      <c r="F13" s="203"/>
      <c r="G13" s="29"/>
      <c r="H13" s="29"/>
      <c r="I13" s="29"/>
      <c r="J13" s="29"/>
      <c r="K13" s="29"/>
      <c r="L13" s="29"/>
      <c r="M13" s="29"/>
    </row>
    <row r="14" spans="1:13" x14ac:dyDescent="0.2">
      <c r="A14" s="51" t="str">
        <f>LEFT(A13,4)+1&amp;"–"&amp;RIGHT(A13,4)+1</f>
        <v>2025–2026</v>
      </c>
      <c r="B14" s="55">
        <v>238145</v>
      </c>
      <c r="C14" s="55">
        <v>2770</v>
      </c>
      <c r="D14" s="202"/>
      <c r="E14" s="203"/>
      <c r="F14" s="203"/>
    </row>
    <row r="15" spans="1:13" ht="15.75" x14ac:dyDescent="0.2">
      <c r="A15" s="51" t="str">
        <f>LEFT(A14,4)+1&amp;"–"&amp;RIGHT(A14,4)+1</f>
        <v>2026–2027</v>
      </c>
      <c r="B15" s="55">
        <v>239938</v>
      </c>
      <c r="C15" s="55">
        <v>976</v>
      </c>
      <c r="D15" s="198" t="s">
        <v>124</v>
      </c>
      <c r="E15" s="198"/>
      <c r="F15" s="198"/>
      <c r="G15" s="30"/>
      <c r="H15" s="30"/>
      <c r="I15" s="30"/>
      <c r="J15" s="30"/>
      <c r="K15" s="30"/>
      <c r="L15" s="30"/>
      <c r="M15" s="30"/>
    </row>
    <row r="16" spans="1:13" x14ac:dyDescent="0.2">
      <c r="A16" s="51" t="str">
        <f>LEFT(A15,4)+1&amp;"–"&amp;RIGHT(A15,4)+1</f>
        <v>2027–2028</v>
      </c>
      <c r="B16" s="55"/>
      <c r="C16" s="55"/>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t="s">
        <v>1667</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7910</v>
      </c>
      <c r="C40" s="213"/>
      <c r="E40" s="32"/>
    </row>
    <row r="41" spans="1:13" ht="15.75" x14ac:dyDescent="0.25">
      <c r="A41" s="5" t="s">
        <v>191</v>
      </c>
      <c r="B41" s="197" t="str">
        <f>B10</f>
        <v>Office of Administrative Law</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v>157576</v>
      </c>
      <c r="C44" s="55">
        <v>3033</v>
      </c>
      <c r="D44" s="202" t="s">
        <v>4</v>
      </c>
      <c r="E44" s="203"/>
      <c r="F44" s="203"/>
    </row>
    <row r="45" spans="1:13" ht="15" customHeight="1" x14ac:dyDescent="0.2">
      <c r="A45" s="51" t="str">
        <f>LEFT(A44,4)+1&amp;"–"&amp;RIGHT(A44,4)+1</f>
        <v>2025–2026</v>
      </c>
      <c r="B45" s="55">
        <v>158763</v>
      </c>
      <c r="C45" s="55">
        <v>1847</v>
      </c>
      <c r="D45" s="202"/>
      <c r="E45" s="203"/>
      <c r="F45" s="203"/>
    </row>
    <row r="46" spans="1:13" x14ac:dyDescent="0.2">
      <c r="A46" s="51" t="str">
        <f>LEFT(A45,4)+1&amp;"–"&amp;RIGHT(A45,4)+1</f>
        <v>2026–2027</v>
      </c>
      <c r="B46" s="55">
        <v>159959</v>
      </c>
      <c r="C46" s="55">
        <v>651</v>
      </c>
      <c r="D46" s="198" t="s">
        <v>124</v>
      </c>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t="s">
        <v>124</v>
      </c>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t="s">
        <v>1667</v>
      </c>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t="s">
        <v>124</v>
      </c>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t="s">
        <v>124</v>
      </c>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7910</v>
      </c>
      <c r="C71" s="213"/>
    </row>
    <row r="72" spans="1:13" ht="15.75" x14ac:dyDescent="0.25">
      <c r="A72" s="5" t="s">
        <v>191</v>
      </c>
      <c r="B72" s="197" t="str">
        <f>B10</f>
        <v>Office of Administrative Law</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J28" sqref="J28"/>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7910 - Office of Administrative Law</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949045</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234598</v>
      </c>
      <c r="K10" s="58"/>
      <c r="L10" s="63">
        <f>SUM(F10+H10-J10)</f>
        <v>714447</v>
      </c>
      <c r="M10" s="58"/>
      <c r="N10" s="61">
        <f>IF('LS-Fund 0001 Journal Entries'!$F$8="Governmental Fund",'LS-Fund 0001 Journal Entries'!$K$76,0)</f>
        <v>236364</v>
      </c>
      <c r="O10" s="58"/>
      <c r="P10" s="63">
        <f>L10-N10</f>
        <v>478083</v>
      </c>
      <c r="Q10" s="43"/>
    </row>
    <row r="11" spans="2:17" ht="19.5" thickTop="1" thickBot="1" x14ac:dyDescent="0.3">
      <c r="B11" s="41"/>
      <c r="C11" s="45" t="s">
        <v>18</v>
      </c>
      <c r="F11" s="62">
        <f>SUM(F10:F10)</f>
        <v>949045</v>
      </c>
      <c r="G11" s="58"/>
      <c r="H11" s="62">
        <f>SUM(H10:H10)</f>
        <v>0</v>
      </c>
      <c r="I11" s="58"/>
      <c r="J11" s="62">
        <f>SUM(J10:J10)</f>
        <v>234598</v>
      </c>
      <c r="K11" s="58"/>
      <c r="L11" s="62">
        <f>SUM(L10:L10)</f>
        <v>714447</v>
      </c>
      <c r="M11" s="58"/>
      <c r="N11" s="62">
        <f>SUM(N10:N10)</f>
        <v>236364</v>
      </c>
      <c r="O11" s="58"/>
      <c r="P11" s="62">
        <f>SUM(P10:P10)</f>
        <v>478083</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9740 Journal Entries'!$F$8="Proprietary - Internal Service Fund",'LS-Fund 9740 Journal Entries'!$K$23,0)</f>
        <v>632697</v>
      </c>
      <c r="G14" s="58"/>
      <c r="H14" s="61">
        <f>IF('LS-Fund 9740 Journal Entries'!$F$8="Proprietary - Internal Service Fund",SUM('LS-Fund 9740 Journal Entries'!$K$48,'LS-Fund 9740 Journal Entries'!K113),0)</f>
        <v>0</v>
      </c>
      <c r="I14" s="58"/>
      <c r="J14" s="61">
        <f>IF('LS-Fund 9740 Journal Entries'!$F$8="Proprietary - Internal Service Fund",SUM('LS-Fund 9740 Journal Entries'!$J$68,'LS-Fund 9740 Journal Entries'!J96),0)</f>
        <v>156399</v>
      </c>
      <c r="K14" s="58"/>
      <c r="L14" s="63">
        <f>SUM(F14+H14-J14)</f>
        <v>476298</v>
      </c>
      <c r="M14" s="58"/>
      <c r="N14" s="61">
        <f>IF('LS-Fund 9740 Journal Entries'!$F$8="Proprietary - Internal Service Fund",'LS-Fund 9740 Journal Entries'!$K$76,0)</f>
        <v>157576</v>
      </c>
      <c r="O14" s="58"/>
      <c r="P14" s="63">
        <f>L14-N14</f>
        <v>318722</v>
      </c>
      <c r="Q14" s="43"/>
    </row>
    <row r="15" spans="2:17" ht="19.5" thickTop="1" thickBot="1" x14ac:dyDescent="0.3">
      <c r="B15" s="41"/>
      <c r="C15" s="45" t="s">
        <v>134</v>
      </c>
      <c r="F15" s="62">
        <f>SUM(F14:F14)</f>
        <v>632697</v>
      </c>
      <c r="G15" s="58"/>
      <c r="H15" s="62">
        <f>SUM(H14:H14)</f>
        <v>0</v>
      </c>
      <c r="I15" s="58"/>
      <c r="J15" s="62">
        <f>SUM(J14:J14)</f>
        <v>156399</v>
      </c>
      <c r="K15" s="58"/>
      <c r="L15" s="62">
        <f>SUM(L14:L14)</f>
        <v>476298</v>
      </c>
      <c r="M15" s="58"/>
      <c r="N15" s="62">
        <f>SUM(N14:N14)</f>
        <v>157576</v>
      </c>
      <c r="O15" s="58"/>
      <c r="P15" s="62">
        <f>SUM(P14:P14)</f>
        <v>318722</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J19" sqref="J19"/>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949045</v>
      </c>
      <c r="C16" s="116" t="s">
        <v>145</v>
      </c>
      <c r="D16" s="84">
        <f>IF('LS-Fund 0001 Journal Entries'!$F$8="Governmental Fund",'LS-Fund 0001 Journal Entries'!$K$48,0)</f>
        <v>0</v>
      </c>
      <c r="E16" s="118" t="s">
        <v>146</v>
      </c>
      <c r="F16" s="84">
        <f>IF('LS-Fund 0001 Journal Entries'!$F$8="Governmental Fund",'LS-Fund 0001 Journal Entries'!$J$68,0)</f>
        <v>234598</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714447</v>
      </c>
      <c r="M16" s="86"/>
      <c r="N16" s="88">
        <f>SUM('LS-Department Note Disclosure'!B13:B36)</f>
        <v>714447</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9740 Journal Entries'!$F$8="Proprietary - Internal Service Fund",'LS-Fund 9740 Journal Entries'!$K$23,0)</f>
        <v>632697</v>
      </c>
      <c r="C24" s="116" t="s">
        <v>145</v>
      </c>
      <c r="D24" s="84">
        <f>IF('LS-Fund 9740 Journal Entries'!$F$8="Proprietary - Internal Service Fund",'LS-Fund 9740 Journal Entries'!$K$48,0)</f>
        <v>0</v>
      </c>
      <c r="E24" s="118" t="s">
        <v>146</v>
      </c>
      <c r="F24" s="84">
        <f>IF('LS-Fund 9740 Journal Entries'!$F$8="Proprietary - Internal Service Fund",'LS-Fund 9740 Journal Entries'!$J$68,0)</f>
        <v>156399</v>
      </c>
      <c r="G24" s="117" t="s">
        <v>146</v>
      </c>
      <c r="H24" s="84">
        <f>IF('LS-Fund 9740 Journal Entries'!$F$8="Proprietary - Internal Service Fund",'LS-Fund 9740 Journal Entries'!$J$96,0)</f>
        <v>0</v>
      </c>
      <c r="I24" s="117" t="s">
        <v>145</v>
      </c>
      <c r="J24" s="84">
        <f>IF('LS-Fund 9740 Journal Entries'!$F$8="Proprietary - Internal Service Fund",'LS-Fund 9740 Journal Entries'!$K$113,0)</f>
        <v>0</v>
      </c>
      <c r="K24" s="118" t="s">
        <v>149</v>
      </c>
      <c r="L24" s="87">
        <f>+B24+D24-F24-H24+J24</f>
        <v>476298</v>
      </c>
      <c r="M24" s="86"/>
      <c r="N24" s="88">
        <f>SUM('LS-Department Note Disclosure'!B44:B67)</f>
        <v>476298</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236364</v>
      </c>
      <c r="C42" s="92"/>
      <c r="E42" s="92"/>
      <c r="G42" s="115"/>
      <c r="H42" s="115"/>
      <c r="I42" s="115"/>
      <c r="J42" s="115"/>
      <c r="K42" s="92"/>
      <c r="L42" s="92"/>
      <c r="M42" s="93"/>
      <c r="N42" s="88">
        <f>'LS-Department Note Disclosure'!B13</f>
        <v>236364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9740 Journal Entries'!$F$8="Proprietary - Internal Service Fund",'LS-Fund 9740 Journal Entries'!$K$76,0)</f>
        <v>157576</v>
      </c>
      <c r="C49" s="92"/>
      <c r="E49" s="92"/>
      <c r="G49" s="115"/>
      <c r="H49" s="115"/>
      <c r="I49" s="115"/>
      <c r="J49" s="115"/>
      <c r="K49" s="92"/>
      <c r="L49" s="92"/>
      <c r="M49" s="93"/>
      <c r="N49" s="88">
        <f>'LS-Department Note Disclosure'!B44</f>
        <v>157576</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949045</v>
      </c>
      <c r="J66" s="97">
        <f>SUM(D66)</f>
        <v>949045</v>
      </c>
      <c r="L66" s="98" t="str">
        <f>CONCATENATE("Balance July 1, ",LEFT('LS-Department Note Disclosure'!$B$8,4))</f>
        <v>Balance July 1, 2023</v>
      </c>
      <c r="N66" s="97">
        <f>'LS-Lease Liabilities'!F10</f>
        <v>949045</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234598</v>
      </c>
      <c r="E68" s="119" t="s">
        <v>145</v>
      </c>
      <c r="F68" s="79" t="s">
        <v>1678</v>
      </c>
      <c r="H68" s="97">
        <f>$H$16</f>
        <v>0</v>
      </c>
      <c r="J68" s="97">
        <f>SUM(D68,H68)</f>
        <v>234598</v>
      </c>
      <c r="L68" s="98" t="s">
        <v>13</v>
      </c>
      <c r="N68" s="97">
        <f>'LS-Lease Liabilities'!J10</f>
        <v>234598</v>
      </c>
      <c r="P68" s="89">
        <f t="shared" si="0"/>
        <v>0</v>
      </c>
    </row>
    <row r="69" spans="1:17" x14ac:dyDescent="0.25">
      <c r="B69" s="79" t="s">
        <v>155</v>
      </c>
      <c r="D69" s="97">
        <f>$B$42</f>
        <v>236364</v>
      </c>
      <c r="J69" s="97">
        <f>SUM(D69)</f>
        <v>236364</v>
      </c>
      <c r="L69" s="98" t="s">
        <v>14</v>
      </c>
      <c r="N69" s="97">
        <f>'LS-Lease Liabilities'!N10</f>
        <v>236364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632697</v>
      </c>
      <c r="J77" s="97">
        <f>SUM(D77)</f>
        <v>632697</v>
      </c>
      <c r="L77" s="98" t="str">
        <f>CONCATENATE("Balance July 1, ",LEFT('LS-Department Note Disclosure'!$B$8,4))</f>
        <v>Balance July 1, 2023</v>
      </c>
      <c r="N77" s="97">
        <f>'LS-Lease Liabilities'!F14</f>
        <v>632697</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156399</v>
      </c>
      <c r="E79" s="119" t="s">
        <v>145</v>
      </c>
      <c r="F79" s="79" t="s">
        <v>1678</v>
      </c>
      <c r="H79" s="97">
        <f>$H$24</f>
        <v>0</v>
      </c>
      <c r="J79" s="97">
        <f>SUM(D79,H79)</f>
        <v>156399</v>
      </c>
      <c r="L79" s="98" t="s">
        <v>13</v>
      </c>
      <c r="N79" s="97">
        <f>'LS-Lease Liabilities'!J14</f>
        <v>156399</v>
      </c>
      <c r="P79" s="89">
        <f t="shared" si="1"/>
        <v>0</v>
      </c>
    </row>
    <row r="80" spans="1:17" x14ac:dyDescent="0.25">
      <c r="B80" s="79" t="s">
        <v>155</v>
      </c>
      <c r="D80" s="97">
        <f>B49</f>
        <v>157576</v>
      </c>
      <c r="J80" s="97">
        <f>SUM(D80)</f>
        <v>157576</v>
      </c>
      <c r="L80" s="98" t="s">
        <v>14</v>
      </c>
      <c r="N80" s="97">
        <f>'LS-Lease Liabilities'!N14</f>
        <v>157576</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0001 Journal Entries</vt:lpstr>
      <vt:lpstr>LS-Fund 9740 Journal Entries</vt:lpstr>
      <vt:lpstr>LS-Department Note Disclosure</vt:lpstr>
      <vt:lpstr>LS-Lease Liabilities</vt:lpstr>
      <vt:lpstr>LS-Check Figures  </vt:lpstr>
      <vt:lpstr>'LS-Department Note Disclosure'!Print_Area</vt:lpstr>
      <vt:lpstr>'LS-Fund 0001 Journal Entries'!Print_Area</vt:lpstr>
      <vt:lpstr>'LS-Fund 9740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2024-11-21T20:59:16Z</cp:lastPrinted>
  <dcterms:created xsi:type="dcterms:W3CDTF">2023-03-08T17:19:33Z</dcterms:created>
  <dcterms:modified xsi:type="dcterms:W3CDTF">2025-01-09T17:19:16Z</dcterms:modified>
</cp:coreProperties>
</file>