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DD8E71A6-4363-4460-A688-7D4C144BF6F6}"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133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0133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B13" i="3"/>
  <c r="K90" i="2"/>
  <c r="J87" i="2"/>
  <c r="K76" i="2"/>
  <c r="J75" i="2"/>
  <c r="K69" i="2"/>
  <c r="J68" i="2"/>
  <c r="K64" i="2"/>
  <c r="J63" i="2"/>
  <c r="J62" i="2"/>
  <c r="K58" i="2"/>
  <c r="J55" i="2"/>
  <c r="N23" i="2"/>
  <c r="N22" i="2"/>
  <c r="M18" i="2"/>
  <c r="M17" i="2"/>
  <c r="J10" i="4" l="1"/>
  <c r="B63" i="2"/>
  <c r="B57" i="8"/>
  <c r="L56" i="8"/>
  <c r="L63" i="8"/>
  <c r="K83" i="8"/>
  <c r="K82" i="8"/>
  <c r="K81" i="8"/>
  <c r="K80" i="8"/>
  <c r="K79" i="8"/>
  <c r="K78" i="8"/>
  <c r="K77" i="8"/>
  <c r="J18" i="4"/>
  <c r="J14" i="4"/>
  <c r="H18" i="4"/>
  <c r="H14" i="4"/>
  <c r="H10" i="4"/>
  <c r="N18" i="4"/>
  <c r="N14" i="4"/>
  <c r="N10" i="4"/>
  <c r="F18" i="4"/>
  <c r="F14" i="4"/>
  <c r="S20" i="2"/>
  <c r="Q24" i="2"/>
  <c r="P18" i="2"/>
  <c r="H16" i="12"/>
  <c r="B57" i="12"/>
  <c r="B49" i="12"/>
  <c r="B42" i="12"/>
  <c r="J33" i="12"/>
  <c r="H33" i="12"/>
  <c r="F33" i="12"/>
  <c r="D33" i="12"/>
  <c r="J24" i="12"/>
  <c r="H24" i="12"/>
  <c r="F24" i="12"/>
  <c r="D24" i="12"/>
  <c r="B24" i="12"/>
  <c r="J16" i="12"/>
  <c r="F16" i="12"/>
  <c r="D16" i="12"/>
  <c r="B16" i="12"/>
  <c r="L62" i="2" l="1"/>
  <c r="L69" i="2"/>
  <c r="J15" i="8"/>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<sst xmlns="http://schemas.openxmlformats.org/spreadsheetml/2006/main" count="8068" uniqueCount="1804">
  <si>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</si>
  <si>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</si>
  <si>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</si>
  <si>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</si>
  <si>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</si>
  <si>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</si>
  <si>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</si>
  <si>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</si>
  <si>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</si>
  <si>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</si>
  <si>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</si>
  <si>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</si>
  <si>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</si>
  <si>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</si>
  <si>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</si>
  <si>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</si>
  <si>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</si>
  <si>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</si>
  <si>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</si>
  <si>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</si>
  <si>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</si>
  <si>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</si>
  <si>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</si>
  <si>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</si>
  <si>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</si>
  <si>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</si>
  <si>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</si>
  <si>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</si>
  <si>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</si>
  <si>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</si>
  <si>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</si>
  <si>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</si>
  <si>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</si>
  <si>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</si>
  <si>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</si>
  <si>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</si>
  <si>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</si>
  <si>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</si>
  <si>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</si>
  <si>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</si>
  <si>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</si>
  <si>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</si>
  <si>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</si>
  <si>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</si>
  <si>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</si>
  <si>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</si>
  <si>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</si>
  <si>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</si>
  <si>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</si>
  <si>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</si>
  <si>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</si>
  <si>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</si>
  <si>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</si>
  <si>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</si>
  <si>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</si>
  <si>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</si>
  <si>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</si>
  <si>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</si>
  <si>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</si>
  <si>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</si>
  <si>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</si>
  <si>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</si>
  <si>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</si>
  <si>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</si>
  <si>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</si>
  <si>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</si>
  <si>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</si>
  <si>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</si>
  <si>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</si>
  <si>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</si>
  <si>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</si>
  <si>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</si>
  <si>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</si>
  <si>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</si>
  <si>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</si>
  <si>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</si>
  <si>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</si>
  <si>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</si>
  <si>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</si>
  <si>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</si>
  <si>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</si>
  <si>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</si>
  <si>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</si>
  <si>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</si>
  <si>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</si>
  <si>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</si>
  <si>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</si>
  <si>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</si>
  <si>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</si>
  <si>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</si>
  <si>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</si>
  <si>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</si>
  <si>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</si>
  <si>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</si>
  <si>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</si>
  <si>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</si>
  <si>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</si>
  <si>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</si>
  <si>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</si>
  <si>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</si>
  <si>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</si>
  <si>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</si>
  <si>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</si>
  <si>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</si>
  <si>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</si>
  <si>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</si>
  <si>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</si>
  <si>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</si>
  <si>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</si>
  <si>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</si>
  <si>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</si>
  <si>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</si>
  <si>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</si>
  <si>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</si>
  <si>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</si>
  <si>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</si>
  <si>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</si>
  <si>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</si>
  <si>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</si>
  <si>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</si>
  <si>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</si>
  <si>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</si>
  <si>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</si>
  <si>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</si>
  <si>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</si>
  <si>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</si>
  <si>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</si>
  <si>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</si>
  <si>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</si>
  <si>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</si>
  <si>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</si>
  <si>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</si>
  <si>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</si>
  <si>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</si>
  <si>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</si>
  <si>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</si>
  <si>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</si>
  <si>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</si>
  <si>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</si>
  <si>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</si>
  <si>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</si>
  <si>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</si>
  <si>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</si>
  <si>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</si>
  <si>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</si>
  <si>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</si>
  <si>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</si>
  <si>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</si>
  <si>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</si>
  <si>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</si>
  <si>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</si>
  <si>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</si>
  <si>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</si>
  <si>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</si>
  <si>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</si>
  <si>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</si>
  <si>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</si>
  <si>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</si>
  <si>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</si>
  <si>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</si>
  <si>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</si>
  <si>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</si>
  <si>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</si>
  <si>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</si>
  <si>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</si>
  <si>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</si>
  <si>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</si>
  <si>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</si>
  <si>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</si>
  <si>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</si>
  <si>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</si>
  <si>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</si>
  <si>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</si>
  <si>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</si>
  <si>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</si>
  <si>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</si>
  <si>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</si>
  <si>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</si>
  <si>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</si>
  <si>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</si>
  <si>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</si>
  <si>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</si>
  <si>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</si>
  <si>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</si>
  <si>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</si>
  <si>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</si>
  <si>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</si>
  <si>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</si>
  <si>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</si>
  <si>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</si>
  <si>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</si>
  <si>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</si>
  <si>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</si>
  <si>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</si>
  <si>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</si>
  <si>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</si>
  <si>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</si>
  <si>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</si>
  <si>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</si>
  <si>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</si>
  <si>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</si>
  <si>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</si>
  <si>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</si>
  <si>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</si>
  <si>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</si>
  <si>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</si>
  <si>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</si>
  <si>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</si>
  <si>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</si>
  <si>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</si>
  <si>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</si>
  <si>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</si>
  <si>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</si>
  <si>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</si>
  <si>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</si>
  <si>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</si>
  <si>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</si>
  <si>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</si>
  <si>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</si>
  <si>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</si>
  <si>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</si>
  <si>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</si>
  <si>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</si>
  <si>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</si>
  <si>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</si>
  <si>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</si>
  <si>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</si>
  <si>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</si>
  <si>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</si>
  <si>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</si>
  <si>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</si>
  <si>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</si>
  <si>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</si>
  <si>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</si>
  <si>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</si>
  <si>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</si>
  <si>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</si>
  <si>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</si>
  <si>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</si>
  <si>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</si>
  <si>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</si>
  <si>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</si>
  <si>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</si>
  <si>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</si>
  <si>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</si>
  <si>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</si>
  <si>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</si>
  <si>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</si>
  <si>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</si>
  <si>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</si>
  <si>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</si>
  <si>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</si>
  <si>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</si>
  <si>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</si>
  <si>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</si>
  <si>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</si>
  <si>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</si>
  <si>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</si>
  <si>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</si>
  <si>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</si>
  <si>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</si>
  <si>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</si>
  <si>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</si>
  <si>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</si>
  <si>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</si>
  <si>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</si>
  <si>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</si>
  <si>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</si>
  <si>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</si>
  <si>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</si>
  <si>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</si>
  <si>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</si>
  <si>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</si>
  <si>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</si>
  <si>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</si>
  <si>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</si>
  <si>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</si>
  <si>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</si>
  <si>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</si>
  <si>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</si>
  <si>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</si>
  <si>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</si>
  <si>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</si>
  <si>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</si>
  <si>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</si>
  <si>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</si>
  <si>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</si>
  <si>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</si>
  <si>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</si>
  <si>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</si>
  <si>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</si>
  <si>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</si>
  <si>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</si>
  <si>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</si>
  <si>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</si>
  <si>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</si>
  <si>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</si>
  <si>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</si>
  <si>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</si>
  <si>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</si>
  <si>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</si>
  <si>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</si>
  <si>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</si>
  <si>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</si>
  <si>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</si>
  <si>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</si>
  <si>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</si>
  <si>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</si>
  <si>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</si>
  <si>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</si>
  <si>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</si>
  <si>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</si>
  <si>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</si>
  <si>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</si>
  <si>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</si>
  <si>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</si>
  <si>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</si>
  <si>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</si>
  <si>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</si>
  <si>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</si>
  <si>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</si>
  <si>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</si>
  <si>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</si>
  <si>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</si>
  <si>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</si>
  <si>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</si>
  <si>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</si>
  <si>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</si>
  <si>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</si>
  <si>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</si>
  <si>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</si>
  <si>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</si>
  <si>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</si>
  <si>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</si>
  <si>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</si>
  <si>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</si>
  <si>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</si>
  <si>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</si>
  <si>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</si>
  <si>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</si>
  <si>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</si>
  <si>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</si>
  <si>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</si>
  <si>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</si>
  <si>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</si>
  <si>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</si>
  <si>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</si>
  <si>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</si>
  <si>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</si>
  <si>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</si>
  <si>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</si>
  <si>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</si>
  <si>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</si>
  <si>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</si>
  <si>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</si>
  <si>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</si>
  <si>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</si>
  <si>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</si>
  <si>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</si>
  <si>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</si>
  <si>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</si>
  <si>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</si>
  <si>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</si>
  <si>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</si>
  <si>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</si>
  <si>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</si>
  <si>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</si>
  <si>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</si>
  <si>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</si>
  <si>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</si>
  <si>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</si>
  <si>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</si>
  <si>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</si>
  <si>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</si>
  <si>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</si>
  <si>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</si>
  <si>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</si>
  <si>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</si>
  <si>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</si>
  <si>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</si>
  <si>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</si>
  <si>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</si>
  <si>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</si>
  <si>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</si>
  <si>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</si>
  <si>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</si>
  <si>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</si>
  <si>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</si>
  <si>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</si>
  <si>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</si>
  <si>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</si>
  <si>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</si>
  <si>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</si>
  <si>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</si>
  <si>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</si>
  <si>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</si>
  <si>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</si>
  <si>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</si>
  <si>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</si>
  <si>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</si>
  <si>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</si>
  <si>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</si>
  <si>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</si>
  <si>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</si>
  <si>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</si>
  <si>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</si>
  <si>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</si>
  <si>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</si>
  <si>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</si>
  <si>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</si>
  <si>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</si>
  <si>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</si>
  <si>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</si>
  <si>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</si>
  <si>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</si>
  <si>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</si>
  <si>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</si>
  <si>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</si>
  <si>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</si>
  <si>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</si>
  <si>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</si>
  <si>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</si>
  <si>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</si>
  <si>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</si>
  <si>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</si>
  <si>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</si>
  <si>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</si>
  <si>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</si>
  <si>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</si>
  <si>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</si>
  <si>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</si>
  <si>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</si>
  <si>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</si>
  <si>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</si>
  <si>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</si>
  <si>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</si>
  <si>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</si>
  <si>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</si>
  <si>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</si>
  <si>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</si>
  <si>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</si>
  <si>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</si>
  <si>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</si>
  <si>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</si>
  <si>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</si>
  <si>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</si>
  <si>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</si>
  <si>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</si>
  <si>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</si>
  <si>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</si>
  <si>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</si>
  <si>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</si>
  <si>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</si>
  <si>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</si>
  <si>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</si>
  <si>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</si>
  <si>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</si>
  <si>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</si>
  <si>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</si>
  <si>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</si>
  <si>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</si>
  <si>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</si>
  <si>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</si>
  <si>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</si>
  <si>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</si>
  <si>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</si>
  <si>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</si>
  <si>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</si>
  <si>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</si>
  <si>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</si>
  <si>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</si>
  <si>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</si>
  <si>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</si>
  <si>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</si>
  <si>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</si>
  <si>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</si>
  <si>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</si>
  <si>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</si>
  <si>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</si>
  <si>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</si>
  <si>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</si>
  <si>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</si>
  <si>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</si>
  <si>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</si>
  <si>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</si>
  <si>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</si>
  <si>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</si>
  <si>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</si>
  <si>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</si>
  <si>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</si>
  <si>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</si>
  <si>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</si>
  <si>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</si>
  <si>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</si>
  <si>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</si>
  <si>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</si>
  <si>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</si>
  <si>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</si>
  <si>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</si>
  <si>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</si>
  <si>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</si>
  <si>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</si>
  <si>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</si>
  <si>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</si>
  <si>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</si>
  <si>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</si>
  <si>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</si>
  <si>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</si>
  <si>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</si>
  <si>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</si>
  <si>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</si>
  <si>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</si>
  <si>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</si>
  <si>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</si>
  <si>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</si>
  <si>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</si>
  <si>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</si>
  <si>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</si>
  <si>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</si>
  <si>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</si>
  <si>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</si>
  <si>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</si>
  <si>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</si>
  <si>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</si>
  <si>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</si>
  <si>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</si>
  <si>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</si>
  <si>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</si>
  <si>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</si>
  <si>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</si>
  <si>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</si>
  <si>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</si>
  <si>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</si>
  <si>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</si>
  <si>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</si>
  <si>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</si>
  <si>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</si>
  <si>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</si>
  <si>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</si>
  <si>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</si>
  <si>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</si>
  <si>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</si>
  <si>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</si>
  <si>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</si>
  <si>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</si>
  <si>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</si>
  <si>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</si>
  <si>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</si>
  <si>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</si>
  <si>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</si>
  <si>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</si>
  <si>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</si>
  <si>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</si>
  <si>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</si>
  <si>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</si>
  <si>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</si>
  <si>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</si>
  <si>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</si>
  <si>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</si>
  <si>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</si>
  <si>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</si>
  <si>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</si>
  <si>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</si>
  <si>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</si>
  <si>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</si>
  <si>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</si>
  <si>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</si>
  <si>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</si>
  <si>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</si>
  <si>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</si>
  <si>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</si>
  <si>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</si>
  <si>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</si>
  <si>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</si>
  <si>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</si>
  <si>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</si>
  <si>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</si>
  <si>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</si>
  <si>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</si>
  <si>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</si>
  <si>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</si>
  <si>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</si>
  <si>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</si>
  <si>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</si>
  <si>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</si>
  <si>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</si>
  <si>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</si>
  <si>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</si>
  <si>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</si>
  <si>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</si>
  <si>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</si>
  <si>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</si>
  <si>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</si>
  <si>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</si>
  <si>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</si>
  <si>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</si>
  <si>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</si>
  <si>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</si>
  <si>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</si>
  <si>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</si>
  <si>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</si>
  <si>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</si>
  <si>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</si>
  <si>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</si>
  <si>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</si>
  <si>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</si>
  <si>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</si>
  <si>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</si>
  <si>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</si>
  <si>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</si>
  <si>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</si>
  <si>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</si>
  <si>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</si>
  <si>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</si>
  <si>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</si>
  <si>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</si>
  <si>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</si>
  <si>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</si>
  <si>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</si>
  <si>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</si>
  <si>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</si>
  <si>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</si>
  <si>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</si>
  <si>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</si>
  <si>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</si>
  <si>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</si>
  <si>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</si>
  <si>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</si>
  <si>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</si>
  <si>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</si>
  <si>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</si>
  <si>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</si>
  <si>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</si>
  <si>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</si>
  <si>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</si>
  <si>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</si>
  <si>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</si>
  <si>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</si>
  <si>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</si>
  <si>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</si>
  <si>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</si>
  <si>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</si>
  <si>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</si>
  <si>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</si>
  <si>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</si>
  <si>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</si>
  <si>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</si>
  <si>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</si>
  <si>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</si>
  <si>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</si>
  <si>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</si>
  <si>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</si>
  <si>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</si>
  <si>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</si>
  <si>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</si>
  <si>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</si>
  <si>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</si>
  <si>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</si>
  <si>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</si>
  <si>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</si>
  <si>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</si>
  <si>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</si>
  <si>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</si>
  <si>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</si>
  <si>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</si>
  <si>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</si>
  <si>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</si>
  <si>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</si>
  <si>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</si>
  <si>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</si>
  <si>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</si>
  <si>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</si>
  <si>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</si>
  <si>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</si>
  <si>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</si>
  <si>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</si>
  <si>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</si>
  <si>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</si>
  <si>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</si>
  <si>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</si>
  <si>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</si>
  <si>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</si>
  <si>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</si>
  <si>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</si>
  <si>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</si>
  <si>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</si>
  <si>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</si>
  <si>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</si>
  <si>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</si>
  <si>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</si>
  <si>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</si>
  <si>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</si>
  <si>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</si>
  <si>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</si>
  <si>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</si>
  <si>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</si>
  <si>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</si>
  <si>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</si>
  <si>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</si>
  <si>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</si>
  <si>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</si>
  <si>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</si>
  <si>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</si>
  <si>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</si>
  <si>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</si>
  <si>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</si>
  <si>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</si>
  <si>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</si>
  <si>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</si>
  <si>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</si>
  <si>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</si>
  <si>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</si>
  <si>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</si>
  <si>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</si>
  <si>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</si>
  <si>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</si>
  <si>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</si>
  <si>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</si>
  <si>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</si>
  <si>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</si>
  <si>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</si>
  <si>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</si>
  <si>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</si>
  <si>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</si>
  <si>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</si>
  <si>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</si>
  <si>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</si>
  <si>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</si>
  <si>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</si>
  <si>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</si>
  <si>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</si>
  <si>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</si>
  <si>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</si>
  <si>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</si>
  <si>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</si>
  <si>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</si>
  <si>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</si>
  <si>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</si>
  <si>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</si>
  <si>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</si>
  <si>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</si>
  <si>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</si>
  <si>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</si>
  <si>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</si>
  <si>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</si>
  <si>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</si>
  <si>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</si>
  <si>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</si>
  <si>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</si>
  <si>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</si>
  <si>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</si>
  <si>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</si>
  <si>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</si>
  <si>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</si>
  <si>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</si>
  <si>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</si>
  <si>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</si>
  <si>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</si>
  <si>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</si>
  <si>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</si>
  <si>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</si>
  <si>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</si>
  <si>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</si>
  <si>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</si>
  <si>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</si>
  <si>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</si>
  <si>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</si>
  <si>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</si>
  <si>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</si>
  <si>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</si>
  <si>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</si>
  <si>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</si>
  <si>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</si>
  <si>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</si>
  <si>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</si>
  <si>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</si>
  <si>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</si>
  <si>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</si>
  <si>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</si>
  <si>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</si>
  <si>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</si>
  <si>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</si>
  <si>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</si>
  <si>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</si>
  <si>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</si>
  <si>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</si>
  <si>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</si>
  <si>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</si>
  <si>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</si>
  <si>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</si>
  <si>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</si>
  <si>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</si>
  <si>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</si>
  <si>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</si>
  <si>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</si>
  <si>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</si>
  <si>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</si>
  <si>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</si>
  <si>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</si>
  <si>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</si>
  <si>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</si>
  <si>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</si>
  <si>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</si>
  <si>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</si>
  <si>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</si>
  <si>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</si>
  <si>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</si>
  <si>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</si>
  <si>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</si>
  <si>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</si>
  <si>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</si>
  <si>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</si>
  <si>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</si>
  <si>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</si>
  <si>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</si>
  <si>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</si>
  <si>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</si>
  <si>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</si>
  <si>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</si>
  <si>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</si>
  <si>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</si>
  <si>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</si>
  <si>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</si>
  <si>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</si>
  <si>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</si>
  <si>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</si>
  <si>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</si>
  <si>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</si>
  <si>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</si>
  <si>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</si>
  <si>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</si>
  <si>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</si>
  <si>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</si>
  <si>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</si>
  <si>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</si>
  <si>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</si>
  <si>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</si>
  <si>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</si>
  <si>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</si>
  <si>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</si>
  <si>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</si>
  <si>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</si>
  <si>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</si>
  <si>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</si>
  <si>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</si>
  <si>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</si>
  <si>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</si>
  <si>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</si>
  <si>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</si>
  <si>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</si>
  <si>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</si>
  <si>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</si>
  <si>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</si>
  <si>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</si>
  <si>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</si>
  <si>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</si>
  <si>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</si>
  <si>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</si>
  <si>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</si>
  <si>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</si>
  <si>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</si>
  <si>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</si>
  <si>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</si>
  <si>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</si>
  <si>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</si>
  <si>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</si>
  <si>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</si>
  <si>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</si>
  <si>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</si>
  <si>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</si>
  <si>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</si>
  <si>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</si>
  <si>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</si>
  <si>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</si>
  <si>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</si>
  <si>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</si>
  <si>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</si>
  <si>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</si>
  <si>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</si>
  <si>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</si>
  <si>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</si>
  <si>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</si>
  <si>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</si>
  <si>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</si>
  <si>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</si>
  <si>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</si>
  <si>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</si>
  <si>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</si>
  <si>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</si>
  <si>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</si>
  <si>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</si>
  <si>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</si>
  <si>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</si>
  <si>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</si>
  <si>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</si>
  <si>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</si>
  <si>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</si>
  <si>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</si>
  <si>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</si>
  <si>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</si>
  <si>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</si>
  <si>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</si>
  <si>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</si>
  <si>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</si>
  <si>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</si>
  <si>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</si>
  <si>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</si>
  <si>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</si>
  <si>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</si>
  <si>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</si>
  <si>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</si>
  <si>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</si>
  <si>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</si>
  <si>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</si>
  <si>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</si>
  <si>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</si>
  <si>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</si>
  <si>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</si>
  <si>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</si>
  <si>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</si>
  <si>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</si>
  <si>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</si>
  <si>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</si>
  <si>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</si>
  <si>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</si>
  <si>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</si>
  <si>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</si>
  <si>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</si>
  <si>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</si>
  <si>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</si>
  <si>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</si>
  <si>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</si>
  <si>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</si>
  <si>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</si>
  <si>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</si>
  <si>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</si>
  <si>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</si>
  <si>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</si>
  <si>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</si>
  <si>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</si>
  <si>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</si>
  <si>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</si>
  <si>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</si>
  <si>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</si>
  <si>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</si>
  <si>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</si>
  <si>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</si>
  <si>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</si>
  <si>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</si>
  <si>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</si>
  <si>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</si>
  <si>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</si>
  <si>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</si>
  <si>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</si>
  <si>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</si>
  <si>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</si>
  <si>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</si>
  <si>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</si>
  <si>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</si>
  <si>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</si>
  <si>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</si>
  <si>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</si>
  <si>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</si>
  <si>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</si>
  <si>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</si>
  <si>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</si>
  <si>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</si>
  <si>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</si>
  <si>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</si>
  <si>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</si>
  <si>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</si>
  <si>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</si>
  <si>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</si>
  <si>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</si>
  <si>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</si>
  <si>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</si>
  <si>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</si>
  <si>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</si>
  <si>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</si>
  <si>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</si>
  <si>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</si>
  <si>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</si>
  <si>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</si>
  <si>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</si>
  <si>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</si>
  <si>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</si>
  <si>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</si>
  <si>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</si>
  <si>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</si>
  <si>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</si>
  <si>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</si>
  <si>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</si>
  <si>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</si>
  <si>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</si>
  <si>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</si>
  <si>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</si>
  <si>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</si>
  <si>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</si>
  <si>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</si>
  <si>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</si>
  <si>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</si>
  <si>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</si>
  <si>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</si>
  <si>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</si>
  <si>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</si>
  <si>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</si>
  <si>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</si>
  <si>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</si>
  <si>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</si>
  <si>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</si>
  <si>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</si>
  <si>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</si>
  <si>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</si>
  <si>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</si>
  <si>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</si>
  <si>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</si>
  <si>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</si>
  <si>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</si>
  <si>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</si>
  <si>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</si>
  <si>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</si>
  <si>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</si>
  <si>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</si>
  <si>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</si>
  <si>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</si>
  <si>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</si>
  <si>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</si>
  <si>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</si>
  <si>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</si>
  <si>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</si>
  <si>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</si>
  <si>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</si>
  <si>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</si>
  <si>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</si>
  <si>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</si>
  <si>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</si>
  <si>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</si>
  <si>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</si>
  <si>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</si>
  <si>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</si>
  <si>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</si>
  <si>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</si>
  <si>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</si>
  <si>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</si>
  <si>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</si>
  <si>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</si>
  <si>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</si>
  <si>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</si>
  <si>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</si>
  <si>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</si>
  <si>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</si>
  <si>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</si>
  <si>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</si>
  <si>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</si>
  <si>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</si>
  <si>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</si>
  <si>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</si>
  <si>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</si>
  <si>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</si>
  <si>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</si>
  <si>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</si>
  <si>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</si>
  <si>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</si>
  <si>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</si>
  <si>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</si>
  <si>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</si>
  <si>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</si>
  <si>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</si>
  <si>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</si>
  <si>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</si>
  <si>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</si>
  <si>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</si>
  <si>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</si>
  <si>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</si>
  <si>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</si>
  <si>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</si>
  <si>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</si>
  <si>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</si>
  <si>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</si>
  <si>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</si>
  <si>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</si>
  <si>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</si>
  <si>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</si>
  <si>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</si>
  <si>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</si>
  <si>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</si>
  <si>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</si>
  <si>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</si>
  <si>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</si>
  <si>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</si>
  <si>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</si>
  <si>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</si>
  <si>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</si>
  <si>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</si>
  <si>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</si>
  <si>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</si>
  <si>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</si>
  <si>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</si>
  <si>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</si>
  <si>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</si>
  <si>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</si>
  <si>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</si>
  <si>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</si>
  <si>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</si>
  <si>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</si>
  <si>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</si>
  <si>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</si>
  <si>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</si>
  <si>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</si>
  <si>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</si>
  <si>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</si>
  <si>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</si>
  <si>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</si>
  <si>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</si>
  <si>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</si>
  <si>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</si>
  <si>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</si>
  <si>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</si>
  <si>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</si>
  <si>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</si>
  <si>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</si>
  <si>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</si>
  <si>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</si>
  <si>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</si>
  <si>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</si>
  <si>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</si>
  <si>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</si>
  <si>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</si>
  <si>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</si>
  <si>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</si>
  <si>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</si>
  <si>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</si>
  <si>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</si>
  <si>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</si>
  <si>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</si>
  <si>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</si>
  <si>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</si>
  <si>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</si>
  <si>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</si>
  <si>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</si>
  <si>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</si>
  <si>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</si>
  <si>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</si>
  <si>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</si>
  <si>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</si>
  <si>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</si>
  <si>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</si>
  <si>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</si>
  <si>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</si>
  <si>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</si>
  <si>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</si>
  <si>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</si>
  <si>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</si>
  <si>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</si>
  <si>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</si>
  <si>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</si>
  <si>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</si>
  <si>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</si>
  <si>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</si>
  <si>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</si>
  <si>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</si>
  <si>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</si>
  <si>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</si>
  <si>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</si>
  <si>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</si>
  <si>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</si>
  <si>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</si>
  <si>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</si>
  <si>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</si>
  <si>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</si>
  <si>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</si>
  <si>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</si>
  <si>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</si>
  <si>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</si>
  <si>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</si>
  <si>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</si>
  <si>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</si>
  <si>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</si>
  <si>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</si>
  <si>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</si>
  <si>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</si>
  <si>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</si>
  <si>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</si>
  <si>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</si>
  <si>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</si>
  <si>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</si>
  <si>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</si>
  <si>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</si>
  <si>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</si>
  <si>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</si>
  <si>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</si>
  <si>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</si>
  <si>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</si>
  <si>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</si>
  <si>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</si>
  <si>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</si>
  <si>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</si>
  <si>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</si>
  <si>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</si>
  <si>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</si>
  <si>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</si>
  <si>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</si>
  <si>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</si>
  <si>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</si>
  <si>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</si>
  <si>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</si>
  <si>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</si>
  <si>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</si>
  <si>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</si>
  <si>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</si>
  <si>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</si>
  <si>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</si>
  <si>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</si>
  <si>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</si>
  <si>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</si>
  <si>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</si>
  <si>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</si>
  <si>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</si>
  <si>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</si>
  <si>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</si>
  <si>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</si>
  <si>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</si>
  <si>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</si>
  <si>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</si>
  <si>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</si>
  <si>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</si>
  <si>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</si>
  <si>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</si>
  <si>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</si>
  <si>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</si>
  <si>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</si>
  <si>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</si>
  <si>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</si>
  <si>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</si>
  <si>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</si>
  <si>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</si>
  <si>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</si>
  <si>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</si>
  <si>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</si>
  <si>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</si>
  <si>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</si>
  <si>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</si>
  <si>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</si>
  <si>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</si>
  <si>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</si>
  <si>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</si>
  <si>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</si>
  <si>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</si>
  <si>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</si>
  <si>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</si>
  <si>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</si>
  <si>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</si>
  <si>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</si>
  <si>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</si>
  <si>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</si>
  <si>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</si>
  <si>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</si>
  <si>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</si>
  <si>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</si>
  <si>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</si>
  <si>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</si>
  <si>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</si>
  <si>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</si>
  <si>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</si>
  <si>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</si>
  <si>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</si>
  <si>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</si>
  <si>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</si>
  <si>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</si>
  <si>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</si>
  <si>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</si>
  <si>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</si>
  <si>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</si>
  <si>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</si>
  <si>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</si>
  <si>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</si>
  <si>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</si>
  <si>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</si>
  <si>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</si>
  <si>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</si>
  <si>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</si>
  <si>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</si>
  <si>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</si>
  <si>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</si>
  <si>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</si>
  <si>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</si>
  <si>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</si>
  <si>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</si>
  <si>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</si>
  <si>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</si>
  <si>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</si>
  <si>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</si>
  <si>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</si>
  <si>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</si>
  <si>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</si>
  <si>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</si>
  <si>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</si>
  <si>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</si>
  <si>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</si>
  <si>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</si>
  <si>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</si>
  <si>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</si>
  <si>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</si>
  <si>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</si>
  <si>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</si>
  <si>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</si>
  <si>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</si>
  <si>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</si>
  <si>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</si>
  <si>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</si>
  <si>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</si>
  <si>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</si>
  <si>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</si>
  <si>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</si>
  <si>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</si>
  <si>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</si>
  <si>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</si>
  <si>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</si>
  <si>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</si>
  <si>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</si>
  <si>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</si>
  <si>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</si>
  <si>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</si>
  <si>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</si>
  <si>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</si>
  <si>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</si>
  <si>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</si>
  <si>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</si>
  <si>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</si>
  <si>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</si>
  <si>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</si>
  <si>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</si>
  <si>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</si>
  <si>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</si>
  <si>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</si>
  <si>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</si>
  <si>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</si>
  <si>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</si>
  <si>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</si>
  <si>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</si>
  <si>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</si>
  <si>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</si>
  <si>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</si>
  <si>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</si>
  <si>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</si>
  <si>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</si>
  <si>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</si>
  <si>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</si>
  <si>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</si>
  <si>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</si>
  <si>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</si>
  <si>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</si>
  <si>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</si>
  <si>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</si>
  <si>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</si>
  <si>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</si>
  <si>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</si>
  <si>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</si>
  <si>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</si>
  <si>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</si>
  <si>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</si>
  <si>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</si>
  <si>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</si>
  <si>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</si>
  <si>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</si>
  <si>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</si>
  <si>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</si>
  <si>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</si>
  <si>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</si>
  <si>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</si>
  <si>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</si>
  <si>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</si>
  <si>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</si>
  <si>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</si>
  <si>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</si>
  <si>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</si>
  <si>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</si>
  <si>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</si>
  <si>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</si>
  <si>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</si>
  <si>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</si>
  <si>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</si>
  <si>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</si>
  <si>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</si>
  <si>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</si>
  <si>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</si>
  <si>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</si>
  <si>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</si>
  <si>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</si>
  <si>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</si>
  <si>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</si>
  <si>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</si>
  <si>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</si>
  <si>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</si>
  <si>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</si>
  <si>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</si>
  <si>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</si>
  <si>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</si>
  <si>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</si>
  <si>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</si>
  <si>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</si>
  <si>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</si>
  <si>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</si>
  <si>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</si>
  <si>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</si>
  <si>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</si>
  <si>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</si>
  <si>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</si>
  <si>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</si>
  <si>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</si>
  <si>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</si>
  <si>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</si>
  <si>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</si>
  <si>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</si>
  <si>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</si>
  <si>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</si>
  <si>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</si>
  <si>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</si>
  <si>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</si>
  <si>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</si>
  <si>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</si>
  <si>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</si>
  <si>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</si>
  <si>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</si>
  <si>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</si>
  <si>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</si>
  <si>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</si>
  <si>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</si>
  <si>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</si>
  <si>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</si>
  <si>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</si>
  <si>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</si>
  <si>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</si>
  <si>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</si>
  <si>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</si>
  <si>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</si>
  <si>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</si>
  <si>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</si>
  <si>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</si>
  <si>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</si>
  <si>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</si>
  <si>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</si>
  <si>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</si>
  <si>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</si>
  <si>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</si>
  <si>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</si>
  <si>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</si>
  <si>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</si>
  <si>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</si>
  <si>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</si>
  <si>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</si>
  <si>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</si>
  <si>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</si>
  <si>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</si>
  <si>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</si>
  <si>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</si>
  <si>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</si>
  <si>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</si>
  <si>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</si>
  <si>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</si>
  <si>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</si>
  <si>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</si>
  <si>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</si>
  <si>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</si>
  <si>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</si>
  <si>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</si>
  <si>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</si>
  <si>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</si>
  <si>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</si>
  <si>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</si>
  <si>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</si>
  <si>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</si>
  <si>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</si>
  <si>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</si>
  <si>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</si>
  <si>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</si>
  <si>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</si>
  <si>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</si>
  <si>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</si>
  <si>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</si>
  <si>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</si>
  <si>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</si>
  <si>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</si>
  <si>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</si>
  <si>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</si>
  <si>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</si>
  <si>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</si>
  <si>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</si>
  <si>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</si>
  <si>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</si>
  <si>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</si>
  <si>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</si>
  <si>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</si>
  <si>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</si>
  <si>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</si>
  <si>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</si>
  <si>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</si>
  <si>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</si>
  <si>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</si>
  <si>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</si>
  <si>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</si>
  <si>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</si>
  <si>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</si>
  <si>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</si>
  <si>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</si>
  <si>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</si>
  <si>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</si>
  <si>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</si>
  <si>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</si>
  <si>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</si>
  <si>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</si>
  <si>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</si>
  <si>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</si>
  <si>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</si>
  <si>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</si>
  <si>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</si>
  <si>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</si>
  <si>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</si>
  <si>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</si>
  <si>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</si>
  <si>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</si>
  <si>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</si>
  <si>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</si>
  <si>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</si>
  <si>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</si>
  <si>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</si>
  <si>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</si>
  <si>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</si>
  <si>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</si>
  <si>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</si>
  <si>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</si>
  <si>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</si>
  <si>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</si>
  <si>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</si>
  <si>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</si>
  <si>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</si>
  <si>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</si>
  <si>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</si>
  <si>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</si>
  <si>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</si>
  <si>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</si>
  <si>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</si>
  <si>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</si>
  <si>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</si>
  <si>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</si>
  <si>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</si>
  <si>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</si>
  <si>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</si>
  <si>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</si>
  <si>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</si>
  <si>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</si>
  <si>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</si>
  <si>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</si>
  <si>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</si>
  <si>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</si>
  <si>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</si>
  <si>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</si>
  <si>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</si>
  <si>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</si>
  <si>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</si>
  <si>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</si>
  <si>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</si>
  <si>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</si>
  <si>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</si>
  <si>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</si>
  <si>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</si>
  <si>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</si>
  <si>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</si>
  <si>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</si>
  <si>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</si>
  <si>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</si>
  <si>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</si>
  <si>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</si>
  <si>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</si>
  <si>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</si>
  <si>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</si>
  <si>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</si>
  <si>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</si>
  <si>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</si>
  <si>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</si>
  <si>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</si>
  <si>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</si>
  <si>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</si>
  <si>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</si>
  <si>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</si>
  <si>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</si>
  <si>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</si>
  <si>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</si>
  <si>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</si>
  <si>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</si>
  <si>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</si>
  <si>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</si>
  <si>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</si>
  <si>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</si>
  <si>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</si>
  <si>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</si>
  <si>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</si>
  <si>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</si>
  <si>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</si>
  <si>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</si>
  <si>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</si>
  <si>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</si>
  <si>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</si>
  <si>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</si>
  <si>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</si>
  <si>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</si>
  <si>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</si>
  <si>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</si>
  <si>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</si>
  <si>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</si>
  <si>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</si>
  <si>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</si>
  <si>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</si>
  <si>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</si>
  <si>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</si>
  <si>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</si>
  <si>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</si>
  <si>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</si>
  <si>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</si>
  <si>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</si>
  <si>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</si>
  <si>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</si>
  <si>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</si>
  <si>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</si>
  <si>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</si>
  <si>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</si>
  <si>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</si>
  <si>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</si>
  <si>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</si>
  <si>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</si>
  <si>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</si>
  <si>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</si>
  <si>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</si>
  <si>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</si>
  <si>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</si>
  <si>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</si>
  <si>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</si>
  <si>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</si>
  <si>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</si>
  <si>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</si>
  <si>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</si>
  <si>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</si>
  <si>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</si>
  <si>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</si>
  <si>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</si>
  <si>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</si>
  <si>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</si>
  <si>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</si>
  <si>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</si>
  <si>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</si>
  <si>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</si>
  <si>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</si>
  <si>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</si>
  <si>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</si>
  <si>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</si>
  <si>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</si>
  <si>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</si>
  <si>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</si>
  <si>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</si>
  <si>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</si>
  <si>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</si>
  <si>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</si>
  <si>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</si>
  <si>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</si>
  <si>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</si>
  <si>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</si>
  <si>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</si>
  <si>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</si>
  <si>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</si>
  <si>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</si>
  <si>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</si>
  <si>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</si>
  <si>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</si>
  <si>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</si>
  <si>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</si>
  <si>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</si>
  <si>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</si>
  <si>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</si>
  <si>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</si>
  <si>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</si>
  <si>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</si>
  <si>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</si>
  <si>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</si>
  <si>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</si>
  <si>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</si>
  <si>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</si>
  <si>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</si>
  <si>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</si>
  <si>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</si>
  <si>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</si>
  <si>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</si>
  <si>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</si>
  <si>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</si>
  <si>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</si>
  <si>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</si>
  <si>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</si>
  <si>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</si>
  <si>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</si>
  <si>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</si>
  <si>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</si>
  <si>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</si>
  <si>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</si>
  <si>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</si>
  <si>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</si>
  <si>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</si>
  <si>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</si>
  <si>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</si>
  <si>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</si>
  <si>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</si>
  <si>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</si>
  <si>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</si>
  <si>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</si>
  <si>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</si>
  <si>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</si>
  <si>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</si>
  <si>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</si>
  <si>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</si>
  <si>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</si>
  <si>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</si>
  <si>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</si>
  <si>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</si>
  <si>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</si>
  <si>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</si>
  <si>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</si>
  <si>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</si>
  <si>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</si>
  <si>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</si>
  <si>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</si>
  <si>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</si>
  <si>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</si>
  <si>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</si>
  <si>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</si>
  <si>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</si>
  <si>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</si>
  <si>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</si>
  <si>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</si>
  <si>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</si>
  <si>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</si>
  <si>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</si>
  <si>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</si>
  <si>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</si>
  <si>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</si>
  <si>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</si>
  <si>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</si>
  <si>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</si>
  <si>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</si>
  <si>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</si>
  <si>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</si>
  <si>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</si>
  <si>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</si>
  <si>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</si>
  <si>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</si>
  <si>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</si>
  <si>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</si>
  <si>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</si>
  <si>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</si>
  <si>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</si>
  <si>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</si>
  <si>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</si>
  <si>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</si>
  <si>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</si>
  <si>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</si>
  <si>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</si>
  <si>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</si>
  <si>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</si>
  <si>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</si>
  <si>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</si>
  <si>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</si>
  <si>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</si>
  <si>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</si>
  <si>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</si>
  <si>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</si>
  <si>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</si>
  <si>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</si>
  <si>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</si>
  <si>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</si>
  <si>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</si>
  <si>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</si>
  <si>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</si>
  <si>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</si>
  <si>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</si>
  <si>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</si>
  <si>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</si>
  <si>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</si>
  <si>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</si>
  <si>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</si>
  <si>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</si>
  <si>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</si>
  <si>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</si>
  <si>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</si>
  <si>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</si>
  <si>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</si>
  <si>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</si>
  <si>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</si>
  <si>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</si>
  <si>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</si>
  <si>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</si>
  <si>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</si>
  <si>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</si>
  <si>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</si>
  <si>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</si>
  <si>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</si>
  <si>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</si>
  <si>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Resources Recycling and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</si>
</sst>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D22" sqref="D2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08" zoomScale="70" zoomScaleNormal="70" workbookViewId="0">
      <selection activeCell="I150" sqref="I15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831</v>
      </c>
      <c r="G5" s="266"/>
      <c r="H5" s="266"/>
      <c r="I5" s="266"/>
      <c r="L5" s="39"/>
      <c r="M5" s="39"/>
      <c r="N5" s="39"/>
      <c r="O5" s="39"/>
      <c r="P5" s="39"/>
      <c r="Q5" s="39"/>
    </row>
    <row r="6" spans="1:20" ht="16.5" customHeight="1" x14ac:dyDescent="0.25">
      <c r="A6" s="260" t="s">
        <v>1682</v>
      </c>
      <c r="B6" s="260"/>
      <c r="C6" s="260"/>
      <c r="D6" s="260"/>
      <c r="E6" s="260"/>
      <c r="F6" s="267">
        <v>133</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RESOURCES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1427175</v>
      </c>
      <c r="M17" s="196">
        <f>1022662+404513</f>
        <v>1427175</v>
      </c>
      <c r="P17" s="196">
        <v>1427175</v>
      </c>
      <c r="Q17" s="224"/>
      <c r="S17" s="223">
        <f t="shared" si="0"/>
        <v>0</v>
      </c>
      <c r="T17" s="251" t="s">
        <v>1760</v>
      </c>
    </row>
    <row r="18" spans="1:20" ht="16.5" customHeight="1" x14ac:dyDescent="0.25">
      <c r="A18" s="99"/>
      <c r="B18" s="26" t="s">
        <v>178</v>
      </c>
      <c r="C18" s="26"/>
      <c r="D18" s="26"/>
      <c r="E18" s="193"/>
      <c r="F18" s="194"/>
      <c r="G18" s="194"/>
      <c r="H18" s="195"/>
      <c r="I18" s="195"/>
      <c r="J18" s="248">
        <f>P18</f>
        <v>14986</v>
      </c>
      <c r="M18" s="196">
        <f>9522+5466</f>
        <v>14988</v>
      </c>
      <c r="P18" s="221">
        <f>IF(SUM($Q$20:$Q$23)&gt;SUM($P$15:$P$17),SUM($Q$20:$Q$23)-SUM($P$15:$P$17),0)</f>
        <v>14986</v>
      </c>
      <c r="Q18" s="224"/>
      <c r="S18" s="223">
        <f t="shared" si="0"/>
        <v>-2</v>
      </c>
      <c r="T18" s="250" t="s">
        <v>1730</v>
      </c>
    </row>
    <row r="19" spans="1:20" ht="16.5" customHeight="1" x14ac:dyDescent="0.25">
      <c r="A19" s="99"/>
      <c r="B19" s="26" t="s">
        <v>179</v>
      </c>
      <c r="C19" s="26"/>
      <c r="D19" s="26"/>
      <c r="E19" s="193"/>
      <c r="F19" s="194"/>
      <c r="G19" s="194"/>
      <c r="H19" s="195"/>
      <c r="I19" s="195"/>
      <c r="J19" s="248">
        <f>IF(SUM($K$20:$K$24)&gt;SUM($J$15:$J$18),SUM($K$20:$K$24)-SUM($J$15:$J$18),0)</f>
        <v>1</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1029383</v>
      </c>
      <c r="N22" s="196">
        <f>766996+262387</f>
        <v>1029383</v>
      </c>
      <c r="P22" s="224"/>
      <c r="Q22" s="196">
        <v>1029382</v>
      </c>
      <c r="S22" s="223">
        <f t="shared" ref="S22:S25" si="1">Q22-N22</f>
        <v>-1</v>
      </c>
      <c r="T22" s="250" t="s">
        <v>1730</v>
      </c>
    </row>
    <row r="23" spans="1:20" ht="16.5" customHeight="1" x14ac:dyDescent="0.25">
      <c r="A23" s="234" t="s">
        <v>1697</v>
      </c>
      <c r="B23" s="26"/>
      <c r="C23" s="26" t="s">
        <v>183</v>
      </c>
      <c r="D23" s="26"/>
      <c r="E23" s="193"/>
      <c r="F23" s="194"/>
      <c r="G23" s="194"/>
      <c r="H23" s="195"/>
      <c r="I23" s="195"/>
      <c r="J23" s="213"/>
      <c r="K23" s="248">
        <f>N23</f>
        <v>412779</v>
      </c>
      <c r="N23" s="196">
        <f>265187+147592</f>
        <v>412779</v>
      </c>
      <c r="P23" s="224"/>
      <c r="Q23" s="196">
        <v>412779</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1442162</v>
      </c>
      <c r="K26" s="155">
        <f>SUM(K15:K25)</f>
        <v>1442162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f>255665+131193</f>
        <v>386858</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f>255665+131193</f>
        <v>386858</v>
      </c>
    </row>
    <row r="59" spans="1:16" ht="16.5" customHeight="1" x14ac:dyDescent="0.25">
      <c r="A59" s="99"/>
      <c r="C59" s="43"/>
      <c r="D59" s="43"/>
      <c r="E59" s="43"/>
      <c r="F59" s="44"/>
      <c r="G59" s="44"/>
      <c r="H59" s="45"/>
      <c r="I59" s="45"/>
      <c r="J59" s="155">
        <f>SUM(J55:J58)</f>
        <v>386858</v>
      </c>
      <c r="K59" s="155">
        <f>SUM(K55:K58)</f>
        <v>386858</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f>265187+136162</f>
        <v>401349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896+769</f>
        <v>1665</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f>266083+136931</f>
        <v>403014</v>
      </c>
    </row>
    <row r="65" spans="1:12" ht="16.5" customHeight="1" x14ac:dyDescent="0.25">
      <c r="A65" s="99"/>
      <c r="C65" s="43"/>
      <c r="D65" s="43"/>
      <c r="E65" s="43"/>
      <c r="F65" s="44"/>
      <c r="G65" s="44"/>
      <c r="H65" s="45"/>
      <c r="I65" s="45"/>
      <c r="J65" s="155">
        <f>SUM(J62:J64)</f>
        <v>403014</v>
      </c>
      <c r="K65" s="155">
        <f>SUM(K62:K64)</f>
        <v>403014</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265187+136162</f>
        <v>401349</v>
      </c>
      <c r="K68" s="197"/>
    </row>
    <row r="69" spans="1:12" ht="16.5" customHeight="1" x14ac:dyDescent="0.25">
      <c r="A69" s="99"/>
      <c r="B69" s="26"/>
      <c r="C69" s="26" t="s">
        <v>202</v>
      </c>
      <c r="D69" s="193"/>
      <c r="E69" s="193"/>
      <c r="F69" s="194"/>
      <c r="G69" s="194"/>
      <c r="H69" s="195"/>
      <c r="I69" s="195"/>
      <c r="J69" s="197"/>
      <c r="K69" s="196">
        <f>265187+136162</f>
        <v>401349</v>
      </c>
      <c r="L69" s="37" t="str">
        <f>IF($J$62=$K$69,"","&lt;- Accts 0848 must agree")</f>
        <v/>
      </c>
    </row>
    <row r="70" spans="1:12" ht="16.5" customHeight="1" x14ac:dyDescent="0.25">
      <c r="A70" s="99"/>
      <c r="C70" s="43"/>
      <c r="D70" s="43"/>
      <c r="E70" s="43"/>
      <c r="F70" s="44"/>
      <c r="G70" s="44"/>
      <c r="H70" s="45"/>
      <c r="I70" s="45"/>
      <c r="J70" s="155">
        <f>SUM(J68:J69)</f>
        <v>401349</v>
      </c>
      <c r="K70" s="155">
        <f>SUM(K68:K69)</f>
        <v>401349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f>11430</f>
        <v>11430</v>
      </c>
      <c r="K75" s="197"/>
    </row>
    <row r="76" spans="1:12" ht="16.5" customHeight="1" x14ac:dyDescent="0.25">
      <c r="A76" s="99"/>
      <c r="B76" s="26"/>
      <c r="C76" s="26" t="s">
        <v>210</v>
      </c>
      <c r="D76" s="193"/>
      <c r="E76" s="193"/>
      <c r="F76" s="194"/>
      <c r="G76" s="194"/>
      <c r="H76" s="195"/>
      <c r="I76" s="195"/>
      <c r="J76" s="197"/>
      <c r="K76" s="196">
        <f>11430</f>
        <v>11430</v>
      </c>
    </row>
    <row r="77" spans="1:12" ht="16.5" customHeight="1" x14ac:dyDescent="0.2">
      <c r="A77" s="99"/>
      <c r="B77" s="263" t="s">
        <v>1737</v>
      </c>
      <c r="C77" s="263"/>
      <c r="D77" s="263"/>
      <c r="E77" s="263"/>
      <c r="F77" s="263"/>
      <c r="G77" s="263"/>
      <c r="H77" s="263"/>
      <c r="I77" s="263"/>
      <c r="J77" s="155">
        <f>SUM(J75:J76)</f>
        <v>11430</v>
      </c>
      <c r="K77" s="155">
        <f>SUM(K75:K76)</f>
        <v>11430</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f>1022662</f>
        <v>1022662</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f>1022662</f>
        <v>1022662</v>
      </c>
    </row>
    <row r="91" spans="1:16" ht="16.5" customHeight="1" x14ac:dyDescent="0.25">
      <c r="B91" s="182" t="s">
        <v>1692</v>
      </c>
      <c r="H91" s="37"/>
      <c r="J91" s="156">
        <f>SUM(J85:J90)</f>
        <v>1022662</v>
      </c>
      <c r="K91" s="156">
        <f>SUM(K85:K90)</f>
        <v>1022662</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404513</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-393579</v>
      </c>
    </row>
    <row r="128" spans="1:12" ht="16.5" customHeight="1" x14ac:dyDescent="0.25">
      <c r="D128" s="193" t="s">
        <v>1708</v>
      </c>
      <c r="H128" s="37"/>
      <c r="K128" s="238">
        <f>-K23-K48+J68+J75+J96-K113</f>
        <v>0</v>
      </c>
    </row>
    <row r="129" spans="4:11" ht="16.5" customHeight="1" x14ac:dyDescent="0.25">
      <c r="D129" s="193" t="s">
        <v>1709</v>
      </c>
      <c r="H129" s="37"/>
      <c r="K129" s="238">
        <f>-K76</f>
        <v>-11430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13" sqref="D13:F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3970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f>0+11430</f>
        <v>11430</v>
      </c>
      <c r="C13" s="100">
        <f>0+9</f>
        <v>9</v>
      </c>
      <c r="D13" s="274" t="s">
        <v>6</v>
      </c>
      <c r="E13" s="275"/>
      <c r="F13" s="275"/>
      <c r="G13" s="57"/>
      <c r="H13" s="57"/>
      <c r="I13" s="57"/>
      <c r="J13" s="57"/>
      <c r="K13" s="57"/>
      <c r="L13" s="57"/>
      <c r="M13" s="57"/>
    </row>
    <row r="14" spans="1:13" x14ac:dyDescent="0.2">
      <c r="A14" s="84" t="str">
        <f>LEFT(A13,4)+1&amp;"–"&amp;RIGHT(A13,4)+1</f>
        <v>2025–2026</v>
      </c>
      <c r="B14" s="100"/>
      <c r="C14" s="100"/>
      <c r="D14" s="274"/>
      <c r="E14" s="275"/>
      <c r="F14" s="275"/>
    </row>
    <row r="15" spans="1:13" ht="15.75" x14ac:dyDescent="0.2">
      <c r="A15" s="84" t="str">
        <f>LEFT(A14,4)+1&amp;"–"&amp;RIGHT(A14,4)+1</f>
        <v>2026–2027</v>
      </c>
      <c r="B15" s="100"/>
      <c r="C15" s="100"/>
      <c r="D15" s="270" t="s">
        <v>130</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3970</v>
      </c>
      <c r="C40" s="285"/>
      <c r="E40" s="60"/>
    </row>
    <row r="41" spans="1:13" ht="15.75" x14ac:dyDescent="0.25">
      <c r="A41" s="12" t="s">
        <v>208</v>
      </c>
      <c r="B41" s="269" t="str">
        <f>B10</f>
        <v>Department of Resources Recycling and Recovery</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3970</v>
      </c>
      <c r="C71" s="285"/>
    </row>
    <row r="72" spans="1:13" ht="15.75" x14ac:dyDescent="0.25">
      <c r="A72" s="12" t="s">
        <v>208</v>
      </c>
      <c r="B72" s="269" t="str">
        <f>B10</f>
        <v>Department of Resources Recycling and Recovery</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H13" sqref="H1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0133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3970 - Department of Resources Recycling and Recovery</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0133 Journal Entries'!$F$8="Governmental Fund",'LS-Fund 0133 Journal Entries'!$K$23,0)</f>
        <v>412779</v>
      </c>
      <c r="G10" s="103"/>
      <c r="H10" s="107">
        <f>IF('LS-Fund 0133 Journal Entries'!$F$8="Governmental Fund",SUM('LS-Fund 0133 Journal Entries'!$K$48,'LS-Fund 0133 Journal Entries'!K113),0)</f>
        <v>0</v>
      </c>
      <c r="I10" s="103"/>
      <c r="J10" s="107">
        <f>IF('LS-Fund 0133 Journal Entries'!$F$8="Governmental Fund",SUM('LS-Fund 0133 Journal Entries'!$J$68,'LS-Fund 0133 Journal Entries'!J96),0)</f>
        <v>401349</v>
      </c>
      <c r="K10" s="103"/>
      <c r="L10" s="109">
        <f>SUM(F10+H10-J10)</f>
        <v>11430</v>
      </c>
      <c r="M10" s="103"/>
      <c r="N10" s="107">
        <f>IF('LS-Fund 0133 Journal Entries'!$F$8="Governmental Fund",'LS-Fund 0133 Journal Entries'!$K$76,0)</f>
        <v>11430</v>
      </c>
      <c r="O10" s="103"/>
      <c r="P10" s="109">
        <f>L10-N10</f>
        <v>0</v>
      </c>
      <c r="Q10" s="71"/>
    </row>
    <row r="11" spans="2:17" ht="19.5" thickTop="1" thickBot="1" x14ac:dyDescent="0.3">
      <c r="B11" s="69"/>
      <c r="C11" s="73" t="s">
        <v>21</v>
      </c>
      <c r="F11" s="108">
        <f>SUM(F10:F10)</f>
        <v>412779</v>
      </c>
      <c r="G11" s="103"/>
      <c r="H11" s="108">
        <f>SUM(H10:H10)</f>
        <v>0</v>
      </c>
      <c r="I11" s="103"/>
      <c r="J11" s="108">
        <f>SUM(J10:J10)</f>
        <v>401349</v>
      </c>
      <c r="K11" s="103"/>
      <c r="L11" s="108">
        <f>SUM(L10:L10)</f>
        <v>11430</v>
      </c>
      <c r="M11" s="103"/>
      <c r="N11" s="108">
        <f>SUM(N10:N10)</f>
        <v>11430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0133 Journal Entries'!$F$8="Proprietary - Internal Service Fund",'LS-Fund 0133 Journal Entries'!$K$23,0)</f>
        <v>0</v>
      </c>
      <c r="G14" s="103"/>
      <c r="H14" s="107">
        <f>IF('LS-Fund 0133 Journal Entries'!$F$8="Proprietary - Internal Service Fund",SUM('LS-Fund 0133 Journal Entries'!$K$48,'LS-Fund 0133 Journal Entries'!K113),0)</f>
        <v>0</v>
      </c>
      <c r="I14" s="103"/>
      <c r="J14" s="107">
        <f>IF('LS-Fund 0133 Journal Entries'!$F$8="Proprietary - Internal Service Fund",SUM('LS-Fund 0133 Journal Entries'!$J$68,'LS-Fund 0133 Journal Entries'!J96),0)</f>
        <v>0</v>
      </c>
      <c r="K14" s="103"/>
      <c r="L14" s="109">
        <f>SUM(F14+H14-J14)</f>
        <v>0</v>
      </c>
      <c r="M14" s="103"/>
      <c r="N14" s="107">
        <f>IF('LS-Fund 0133 Journal Entries'!$F$8="Proprietary - Internal Service Fund",'LS-Fund 0133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0133 Journal Entries'!$F$8="Proprietary - Enterprise Fund",'LS-Fund 0133 Journal Entries'!$K$23,0)</f>
        <v>0</v>
      </c>
      <c r="G18" s="103"/>
      <c r="H18" s="107">
        <f>IF('LS-Fund 0133 Journal Entries'!$F$8="Proprietary - Enterprise Fund",SUM('LS-Fund 0133 Journal Entries'!$K$48,'LS-Fund 0133 Journal Entries'!K113),0)</f>
        <v>0</v>
      </c>
      <c r="I18" s="103"/>
      <c r="J18" s="107">
        <f>IF('LS-Fund 0133 Journal Entries'!$F$8="Proprietary - Enterprise Fund",SUM('LS-Fund 0133 Journal Entries'!$J$68,'LS-Fund 0133 Journal Entries'!J96),0)</f>
        <v>0</v>
      </c>
      <c r="K18" s="103"/>
      <c r="L18" s="109">
        <f>SUM(F18+H18-J18)</f>
        <v>0</v>
      </c>
      <c r="M18" s="103"/>
      <c r="N18" s="107">
        <f>IF('LS-Fund 0133 Journal Entries'!$F$8="Proprietary - Enterprise Fund",'LS-Fund 0133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A5" sqref="A5:Q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0133 Journal Entries'!$F$8="Governmental Fund",'LS-Fund 0133 Journal Entries'!$K$23,0)</f>
        <v>412779</v>
      </c>
      <c r="C16" s="168" t="s">
        <v>155</v>
      </c>
      <c r="D16" s="130">
        <f>IF('LS-Fund 0133 Journal Entries'!$F$8="Governmental Fund",'LS-Fund 0133 Journal Entries'!$K$48,0)</f>
        <v>0</v>
      </c>
      <c r="E16" s="170" t="s">
        <v>156</v>
      </c>
      <c r="F16" s="130">
        <f>IF('LS-Fund 0133 Journal Entries'!$F$8="Governmental Fund",'LS-Fund 0133 Journal Entries'!$J$68,0)</f>
        <v>401349</v>
      </c>
      <c r="G16" s="169" t="s">
        <v>156</v>
      </c>
      <c r="H16" s="130">
        <f>IF('LS-Fund 0133 Journal Entries'!$F$8="Governmental Fund",'LS-Fund 0133 Journal Entries'!$J$96,0)</f>
        <v>0</v>
      </c>
      <c r="I16" s="169" t="s">
        <v>155</v>
      </c>
      <c r="J16" s="130">
        <f>IF('LS-Fund 0133 Journal Entries'!$F$8="Governmental Fund",'LS-Fund 0133 Journal Entries'!$K$113,0)</f>
        <v>0</v>
      </c>
      <c r="K16" s="170" t="s">
        <v>159</v>
      </c>
      <c r="L16" s="133">
        <f>+B16+D16-F16-H16+J16</f>
        <v>11430</v>
      </c>
      <c r="M16" s="132"/>
      <c r="N16" s="134">
        <f>SUM('LS-Department Note Disclosure'!B13:B36)</f>
        <v>11430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0133 Journal Entries'!$F$8="Proprietary - Internal Service Fund",'LS-Fund 0133 Journal Entries'!$K$23,0)</f>
        <v>0</v>
      </c>
      <c r="C24" s="168" t="s">
        <v>155</v>
      </c>
      <c r="D24" s="130">
        <f>IF('LS-Fund 0133 Journal Entries'!$F$8="Proprietary - Internal Service Fund",'LS-Fund 0133 Journal Entries'!$K$48,0)</f>
        <v>0</v>
      </c>
      <c r="E24" s="170" t="s">
        <v>156</v>
      </c>
      <c r="F24" s="130">
        <f>IF('LS-Fund 0133 Journal Entries'!$F$8="Proprietary - Internal Service Fund",'LS-Fund 0133 Journal Entries'!$J$68,0)</f>
        <v>0</v>
      </c>
      <c r="G24" s="169" t="s">
        <v>156</v>
      </c>
      <c r="H24" s="130">
        <f>IF('LS-Fund 0133 Journal Entries'!$F$8="Proprietary - Internal Service Fund",'LS-Fund 0133 Journal Entries'!$J$96,0)</f>
        <v>0</v>
      </c>
      <c r="I24" s="169" t="s">
        <v>155</v>
      </c>
      <c r="J24" s="130">
        <f>IF('LS-Fund 0133 Journal Entries'!$F$8="Proprietary - Internal Service Fund",'LS-Fund 0133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0133 Journal Entries'!$F$8="Proprietary - Enterprise Fund",'LS-Fund 0133 Journal Entries'!$K$23,0)</f>
        <v>0</v>
      </c>
      <c r="C33" s="168" t="s">
        <v>155</v>
      </c>
      <c r="D33" s="130">
        <f>IF('LS-Fund 0133 Journal Entries'!$F$8="Proprietary - Enterprise Fund",'LS-Fund 0133 Journal Entries'!$K$48,0)</f>
        <v>0</v>
      </c>
      <c r="E33" s="170" t="s">
        <v>156</v>
      </c>
      <c r="F33" s="130">
        <f>IF('LS-Fund 0133 Journal Entries'!$F$8="Proprietary - Enterprise Fund",'LS-Fund 0133 Journal Entries'!$J$68,0)</f>
        <v>0</v>
      </c>
      <c r="G33" s="169" t="s">
        <v>156</v>
      </c>
      <c r="H33" s="130">
        <f>IF('LS-Fund 0133 Journal Entries'!$F$8="Proprietary - Enterprise Fund",'LS-Fund 0133 Journal Entries'!$J$96,0)</f>
        <v>0</v>
      </c>
      <c r="I33" s="169" t="s">
        <v>155</v>
      </c>
      <c r="J33" s="130">
        <f>IF('LS-Fund 0133 Journal Entries'!$F$8="Proprietary - Enterprise Fund",'LS-Fund 0133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0133 Journal Entries'!$F$8="Governmental Fund",'LS-Fund 0133 Journal Entries'!$K$76,0)</f>
        <v>11430</v>
      </c>
      <c r="C42" s="138"/>
      <c r="E42" s="138"/>
      <c r="G42" s="167"/>
      <c r="H42" s="167"/>
      <c r="I42" s="167"/>
      <c r="J42" s="167"/>
      <c r="K42" s="138"/>
      <c r="L42" s="138"/>
      <c r="M42" s="139"/>
      <c r="N42" s="134">
        <f>'LS-Department Note Disclosure'!B13</f>
        <v>11430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0133 Journal Entries'!$F$8="Proprietary - Internal Service Fund",'LS-Fund 0133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0133 Journal Entries'!$F$8="Proprietary - Enterprise Fund",'LS-Fund 0133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412779</v>
      </c>
      <c r="J66" s="143">
        <f>SUM(D66)</f>
        <v>412779</v>
      </c>
      <c r="L66" s="144" t="str">
        <f>CONCATENATE("Balance July 1, ",LEFT('LS-Department Note Disclosure'!$B$8,4))</f>
        <v>Balance July 1, 2023</v>
      </c>
      <c r="N66" s="143">
        <f>'LS-Lease Liabilities'!F10</f>
        <v>412779</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401349</v>
      </c>
      <c r="E68" s="171" t="s">
        <v>155</v>
      </c>
      <c r="F68" s="125" t="s">
        <v>1750</v>
      </c>
      <c r="H68" s="143">
        <f>$H$16</f>
        <v>0</v>
      </c>
      <c r="J68" s="143">
        <f>SUM(D68,H68)</f>
        <v>401349</v>
      </c>
      <c r="L68" s="144" t="s">
        <v>15</v>
      </c>
      <c r="N68" s="143">
        <f>'LS-Lease Liabilities'!J10</f>
        <v>401349</v>
      </c>
      <c r="P68" s="135">
        <f t="shared" si="0"/>
        <v>0</v>
      </c>
    </row>
    <row r="69" spans="1:17" x14ac:dyDescent="0.25">
      <c r="B69" s="125" t="s">
        <v>165</v>
      </c>
      <c r="D69" s="143">
        <f>$B$42</f>
        <v>11430</v>
      </c>
      <c r="J69" s="143">
        <f>SUM(D69)</f>
        <v>11430</v>
      </c>
      <c r="L69" s="144" t="s">
        <v>16</v>
      </c>
      <c r="N69" s="143">
        <f>'LS-Lease Liabilities'!N10</f>
        <v>11430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M22" sqref="M2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33128d07-b5d3-42fe-ae84-80f55e78a86d">
      <Terms xmlns="http://schemas.microsoft.com/office/infopath/2007/PartnerControls"/>
    </lcf76f155ced4ddcb4097134ff3c332f>
    <TaxCatchAll xmlns="19312d4b-a057-483b-8f82-7f9ac4838299" xsi:nil="true"/>
    <_x0030_0_x002d_AGREEMENT xmlns="33128d07-b5d3-42fe-ae84-80f55e78a86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3204C9212AAC48BB8D8E9AFF3326FF" ma:contentTypeVersion="19" ma:contentTypeDescription="Create a new document." ma:contentTypeScope="" ma:versionID="0d3f2377afb03b8f5115eed18b7f6700">
  <xsd:schema xmlns:xsd="http://www.w3.org/2001/XMLSchema" xmlns:xs="http://www.w3.org/2001/XMLSchema" xmlns:p="http://schemas.microsoft.com/office/2006/metadata/properties" xmlns:ns1="http://schemas.microsoft.com/sharepoint/v3" xmlns:ns2="33128d07-b5d3-42fe-ae84-80f55e78a86d" xmlns:ns3="19312d4b-a057-483b-8f82-7f9ac4838299" targetNamespace="http://schemas.microsoft.com/office/2006/metadata/properties" ma:root="true" ma:fieldsID="4b9a6f160c150d6601ccd1b32796fccf" ns1:_="" ns2:_="" ns3:_="">
    <xsd:import namespace="http://schemas.microsoft.com/sharepoint/v3"/>
    <xsd:import namespace="33128d07-b5d3-42fe-ae84-80f55e78a86d"/>
    <xsd:import namespace="19312d4b-a057-483b-8f82-7f9ac4838299"/>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_x0030_0_x002d_AGREEMENT"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128d07-b5d3-42fe-ae84-80f55e78a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2988760-668a-432b-a51f-91af073743b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x0030_0_x002d_AGREEMENT" ma:index="23" nillable="true" ma:displayName="00 - AGREEMENT" ma:format="Dropdown" ma:internalName="_x0030_0_x002d_AGREEMENT">
      <xsd:simpleType>
        <xsd:restriction base="dms:Text">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312d4b-a057-483b-8f82-7f9ac483829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184bdf2-3b29-4354-9086-e4168baf32e1}" ma:internalName="TaxCatchAll" ma:showField="CatchAllData" ma:web="19312d4b-a057-483b-8f82-7f9ac48382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FFD753-0C39-4D26-801C-4E289384EF84}">
  <ds:schemaRefs>
    <ds:schemaRef ds:uri="http://schemas.microsoft.com/office/2006/metadata/properties"/>
    <ds:schemaRef ds:uri="http://schemas.microsoft.com/office/infopath/2007/PartnerControls"/>
    <ds:schemaRef ds:uri="http://schemas.microsoft.com/sharepoint/v3"/>
    <ds:schemaRef ds:uri="33128d07-b5d3-42fe-ae84-80f55e78a86d"/>
    <ds:schemaRef ds:uri="19312d4b-a057-483b-8f82-7f9ac4838299"/>
  </ds:schemaRefs>
</ds:datastoreItem>
</file>

<file path=customXml/itemProps2.xml><?xml version="1.0" encoding="utf-8"?>
<ds:datastoreItem xmlns:ds="http://schemas.openxmlformats.org/officeDocument/2006/customXml" ds:itemID="{D7869400-3546-4C7D-9B7A-345BA641B0EE}">
  <ds:schemaRefs>
    <ds:schemaRef ds:uri="http://schemas.microsoft.com/sharepoint/v3/contenttype/forms"/>
  </ds:schemaRefs>
</ds:datastoreItem>
</file>

<file path=customXml/itemProps3.xml><?xml version="1.0" encoding="utf-8"?>
<ds:datastoreItem xmlns:ds="http://schemas.openxmlformats.org/officeDocument/2006/customXml" ds:itemID="{91D4FAD6-162D-4D6B-AB42-71B10AB78E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3128d07-b5d3-42fe-ae84-80f55e78a86d"/>
    <ds:schemaRef ds:uri="19312d4b-a057-483b-8f82-7f9ac48382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0133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0133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2025-01-08T21:57:44Z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0x010100E43204C9212AAC48BB8D8E9AFF3326FF</vt:lpwstr>
  </property>
  <property fmtid="{D5CDD505-2E9C-101B-9397-08002B2CF9AE}" pid="3" name="MediaServiceImageTags">
    <vt:lpwstr/>
  </property>
</Properties>
</file>