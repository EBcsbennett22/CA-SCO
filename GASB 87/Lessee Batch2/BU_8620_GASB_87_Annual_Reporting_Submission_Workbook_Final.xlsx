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updateLinks="always"/>
  <mc:AlternateContent xmlns:mc="http://schemas.openxmlformats.org/markup-compatibility/2006">
    <mc:Choice Requires="x15">
      <x15ac:absPath xmlns:x15ac="http://schemas.microsoft.com/office/spreadsheetml/2010/11/ac" url="O:\CFS\EXCEL\BU_8620_FPP\GASB 87\FY23-24\"/>
    </mc:Choice>
  </mc:AlternateContent>
  <xr:revisionPtr revIDLastSave="0" documentId="13_ncr:1_{3A643803-7F06-4C3D-AD2E-CC6B759900FF}" xr6:coauthVersionLast="47" xr6:coauthVersionMax="47" xr10:uidLastSave="{00000000-0000-0000-0000-000000000000}"/>
  <bookViews>
    <workbookView xWindow="-110" yWindow="-110" windowWidth="19420" windowHeight="1030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<sst xmlns="http://schemas.openxmlformats.org/spreadsheetml/2006/main" count="7718" uniqueCount="1716">
  <si>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</si>
  <si>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</si>
  <si>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</si>
  <si>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</si>
  <si>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</si>
  <si>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</si>
  <si>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</si>
  <si>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</si>
  <si>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</si>
  <si>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</si>
  <si>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</si>
  <si>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</si>
  <si>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</si>
  <si>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</si>
  <si>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</si>
  <si>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</si>
  <si>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</si>
  <si>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</si>
  <si>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</si>
  <si>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</si>
  <si>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</si>
  <si>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</si>
  <si>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</si>
  <si>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</si>
  <si>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</si>
  <si>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</si>
  <si>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</si>
  <si>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</si>
  <si>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</si>
  <si>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</si>
  <si>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</si>
  <si>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</si>
  <si>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</si>
  <si>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</si>
  <si>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</si>
  <si>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</si>
  <si>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</si>
  <si>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</si>
  <si>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</si>
  <si>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</si>
  <si>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</si>
  <si>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</si>
  <si>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</si>
  <si>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</si>
  <si>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</si>
  <si>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</si>
  <si>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</si>
  <si>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</si>
  <si>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</si>
  <si>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</si>
  <si>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</si>
  <si>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</si>
  <si>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</si>
  <si>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</si>
  <si>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</si>
  <si>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</si>
  <si>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</si>
  <si>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</si>
  <si>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</si>
  <si>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</si>
  <si>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</si>
  <si>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</si>
  <si>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</si>
  <si>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</si>
  <si>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</si>
  <si>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</si>
  <si>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</si>
  <si>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</si>
  <si>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</si>
  <si>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</si>
  <si>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</si>
  <si>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</si>
  <si>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</si>
  <si>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</si>
  <si>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</si>
  <si>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</si>
  <si>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</si>
  <si>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</si>
  <si>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</si>
  <si>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</si>
  <si>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</si>
  <si>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</si>
  <si>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</si>
  <si>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</si>
  <si>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</si>
  <si>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</si>
  <si>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</si>
  <si>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</si>
  <si>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</si>
  <si>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</si>
  <si>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</si>
  <si>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</si>
  <si>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</si>
  <si>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</si>
  <si>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</si>
  <si>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</si>
  <si>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</si>
  <si>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</si>
  <si>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</si>
  <si>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</si>
  <si>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</si>
  <si>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</si>
  <si>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</si>
  <si>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</si>
  <si>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</si>
  <si>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</si>
  <si>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</si>
  <si>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</si>
  <si>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</si>
  <si>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</si>
  <si>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</si>
  <si>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</si>
  <si>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</si>
  <si>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</si>
  <si>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</si>
  <si>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</si>
  <si>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</si>
  <si>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</si>
  <si>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</si>
  <si>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</si>
  <si>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</si>
  <si>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</si>
  <si>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</si>
  <si>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</si>
  <si>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</si>
  <si>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</si>
  <si>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</si>
  <si>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</si>
  <si>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</si>
  <si>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</si>
  <si>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</si>
  <si>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</si>
  <si>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</si>
  <si>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</si>
  <si>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</si>
  <si>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</si>
  <si>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</si>
  <si>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</si>
  <si>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</si>
  <si>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</si>
  <si>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</si>
  <si>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</si>
  <si>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</si>
  <si>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</si>
  <si>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</si>
  <si>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</si>
  <si>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</si>
  <si>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</si>
  <si>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</si>
  <si>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</si>
  <si>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</si>
  <si>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</si>
  <si>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</si>
  <si>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</si>
  <si>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</si>
  <si>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</si>
  <si>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</si>
  <si>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</si>
  <si>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</si>
  <si>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</si>
  <si>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</si>
  <si>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</si>
  <si>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</si>
  <si>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</si>
  <si>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</si>
  <si>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</si>
  <si>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</si>
  <si>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</si>
  <si>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</si>
  <si>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</si>
  <si>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</si>
  <si>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</si>
  <si>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</si>
  <si>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</si>
  <si>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</si>
  <si>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</si>
  <si>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</si>
  <si>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</si>
  <si>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</si>
  <si>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</si>
  <si>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</si>
  <si>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</si>
  <si>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</si>
  <si>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</si>
  <si>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</si>
  <si>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</si>
  <si>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</si>
  <si>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</si>
  <si>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</si>
  <si>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</si>
  <si>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</si>
  <si>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</si>
  <si>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</si>
  <si>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</si>
  <si>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</si>
  <si>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</si>
  <si>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</si>
  <si>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</si>
  <si>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</si>
  <si>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</si>
  <si>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</si>
  <si>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</si>
  <si>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</si>
  <si>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</si>
  <si>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</si>
  <si>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</si>
  <si>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</si>
  <si>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</si>
  <si>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</si>
  <si>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</si>
  <si>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</si>
  <si>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</si>
  <si>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</si>
  <si>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</si>
  <si>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</si>
  <si>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</si>
  <si>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</si>
  <si>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</si>
  <si>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</si>
  <si>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</si>
  <si>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</si>
  <si>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</si>
  <si>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</si>
  <si>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</si>
  <si>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</si>
  <si>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</si>
  <si>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</si>
  <si>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</si>
  <si>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</si>
  <si>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</si>
  <si>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</si>
  <si>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</si>
  <si>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</si>
  <si>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</si>
  <si>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</si>
  <si>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</si>
  <si>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</si>
  <si>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</si>
  <si>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</si>
  <si>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</si>
  <si>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</si>
  <si>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</si>
  <si>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</si>
  <si>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</si>
  <si>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</si>
  <si>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</si>
  <si>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</si>
  <si>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</si>
  <si>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</si>
  <si>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</si>
  <si>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</si>
  <si>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</si>
  <si>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</si>
  <si>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</si>
  <si>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</si>
  <si>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</si>
  <si>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</si>
  <si>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</si>
  <si>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</si>
  <si>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</si>
  <si>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</si>
  <si>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</si>
  <si>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</si>
  <si>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</si>
  <si>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</si>
  <si>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</si>
  <si>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</si>
  <si>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</si>
  <si>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</si>
  <si>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</si>
  <si>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</si>
  <si>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</si>
  <si>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</si>
  <si>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</si>
  <si>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</si>
  <si>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</si>
  <si>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</si>
  <si>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</si>
  <si>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</si>
  <si>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</si>
  <si>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</si>
  <si>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</si>
  <si>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</si>
  <si>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</si>
  <si>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</si>
  <si>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</si>
  <si>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</si>
  <si>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</si>
  <si>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</si>
  <si>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</si>
  <si>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</si>
  <si>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</si>
  <si>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</si>
  <si>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</si>
  <si>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</si>
  <si>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</si>
  <si>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</si>
  <si>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</si>
  <si>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</si>
  <si>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</si>
  <si>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</si>
  <si>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</si>
  <si>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</si>
  <si>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</si>
  <si>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</si>
  <si>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</si>
  <si>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</si>
  <si>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</si>
  <si>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</si>
  <si>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</si>
  <si>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</si>
  <si>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</si>
  <si>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</si>
  <si>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</si>
  <si>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</si>
  <si>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</si>
  <si>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</si>
  <si>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</si>
  <si>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</si>
  <si>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</si>
  <si>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</si>
  <si>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</si>
  <si>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</si>
  <si>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</si>
  <si>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</si>
  <si>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</si>
  <si>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</si>
  <si>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</si>
  <si>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</si>
  <si>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</si>
  <si>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</si>
  <si>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</si>
  <si>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</si>
  <si>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</si>
  <si>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</si>
  <si>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</si>
  <si>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</si>
  <si>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</si>
  <si>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</si>
  <si>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</si>
  <si>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</si>
  <si>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</si>
  <si>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</si>
  <si>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</si>
  <si>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</si>
  <si>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</si>
  <si>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</si>
  <si>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</si>
  <si>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</si>
  <si>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</si>
  <si>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</si>
  <si>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</si>
  <si>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</si>
  <si>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</si>
  <si>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</si>
  <si>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</si>
  <si>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</si>
  <si>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</si>
  <si>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</si>
  <si>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</si>
  <si>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</si>
  <si>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</si>
  <si>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</si>
  <si>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</si>
  <si>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</si>
  <si>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</si>
  <si>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</si>
  <si>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</si>
  <si>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</si>
  <si>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</si>
  <si>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</si>
  <si>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</si>
  <si>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</si>
  <si>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</si>
  <si>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</si>
  <si>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</si>
  <si>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</si>
  <si>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</si>
  <si>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</si>
  <si>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</si>
  <si>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</si>
  <si>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</si>
  <si>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</si>
  <si>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</si>
  <si>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</si>
  <si>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</si>
  <si>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</si>
  <si>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</si>
  <si>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</si>
  <si>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</si>
  <si>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</si>
  <si>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</si>
  <si>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</si>
  <si>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</si>
  <si>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</si>
  <si>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</si>
  <si>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</si>
  <si>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</si>
  <si>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</si>
  <si>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</si>
  <si>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</si>
  <si>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</si>
  <si>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</si>
  <si>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</si>
  <si>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</si>
  <si>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</si>
  <si>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</si>
  <si>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</si>
  <si>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</si>
  <si>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</si>
  <si>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</si>
  <si>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</si>
  <si>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</si>
  <si>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</si>
  <si>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</si>
  <si>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</si>
  <si>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</si>
  <si>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</si>
  <si>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</si>
  <si>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</si>
  <si>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</si>
  <si>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</si>
  <si>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</si>
  <si>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</si>
  <si>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</si>
  <si>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</si>
  <si>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</si>
  <si>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</si>
  <si>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</si>
  <si>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</si>
  <si>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</si>
  <si>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</si>
  <si>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</si>
  <si>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</si>
  <si>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</si>
  <si>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</si>
  <si>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</si>
  <si>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</si>
  <si>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</si>
  <si>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</si>
  <si>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</si>
  <si>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</si>
  <si>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</si>
  <si>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</si>
  <si>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</si>
  <si>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</si>
  <si>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</si>
  <si>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</si>
  <si>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</si>
  <si>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</si>
  <si>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</si>
  <si>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</si>
  <si>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</si>
  <si>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</si>
  <si>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</si>
  <si>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</si>
  <si>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</si>
  <si>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</si>
  <si>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</si>
  <si>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</si>
  <si>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</si>
  <si>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</si>
  <si>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</si>
  <si>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</si>
  <si>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</si>
  <si>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</si>
  <si>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</si>
  <si>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</si>
  <si>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</si>
  <si>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</si>
  <si>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</si>
  <si>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</si>
  <si>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</si>
  <si>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</si>
  <si>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</si>
  <si>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</si>
  <si>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</si>
  <si>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</si>
  <si>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</si>
  <si>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</si>
  <si>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</si>
  <si>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</si>
  <si>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</si>
  <si>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</si>
  <si>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</si>
  <si>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</si>
  <si>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</si>
  <si>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</si>
  <si>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</si>
  <si>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</si>
  <si>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</si>
  <si>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</si>
  <si>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</si>
  <si>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</si>
  <si>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</si>
  <si>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</si>
  <si>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</si>
  <si>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</si>
  <si>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</si>
  <si>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</si>
  <si>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</si>
  <si>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</si>
  <si>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</si>
  <si>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</si>
  <si>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</si>
  <si>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</si>
  <si>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</si>
  <si>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</si>
  <si>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</si>
  <si>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</si>
  <si>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</si>
  <si>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</si>
  <si>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</si>
  <si>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</si>
  <si>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</si>
  <si>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</si>
  <si>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</si>
  <si>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</si>
  <si>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</si>
  <si>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</si>
  <si>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</si>
  <si>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</si>
  <si>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</si>
  <si>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</si>
  <si>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</si>
  <si>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</si>
  <si>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</si>
  <si>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</si>
  <si>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</si>
  <si>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</si>
  <si>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</si>
  <si>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</si>
  <si>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</si>
  <si>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</si>
  <si>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</si>
  <si>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</si>
  <si>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</si>
  <si>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</si>
  <si>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</si>
  <si>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</si>
  <si>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</si>
  <si>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</si>
  <si>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</si>
  <si>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</si>
  <si>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</si>
  <si>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</si>
  <si>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</si>
  <si>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</si>
  <si>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</si>
  <si>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</si>
  <si>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</si>
  <si>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</si>
  <si>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</si>
  <si>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</si>
  <si>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</si>
  <si>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</si>
  <si>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</si>
  <si>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</si>
  <si>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</si>
  <si>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</si>
  <si>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</si>
  <si>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</si>
  <si>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</si>
  <si>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</si>
  <si>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</si>
  <si>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</si>
  <si>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</si>
  <si>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</si>
  <si>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</si>
  <si>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</si>
  <si>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</si>
  <si>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</si>
  <si>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</si>
  <si>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</si>
  <si>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</si>
  <si>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</si>
  <si>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</si>
  <si>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</si>
  <si>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</si>
  <si>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</si>
  <si>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</si>
  <si>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</si>
  <si>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</si>
  <si>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</si>
  <si>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</si>
  <si>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</si>
  <si>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</si>
  <si>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</si>
  <si>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</si>
  <si>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</si>
  <si>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</si>
  <si>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</si>
  <si>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</si>
  <si>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</si>
  <si>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</si>
  <si>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</si>
  <si>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</si>
  <si>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</si>
  <si>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</si>
  <si>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</si>
  <si>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</si>
  <si>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</si>
  <si>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</si>
  <si>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</si>
  <si>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</si>
  <si>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</si>
  <si>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</si>
  <si>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</si>
  <si>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</si>
  <si>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</si>
  <si>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</si>
  <si>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</si>
  <si>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</si>
  <si>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</si>
  <si>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</si>
  <si>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</si>
  <si>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</si>
  <si>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</si>
  <si>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</si>
  <si>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</si>
  <si>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</si>
  <si>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</si>
  <si>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</si>
  <si>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</si>
  <si>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</si>
  <si>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</si>
  <si>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</si>
  <si>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</si>
  <si>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</si>
  <si>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</si>
  <si>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</si>
  <si>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</si>
  <si>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</si>
  <si>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</si>
  <si>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</si>
  <si>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</si>
  <si>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</si>
  <si>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</si>
  <si>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</si>
  <si>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</si>
  <si>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</si>
  <si>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</si>
  <si>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</si>
  <si>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</si>
  <si>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</si>
  <si>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</si>
  <si>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</si>
  <si>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</si>
  <si>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</si>
  <si>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</si>
  <si>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</si>
  <si>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</si>
  <si>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</si>
  <si>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</si>
  <si>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</si>
  <si>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</si>
  <si>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</si>
  <si>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</si>
  <si>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</si>
  <si>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</si>
  <si>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</si>
  <si>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</si>
  <si>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</si>
  <si>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</si>
  <si>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</si>
  <si>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</si>
  <si>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</si>
  <si>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</si>
  <si>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</si>
  <si>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</si>
  <si>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</si>
  <si>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</si>
  <si>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</si>
  <si>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</si>
  <si>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</si>
  <si>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</si>
  <si>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</si>
  <si>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</si>
  <si>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</si>
  <si>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</si>
  <si>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</si>
  <si>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</si>
  <si>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</si>
  <si>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</si>
  <si>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</si>
  <si>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</si>
  <si>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</si>
  <si>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</si>
  <si>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</si>
  <si>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</si>
  <si>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</si>
  <si>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</si>
  <si>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</si>
  <si>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</si>
  <si>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</si>
  <si>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</si>
  <si>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</si>
  <si>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</si>
  <si>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</si>
  <si>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</si>
  <si>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</si>
  <si>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</si>
  <si>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</si>
  <si>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</si>
  <si>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</si>
  <si>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</si>
  <si>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</si>
  <si>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</si>
  <si>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</si>
  <si>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</si>
  <si>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</si>
  <si>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</si>
  <si>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</si>
  <si>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</si>
  <si>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</si>
  <si>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</si>
  <si>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</si>
  <si>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</si>
  <si>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</si>
  <si>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</si>
  <si>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</si>
  <si>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</si>
  <si>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</si>
  <si>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</si>
  <si>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</si>
  <si>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</si>
  <si>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</si>
  <si>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</si>
  <si>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</si>
  <si>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</si>
  <si>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</si>
  <si>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</si>
  <si>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</si>
  <si>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</si>
  <si>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</si>
  <si>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</si>
  <si>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</si>
  <si>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</si>
  <si>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</si>
  <si>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</si>
  <si>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</si>
  <si>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</si>
  <si>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</si>
  <si>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</si>
  <si>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</si>
  <si>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</si>
  <si>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</si>
  <si>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</si>
  <si>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</si>
  <si>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</si>
  <si>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</si>
  <si>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</si>
  <si>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</si>
  <si>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</si>
  <si>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</si>
  <si>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</si>
  <si>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</si>
  <si>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</si>
  <si>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</si>
  <si>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</si>
  <si>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</si>
  <si>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</si>
  <si>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</si>
  <si>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</si>
  <si>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</si>
  <si>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</si>
  <si>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</si>
  <si>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</si>
  <si>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</si>
  <si>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</si>
  <si>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</si>
  <si>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</si>
  <si>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</si>
  <si>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</si>
  <si>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</si>
  <si>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</si>
  <si>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</si>
  <si>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</si>
  <si>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</si>
  <si>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</si>
  <si>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</si>
  <si>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</si>
  <si>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</si>
  <si>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</si>
  <si>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</si>
  <si>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</si>
  <si>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</si>
  <si>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</si>
  <si>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</si>
  <si>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</si>
  <si>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</si>
  <si>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</si>
  <si>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</si>
  <si>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</si>
  <si>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</si>
  <si>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</si>
  <si>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</si>
  <si>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</si>
  <si>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</si>
  <si>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</si>
  <si>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</si>
  <si>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</si>
  <si>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</si>
  <si>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</si>
  <si>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</si>
  <si>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</si>
  <si>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</si>
  <si>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</si>
  <si>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</si>
  <si>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</si>
  <si>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</si>
  <si>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</si>
  <si>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</si>
  <si>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</si>
  <si>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</si>
  <si>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</si>
  <si>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</si>
  <si>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</si>
  <si>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</si>
  <si>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</si>
  <si>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</si>
  <si>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</si>
  <si>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</si>
  <si>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</si>
  <si>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</si>
  <si>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</si>
  <si>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</si>
  <si>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</si>
  <si>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</si>
  <si>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</si>
  <si>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</si>
  <si>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</si>
  <si>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</si>
  <si>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</si>
  <si>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</si>
  <si>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</si>
  <si>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</si>
  <si>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</si>
  <si>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</si>
  <si>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</si>
  <si>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</si>
  <si>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</si>
  <si>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</si>
  <si>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</si>
  <si>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</si>
  <si>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</si>
  <si>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</si>
  <si>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</si>
  <si>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</si>
  <si>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</si>
  <si>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</si>
  <si>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</si>
  <si>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</si>
  <si>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</si>
  <si>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</si>
  <si>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</si>
  <si>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</si>
  <si>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</si>
  <si>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</si>
  <si>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</si>
  <si>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</si>
  <si>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</si>
  <si>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</si>
  <si>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</si>
  <si>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</si>
  <si>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</si>
  <si>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</si>
  <si>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</si>
  <si>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</si>
  <si>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</si>
  <si>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</si>
  <si>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</si>
  <si>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</si>
  <si>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</si>
  <si>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</si>
  <si>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</si>
  <si>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</si>
  <si>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</si>
  <si>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</si>
  <si>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</si>
  <si>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</si>
  <si>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</si>
  <si>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</si>
  <si>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</si>
  <si>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</si>
  <si>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</si>
  <si>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</si>
  <si>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</si>
  <si>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</si>
  <si>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</si>
  <si>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</si>
  <si>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</si>
  <si>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</si>
  <si>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</si>
  <si>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</si>
  <si>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</si>
  <si>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</si>
  <si>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</si>
  <si>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</si>
  <si>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</si>
  <si>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</si>
  <si>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</si>
  <si>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</si>
  <si>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</si>
  <si>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</si>
  <si>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</si>
  <si>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</si>
  <si>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</si>
  <si>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</si>
  <si>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</si>
  <si>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</si>
  <si>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</si>
  <si>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</si>
  <si>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</si>
  <si>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</si>
  <si>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</si>
  <si>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</si>
  <si>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</si>
  <si>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</si>
  <si>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</si>
  <si>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</si>
  <si>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</si>
  <si>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</si>
  <si>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</si>
  <si>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</si>
  <si>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</si>
  <si>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</si>
  <si>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</si>
  <si>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</si>
  <si>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</si>
  <si>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</si>
  <si>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</si>
  <si>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</si>
  <si>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</si>
  <si>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</si>
  <si>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</si>
  <si>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</si>
  <si>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</si>
  <si>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</si>
  <si>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</si>
  <si>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</si>
  <si>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</si>
  <si>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</si>
  <si>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</si>
  <si>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</si>
  <si>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</si>
  <si>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</si>
  <si>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</si>
  <si>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</si>
  <si>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</si>
  <si>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</si>
  <si>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</si>
  <si>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</si>
  <si>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</si>
  <si>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</si>
  <si>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</si>
  <si>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</si>
  <si>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</si>
  <si>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</si>
  <si>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</si>
  <si>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</si>
  <si>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</si>
  <si>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</si>
  <si>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</si>
  <si>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</si>
  <si>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</si>
  <si>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</si>
  <si>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</si>
  <si>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</si>
  <si>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</si>
  <si>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</si>
  <si>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</si>
  <si>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</si>
  <si>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</si>
  <si>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</si>
  <si>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</si>
  <si>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</si>
  <si>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</si>
  <si>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</si>
  <si>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</si>
  <si>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</si>
  <si>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</si>
  <si>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</si>
  <si>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</si>
  <si>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</si>
  <si>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</si>
  <si>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</si>
  <si>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</si>
  <si>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</si>
  <si>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</si>
  <si>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</si>
  <si>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</si>
  <si>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</si>
  <si>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</si>
  <si>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</si>
  <si>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</si>
  <si>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</si>
  <si>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</si>
  <si>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</si>
  <si>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</si>
  <si>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</si>
  <si>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</si>
  <si>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</si>
  <si>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</si>
  <si>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</si>
  <si>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</si>
  <si>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</si>
  <si>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</si>
  <si>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</si>
  <si>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</si>
  <si>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</si>
  <si>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</si>
  <si>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</si>
  <si>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</si>
  <si>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</si>
  <si>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</si>
  <si>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</si>
  <si>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</si>
  <si>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</si>
  <si>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</si>
  <si>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</si>
  <si>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</si>
  <si>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</si>
  <si>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</si>
  <si>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</si>
  <si>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</si>
  <si>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</si>
  <si>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</si>
  <si>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</si>
  <si>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</si>
  <si>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</si>
  <si>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</si>
  <si>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</si>
  <si>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</si>
  <si>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</si>
  <si>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</si>
  <si>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</si>
  <si>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</si>
  <si>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</si>
  <si>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</si>
  <si>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</si>
  <si>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</si>
  <si>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</si>
  <si>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</si>
  <si>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</si>
  <si>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</si>
  <si>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</si>
  <si>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</si>
  <si>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</si>
  <si>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</si>
  <si>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</si>
  <si>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</si>
  <si>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</si>
  <si>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</si>
  <si>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</si>
  <si>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</si>
  <si>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</si>
  <si>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</si>
  <si>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</si>
  <si>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</si>
  <si>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</si>
  <si>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</si>
  <si>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</si>
  <si>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</si>
  <si>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</si>
  <si>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</si>
  <si>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</si>
  <si>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</si>
  <si>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</si>
  <si>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</si>
  <si>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</si>
  <si>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</si>
  <si>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</si>
  <si>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</si>
  <si>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</si>
  <si>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</si>
  <si>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</si>
  <si>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</si>
  <si>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</si>
  <si>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</si>
  <si>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</si>
  <si>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</si>
  <si>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</si>
  <si>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</si>
  <si>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</si>
  <si>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</si>
  <si>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</si>
  <si>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</si>
  <si>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</si>
  <si>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</si>
  <si>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</si>
  <si>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</si>
  <si>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</si>
  <si>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</si>
  <si>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</si>
  <si>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</si>
  <si>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</si>
  <si>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</si>
  <si>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</si>
  <si>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</si>
  <si>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</si>
  <si>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</si>
  <si>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</si>
  <si>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</si>
  <si>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</si>
  <si>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</si>
  <si>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</si>
  <si>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</si>
  <si>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</si>
  <si>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</si>
  <si>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</si>
  <si>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</si>
  <si>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</si>
  <si>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</si>
  <si>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</si>
  <si>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</si>
  <si>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</si>
  <si>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</si>
  <si>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</si>
  <si>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</si>
  <si>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</si>
  <si>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</si>
  <si>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</si>
  <si>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</si>
  <si>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</si>
  <si>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</si>
  <si>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</si>
  <si>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</si>
  <si>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</si>
  <si>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</si>
  <si>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</si>
  <si>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</si>
  <si>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</si>
  <si>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</si>
  <si>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</si>
  <si>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</si>
  <si>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</si>
  <si>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</si>
  <si>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</si>
  <si>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</si>
  <si>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</si>
  <si>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</si>
  <si>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</si>
  <si>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</si>
  <si>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</si>
  <si>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</si>
  <si>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</si>
  <si>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</si>
  <si>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</si>
  <si>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</si>
  <si>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</si>
  <si>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</si>
  <si>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</si>
  <si>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</si>
  <si>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</si>
  <si>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</si>
  <si>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</si>
  <si>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</si>
  <si>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</si>
  <si>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</si>
  <si>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</si>
  <si>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</si>
  <si>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</si>
  <si>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</si>
  <si>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</si>
  <si>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</si>
  <si>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</si>
  <si>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</si>
  <si>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</si>
  <si>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</si>
  <si>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</si>
  <si>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</si>
  <si>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</si>
  <si>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</si>
  <si>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</si>
  <si>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</si>
  <si>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</si>
  <si>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</si>
  <si>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</si>
  <si>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</si>
  <si>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</si>
  <si>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</si>
  <si>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</si>
  <si>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</si>
  <si>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</si>
  <si>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</si>
  <si>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</si>
  <si>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</si>
  <si>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</si>
  <si>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</si>
  <si>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</si>
  <si>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</si>
  <si>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</si>
  <si>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</si>
  <si>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</si>
  <si>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</si>
  <si>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</si>
  <si>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</si>
  <si>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</si>
  <si>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</si>
  <si>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</si>
  <si>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</si>
  <si>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</si>
  <si>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</si>
  <si>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</si>
  <si>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</si>
  <si>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</si>
  <si>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</si>
  <si>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</si>
  <si>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</si>
  <si>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</si>
  <si>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</si>
  <si>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</si>
  <si>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</si>
  <si>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</si>
  <si>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</si>
  <si>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</si>
  <si>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</si>
  <si>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</si>
  <si>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</si>
  <si>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</si>
  <si>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</si>
  <si>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</si>
  <si>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</si>
  <si>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</si>
  <si>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</si>
  <si>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</si>
  <si>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</si>
  <si>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</si>
  <si>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</si>
  <si>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</si>
  <si>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</si>
  <si>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</si>
  <si>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</si>
  <si>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</si>
  <si>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</si>
  <si>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</si>
  <si>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</si>
  <si>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</si>
  <si>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</si>
  <si>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</si>
  <si>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</si>
  <si>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</si>
  <si>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</si>
  <si>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</si>
  <si>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</si>
  <si>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</si>
  <si>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</si>
  <si>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</si>
  <si>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</si>
  <si>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</si>
  <si>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</si>
  <si>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</si>
  <si>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</si>
  <si>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</si>
  <si>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</si>
  <si>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</si>
  <si>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</si>
  <si>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</si>
  <si>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</si>
  <si>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</si>
  <si>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</si>
  <si>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</si>
  <si>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</si>
  <si>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</si>
  <si>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</si>
  <si>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</si>
  <si>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</si>
  <si>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</si>
  <si>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</si>
  <si>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</si>
  <si>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</si>
  <si>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</si>
  <si>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</si>
  <si>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</si>
  <si>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</si>
  <si>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</si>
  <si>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</si>
  <si>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</si>
  <si>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</si>
  <si>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</si>
  <si>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</si>
  <si>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</si>
  <si>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</si>
  <si>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</si>
  <si>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</si>
  <si>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</si>
  <si>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</si>
  <si>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</si>
  <si>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</si>
  <si>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</si>
  <si>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</si>
  <si>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</si>
  <si>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</si>
  <si>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</si>
  <si>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</si>
  <si>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</si>
  <si>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</si>
  <si>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</si>
  <si>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</si>
  <si>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</si>
  <si>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</si>
  <si>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</si>
  <si>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</si>
  <si>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</si>
  <si>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</si>
  <si>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</si>
  <si>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</si>
  <si>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</si>
  <si>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</si>
  <si>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</si>
  <si>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</si>
  <si>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</si>
  <si>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</si>
  <si>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</si>
  <si>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</si>
  <si>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</si>
  <si>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</si>
  <si>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</si>
  <si>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</si>
  <si>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</si>
  <si>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</si>
  <si>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</si>
  <si>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</si>
  <si>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</si>
  <si>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</si>
  <si>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</si>
  <si>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</si>
  <si>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</si>
  <si>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</si>
  <si>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</si>
  <si>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</si>
  <si>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</si>
  <si>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</si>
  <si>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</si>
  <si>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</si>
  <si>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</si>
  <si>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</si>
  <si>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</si>
  <si>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</si>
  <si>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</si>
  <si>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</si>
  <si>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</si>
  <si>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</si>
  <si>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</si>
  <si>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</si>
  <si>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</si>
  <si>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</si>
  <si>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</si>
  <si>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</si>
  <si>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</si>
  <si>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</si>
  <si>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</si>
  <si>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</si>
  <si>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</si>
  <si>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</si>
  <si>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</si>
  <si>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</si>
  <si>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</si>
  <si>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</si>
  <si>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</si>
  <si>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</si>
  <si>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</si>
  <si>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</si>
  <si>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</si>
  <si>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</si>
  <si>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</si>
  <si>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</si>
  <si>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</si>
  <si>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</si>
  <si>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</si>
  <si>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</si>
  <si>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</si>
  <si>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</si>
  <si>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</si>
  <si>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</si>
  <si>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</si>
  <si>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</si>
  <si>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</si>
  <si>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</si>
  <si>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</si>
  <si>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</si>
  <si>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</si>
  <si>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</si>
  <si>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</si>
  <si>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</si>
  <si>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</si>
  <si>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</si>
  <si>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</si>
  <si>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</si>
  <si>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</si>
  <si>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</si>
  <si>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</si>
  <si>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</si>
  <si>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</si>
  <si>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</si>
  <si>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</si>
  <si>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</si>
  <si>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</si>
  <si>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</si>
  <si>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</si>
  <si>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</si>
  <si>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</si>
  <si>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</si>
  <si>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</si>
  <si>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</si>
  <si>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</si>
  <si>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</si>
  <si>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</si>
  <si>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</si>
  <si>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</si>
  <si>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</si>
  <si>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</si>
  <si>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</si>
  <si>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</si>
  <si>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</si>
  <si>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</si>
  <si>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</si>
  <si>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</si>
  <si>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</si>
  <si>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</si>
  <si>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</si>
  <si>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</si>
  <si>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</si>
  <si>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</si>
  <si>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</si>
  <si>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</si>
  <si>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</si>
  <si>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</si>
  <si>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</si>
  <si>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</si>
  <si>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</si>
  <si>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</si>
  <si>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</si>
  <si>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</si>
  <si>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</si>
  <si>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</si>
  <si>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</si>
  <si>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</si>
  <si>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</si>
  <si>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</si>
  <si>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</si>
  <si>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</si>
  <si>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</si>
  <si>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</si>
  <si>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</si>
  <si>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</si>
  <si>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</si>
  <si>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</si>
  <si>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</si>
  <si>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</si>
  <si>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</si>
  <si>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</si>
  <si>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</si>
  <si>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</si>
  <si>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</si>
  <si>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</si>
  <si>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</si>
  <si>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</si>
  <si>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</si>
  <si>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</si>
  <si>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</si>
  <si>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</si>
  <si>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</si>
  <si>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</si>
  <si>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</si>
  <si>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</si>
  <si>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</si>
  <si>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</si>
  <si>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</si>
  <si>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</si>
  <si>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</si>
  <si>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</si>
  <si>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</si>
  <si>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</si>
  <si>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</si>
  <si>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</si>
  <si>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</si>
  <si>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</si>
  <si>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</si>
  <si>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</si>
  <si>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</si>
  <si>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</si>
  <si>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</si>
  <si>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</si>
  <si>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</si>
  <si>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</si>
  <si>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</si>
  <si>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</si>
  <si>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</si>
  <si>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</si>
  <si>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</si>
  <si>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</si>
  <si>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</si>
  <si>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</si>
  <si>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</si>
  <si>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</si>
  <si>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</si>
  <si>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</si>
  <si>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</si>
  <si>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</si>
  <si>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</si>
  <si>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</si>
  <si>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</si>
  <si>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</si>
  <si>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</si>
  <si>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</si>
  <si>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</si>
  <si>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</si>
  <si>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</si>
  <si>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</si>
  <si>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</si>
  <si>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</si>
  <si>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</si>
  <si>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</si>
  <si>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</si>
  <si>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</si>
  <si>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</si>
  <si>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</si>
  <si>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</si>
  <si>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</si>
  <si>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</si>
  <si>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</si>
  <si>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</si>
  <si>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</si>
  <si>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</si>
  <si>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</si>
  <si>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</si>
  <si>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</si>
  <si>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</si>
  <si>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</si>
  <si>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</si>
  <si>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</si>
  <si>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</si>
  <si>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</si>
  <si>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</si>
  <si>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</si>
  <si>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</si>
  <si>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</si>
  <si>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</si>
  <si>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</si>
  <si>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</si>
  <si>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</si>
  <si>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</si>
  <si>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</si>
  <si>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</si>
  <si>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</si>
  <si>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</si>
  <si>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</si>
  <si>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</si>
  <si>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</si>
  <si>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</si>
  <si>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</si>
  <si>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</si>
  <si>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</si>
  <si>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</si>
  <si>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</si>
  <si>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</si>
  <si>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</si>
  <si>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</si>
  <si>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</si>
  <si>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</si>
  <si>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</si>
  <si>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</si>
  <si>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</si>
  <si>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</si>
  <si>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</si>
  <si>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</si>
  <si>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</si>
  <si>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</si>
  <si>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</si>
  <si>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</si>
  <si>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</si>
  <si>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</si>
  <si>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</si>
  <si>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</si>
  <si>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</si>
  <si>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</si>
  <si>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</si>
  <si>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</si>
  <si>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</si>
  <si>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</si>
  <si>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</si>
  <si>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</si>
  <si>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</si>
  <si>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</si>
  <si>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</si>
  <si>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</si>
  <si>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</si>
  <si>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</si>
  <si>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</si>
  <si>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</si>
  <si>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</si>
  <si>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</si>
  <si>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</si>
  <si>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</si>
  <si>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</si>
  <si>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</si>
  <si>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</si>
  <si>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</si>
  <si>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</si>
  <si>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</si>
  <si>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</si>
  <si>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</si>
  <si>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</si>
  <si>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</si>
  <si>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</si>
  <si>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</si>
  <si>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</si>
  <si>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</si>
  <si>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</si>
  <si>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</si>
  <si>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</si>
  <si>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</si>
  <si>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</si>
  <si>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</si>
  <si>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</si>
  <si>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</si>
  <si>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</si>
  <si>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</si>
  <si>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</si>
  <si>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</si>
  <si>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</si>
  <si>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</si>
  <si>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</si>
  <si>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</si>
  <si>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</si>
  <si>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</si>
  <si>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</si>
  <si>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</si>
  <si>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</si>
  <si>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</si>
  <si>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</si>
  <si>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</si>
  <si>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</si>
  <si>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</si>
  <si>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</si>
  <si>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</si>
  <si>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</si>
  <si>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</si>
  <si>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</si>
  <si>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</si>
  <si>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</si>
  <si>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</si>
  <si>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</si>
  <si>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</si>
  <si>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</si>
  <si>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</si>
  <si>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</si>
  <si>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</si>
  <si>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</si>
  <si>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</si>
  <si>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</si>
  <si>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</si>
  <si>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</si>
  <si>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</si>
  <si>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</si>
  <si>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</si>
  <si>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</si>
  <si>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</si>
  <si>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</si>
  <si>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</si>
  <si>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</si>
  <si>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</si>
  <si>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</si>
  <si>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</si>
  <si>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</si>
  <si>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</si>
  <si>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</si>
  <si>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</si>
  <si>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</si>
  <si>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</si>
  <si>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</si>
  <si>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</si>
  <si>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</si>
  <si>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</si>
  <si>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</si>
  <si>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</si>
  <si>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</si>
  <si>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</si>
  <si>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</si>
  <si>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</si>
  <si>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</si>
  <si>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</si>
  <si>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</si>
  <si>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</si>
  <si>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</si>
  <si>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</si>
  <si>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</si>
  <si>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</si>
  <si>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</si>
  <si>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</si>
  <si>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</si>
  <si>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</si>
  <si>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</si>
  <si>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</si>
  <si>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</si>
  <si>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</si>
  <si>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</si>
  <si>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</si>
  <si>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</si>
  <si>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</si>
  <si>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</si>
  <si>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</si>
  <si>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</si>
  <si>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</si>
  <si>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</si>
  <si>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</si>
  <si>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</si>
  <si>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</si>
  <si>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</si>
  <si>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</si>
  <si>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</si>
  <si>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</si>
  <si>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</si>
  <si>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Fair Political Practices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</si>
</sst>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796875" defaultRowHeight="15.5" x14ac:dyDescent="0.35"/>
  <cols>
    <col min="1" max="1" width="12.81640625" style="1" bestFit="1" customWidth="1"/>
    <col min="2" max="2" width="15.1796875" style="1" bestFit="1" customWidth="1"/>
    <col min="3" max="3" width="12.54296875" style="1" bestFit="1" customWidth="1"/>
    <col min="4" max="4" width="9.1796875" style="1"/>
    <col min="5" max="5" width="35.26953125" style="1" bestFit="1" customWidth="1"/>
    <col min="6" max="6" width="31.81640625" style="1" bestFit="1" customWidth="1"/>
    <col min="7" max="8" width="44.54296875" style="1" bestFit="1" customWidth="1"/>
    <col min="9" max="16384" width="9.1796875" style="1"/>
  </cols>
  <sheetData>
    <row r="1" spans="1:8" x14ac:dyDescent="0.35">
      <c r="A1" s="1" t="s">
        <v>19</v>
      </c>
      <c r="B1" s="1" t="s">
        <v>120</v>
      </c>
      <c r="C1" s="1" t="s">
        <v>122</v>
      </c>
      <c r="D1" s="1" t="s">
        <v>125</v>
      </c>
      <c r="E1" s="1" t="s">
        <v>154</v>
      </c>
      <c r="F1" s="111" t="s">
        <v>209</v>
      </c>
      <c r="G1" s="112" t="s">
        <v>1597</v>
      </c>
    </row>
    <row r="2" spans="1:8" x14ac:dyDescent="0.35">
      <c r="A2" s="1" t="s">
        <v>20</v>
      </c>
      <c r="B2" s="1" t="s">
        <v>121</v>
      </c>
      <c r="C2" s="1" t="s">
        <v>123</v>
      </c>
      <c r="D2" s="1" t="s">
        <v>124</v>
      </c>
      <c r="E2" s="1" t="s">
        <v>131</v>
      </c>
      <c r="F2" s="111" t="s">
        <v>1598</v>
      </c>
      <c r="G2" t="s">
        <v>1599</v>
      </c>
      <c r="H2" t="s">
        <v>1617</v>
      </c>
    </row>
    <row r="3" spans="1:8" x14ac:dyDescent="0.35">
      <c r="A3" s="1" t="s">
        <v>21</v>
      </c>
      <c r="E3" s="1" t="s">
        <v>130</v>
      </c>
      <c r="F3" s="111" t="s">
        <v>1600</v>
      </c>
      <c r="G3" t="s">
        <v>1601</v>
      </c>
      <c r="H3" t="s">
        <v>1618</v>
      </c>
    </row>
    <row r="4" spans="1:8" x14ac:dyDescent="0.35">
      <c r="A4" s="1" t="s">
        <v>22</v>
      </c>
      <c r="F4" s="111" t="s">
        <v>1602</v>
      </c>
      <c r="G4" t="s">
        <v>1603</v>
      </c>
      <c r="H4" t="s">
        <v>1619</v>
      </c>
    </row>
    <row r="5" spans="1:8" x14ac:dyDescent="0.35">
      <c r="A5" s="1" t="s">
        <v>23</v>
      </c>
      <c r="F5" s="111" t="s">
        <v>1604</v>
      </c>
      <c r="G5" t="s">
        <v>1605</v>
      </c>
      <c r="H5" t="s">
        <v>1620</v>
      </c>
    </row>
    <row r="6" spans="1:8" x14ac:dyDescent="0.35">
      <c r="A6" s="1" t="s">
        <v>24</v>
      </c>
      <c r="F6" s="113" t="s">
        <v>302</v>
      </c>
      <c r="G6" t="s">
        <v>1606</v>
      </c>
      <c r="H6" t="s">
        <v>1621</v>
      </c>
    </row>
    <row r="7" spans="1:8" x14ac:dyDescent="0.35">
      <c r="A7" s="1" t="s">
        <v>25</v>
      </c>
      <c r="F7" s="111" t="s">
        <v>1607</v>
      </c>
      <c r="G7" t="s">
        <v>1608</v>
      </c>
      <c r="H7" t="s">
        <v>1622</v>
      </c>
    </row>
    <row r="8" spans="1:8" x14ac:dyDescent="0.35">
      <c r="A8" s="1" t="s">
        <v>26</v>
      </c>
      <c r="F8" s="111" t="s">
        <v>903</v>
      </c>
      <c r="G8" t="s">
        <v>1609</v>
      </c>
      <c r="H8" t="s">
        <v>1623</v>
      </c>
    </row>
    <row r="9" spans="1:8" x14ac:dyDescent="0.35">
      <c r="A9" s="1" t="s">
        <v>27</v>
      </c>
      <c r="F9" s="111" t="s">
        <v>1610</v>
      </c>
      <c r="G9" t="s">
        <v>1611</v>
      </c>
      <c r="H9" t="s">
        <v>1624</v>
      </c>
    </row>
    <row r="10" spans="1:8" x14ac:dyDescent="0.35">
      <c r="A10" s="1" t="s">
        <v>28</v>
      </c>
      <c r="F10" t="s">
        <v>1612</v>
      </c>
      <c r="G10" t="s">
        <v>1613</v>
      </c>
      <c r="H10" t="s">
        <v>1625</v>
      </c>
    </row>
    <row r="11" spans="1:8" x14ac:dyDescent="0.35">
      <c r="A11" s="1" t="s">
        <v>29</v>
      </c>
    </row>
    <row r="12" spans="1:8" x14ac:dyDescent="0.35">
      <c r="A12" s="1" t="s">
        <v>30</v>
      </c>
    </row>
    <row r="13" spans="1:8" x14ac:dyDescent="0.35">
      <c r="A13" s="1" t="s">
        <v>31</v>
      </c>
    </row>
    <row r="14" spans="1:8" x14ac:dyDescent="0.35">
      <c r="A14" s="1" t="s">
        <v>32</v>
      </c>
    </row>
    <row r="15" spans="1:8" x14ac:dyDescent="0.35">
      <c r="A15" s="1" t="s">
        <v>33</v>
      </c>
    </row>
    <row r="16" spans="1:8" x14ac:dyDescent="0.35">
      <c r="A16" s="1" t="s">
        <v>34</v>
      </c>
    </row>
    <row r="17" spans="1:1" x14ac:dyDescent="0.35">
      <c r="A17" s="1" t="s">
        <v>35</v>
      </c>
    </row>
    <row r="18" spans="1:1" x14ac:dyDescent="0.35">
      <c r="A18" s="1" t="s">
        <v>36</v>
      </c>
    </row>
    <row r="19" spans="1:1" x14ac:dyDescent="0.35">
      <c r="A19" s="1" t="s">
        <v>37</v>
      </c>
    </row>
    <row r="20" spans="1:1" x14ac:dyDescent="0.35">
      <c r="A20" s="1" t="s">
        <v>38</v>
      </c>
    </row>
    <row r="21" spans="1:1" x14ac:dyDescent="0.35">
      <c r="A21" s="1" t="s">
        <v>39</v>
      </c>
    </row>
    <row r="22" spans="1:1" x14ac:dyDescent="0.35">
      <c r="A22" s="1" t="s">
        <v>40</v>
      </c>
    </row>
    <row r="23" spans="1:1" x14ac:dyDescent="0.35">
      <c r="A23" s="1" t="s">
        <v>41</v>
      </c>
    </row>
    <row r="24" spans="1:1" x14ac:dyDescent="0.35">
      <c r="A24" s="1" t="s">
        <v>42</v>
      </c>
    </row>
    <row r="25" spans="1:1" x14ac:dyDescent="0.35">
      <c r="A25" s="1" t="s">
        <v>43</v>
      </c>
    </row>
    <row r="26" spans="1:1" x14ac:dyDescent="0.35">
      <c r="A26" s="1" t="s">
        <v>44</v>
      </c>
    </row>
    <row r="27" spans="1:1" x14ac:dyDescent="0.35">
      <c r="A27" s="1" t="s">
        <v>45</v>
      </c>
    </row>
    <row r="28" spans="1:1" x14ac:dyDescent="0.35">
      <c r="A28" s="1" t="s">
        <v>46</v>
      </c>
    </row>
    <row r="29" spans="1:1" x14ac:dyDescent="0.35">
      <c r="A29" s="1" t="s">
        <v>47</v>
      </c>
    </row>
    <row r="30" spans="1:1" x14ac:dyDescent="0.35">
      <c r="A30" s="1" t="s">
        <v>48</v>
      </c>
    </row>
    <row r="31" spans="1:1" x14ac:dyDescent="0.35">
      <c r="A31" s="1" t="s">
        <v>49</v>
      </c>
    </row>
    <row r="32" spans="1:1" x14ac:dyDescent="0.35">
      <c r="A32" s="1" t="s">
        <v>50</v>
      </c>
    </row>
    <row r="33" spans="1:1" x14ac:dyDescent="0.35">
      <c r="A33" s="1" t="s">
        <v>51</v>
      </c>
    </row>
    <row r="34" spans="1:1" x14ac:dyDescent="0.35">
      <c r="A34" s="1" t="s">
        <v>52</v>
      </c>
    </row>
    <row r="35" spans="1:1" x14ac:dyDescent="0.35">
      <c r="A35" s="1" t="s">
        <v>53</v>
      </c>
    </row>
    <row r="36" spans="1:1" x14ac:dyDescent="0.35">
      <c r="A36" s="1" t="s">
        <v>54</v>
      </c>
    </row>
    <row r="37" spans="1:1" x14ac:dyDescent="0.35">
      <c r="A37" s="1" t="s">
        <v>55</v>
      </c>
    </row>
    <row r="38" spans="1:1" x14ac:dyDescent="0.35">
      <c r="A38" s="1" t="s">
        <v>56</v>
      </c>
    </row>
    <row r="39" spans="1:1" x14ac:dyDescent="0.35">
      <c r="A39" s="1" t="s">
        <v>57</v>
      </c>
    </row>
    <row r="40" spans="1:1" x14ac:dyDescent="0.35">
      <c r="A40" s="1" t="s">
        <v>58</v>
      </c>
    </row>
    <row r="41" spans="1:1" x14ac:dyDescent="0.35">
      <c r="A41" s="1" t="s">
        <v>59</v>
      </c>
    </row>
    <row r="42" spans="1:1" x14ac:dyDescent="0.35">
      <c r="A42" s="1" t="s">
        <v>60</v>
      </c>
    </row>
    <row r="43" spans="1:1" x14ac:dyDescent="0.35">
      <c r="A43" s="1" t="s">
        <v>61</v>
      </c>
    </row>
    <row r="44" spans="1:1" x14ac:dyDescent="0.35">
      <c r="A44" s="1" t="s">
        <v>62</v>
      </c>
    </row>
    <row r="45" spans="1:1" x14ac:dyDescent="0.35">
      <c r="A45" s="1" t="s">
        <v>63</v>
      </c>
    </row>
    <row r="46" spans="1:1" x14ac:dyDescent="0.35">
      <c r="A46" s="1" t="s">
        <v>64</v>
      </c>
    </row>
    <row r="47" spans="1:1" x14ac:dyDescent="0.35">
      <c r="A47" s="1" t="s">
        <v>65</v>
      </c>
    </row>
    <row r="48" spans="1:1" x14ac:dyDescent="0.35">
      <c r="A48" s="1" t="s">
        <v>66</v>
      </c>
    </row>
    <row r="49" spans="1:1" x14ac:dyDescent="0.35">
      <c r="A49" s="1" t="s">
        <v>67</v>
      </c>
    </row>
    <row r="50" spans="1:1" x14ac:dyDescent="0.35">
      <c r="A50" s="1" t="s">
        <v>68</v>
      </c>
    </row>
    <row r="51" spans="1:1" x14ac:dyDescent="0.35">
      <c r="A51" s="1" t="s">
        <v>69</v>
      </c>
    </row>
    <row r="52" spans="1:1" x14ac:dyDescent="0.35">
      <c r="A52" s="1" t="s">
        <v>70</v>
      </c>
    </row>
    <row r="53" spans="1:1" x14ac:dyDescent="0.35">
      <c r="A53" s="1" t="s">
        <v>71</v>
      </c>
    </row>
    <row r="54" spans="1:1" x14ac:dyDescent="0.35">
      <c r="A54" s="1" t="s">
        <v>72</v>
      </c>
    </row>
    <row r="55" spans="1:1" x14ac:dyDescent="0.35">
      <c r="A55" s="1" t="s">
        <v>73</v>
      </c>
    </row>
    <row r="56" spans="1:1" x14ac:dyDescent="0.35">
      <c r="A56" s="1" t="s">
        <v>74</v>
      </c>
    </row>
    <row r="57" spans="1:1" x14ac:dyDescent="0.35">
      <c r="A57" s="1" t="s">
        <v>75</v>
      </c>
    </row>
    <row r="58" spans="1:1" x14ac:dyDescent="0.35">
      <c r="A58" s="1" t="s">
        <v>76</v>
      </c>
    </row>
    <row r="59" spans="1:1" x14ac:dyDescent="0.35">
      <c r="A59" s="1" t="s">
        <v>77</v>
      </c>
    </row>
    <row r="60" spans="1:1" x14ac:dyDescent="0.35">
      <c r="A60" s="1" t="s">
        <v>78</v>
      </c>
    </row>
    <row r="61" spans="1:1" x14ac:dyDescent="0.35">
      <c r="A61" s="1" t="s">
        <v>79</v>
      </c>
    </row>
    <row r="62" spans="1:1" x14ac:dyDescent="0.35">
      <c r="A62" s="1" t="s">
        <v>80</v>
      </c>
    </row>
    <row r="63" spans="1:1" x14ac:dyDescent="0.35">
      <c r="A63" s="1" t="s">
        <v>81</v>
      </c>
    </row>
    <row r="64" spans="1:1" x14ac:dyDescent="0.35">
      <c r="A64" s="1" t="s">
        <v>82</v>
      </c>
    </row>
    <row r="65" spans="1:1" x14ac:dyDescent="0.35">
      <c r="A65" s="1" t="s">
        <v>83</v>
      </c>
    </row>
    <row r="66" spans="1:1" x14ac:dyDescent="0.35">
      <c r="A66" s="1" t="s">
        <v>84</v>
      </c>
    </row>
    <row r="67" spans="1:1" x14ac:dyDescent="0.35">
      <c r="A67" s="1" t="s">
        <v>85</v>
      </c>
    </row>
    <row r="68" spans="1:1" x14ac:dyDescent="0.35">
      <c r="A68" s="1" t="s">
        <v>86</v>
      </c>
    </row>
    <row r="69" spans="1:1" x14ac:dyDescent="0.35">
      <c r="A69" s="1" t="s">
        <v>87</v>
      </c>
    </row>
    <row r="70" spans="1:1" x14ac:dyDescent="0.35">
      <c r="A70" s="1" t="s">
        <v>88</v>
      </c>
    </row>
    <row r="71" spans="1:1" x14ac:dyDescent="0.35">
      <c r="A71" s="1" t="s">
        <v>89</v>
      </c>
    </row>
    <row r="72" spans="1:1" x14ac:dyDescent="0.35">
      <c r="A72" s="1" t="s">
        <v>90</v>
      </c>
    </row>
    <row r="73" spans="1:1" x14ac:dyDescent="0.35">
      <c r="A73" s="1" t="s">
        <v>91</v>
      </c>
    </row>
    <row r="74" spans="1:1" x14ac:dyDescent="0.35">
      <c r="A74" s="1" t="s">
        <v>92</v>
      </c>
    </row>
    <row r="75" spans="1:1" x14ac:dyDescent="0.35">
      <c r="A75" s="1" t="s">
        <v>93</v>
      </c>
    </row>
    <row r="76" spans="1:1" x14ac:dyDescent="0.35">
      <c r="A76" s="1" t="s">
        <v>94</v>
      </c>
    </row>
    <row r="77" spans="1:1" x14ac:dyDescent="0.35">
      <c r="A77" s="1" t="s">
        <v>95</v>
      </c>
    </row>
    <row r="78" spans="1:1" x14ac:dyDescent="0.35">
      <c r="A78" s="1" t="s">
        <v>96</v>
      </c>
    </row>
    <row r="79" spans="1:1" x14ac:dyDescent="0.35">
      <c r="A79" s="1" t="s">
        <v>97</v>
      </c>
    </row>
    <row r="80" spans="1:1" x14ac:dyDescent="0.35">
      <c r="A80" s="1" t="s">
        <v>98</v>
      </c>
    </row>
    <row r="81" spans="1:1" x14ac:dyDescent="0.35">
      <c r="A81" s="1" t="s">
        <v>99</v>
      </c>
    </row>
    <row r="82" spans="1:1" x14ac:dyDescent="0.35">
      <c r="A82" s="1" t="s">
        <v>100</v>
      </c>
    </row>
    <row r="83" spans="1:1" x14ac:dyDescent="0.35">
      <c r="A83" s="1" t="s">
        <v>101</v>
      </c>
    </row>
    <row r="84" spans="1:1" x14ac:dyDescent="0.35">
      <c r="A84" s="1" t="s">
        <v>102</v>
      </c>
    </row>
    <row r="85" spans="1:1" x14ac:dyDescent="0.35">
      <c r="A85" s="1" t="s">
        <v>103</v>
      </c>
    </row>
    <row r="86" spans="1:1" x14ac:dyDescent="0.35">
      <c r="A86" s="1" t="s">
        <v>104</v>
      </c>
    </row>
    <row r="87" spans="1:1" x14ac:dyDescent="0.35">
      <c r="A87" s="1" t="s">
        <v>105</v>
      </c>
    </row>
    <row r="88" spans="1:1" x14ac:dyDescent="0.35">
      <c r="A88" s="1" t="s">
        <v>106</v>
      </c>
    </row>
    <row r="89" spans="1:1" x14ac:dyDescent="0.35">
      <c r="A89" s="1" t="s">
        <v>107</v>
      </c>
    </row>
    <row r="90" spans="1:1" x14ac:dyDescent="0.35">
      <c r="A90" s="1" t="s">
        <v>108</v>
      </c>
    </row>
    <row r="91" spans="1:1" x14ac:dyDescent="0.35">
      <c r="A91" s="1" t="s">
        <v>109</v>
      </c>
    </row>
    <row r="92" spans="1:1" x14ac:dyDescent="0.35">
      <c r="A92" s="1" t="s">
        <v>110</v>
      </c>
    </row>
    <row r="93" spans="1:1" x14ac:dyDescent="0.35">
      <c r="A93" s="1" t="s">
        <v>111</v>
      </c>
    </row>
    <row r="94" spans="1:1" x14ac:dyDescent="0.35">
      <c r="A94" s="1" t="s">
        <v>112</v>
      </c>
    </row>
    <row r="95" spans="1:1" x14ac:dyDescent="0.35">
      <c r="A95" s="1" t="s">
        <v>113</v>
      </c>
    </row>
    <row r="96" spans="1:1" x14ac:dyDescent="0.35">
      <c r="A96" s="1" t="s">
        <v>114</v>
      </c>
    </row>
    <row r="97" spans="1:1" x14ac:dyDescent="0.35">
      <c r="A97" s="1" t="s">
        <v>115</v>
      </c>
    </row>
    <row r="98" spans="1:1" x14ac:dyDescent="0.35">
      <c r="A98" s="1" t="s">
        <v>116</v>
      </c>
    </row>
    <row r="99" spans="1:1" x14ac:dyDescent="0.35">
      <c r="A99" s="1" t="s">
        <v>117</v>
      </c>
    </row>
    <row r="100" spans="1:1" x14ac:dyDescent="0.35">
      <c r="A100" s="1" t="s">
        <v>118</v>
      </c>
    </row>
    <row r="101" spans="1:1" x14ac:dyDescent="0.35">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1640625" defaultRowHeight="14.5" x14ac:dyDescent="0.35"/>
  <cols>
    <col min="1" max="1" width="7.26953125" bestFit="1" customWidth="1"/>
    <col min="2" max="2" width="34.81640625" bestFit="1" customWidth="1"/>
    <col min="3" max="3" width="5.26953125" bestFit="1" customWidth="1"/>
    <col min="4" max="4" width="33.453125" bestFit="1" customWidth="1"/>
    <col min="5" max="5" width="8.7265625" customWidth="1"/>
    <col min="6" max="9" width="5.26953125" bestFit="1" customWidth="1"/>
    <col min="10" max="10" width="12.26953125" bestFit="1" customWidth="1"/>
    <col min="11" max="11" width="10.54296875" bestFit="1" customWidth="1"/>
  </cols>
  <sheetData>
    <row r="1" spans="1:11" x14ac:dyDescent="0.35">
      <c r="A1" s="109" t="s">
        <v>195</v>
      </c>
      <c r="B1" s="109" t="s">
        <v>196</v>
      </c>
      <c r="C1" s="109" t="s">
        <v>197</v>
      </c>
      <c r="D1" s="109" t="s">
        <v>198</v>
      </c>
      <c r="E1" s="109" t="s">
        <v>199</v>
      </c>
      <c r="F1" s="109" t="s">
        <v>200</v>
      </c>
      <c r="G1" s="109" t="s">
        <v>201</v>
      </c>
      <c r="H1" s="109" t="s">
        <v>202</v>
      </c>
      <c r="I1" s="109" t="s">
        <v>203</v>
      </c>
      <c r="J1" s="109" t="s">
        <v>204</v>
      </c>
      <c r="K1" s="109" t="s">
        <v>205</v>
      </c>
    </row>
    <row r="2" spans="1:11" x14ac:dyDescent="0.35">
      <c r="A2" s="110" t="s">
        <v>206</v>
      </c>
      <c r="B2" s="110" t="s">
        <v>207</v>
      </c>
      <c r="C2" s="110" t="s">
        <v>208</v>
      </c>
      <c r="D2" s="110" t="s">
        <v>207</v>
      </c>
      <c r="E2" s="110" t="s">
        <v>209</v>
      </c>
      <c r="F2" s="110" t="s">
        <v>210</v>
      </c>
      <c r="G2" s="110" t="s">
        <v>211</v>
      </c>
      <c r="H2" s="110" t="s">
        <v>206</v>
      </c>
      <c r="I2" s="110" t="s">
        <v>206</v>
      </c>
      <c r="J2" s="110" t="s">
        <v>212</v>
      </c>
      <c r="K2" s="110" t="s">
        <v>213</v>
      </c>
    </row>
    <row r="3" spans="1:11" x14ac:dyDescent="0.35">
      <c r="A3" s="110" t="s">
        <v>214</v>
      </c>
      <c r="B3" s="110" t="s">
        <v>215</v>
      </c>
      <c r="C3" s="110" t="s">
        <v>216</v>
      </c>
      <c r="D3" s="110" t="s">
        <v>217</v>
      </c>
      <c r="E3" s="110" t="s">
        <v>209</v>
      </c>
      <c r="F3" s="110" t="s">
        <v>206</v>
      </c>
      <c r="G3" s="110" t="s">
        <v>206</v>
      </c>
      <c r="H3" s="110" t="s">
        <v>206</v>
      </c>
      <c r="I3" s="110" t="s">
        <v>206</v>
      </c>
      <c r="J3" s="110" t="s">
        <v>218</v>
      </c>
      <c r="K3" s="110" t="s">
        <v>213</v>
      </c>
    </row>
    <row r="4" spans="1:11" x14ac:dyDescent="0.35">
      <c r="A4" s="110" t="s">
        <v>219</v>
      </c>
      <c r="B4" s="110" t="s">
        <v>220</v>
      </c>
      <c r="C4" s="110" t="s">
        <v>216</v>
      </c>
      <c r="D4" s="110" t="s">
        <v>217</v>
      </c>
      <c r="E4" s="110" t="s">
        <v>209</v>
      </c>
      <c r="F4" s="110" t="s">
        <v>206</v>
      </c>
      <c r="G4" s="110" t="s">
        <v>206</v>
      </c>
      <c r="H4" s="110" t="s">
        <v>206</v>
      </c>
      <c r="I4" s="110" t="s">
        <v>206</v>
      </c>
      <c r="J4" s="110" t="s">
        <v>221</v>
      </c>
      <c r="K4" s="110" t="s">
        <v>213</v>
      </c>
    </row>
    <row r="5" spans="1:11" x14ac:dyDescent="0.35">
      <c r="A5" s="110" t="s">
        <v>222</v>
      </c>
      <c r="B5" s="110" t="s">
        <v>223</v>
      </c>
      <c r="C5" s="110" t="s">
        <v>216</v>
      </c>
      <c r="D5" s="110" t="s">
        <v>217</v>
      </c>
      <c r="E5" s="110" t="s">
        <v>209</v>
      </c>
      <c r="F5" s="110" t="s">
        <v>206</v>
      </c>
      <c r="G5" s="110" t="s">
        <v>206</v>
      </c>
      <c r="H5" s="110" t="s">
        <v>206</v>
      </c>
      <c r="I5" s="110" t="s">
        <v>206</v>
      </c>
      <c r="J5" s="110" t="s">
        <v>221</v>
      </c>
      <c r="K5" s="110" t="s">
        <v>213</v>
      </c>
    </row>
    <row r="6" spans="1:11" x14ac:dyDescent="0.35">
      <c r="A6" s="110" t="s">
        <v>224</v>
      </c>
      <c r="B6" s="110" t="s">
        <v>225</v>
      </c>
      <c r="C6" s="110" t="s">
        <v>216</v>
      </c>
      <c r="D6" s="110" t="s">
        <v>217</v>
      </c>
      <c r="E6" s="110" t="s">
        <v>209</v>
      </c>
      <c r="F6" s="110" t="s">
        <v>206</v>
      </c>
      <c r="G6" s="110" t="s">
        <v>206</v>
      </c>
      <c r="H6" s="110" t="s">
        <v>206</v>
      </c>
      <c r="I6" s="110" t="s">
        <v>206</v>
      </c>
      <c r="J6" s="110" t="s">
        <v>221</v>
      </c>
      <c r="K6" s="110" t="s">
        <v>213</v>
      </c>
    </row>
    <row r="7" spans="1:11" x14ac:dyDescent="0.35">
      <c r="A7" s="110" t="s">
        <v>226</v>
      </c>
      <c r="B7" s="110" t="s">
        <v>227</v>
      </c>
      <c r="C7" s="110" t="s">
        <v>216</v>
      </c>
      <c r="D7" s="110" t="s">
        <v>217</v>
      </c>
      <c r="E7" s="110" t="s">
        <v>209</v>
      </c>
      <c r="F7" s="110" t="s">
        <v>206</v>
      </c>
      <c r="G7" s="110" t="s">
        <v>206</v>
      </c>
      <c r="H7" s="110" t="s">
        <v>206</v>
      </c>
      <c r="I7" s="110" t="s">
        <v>206</v>
      </c>
      <c r="J7" s="110" t="s">
        <v>228</v>
      </c>
      <c r="K7" s="110" t="s">
        <v>213</v>
      </c>
    </row>
    <row r="8" spans="1:11" x14ac:dyDescent="0.35">
      <c r="A8" s="110" t="s">
        <v>229</v>
      </c>
      <c r="B8" s="110" t="s">
        <v>230</v>
      </c>
      <c r="C8" s="110" t="s">
        <v>216</v>
      </c>
      <c r="D8" s="110" t="s">
        <v>217</v>
      </c>
      <c r="E8" s="110" t="s">
        <v>209</v>
      </c>
      <c r="F8" s="110" t="s">
        <v>206</v>
      </c>
      <c r="G8" s="110" t="s">
        <v>206</v>
      </c>
      <c r="H8" s="110" t="s">
        <v>206</v>
      </c>
      <c r="I8" s="110" t="s">
        <v>206</v>
      </c>
      <c r="J8" s="110" t="s">
        <v>228</v>
      </c>
      <c r="K8" s="110" t="s">
        <v>213</v>
      </c>
    </row>
    <row r="9" spans="1:11" x14ac:dyDescent="0.3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3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3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3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3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3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3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3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3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3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3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3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3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3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3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3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3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3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3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3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3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3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3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3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3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3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3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3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3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3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3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3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3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3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3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3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3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3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3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3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3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3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3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3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3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3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3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3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3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3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3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3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3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3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3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3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3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3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3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3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3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3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3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3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3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3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3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3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3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3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3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3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3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3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3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3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3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3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3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3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3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3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3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3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3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3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3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3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3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3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3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3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3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3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3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3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3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3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3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3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3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3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3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3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3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3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3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3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3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3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3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3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3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3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3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3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3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3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3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3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3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3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3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3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3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3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3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3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3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3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3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3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3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3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3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3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3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3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3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3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3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3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3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3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3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3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3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3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3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3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3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3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3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3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3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3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3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3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3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3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3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3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3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3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3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3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3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3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3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3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3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3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3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3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3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3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3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3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3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3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3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3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3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3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3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3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3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3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3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3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3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3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3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3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3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3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3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3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3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3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3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3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3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3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3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3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3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3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3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3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3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3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3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3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3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3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3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3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3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3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3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3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3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3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3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3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3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3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3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3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3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3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3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3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3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3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3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3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3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3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3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3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3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3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3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3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3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3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3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3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3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3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3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3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3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3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3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3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3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3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3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3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3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3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3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3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3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3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3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3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3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3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3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3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3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3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3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3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3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3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3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3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3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3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3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3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3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3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3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3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3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3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3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3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3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3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3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3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3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3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3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3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3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3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3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3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3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3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3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3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3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3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3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3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3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3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3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3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3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3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3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3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3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3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3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3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3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3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3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3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3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3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3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3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3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3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3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3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3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3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3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3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3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3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3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3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3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3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3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3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3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3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3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3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3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3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3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3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3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3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3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3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3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3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3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3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3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3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3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3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3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3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3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3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3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3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3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3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3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3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3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3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3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3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3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3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3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3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3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3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3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3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3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3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3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3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3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3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3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3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3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3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3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3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3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3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3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3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3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3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3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3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3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3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3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3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3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3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3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3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3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3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3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3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3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3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3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3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3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3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3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3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3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3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3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3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3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3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3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3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3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3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3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3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3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3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3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3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3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3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3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3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3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3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3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3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3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3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3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3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3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3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3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3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3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3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3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3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3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3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3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3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3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3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3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3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3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3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3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3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3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3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3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3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3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3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3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3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3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3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3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3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3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3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3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3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3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3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3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3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3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3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3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3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3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3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3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3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3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3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3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3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3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3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3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3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3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3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3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3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3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3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3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3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3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3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3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3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3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3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3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3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3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3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3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3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3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3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3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3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3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3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3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3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3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3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3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3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3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3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3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3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3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3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3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3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3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3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3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3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3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3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3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3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3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3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3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3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3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3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3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3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3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3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3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3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3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3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3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3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3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3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3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3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3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3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3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3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3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3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3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3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3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3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3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3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3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3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3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3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3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3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3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3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3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3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3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3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3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3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3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3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3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3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3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3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3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3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3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3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3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3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3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3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3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3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3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3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3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3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3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3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3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3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3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3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3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3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3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3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3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3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3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3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3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3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1640625" defaultRowHeight="14" x14ac:dyDescent="0.35"/>
  <cols>
    <col min="1" max="1" width="18.81640625" style="171" customWidth="1"/>
    <col min="2" max="2" width="21.54296875" style="171" customWidth="1"/>
    <col min="3" max="4" width="14.1796875" style="171" customWidth="1"/>
    <col min="5" max="5" width="65.7265625" style="171" customWidth="1"/>
    <col min="6" max="6" width="26.26953125" style="171" customWidth="1"/>
    <col min="7" max="16384" width="8.81640625" style="171"/>
  </cols>
  <sheetData>
    <row r="1" spans="1:6" x14ac:dyDescent="0.35">
      <c r="A1" s="182" t="s">
        <v>1703</v>
      </c>
      <c r="B1" s="183"/>
      <c r="C1" s="183"/>
      <c r="D1" s="183"/>
      <c r="E1" s="183"/>
      <c r="F1" s="184"/>
    </row>
    <row r="2" spans="1:6" x14ac:dyDescent="0.35">
      <c r="A2" s="185"/>
      <c r="B2" s="186"/>
      <c r="C2" s="186"/>
      <c r="D2" s="186"/>
      <c r="E2" s="186"/>
      <c r="F2" s="187"/>
    </row>
    <row r="4" spans="1:6" x14ac:dyDescent="0.35">
      <c r="A4" s="172" t="s">
        <v>1660</v>
      </c>
      <c r="B4" s="173" t="s">
        <v>1683</v>
      </c>
    </row>
    <row r="5" spans="1:6" x14ac:dyDescent="0.35">
      <c r="A5" s="172" t="s">
        <v>1688</v>
      </c>
      <c r="B5" s="173" t="s">
        <v>1710</v>
      </c>
    </row>
    <row r="6" spans="1:6" x14ac:dyDescent="0.35">
      <c r="A6" s="172"/>
      <c r="B6" s="173"/>
    </row>
    <row r="7" spans="1:6" x14ac:dyDescent="0.35">
      <c r="A7" s="174" t="s">
        <v>1671</v>
      </c>
      <c r="B7" s="173"/>
    </row>
    <row r="8" spans="1:6" x14ac:dyDescent="0.35">
      <c r="B8" s="175"/>
      <c r="C8" s="173"/>
    </row>
    <row r="9" spans="1:6" x14ac:dyDescent="0.35">
      <c r="A9" s="176" t="s">
        <v>1661</v>
      </c>
    </row>
    <row r="10" spans="1:6" x14ac:dyDescent="0.35">
      <c r="A10" s="177" t="s">
        <v>1662</v>
      </c>
      <c r="B10" s="177" t="s">
        <v>1663</v>
      </c>
      <c r="C10" s="177" t="s">
        <v>1664</v>
      </c>
      <c r="D10" s="177" t="s">
        <v>1687</v>
      </c>
      <c r="E10" s="177" t="s">
        <v>1665</v>
      </c>
      <c r="F10" s="177" t="s">
        <v>1666</v>
      </c>
    </row>
    <row r="11" spans="1:6" ht="28" x14ac:dyDescent="0.35">
      <c r="A11" s="171" t="s">
        <v>1669</v>
      </c>
      <c r="B11" s="171" t="s">
        <v>1690</v>
      </c>
      <c r="C11" s="171" t="s">
        <v>1667</v>
      </c>
      <c r="D11" s="171" t="s">
        <v>1689</v>
      </c>
      <c r="E11" s="171" t="s">
        <v>1707</v>
      </c>
      <c r="F11" s="171" t="s">
        <v>1708</v>
      </c>
    </row>
    <row r="12" spans="1:6" ht="42" x14ac:dyDescent="0.35">
      <c r="A12" s="171" t="s">
        <v>1669</v>
      </c>
      <c r="B12" s="171" t="s">
        <v>1691</v>
      </c>
      <c r="C12" s="171" t="s">
        <v>1692</v>
      </c>
      <c r="D12" s="171" t="s">
        <v>1692</v>
      </c>
      <c r="E12" s="171" t="s">
        <v>1693</v>
      </c>
      <c r="F12" s="171" t="s">
        <v>1709</v>
      </c>
    </row>
    <row r="13" spans="1:6" ht="28" x14ac:dyDescent="0.35">
      <c r="A13" s="171" t="s">
        <v>1694</v>
      </c>
      <c r="B13" s="171" t="s">
        <v>1698</v>
      </c>
      <c r="C13" s="171" t="s">
        <v>1695</v>
      </c>
      <c r="D13" s="171" t="s">
        <v>1695</v>
      </c>
      <c r="E13" s="171" t="s">
        <v>1696</v>
      </c>
      <c r="F13" s="171" t="s">
        <v>1697</v>
      </c>
    </row>
    <row r="14" spans="1:6" ht="28" x14ac:dyDescent="0.35">
      <c r="A14" s="171" t="s">
        <v>1694</v>
      </c>
      <c r="B14" s="171" t="s">
        <v>1711</v>
      </c>
      <c r="C14" s="171" t="s">
        <v>1713</v>
      </c>
      <c r="D14" s="171" t="s">
        <v>1713</v>
      </c>
      <c r="E14" s="171" t="s">
        <v>1714</v>
      </c>
      <c r="F14" s="171" t="s">
        <v>1712</v>
      </c>
    </row>
    <row r="15" spans="1:6" ht="42" x14ac:dyDescent="0.35">
      <c r="A15" s="171" t="s">
        <v>1670</v>
      </c>
      <c r="B15" s="171" t="s">
        <v>1699</v>
      </c>
      <c r="C15" s="171" t="s">
        <v>1667</v>
      </c>
      <c r="D15" s="171" t="s">
        <v>1700</v>
      </c>
      <c r="E15" s="171" t="s">
        <v>1701</v>
      </c>
      <c r="F15" s="171" t="s">
        <v>1702</v>
      </c>
    </row>
    <row r="16" spans="1:6" ht="84" x14ac:dyDescent="0.3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5" zoomScale="48" zoomScaleNormal="70" workbookViewId="0">
      <selection activeCell="N26" sqref="N26"/>
    </sheetView>
  </sheetViews>
  <sheetFormatPr defaultColWidth="9.1796875" defaultRowHeight="15.5" x14ac:dyDescent="0.35"/>
  <cols>
    <col min="1" max="1" width="13.26953125" style="10" customWidth="1"/>
    <col min="2" max="5" width="10.7265625" style="10" customWidth="1"/>
    <col min="6" max="7" width="15.26953125" style="10" customWidth="1"/>
    <col min="8" max="8" width="15.26953125" style="26" customWidth="1"/>
    <col min="9" max="9" width="15.26953125" style="10" customWidth="1"/>
    <col min="10" max="10" width="21.26953125" style="10" customWidth="1"/>
    <col min="11" max="11" width="19.1796875" style="10" customWidth="1"/>
    <col min="12" max="12" width="4" style="10" customWidth="1"/>
    <col min="13" max="14" width="17.26953125" style="10" customWidth="1"/>
    <col min="15" max="15" width="4" style="10" customWidth="1"/>
    <col min="16" max="17" width="15.81640625" style="10" customWidth="1"/>
    <col min="18" max="18" width="4" style="10" customWidth="1"/>
    <col min="19" max="19" width="15.81640625" style="10" customWidth="1"/>
    <col min="20" max="16384" width="9.1796875" style="10"/>
  </cols>
  <sheetData>
    <row r="1" spans="1:20" ht="45" customHeight="1" x14ac:dyDescent="0.35">
      <c r="A1" s="191" t="s">
        <v>1629</v>
      </c>
      <c r="B1" s="191"/>
      <c r="C1" s="191"/>
      <c r="D1" s="191"/>
      <c r="E1" s="191"/>
      <c r="F1" s="191"/>
      <c r="G1" s="191"/>
      <c r="H1" s="191"/>
      <c r="I1" s="191"/>
      <c r="J1" s="191"/>
      <c r="K1" s="191"/>
      <c r="L1" s="104"/>
      <c r="M1" s="104"/>
      <c r="N1" s="104"/>
      <c r="O1" s="104"/>
    </row>
    <row r="2" spans="1:20" ht="16.5" customHeight="1" x14ac:dyDescent="0.35">
      <c r="A2" s="106" t="s">
        <v>0</v>
      </c>
      <c r="B2" s="103"/>
      <c r="C2" s="103"/>
      <c r="D2" s="103"/>
      <c r="E2" s="103"/>
      <c r="F2" s="103"/>
      <c r="G2" s="103"/>
      <c r="H2" s="103"/>
      <c r="I2" s="103"/>
      <c r="J2" s="103"/>
      <c r="K2" s="103"/>
      <c r="L2" s="103"/>
      <c r="M2" s="103"/>
      <c r="N2" s="103"/>
      <c r="O2" s="103"/>
    </row>
    <row r="3" spans="1:20" ht="16.5" customHeight="1" x14ac:dyDescent="0.35">
      <c r="A3" s="192" t="s">
        <v>10</v>
      </c>
      <c r="B3" s="192"/>
      <c r="C3" s="192"/>
      <c r="D3" s="192"/>
      <c r="E3" s="192"/>
      <c r="F3" s="193" t="s">
        <v>21</v>
      </c>
      <c r="G3" s="193"/>
      <c r="H3" s="193"/>
      <c r="I3" s="193"/>
    </row>
    <row r="4" spans="1:20" ht="16.5" customHeight="1" x14ac:dyDescent="0.35">
      <c r="A4" s="192" t="s">
        <v>191</v>
      </c>
      <c r="B4" s="192"/>
      <c r="C4" s="192"/>
      <c r="D4" s="192"/>
      <c r="E4" s="192"/>
      <c r="F4" s="194" t="s">
        <v>1715</v>
      </c>
      <c r="G4" s="194"/>
      <c r="H4" s="194"/>
      <c r="I4" s="194"/>
    </row>
    <row r="5" spans="1:20" ht="16.5" customHeight="1" x14ac:dyDescent="0.35">
      <c r="A5" s="192" t="s">
        <v>1615</v>
      </c>
      <c r="B5" s="192"/>
      <c r="C5" s="192"/>
      <c r="D5" s="192"/>
      <c r="E5" s="192"/>
      <c r="F5" s="194" t="s">
        <v>1297</v>
      </c>
      <c r="G5" s="194"/>
      <c r="H5" s="194"/>
      <c r="I5" s="194"/>
      <c r="L5" s="12"/>
      <c r="M5" s="12"/>
      <c r="N5" s="12"/>
      <c r="O5" s="12"/>
      <c r="P5" s="12"/>
      <c r="Q5" s="12"/>
    </row>
    <row r="6" spans="1:20" ht="16.5" customHeight="1" x14ac:dyDescent="0.35">
      <c r="A6" s="192" t="s">
        <v>1634</v>
      </c>
      <c r="B6" s="192"/>
      <c r="C6" s="192"/>
      <c r="D6" s="192"/>
      <c r="E6" s="192"/>
      <c r="F6" s="195">
        <v>1</v>
      </c>
      <c r="G6" s="195"/>
      <c r="H6" s="195"/>
      <c r="I6" s="195"/>
      <c r="L6" s="13"/>
      <c r="M6" s="13"/>
      <c r="N6" s="13"/>
      <c r="O6" s="13"/>
      <c r="P6" s="12"/>
      <c r="Q6" s="12"/>
    </row>
    <row r="7" spans="1:20" ht="16.5" customHeight="1" x14ac:dyDescent="0.35">
      <c r="A7" s="192" t="s">
        <v>1</v>
      </c>
      <c r="B7" s="192"/>
      <c r="C7" s="192"/>
      <c r="D7" s="192"/>
      <c r="E7" s="192"/>
      <c r="F7" s="195" t="s">
        <v>120</v>
      </c>
      <c r="G7" s="195"/>
      <c r="H7" s="195"/>
      <c r="I7" s="195"/>
      <c r="K7" s="53"/>
      <c r="L7" s="13"/>
      <c r="M7" s="13"/>
      <c r="N7" s="13"/>
      <c r="O7" s="13"/>
      <c r="P7" s="12"/>
      <c r="Q7" s="12"/>
    </row>
    <row r="8" spans="1:20" ht="16.5" customHeight="1" x14ac:dyDescent="0.35">
      <c r="A8" s="192" t="s">
        <v>1616</v>
      </c>
      <c r="B8" s="192"/>
      <c r="C8" s="192"/>
      <c r="D8" s="192"/>
      <c r="E8" s="192"/>
      <c r="F8" s="195" t="s">
        <v>154</v>
      </c>
      <c r="G8" s="195"/>
      <c r="H8" s="195"/>
      <c r="I8" s="195"/>
      <c r="K8" s="53"/>
      <c r="L8" s="13"/>
      <c r="M8" s="13"/>
      <c r="N8" s="13"/>
      <c r="O8" s="13"/>
      <c r="P8" s="12"/>
      <c r="Q8" s="12"/>
    </row>
    <row r="9" spans="1:20" ht="16.5" customHeight="1" x14ac:dyDescent="0.35">
      <c r="A9" s="192" t="s">
        <v>1614</v>
      </c>
      <c r="B9" s="192"/>
      <c r="C9" s="192"/>
      <c r="D9" s="192"/>
      <c r="E9" s="192"/>
      <c r="F9" s="196" t="str">
        <f>IFERROR(IF(F7="Proprietary","Proprietary Fund",VLOOKUP(F5,qryIndex02a!$A$2:$K$654,4,FALSE)),"Unidentified")</f>
        <v>GENERAL GOVERNMENT</v>
      </c>
      <c r="G9" s="196"/>
      <c r="H9" s="196"/>
      <c r="I9" s="196"/>
      <c r="K9" s="12"/>
      <c r="L9" s="12"/>
      <c r="M9" s="12"/>
      <c r="N9" s="12"/>
      <c r="O9" s="12"/>
      <c r="P9" s="12"/>
    </row>
    <row r="10" spans="1:20" ht="16.5" customHeight="1" x14ac:dyDescent="0.35">
      <c r="A10" s="11"/>
      <c r="B10" s="11"/>
      <c r="C10" s="11"/>
      <c r="D10" s="11"/>
      <c r="E10" s="13"/>
      <c r="F10" s="12"/>
      <c r="G10" s="12"/>
      <c r="H10" s="14"/>
      <c r="I10" s="12"/>
      <c r="J10" s="12"/>
      <c r="K10" s="12"/>
      <c r="L10" s="12"/>
      <c r="M10" s="12"/>
      <c r="N10" s="12"/>
      <c r="O10" s="12"/>
      <c r="P10" s="12"/>
    </row>
    <row r="11" spans="1:20" ht="16.5" customHeight="1" x14ac:dyDescent="0.35">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4">
      <c r="A13" s="132" t="s">
        <v>2</v>
      </c>
      <c r="B13" s="151"/>
      <c r="D13" s="138"/>
      <c r="E13" s="138"/>
      <c r="F13" s="139"/>
      <c r="G13" s="139"/>
      <c r="H13" s="130"/>
      <c r="I13" s="130"/>
      <c r="J13" s="134"/>
      <c r="K13" s="134"/>
    </row>
    <row r="14" spans="1:20" ht="16.5" customHeight="1" x14ac:dyDescent="0.4">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3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3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35">
      <c r="A17" s="159" t="s">
        <v>1637</v>
      </c>
      <c r="B17" s="9" t="s">
        <v>172</v>
      </c>
      <c r="C17" s="9"/>
      <c r="D17" s="9"/>
      <c r="E17" s="140"/>
      <c r="F17" s="141"/>
      <c r="G17" s="141"/>
      <c r="H17" s="142"/>
      <c r="I17" s="142"/>
      <c r="J17" s="178">
        <f>M17</f>
        <v>1953493</v>
      </c>
      <c r="M17" s="143">
        <v>1953493</v>
      </c>
      <c r="P17" s="143">
        <v>1953493</v>
      </c>
      <c r="Q17" s="155"/>
      <c r="S17" s="154">
        <f t="shared" si="0"/>
        <v>0</v>
      </c>
      <c r="T17" s="180" t="s">
        <v>1684</v>
      </c>
    </row>
    <row r="18" spans="1:20" ht="16.5" customHeight="1" x14ac:dyDescent="0.35">
      <c r="A18" s="54"/>
      <c r="B18" s="9" t="s">
        <v>168</v>
      </c>
      <c r="C18" s="9"/>
      <c r="D18" s="9"/>
      <c r="E18" s="140"/>
      <c r="F18" s="141"/>
      <c r="G18" s="141"/>
      <c r="H18" s="142"/>
      <c r="I18" s="142"/>
      <c r="J18" s="178">
        <f>P18</f>
        <v>6169</v>
      </c>
      <c r="M18" s="143">
        <v>6169</v>
      </c>
      <c r="P18" s="152">
        <f>IF(SUM($Q$20:$Q$23)&gt;SUM($P$15:$P$17),SUM($Q$20:$Q$23)-SUM($P$15:$P$17),0)</f>
        <v>6169</v>
      </c>
      <c r="Q18" s="155"/>
      <c r="S18" s="154">
        <f t="shared" si="0"/>
        <v>0</v>
      </c>
      <c r="T18" s="179" t="s">
        <v>1668</v>
      </c>
    </row>
    <row r="19" spans="1:20" ht="16.5" customHeight="1" x14ac:dyDescent="0.3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3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3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35">
      <c r="A22" s="54"/>
      <c r="B22" s="9"/>
      <c r="C22" s="9" t="s">
        <v>178</v>
      </c>
      <c r="D22" s="9"/>
      <c r="E22" s="140"/>
      <c r="F22" s="141"/>
      <c r="G22" s="141"/>
      <c r="H22" s="142"/>
      <c r="I22" s="142"/>
      <c r="J22" s="150"/>
      <c r="K22" s="178">
        <f>N22</f>
        <v>72352</v>
      </c>
      <c r="N22" s="143">
        <v>72352</v>
      </c>
      <c r="P22" s="155"/>
      <c r="Q22" s="143">
        <v>72352</v>
      </c>
      <c r="S22" s="154">
        <f t="shared" ref="S22:S25" si="1">Q22-N22</f>
        <v>0</v>
      </c>
      <c r="T22" s="179" t="s">
        <v>1668</v>
      </c>
    </row>
    <row r="23" spans="1:20" ht="16.5" customHeight="1" x14ac:dyDescent="0.35">
      <c r="A23" s="165" t="s">
        <v>1645</v>
      </c>
      <c r="B23" s="9"/>
      <c r="C23" s="9" t="s">
        <v>173</v>
      </c>
      <c r="D23" s="9"/>
      <c r="E23" s="140"/>
      <c r="F23" s="141"/>
      <c r="G23" s="141"/>
      <c r="H23" s="142"/>
      <c r="I23" s="142"/>
      <c r="J23" s="150"/>
      <c r="K23" s="178">
        <f>N23</f>
        <v>1887310</v>
      </c>
      <c r="N23" s="143">
        <v>1887310</v>
      </c>
      <c r="P23" s="155"/>
      <c r="Q23" s="143">
        <v>1887310</v>
      </c>
      <c r="S23" s="154">
        <f t="shared" si="1"/>
        <v>0</v>
      </c>
      <c r="T23" s="179" t="s">
        <v>1668</v>
      </c>
    </row>
    <row r="24" spans="1:20" ht="16.5" customHeight="1" x14ac:dyDescent="0.3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3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35">
      <c r="A26" s="54"/>
      <c r="C26" s="20"/>
      <c r="D26" s="20"/>
      <c r="E26" s="20"/>
      <c r="F26" s="127"/>
      <c r="G26" s="127"/>
      <c r="H26" s="22"/>
      <c r="I26" s="22"/>
      <c r="J26" s="107">
        <f>SUM(J15:J25)</f>
        <v>1959662</v>
      </c>
      <c r="K26" s="107">
        <f>SUM(K15:K25)</f>
        <v>1959662</v>
      </c>
      <c r="L26" s="25" t="str">
        <f>IF(J26=K26,"&lt;- Debits and Credits equal each other.","&lt;- Debits and Credits do not equal each other.")</f>
        <v>&lt;- Debits and Credits equal each other.</v>
      </c>
    </row>
    <row r="27" spans="1:20" ht="16.5" customHeight="1" x14ac:dyDescent="0.4">
      <c r="A27" s="1"/>
      <c r="B27" s="130" t="s">
        <v>1638</v>
      </c>
      <c r="C27" s="23"/>
      <c r="D27" s="20"/>
      <c r="E27" s="20"/>
      <c r="F27" s="21"/>
      <c r="G27" s="21"/>
      <c r="H27" s="22"/>
      <c r="I27" s="22"/>
      <c r="J27" s="19"/>
      <c r="K27" s="19"/>
      <c r="L27" s="8"/>
    </row>
    <row r="28" spans="1:20" ht="16.149999999999999" customHeight="1" x14ac:dyDescent="0.4">
      <c r="A28" s="1"/>
      <c r="B28" s="166" t="s">
        <v>1649</v>
      </c>
      <c r="C28" s="129"/>
      <c r="D28" s="20"/>
      <c r="E28" s="20"/>
      <c r="F28" s="127"/>
      <c r="G28" s="127"/>
      <c r="H28" s="22"/>
      <c r="I28" s="22"/>
      <c r="J28" s="19"/>
      <c r="K28" s="19"/>
      <c r="L28" s="8"/>
    </row>
    <row r="29" spans="1:20" ht="16.149999999999999" customHeight="1" x14ac:dyDescent="0.4">
      <c r="A29" s="1"/>
      <c r="B29" s="166"/>
      <c r="C29" s="129"/>
      <c r="D29" s="20"/>
      <c r="E29" s="20"/>
      <c r="F29" s="127"/>
      <c r="G29" s="127"/>
      <c r="H29" s="22"/>
      <c r="I29" s="22"/>
      <c r="J29" s="19"/>
      <c r="K29" s="19"/>
      <c r="L29" s="8"/>
    </row>
    <row r="30" spans="1:20" ht="16.5" customHeight="1" x14ac:dyDescent="0.35">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4">
      <c r="A32" s="132">
        <v>1</v>
      </c>
      <c r="B32" s="151" t="s">
        <v>1675</v>
      </c>
      <c r="D32" s="138"/>
      <c r="E32" s="138"/>
      <c r="F32" s="139"/>
      <c r="G32" s="139"/>
      <c r="H32" s="130"/>
      <c r="I32" s="130"/>
      <c r="J32" s="134"/>
      <c r="K32" s="134"/>
    </row>
    <row r="33" spans="1:12" ht="16.5" customHeight="1" x14ac:dyDescent="0.35">
      <c r="B33" s="9" t="s">
        <v>179</v>
      </c>
      <c r="C33" s="9"/>
      <c r="D33" s="140"/>
      <c r="E33" s="140"/>
      <c r="F33" s="141"/>
      <c r="G33" s="141"/>
      <c r="H33" s="142"/>
      <c r="I33" s="142"/>
      <c r="J33" s="143"/>
      <c r="K33" s="144"/>
    </row>
    <row r="34" spans="1:12" ht="16.5" customHeight="1" x14ac:dyDescent="0.35">
      <c r="A34" s="54"/>
      <c r="B34" s="9"/>
      <c r="C34" s="9" t="s">
        <v>1673</v>
      </c>
      <c r="D34" s="140"/>
      <c r="E34" s="140"/>
      <c r="F34" s="141"/>
      <c r="G34" s="141"/>
      <c r="H34" s="142"/>
      <c r="I34" s="142"/>
      <c r="J34" s="144"/>
      <c r="K34" s="143"/>
    </row>
    <row r="35" spans="1:12" ht="16.5" customHeight="1" x14ac:dyDescent="0.3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5">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5">
      <c r="A39" s="159" t="s">
        <v>1637</v>
      </c>
      <c r="B39" s="9" t="s">
        <v>170</v>
      </c>
      <c r="C39" s="9"/>
      <c r="D39" s="140"/>
      <c r="E39" s="140"/>
      <c r="F39" s="141"/>
      <c r="G39" s="141"/>
      <c r="H39" s="142"/>
      <c r="I39" s="142"/>
      <c r="J39" s="143"/>
      <c r="K39" s="144"/>
    </row>
    <row r="40" spans="1:12" ht="16.5" customHeight="1" x14ac:dyDescent="0.35">
      <c r="A40" s="159" t="s">
        <v>1637</v>
      </c>
      <c r="B40" s="9" t="s">
        <v>171</v>
      </c>
      <c r="C40" s="9"/>
      <c r="D40" s="140"/>
      <c r="E40" s="140"/>
      <c r="F40" s="141"/>
      <c r="G40" s="141"/>
      <c r="H40" s="142"/>
      <c r="I40" s="142"/>
      <c r="J40" s="143"/>
      <c r="K40" s="144"/>
    </row>
    <row r="41" spans="1:12" ht="16.5" customHeight="1" x14ac:dyDescent="0.35">
      <c r="A41" s="159" t="s">
        <v>1637</v>
      </c>
      <c r="B41" s="9" t="s">
        <v>172</v>
      </c>
      <c r="C41" s="9"/>
      <c r="D41" s="140"/>
      <c r="E41" s="140"/>
      <c r="F41" s="141"/>
      <c r="G41" s="141"/>
      <c r="H41" s="142"/>
      <c r="I41" s="142"/>
      <c r="J41" s="143"/>
      <c r="K41" s="144"/>
    </row>
    <row r="42" spans="1:12" ht="16.5" customHeight="1" x14ac:dyDescent="0.35">
      <c r="A42" s="54"/>
      <c r="B42" s="9"/>
      <c r="C42" s="9" t="s">
        <v>180</v>
      </c>
      <c r="D42" s="140"/>
      <c r="E42" s="140"/>
      <c r="F42" s="141"/>
      <c r="G42" s="141"/>
      <c r="H42" s="142"/>
      <c r="I42" s="142"/>
      <c r="J42" s="144"/>
      <c r="K42" s="143"/>
    </row>
    <row r="43" spans="1:12" ht="16.5" customHeight="1" x14ac:dyDescent="0.4">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5">
      <c r="A44" s="1"/>
      <c r="C44" s="23"/>
      <c r="D44" s="20"/>
      <c r="E44" s="20"/>
      <c r="F44" s="21"/>
      <c r="G44" s="21"/>
      <c r="H44" s="22"/>
      <c r="I44" s="22"/>
      <c r="J44" s="19"/>
      <c r="K44" s="19"/>
      <c r="L44" s="8"/>
    </row>
    <row r="45" spans="1:12" ht="16.5" customHeight="1" x14ac:dyDescent="0.4">
      <c r="A45" s="1"/>
      <c r="B45" s="130"/>
      <c r="C45" s="23"/>
      <c r="D45" s="20"/>
      <c r="E45" s="20"/>
      <c r="F45" s="21"/>
      <c r="G45" s="21"/>
      <c r="H45" s="22"/>
      <c r="I45" s="22"/>
      <c r="J45" s="19"/>
      <c r="K45" s="19"/>
      <c r="L45" s="8"/>
    </row>
    <row r="46" spans="1:12" s="135" customFormat="1" ht="16.5" customHeight="1" x14ac:dyDescent="0.4">
      <c r="A46" s="132">
        <v>3</v>
      </c>
      <c r="B46" s="151" t="s">
        <v>128</v>
      </c>
      <c r="C46" s="138"/>
      <c r="D46" s="138"/>
      <c r="E46" s="138"/>
      <c r="F46" s="139"/>
      <c r="G46" s="139"/>
      <c r="H46" s="130"/>
      <c r="I46" s="130"/>
      <c r="J46" s="134"/>
      <c r="K46" s="134"/>
    </row>
    <row r="47" spans="1:12" ht="16.5" customHeight="1" x14ac:dyDescent="0.35">
      <c r="B47" s="9" t="s">
        <v>1674</v>
      </c>
      <c r="C47" s="9"/>
      <c r="D47" s="140"/>
      <c r="E47" s="140"/>
      <c r="F47" s="141"/>
      <c r="G47" s="141"/>
      <c r="H47" s="142"/>
      <c r="I47" s="142"/>
      <c r="J47" s="143"/>
      <c r="K47" s="144"/>
    </row>
    <row r="48" spans="1:12" ht="16.5" customHeight="1" x14ac:dyDescent="0.35">
      <c r="A48" s="165" t="s">
        <v>1645</v>
      </c>
      <c r="B48" s="9"/>
      <c r="C48" s="9" t="s">
        <v>173</v>
      </c>
      <c r="D48" s="140"/>
      <c r="E48" s="140"/>
      <c r="F48" s="141"/>
      <c r="G48" s="141"/>
      <c r="H48" s="142"/>
      <c r="I48" s="142"/>
      <c r="J48" s="144"/>
      <c r="K48" s="143"/>
    </row>
    <row r="49" spans="1:16" ht="16.5" customHeight="1" x14ac:dyDescent="0.3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4">
      <c r="A50" s="54"/>
      <c r="B50" s="166" t="s">
        <v>1648</v>
      </c>
      <c r="C50" s="16"/>
      <c r="D50" s="16"/>
      <c r="E50" s="16"/>
      <c r="F50" s="17"/>
      <c r="G50" s="17"/>
      <c r="H50" s="18"/>
      <c r="I50" s="18"/>
      <c r="J50" s="107"/>
      <c r="K50" s="107"/>
      <c r="L50" s="8"/>
    </row>
    <row r="51" spans="1:16" ht="16.5" customHeight="1" x14ac:dyDescent="0.4">
      <c r="A51" s="54"/>
      <c r="B51" s="166"/>
      <c r="C51" s="16"/>
      <c r="D51" s="16"/>
      <c r="E51" s="16"/>
      <c r="F51" s="17"/>
      <c r="G51" s="17"/>
      <c r="H51" s="18"/>
      <c r="I51" s="18"/>
      <c r="J51" s="107"/>
      <c r="K51" s="107"/>
      <c r="L51" s="8"/>
    </row>
    <row r="52" spans="1:16" ht="16.5" customHeight="1" x14ac:dyDescent="0.35">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4">
      <c r="A54" s="132">
        <v>4</v>
      </c>
      <c r="B54" s="151" t="s">
        <v>126</v>
      </c>
      <c r="C54" s="138"/>
      <c r="D54" s="138"/>
      <c r="E54" s="138"/>
      <c r="F54" s="139"/>
      <c r="G54" s="139"/>
      <c r="H54" s="130"/>
      <c r="I54" s="130"/>
      <c r="J54" s="134"/>
      <c r="K54" s="134"/>
    </row>
    <row r="55" spans="1:16" ht="16.5" customHeight="1" x14ac:dyDescent="0.35">
      <c r="B55" s="9" t="s">
        <v>182</v>
      </c>
      <c r="C55" s="25"/>
      <c r="D55" s="140"/>
      <c r="E55" s="140"/>
      <c r="F55" s="141"/>
      <c r="G55" s="141"/>
      <c r="H55" s="142"/>
      <c r="I55" s="142"/>
      <c r="J55" s="143">
        <v>397934</v>
      </c>
      <c r="K55" s="144"/>
    </row>
    <row r="56" spans="1:16" ht="16.5" customHeight="1" x14ac:dyDescent="0.35">
      <c r="A56" s="54"/>
      <c r="B56" s="25"/>
      <c r="C56" s="9" t="s">
        <v>177</v>
      </c>
      <c r="D56" s="140"/>
      <c r="E56" s="140"/>
      <c r="F56" s="141"/>
      <c r="G56" s="141"/>
      <c r="H56" s="142"/>
      <c r="I56" s="142"/>
      <c r="J56" s="145"/>
      <c r="K56" s="143">
        <v>397934</v>
      </c>
    </row>
    <row r="57" spans="1:16" ht="16.5" customHeight="1" x14ac:dyDescent="0.35">
      <c r="A57" s="54"/>
      <c r="B57" s="25"/>
      <c r="C57" s="9" t="s">
        <v>174</v>
      </c>
      <c r="D57" s="140"/>
      <c r="E57" s="140"/>
      <c r="F57" s="141"/>
      <c r="G57" s="141"/>
      <c r="H57" s="142"/>
      <c r="I57" s="142"/>
      <c r="J57" s="145"/>
      <c r="K57" s="143"/>
    </row>
    <row r="58" spans="1:16" ht="16.5" customHeight="1" x14ac:dyDescent="0.35">
      <c r="A58" s="54"/>
      <c r="B58" s="9"/>
      <c r="C58" s="9" t="s">
        <v>178</v>
      </c>
      <c r="D58" s="140"/>
      <c r="E58" s="140"/>
      <c r="F58" s="141"/>
      <c r="G58" s="141"/>
      <c r="H58" s="142"/>
      <c r="I58" s="142"/>
      <c r="J58" s="144"/>
      <c r="K58" s="143"/>
    </row>
    <row r="59" spans="1:16" ht="16.5" customHeight="1" x14ac:dyDescent="0.35">
      <c r="A59" s="54"/>
      <c r="C59" s="16"/>
      <c r="D59" s="16"/>
      <c r="E59" s="16"/>
      <c r="F59" s="17"/>
      <c r="G59" s="17"/>
      <c r="H59" s="18"/>
      <c r="I59" s="18"/>
      <c r="J59" s="107">
        <f>SUM(J55:J58)</f>
        <v>397934</v>
      </c>
      <c r="K59" s="107">
        <f>SUM(K55:K58)</f>
        <v>397934</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4">
      <c r="A61" s="132">
        <v>5</v>
      </c>
      <c r="B61" s="151" t="s">
        <v>1676</v>
      </c>
      <c r="C61" s="138"/>
      <c r="D61" s="138"/>
      <c r="E61" s="138"/>
      <c r="F61" s="139"/>
      <c r="G61" s="139"/>
      <c r="H61" s="130"/>
      <c r="I61" s="130"/>
      <c r="J61" s="134"/>
      <c r="K61" s="134"/>
    </row>
    <row r="62" spans="1:16" ht="16.5" customHeight="1" x14ac:dyDescent="0.35">
      <c r="B62" s="9" t="s">
        <v>183</v>
      </c>
      <c r="C62" s="9"/>
      <c r="D62" s="140"/>
      <c r="E62" s="140"/>
      <c r="F62" s="141"/>
      <c r="G62" s="141"/>
      <c r="H62" s="142"/>
      <c r="I62" s="142"/>
      <c r="J62" s="146">
        <v>404120</v>
      </c>
      <c r="K62" s="147"/>
      <c r="L62" s="10" t="str">
        <f>IF($J$62=$K$69,"","&lt;- Accts 0848 must agree")</f>
        <v/>
      </c>
    </row>
    <row r="63" spans="1:16" ht="16.5" customHeight="1" x14ac:dyDescent="0.3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39995</v>
      </c>
      <c r="K63" s="147"/>
    </row>
    <row r="64" spans="1:16" ht="16.5" customHeight="1" x14ac:dyDescent="0.35">
      <c r="A64" s="54"/>
      <c r="B64" s="9"/>
      <c r="C64" s="9" t="str">
        <f>IF($F$7="Proprietary","Cr: Acct 0870 - SERVICES &amp; CHARGES (MG ADJ)",VLOOKUP($F$9,'Drop Down Menus'!$F$2:$G$10,2,FALSE))</f>
        <v>Cr: Acct 0808 - GENERAL GOV. (GAAP ADJ)</v>
      </c>
      <c r="D64" s="140"/>
      <c r="E64" s="140"/>
      <c r="F64" s="141"/>
      <c r="G64" s="141"/>
      <c r="H64" s="142"/>
      <c r="I64" s="142"/>
      <c r="J64" s="147"/>
      <c r="K64" s="143">
        <v>444115</v>
      </c>
    </row>
    <row r="65" spans="1:12" ht="16.5" customHeight="1" x14ac:dyDescent="0.35">
      <c r="A65" s="54"/>
      <c r="C65" s="16"/>
      <c r="D65" s="16"/>
      <c r="E65" s="16"/>
      <c r="F65" s="17"/>
      <c r="G65" s="17"/>
      <c r="H65" s="18"/>
      <c r="I65" s="18"/>
      <c r="J65" s="107">
        <f>SUM(J62:J64)</f>
        <v>444115</v>
      </c>
      <c r="K65" s="107">
        <f>SUM(K62:K64)</f>
        <v>444115</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4">
      <c r="A67" s="132">
        <v>6</v>
      </c>
      <c r="B67" s="151" t="s">
        <v>129</v>
      </c>
      <c r="C67" s="138"/>
      <c r="D67" s="138"/>
      <c r="E67" s="138"/>
      <c r="F67" s="139"/>
      <c r="G67" s="139"/>
      <c r="H67" s="130"/>
      <c r="I67" s="130"/>
      <c r="J67" s="134"/>
      <c r="K67" s="134"/>
    </row>
    <row r="68" spans="1:12" ht="16.5" customHeight="1" x14ac:dyDescent="0.35">
      <c r="A68" s="165" t="s">
        <v>1645</v>
      </c>
      <c r="B68" s="9" t="s">
        <v>184</v>
      </c>
      <c r="C68" s="9"/>
      <c r="D68" s="140"/>
      <c r="E68" s="140"/>
      <c r="F68" s="141"/>
      <c r="G68" s="141"/>
      <c r="H68" s="142"/>
      <c r="I68" s="142"/>
      <c r="J68" s="143">
        <v>404120</v>
      </c>
      <c r="K68" s="144"/>
    </row>
    <row r="69" spans="1:12" ht="16.5" customHeight="1" x14ac:dyDescent="0.35">
      <c r="A69" s="54"/>
      <c r="B69" s="9"/>
      <c r="C69" s="9" t="s">
        <v>185</v>
      </c>
      <c r="D69" s="140"/>
      <c r="E69" s="140"/>
      <c r="F69" s="141"/>
      <c r="G69" s="141"/>
      <c r="H69" s="142"/>
      <c r="I69" s="142"/>
      <c r="J69" s="144"/>
      <c r="K69" s="143">
        <v>404120</v>
      </c>
      <c r="L69" s="10" t="str">
        <f>IF($J$62=$K$69,"","&lt;- Accts 0848 must agree")</f>
        <v/>
      </c>
    </row>
    <row r="70" spans="1:12" ht="16.5" customHeight="1" x14ac:dyDescent="0.35">
      <c r="A70" s="54"/>
      <c r="C70" s="16"/>
      <c r="D70" s="16"/>
      <c r="E70" s="16"/>
      <c r="F70" s="17"/>
      <c r="G70" s="17"/>
      <c r="H70" s="18"/>
      <c r="I70" s="18"/>
      <c r="J70" s="107">
        <f>SUM(J68:J69)</f>
        <v>404120</v>
      </c>
      <c r="K70" s="107">
        <f>SUM(K68:K69)</f>
        <v>404120</v>
      </c>
      <c r="L70" s="25" t="str">
        <f>IF(J70=K70,"&lt;- Debits and Credits equal each other.","&lt;- Debits and Credits do not equal each other.")</f>
        <v>&lt;- Debits and Credits equal each other.</v>
      </c>
    </row>
    <row r="71" spans="1:12" ht="16.5" customHeight="1" x14ac:dyDescent="0.4">
      <c r="A71" s="54"/>
      <c r="B71" s="166" t="s">
        <v>1646</v>
      </c>
      <c r="C71" s="16"/>
      <c r="D71" s="16"/>
      <c r="E71" s="16"/>
      <c r="F71" s="17"/>
      <c r="G71" s="17"/>
      <c r="H71" s="18"/>
      <c r="I71" s="18"/>
    </row>
    <row r="72" spans="1:12" ht="16.5" customHeight="1" x14ac:dyDescent="0.4">
      <c r="A72" s="54"/>
      <c r="B72" s="166"/>
      <c r="C72" s="16"/>
      <c r="D72" s="16"/>
      <c r="E72" s="16"/>
      <c r="F72" s="17"/>
      <c r="G72" s="17"/>
      <c r="H72" s="18"/>
      <c r="I72" s="18"/>
    </row>
    <row r="73" spans="1:12" ht="16.5" customHeight="1" x14ac:dyDescent="0.4">
      <c r="A73" s="54"/>
      <c r="B73" s="166"/>
      <c r="C73" s="16"/>
      <c r="D73" s="16"/>
      <c r="E73" s="16"/>
      <c r="F73" s="17"/>
      <c r="G73" s="17"/>
      <c r="H73" s="18"/>
      <c r="I73" s="18"/>
    </row>
    <row r="74" spans="1:12" s="135" customFormat="1" ht="16.5" customHeight="1" x14ac:dyDescent="0.4">
      <c r="A74" s="132">
        <v>7</v>
      </c>
      <c r="B74" s="151" t="s">
        <v>127</v>
      </c>
      <c r="C74" s="138"/>
      <c r="D74" s="138"/>
      <c r="E74" s="138"/>
      <c r="F74" s="139"/>
      <c r="G74" s="139"/>
      <c r="H74" s="130"/>
      <c r="I74" s="130"/>
      <c r="J74" s="134"/>
      <c r="K74" s="134"/>
    </row>
    <row r="75" spans="1:12" ht="16.5" customHeight="1" x14ac:dyDescent="0.35">
      <c r="A75" s="165" t="s">
        <v>1645</v>
      </c>
      <c r="B75" s="9" t="s">
        <v>184</v>
      </c>
      <c r="C75" s="9"/>
      <c r="D75" s="140"/>
      <c r="E75" s="140"/>
      <c r="F75" s="141"/>
      <c r="G75" s="141"/>
      <c r="H75" s="142"/>
      <c r="I75" s="142"/>
      <c r="J75" s="143">
        <v>422552</v>
      </c>
      <c r="K75" s="144"/>
    </row>
    <row r="76" spans="1:12" ht="16.5" customHeight="1" x14ac:dyDescent="0.35">
      <c r="A76" s="54"/>
      <c r="B76" s="9"/>
      <c r="C76" s="9" t="s">
        <v>193</v>
      </c>
      <c r="D76" s="140"/>
      <c r="E76" s="140"/>
      <c r="F76" s="141"/>
      <c r="G76" s="141"/>
      <c r="H76" s="142"/>
      <c r="I76" s="142"/>
      <c r="J76" s="144"/>
      <c r="K76" s="143">
        <v>422552</v>
      </c>
    </row>
    <row r="77" spans="1:12" ht="16.5" customHeight="1" x14ac:dyDescent="0.35">
      <c r="A77" s="54"/>
      <c r="B77" s="190" t="s">
        <v>1672</v>
      </c>
      <c r="C77" s="190"/>
      <c r="D77" s="190"/>
      <c r="E77" s="190"/>
      <c r="F77" s="190"/>
      <c r="G77" s="190"/>
      <c r="H77" s="190"/>
      <c r="I77" s="190"/>
      <c r="J77" s="107">
        <f>SUM(J75:J76)</f>
        <v>422552</v>
      </c>
      <c r="K77" s="107">
        <f>SUM(K75:K76)</f>
        <v>422552</v>
      </c>
      <c r="L77" s="25" t="str">
        <f>IF(J77=K77,"&lt;- Debits and Credits equal each other.","&lt;- Debits and Credits do not equal each other.")</f>
        <v>&lt;- Debits and Credits equal each other.</v>
      </c>
    </row>
    <row r="78" spans="1:12" ht="16.5" customHeight="1" x14ac:dyDescent="0.35">
      <c r="A78" s="54"/>
      <c r="B78" s="190"/>
      <c r="C78" s="190"/>
      <c r="D78" s="190"/>
      <c r="E78" s="190"/>
      <c r="F78" s="190"/>
      <c r="G78" s="190"/>
      <c r="H78" s="190"/>
      <c r="I78" s="190"/>
      <c r="J78" s="107"/>
      <c r="K78" s="107"/>
      <c r="L78" s="8"/>
    </row>
    <row r="79" spans="1:12" ht="24.65" customHeight="1" x14ac:dyDescent="0.35">
      <c r="A79" s="54"/>
      <c r="B79" s="190"/>
      <c r="C79" s="190"/>
      <c r="D79" s="190"/>
      <c r="E79" s="190"/>
      <c r="F79" s="190"/>
      <c r="G79" s="190"/>
      <c r="H79" s="190"/>
      <c r="I79" s="190"/>
      <c r="J79" s="107"/>
      <c r="K79" s="107"/>
      <c r="L79" s="8"/>
    </row>
    <row r="80" spans="1:12" ht="16.5" customHeight="1" x14ac:dyDescent="0.4">
      <c r="A80" s="1"/>
      <c r="B80" s="166" t="s">
        <v>1647</v>
      </c>
      <c r="C80" s="16"/>
      <c r="D80" s="16"/>
      <c r="E80" s="16"/>
      <c r="F80" s="17"/>
      <c r="G80" s="17"/>
      <c r="H80" s="18"/>
      <c r="I80" s="18"/>
      <c r="J80" s="19"/>
      <c r="K80" s="19"/>
      <c r="L80" s="8"/>
    </row>
    <row r="81" spans="1:16" ht="16.5" customHeight="1" x14ac:dyDescent="0.4">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5">
      <c r="B85" s="9" t="s">
        <v>186</v>
      </c>
      <c r="C85" s="9"/>
      <c r="D85" s="140"/>
      <c r="E85" s="140"/>
      <c r="F85" s="141"/>
      <c r="G85" s="141"/>
      <c r="H85" s="142"/>
      <c r="I85" s="142"/>
      <c r="J85" s="143"/>
      <c r="K85" s="144"/>
      <c r="L85" s="8"/>
    </row>
    <row r="86" spans="1:16" ht="16.5" customHeight="1" x14ac:dyDescent="0.35">
      <c r="A86" s="54"/>
      <c r="B86" s="9" t="s">
        <v>162</v>
      </c>
      <c r="C86" s="25"/>
      <c r="D86" s="25"/>
      <c r="E86" s="25"/>
      <c r="F86" s="25"/>
      <c r="G86" s="25"/>
      <c r="H86" s="25"/>
      <c r="I86" s="25"/>
      <c r="J86" s="143"/>
      <c r="K86" s="148"/>
    </row>
    <row r="87" spans="1:16" ht="16.5" customHeight="1" x14ac:dyDescent="0.35">
      <c r="A87" s="54"/>
      <c r="B87" s="9" t="s">
        <v>187</v>
      </c>
      <c r="C87" s="25"/>
      <c r="D87" s="25"/>
      <c r="E87" s="25"/>
      <c r="F87" s="25"/>
      <c r="G87" s="25"/>
      <c r="H87" s="25"/>
      <c r="I87" s="25"/>
      <c r="J87" s="143"/>
      <c r="K87" s="148"/>
    </row>
    <row r="88" spans="1:16" ht="16.5" customHeight="1" x14ac:dyDescent="0.35">
      <c r="A88" s="159" t="s">
        <v>1637</v>
      </c>
      <c r="B88" s="25"/>
      <c r="C88" s="9" t="s">
        <v>188</v>
      </c>
      <c r="D88" s="25"/>
      <c r="E88" s="25"/>
      <c r="F88" s="25"/>
      <c r="G88" s="25"/>
      <c r="H88" s="25"/>
      <c r="I88" s="25"/>
      <c r="J88" s="148"/>
      <c r="K88" s="143"/>
    </row>
    <row r="89" spans="1:16" ht="16.5" customHeight="1" x14ac:dyDescent="0.35">
      <c r="A89" s="159" t="s">
        <v>1637</v>
      </c>
      <c r="B89" s="25"/>
      <c r="C89" s="9" t="s">
        <v>163</v>
      </c>
      <c r="D89" s="25"/>
      <c r="E89" s="25"/>
      <c r="F89" s="25"/>
      <c r="G89" s="25"/>
      <c r="H89" s="25"/>
      <c r="I89" s="25"/>
      <c r="J89" s="148"/>
      <c r="K89" s="143"/>
    </row>
    <row r="90" spans="1:16" ht="16.5" customHeight="1" x14ac:dyDescent="0.35">
      <c r="A90" s="159" t="s">
        <v>1637</v>
      </c>
      <c r="B90" s="25"/>
      <c r="C90" s="9" t="s">
        <v>189</v>
      </c>
      <c r="D90" s="25"/>
      <c r="E90" s="25"/>
      <c r="F90" s="25"/>
      <c r="G90" s="25"/>
      <c r="H90" s="25"/>
      <c r="I90" s="25"/>
      <c r="J90" s="148"/>
      <c r="K90" s="143"/>
    </row>
    <row r="91" spans="1:16" ht="16.5" customHeight="1" x14ac:dyDescent="0.4">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35">
      <c r="H92" s="10"/>
    </row>
    <row r="93" spans="1:16" ht="16.5" customHeight="1" x14ac:dyDescent="0.35">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1682</v>
      </c>
      <c r="C95" s="136"/>
      <c r="D95" s="136"/>
      <c r="E95" s="136"/>
      <c r="F95" s="136"/>
      <c r="G95" s="136"/>
      <c r="H95" s="136"/>
      <c r="I95" s="136"/>
      <c r="J95" s="137"/>
      <c r="K95" s="137"/>
    </row>
    <row r="96" spans="1:16" ht="16.5" customHeight="1" x14ac:dyDescent="0.35">
      <c r="A96" s="165" t="s">
        <v>1645</v>
      </c>
      <c r="B96" s="9" t="s">
        <v>184</v>
      </c>
      <c r="C96" s="9"/>
      <c r="D96" s="7"/>
      <c r="E96" s="7"/>
      <c r="F96" s="7"/>
      <c r="G96" s="7"/>
      <c r="H96" s="7"/>
      <c r="I96" s="7"/>
      <c r="J96" s="143"/>
      <c r="K96" s="149"/>
    </row>
    <row r="97" spans="1:12" ht="16.5" customHeight="1" x14ac:dyDescent="0.35">
      <c r="B97" s="9" t="s">
        <v>186</v>
      </c>
      <c r="C97" s="25"/>
      <c r="D97" s="25"/>
      <c r="E97" s="25"/>
      <c r="F97" s="25"/>
      <c r="G97" s="25"/>
      <c r="H97" s="25"/>
      <c r="I97" s="25"/>
      <c r="J97" s="143"/>
      <c r="K97" s="25"/>
    </row>
    <row r="98" spans="1:12" ht="16.5" customHeight="1" x14ac:dyDescent="0.35">
      <c r="B98" s="9" t="s">
        <v>162</v>
      </c>
      <c r="C98" s="25"/>
      <c r="D98" s="25"/>
      <c r="E98" s="25"/>
      <c r="F98" s="25"/>
      <c r="G98" s="25"/>
      <c r="H98" s="25"/>
      <c r="I98" s="25"/>
      <c r="J98" s="143"/>
      <c r="K98" s="25"/>
    </row>
    <row r="99" spans="1:12" ht="16.5" customHeight="1" x14ac:dyDescent="0.35">
      <c r="B99" s="9" t="s">
        <v>187</v>
      </c>
      <c r="C99" s="25"/>
      <c r="D99" s="25"/>
      <c r="E99" s="25"/>
      <c r="F99" s="25"/>
      <c r="G99" s="25"/>
      <c r="H99" s="25"/>
      <c r="I99" s="25"/>
      <c r="J99" s="143"/>
      <c r="K99" s="25"/>
    </row>
    <row r="100" spans="1:12" ht="16.5" customHeight="1" x14ac:dyDescent="0.3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35">
      <c r="A101" s="159" t="s">
        <v>1637</v>
      </c>
      <c r="B101" s="25"/>
      <c r="C101" s="9" t="s">
        <v>188</v>
      </c>
      <c r="D101" s="25"/>
      <c r="E101" s="25"/>
      <c r="F101" s="25"/>
      <c r="G101" s="25"/>
      <c r="H101" s="25"/>
      <c r="I101" s="25"/>
      <c r="J101" s="25"/>
      <c r="K101" s="143"/>
    </row>
    <row r="102" spans="1:12" ht="16.5" customHeight="1" x14ac:dyDescent="0.35">
      <c r="A102" s="159" t="s">
        <v>1637</v>
      </c>
      <c r="B102" s="25"/>
      <c r="C102" s="9" t="s">
        <v>163</v>
      </c>
      <c r="D102" s="25"/>
      <c r="E102" s="25"/>
      <c r="F102" s="25"/>
      <c r="G102" s="25"/>
      <c r="H102" s="25"/>
      <c r="I102" s="25"/>
      <c r="J102" s="25"/>
      <c r="K102" s="143"/>
    </row>
    <row r="103" spans="1:12" ht="16.5" customHeight="1" x14ac:dyDescent="0.35">
      <c r="A103" s="159" t="s">
        <v>1637</v>
      </c>
      <c r="B103" s="25"/>
      <c r="C103" s="9" t="s">
        <v>189</v>
      </c>
      <c r="D103" s="25"/>
      <c r="E103" s="25"/>
      <c r="F103" s="25"/>
      <c r="G103" s="25"/>
      <c r="H103" s="25"/>
      <c r="I103" s="25"/>
      <c r="J103" s="25"/>
      <c r="K103" s="143"/>
    </row>
    <row r="104" spans="1:12" ht="16.5" customHeight="1" x14ac:dyDescent="0.3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4">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4">
      <c r="B106" s="166" t="s">
        <v>1646</v>
      </c>
      <c r="H106" s="10"/>
      <c r="J106" s="108"/>
      <c r="K106" s="108"/>
      <c r="L106" s="8"/>
    </row>
    <row r="107" spans="1:12" ht="16.5" customHeight="1" x14ac:dyDescent="0.35">
      <c r="H107" s="10"/>
    </row>
    <row r="108" spans="1:12" ht="16.5" customHeight="1" x14ac:dyDescent="0.35">
      <c r="H108" s="10"/>
    </row>
    <row r="109" spans="1:12" s="135" customFormat="1" ht="16.5" customHeight="1" x14ac:dyDescent="0.35">
      <c r="A109" s="131">
        <v>10</v>
      </c>
      <c r="B109" s="151" t="s">
        <v>1677</v>
      </c>
      <c r="C109" s="136"/>
      <c r="D109" s="136"/>
    </row>
    <row r="110" spans="1:12" ht="16.5" customHeight="1" x14ac:dyDescent="0.35">
      <c r="A110" s="159" t="s">
        <v>1637</v>
      </c>
      <c r="B110" s="9" t="s">
        <v>170</v>
      </c>
      <c r="C110" s="9"/>
      <c r="D110" s="7"/>
      <c r="E110" s="25"/>
      <c r="F110" s="25"/>
      <c r="G110" s="25"/>
      <c r="H110" s="25"/>
      <c r="I110" s="25"/>
      <c r="J110" s="143"/>
      <c r="K110" s="25"/>
    </row>
    <row r="111" spans="1:12" ht="16.5" customHeight="1" x14ac:dyDescent="0.35">
      <c r="A111" s="159" t="s">
        <v>1637</v>
      </c>
      <c r="B111" s="9" t="s">
        <v>171</v>
      </c>
      <c r="C111" s="9"/>
      <c r="D111" s="7"/>
      <c r="E111" s="25"/>
      <c r="F111" s="25"/>
      <c r="G111" s="25"/>
      <c r="H111" s="25"/>
      <c r="I111" s="25"/>
      <c r="J111" s="143"/>
      <c r="K111" s="25"/>
    </row>
    <row r="112" spans="1:12" ht="16.5" customHeight="1" x14ac:dyDescent="0.35">
      <c r="A112" s="159" t="s">
        <v>1637</v>
      </c>
      <c r="B112" s="9" t="s">
        <v>172</v>
      </c>
      <c r="C112" s="9"/>
      <c r="D112" s="7"/>
      <c r="E112" s="25"/>
      <c r="F112" s="25"/>
      <c r="G112" s="25"/>
      <c r="H112" s="25"/>
      <c r="I112" s="25"/>
      <c r="J112" s="143"/>
      <c r="K112" s="25"/>
    </row>
    <row r="113" spans="1:12" ht="16.5" customHeight="1" x14ac:dyDescent="0.35">
      <c r="A113" s="165" t="s">
        <v>1645</v>
      </c>
      <c r="B113" s="9"/>
      <c r="C113" s="9" t="s">
        <v>173</v>
      </c>
      <c r="D113" s="7"/>
      <c r="E113" s="25"/>
      <c r="F113" s="25"/>
      <c r="G113" s="25"/>
      <c r="H113" s="25"/>
      <c r="I113" s="25"/>
      <c r="J113" s="25"/>
      <c r="K113" s="143"/>
    </row>
    <row r="114" spans="1:12" ht="16.5" customHeight="1" x14ac:dyDescent="0.4">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4">
      <c r="A115" s="6"/>
      <c r="B115" s="166" t="s">
        <v>1648</v>
      </c>
      <c r="C115" s="114"/>
      <c r="D115" s="114"/>
      <c r="H115" s="10"/>
      <c r="J115" s="108"/>
      <c r="K115" s="108"/>
      <c r="L115" s="8"/>
    </row>
    <row r="116" spans="1:12" ht="16.5" customHeight="1" x14ac:dyDescent="0.35">
      <c r="H116" s="10"/>
    </row>
    <row r="117" spans="1:12" ht="16.5" customHeight="1" x14ac:dyDescent="0.35">
      <c r="H117" s="10"/>
    </row>
    <row r="118" spans="1:12" ht="16.5" customHeight="1" x14ac:dyDescent="0.35">
      <c r="H118" s="10"/>
    </row>
    <row r="119" spans="1:12" ht="16.5" customHeight="1" x14ac:dyDescent="0.35">
      <c r="H119" s="10"/>
    </row>
    <row r="120" spans="1:12" ht="20" x14ac:dyDescent="0.4">
      <c r="D120" s="160" t="s">
        <v>1659</v>
      </c>
      <c r="E120" s="161"/>
      <c r="F120" s="162"/>
      <c r="G120" s="162"/>
      <c r="H120" s="162"/>
      <c r="I120" s="163"/>
      <c r="J120" s="163"/>
      <c r="K120" s="164"/>
    </row>
    <row r="121" spans="1:12" ht="16.5" customHeight="1" x14ac:dyDescent="0.35">
      <c r="H121" s="10"/>
      <c r="K121" s="170" t="s">
        <v>1658</v>
      </c>
    </row>
    <row r="122" spans="1:12" ht="16.5" customHeight="1" x14ac:dyDescent="0.35">
      <c r="D122" s="140" t="s">
        <v>1650</v>
      </c>
      <c r="H122" s="10"/>
      <c r="K122" s="169">
        <f>J15+J39-K88-K101+J110</f>
        <v>0</v>
      </c>
    </row>
    <row r="123" spans="1:12" ht="16.5" customHeight="1" x14ac:dyDescent="0.35">
      <c r="D123" s="140" t="s">
        <v>1651</v>
      </c>
      <c r="H123" s="10"/>
      <c r="K123" s="169">
        <f>J16+J40-K89-K102+J111</f>
        <v>0</v>
      </c>
    </row>
    <row r="124" spans="1:12" ht="16.5" customHeight="1" x14ac:dyDescent="0.35">
      <c r="D124" s="140" t="s">
        <v>1652</v>
      </c>
      <c r="H124" s="10"/>
      <c r="K124" s="169">
        <f>J17+J41-K90-K103+J112</f>
        <v>1953493</v>
      </c>
    </row>
    <row r="125" spans="1:12" ht="16.5" customHeight="1" x14ac:dyDescent="0.35">
      <c r="D125" s="140" t="s">
        <v>1653</v>
      </c>
      <c r="H125" s="10"/>
      <c r="K125" s="169">
        <f>-K20-K56+J85+J97</f>
        <v>-397934</v>
      </c>
    </row>
    <row r="126" spans="1:12" ht="16.5" customHeight="1" x14ac:dyDescent="0.35">
      <c r="D126" s="140" t="s">
        <v>1654</v>
      </c>
      <c r="H126" s="10"/>
      <c r="K126" s="169">
        <f>-K21-K57+J86+J98</f>
        <v>0</v>
      </c>
    </row>
    <row r="127" spans="1:12" ht="16.5" customHeight="1" x14ac:dyDescent="0.35">
      <c r="D127" s="140" t="s">
        <v>1655</v>
      </c>
      <c r="H127" s="10"/>
      <c r="K127" s="169">
        <f>-K22-K58+J87+J99</f>
        <v>-72352</v>
      </c>
    </row>
    <row r="128" spans="1:12" ht="16.5" customHeight="1" x14ac:dyDescent="0.35">
      <c r="D128" s="140" t="s">
        <v>1656</v>
      </c>
      <c r="H128" s="10"/>
      <c r="K128" s="169">
        <f>-K23-K48+J68+J75+J96-K113</f>
        <v>-1060638</v>
      </c>
    </row>
    <row r="129" spans="4:11" ht="16.5" customHeight="1" x14ac:dyDescent="0.35">
      <c r="D129" s="140" t="s">
        <v>1657</v>
      </c>
      <c r="H129" s="10"/>
      <c r="K129" s="169">
        <f>-K76</f>
        <v>-422552</v>
      </c>
    </row>
    <row r="130" spans="4:11" ht="16.5" customHeight="1" x14ac:dyDescent="0.35">
      <c r="H130" s="10"/>
    </row>
    <row r="131" spans="4:11" ht="16.5" customHeight="1" x14ac:dyDescent="0.35">
      <c r="H131" s="10"/>
    </row>
    <row r="132" spans="4:11" x14ac:dyDescent="0.35">
      <c r="H132" s="10"/>
    </row>
    <row r="133" spans="4:11" ht="16.5" customHeight="1" x14ac:dyDescent="0.35">
      <c r="H133" s="10"/>
    </row>
    <row r="134" spans="4:11" ht="16.5" customHeight="1" x14ac:dyDescent="0.35">
      <c r="H134" s="10"/>
    </row>
    <row r="135" spans="4:11" ht="16.5" customHeight="1" x14ac:dyDescent="0.35">
      <c r="H135" s="10"/>
    </row>
    <row r="136" spans="4:11" ht="16.5" customHeight="1" x14ac:dyDescent="0.35">
      <c r="H136" s="10"/>
    </row>
    <row r="137" spans="4:11" ht="16.5" customHeight="1" x14ac:dyDescent="0.35">
      <c r="H137" s="10"/>
    </row>
    <row r="138" spans="4:11" s="25" customFormat="1" ht="16.5" customHeight="1" x14ac:dyDescent="0.35"/>
    <row r="139" spans="4:11" ht="16.5" customHeight="1" x14ac:dyDescent="0.35">
      <c r="H139" s="10"/>
    </row>
    <row r="140" spans="4:11" ht="16.5" customHeight="1" x14ac:dyDescent="0.35">
      <c r="H140" s="10"/>
    </row>
    <row r="141" spans="4:11" x14ac:dyDescent="0.35">
      <c r="H141" s="10"/>
    </row>
    <row r="142" spans="4:11" ht="16.5" customHeight="1" x14ac:dyDescent="0.35">
      <c r="H142" s="10"/>
    </row>
    <row r="143" spans="4:11" ht="16.5" customHeight="1" x14ac:dyDescent="0.35">
      <c r="H143" s="10"/>
    </row>
    <row r="144" spans="4:11" ht="16.5" customHeight="1" x14ac:dyDescent="0.35">
      <c r="H144" s="10"/>
    </row>
    <row r="145" spans="8:8" ht="16.5" customHeight="1" x14ac:dyDescent="0.35">
      <c r="H145" s="10"/>
    </row>
    <row r="146" spans="8:8" ht="16.5" customHeight="1" x14ac:dyDescent="0.35">
      <c r="H146" s="10"/>
    </row>
    <row r="147" spans="8:8" ht="16.5" customHeight="1" x14ac:dyDescent="0.35">
      <c r="H147" s="10"/>
    </row>
    <row r="148" spans="8:8" ht="16.5" customHeight="1" x14ac:dyDescent="0.35">
      <c r="H148" s="10"/>
    </row>
    <row r="149" spans="8:8" ht="16.5" customHeight="1" x14ac:dyDescent="0.35">
      <c r="H149" s="10"/>
    </row>
    <row r="150" spans="8:8" ht="16.5" customHeight="1" x14ac:dyDescent="0.35">
      <c r="H150" s="10"/>
    </row>
    <row r="151" spans="8:8" ht="16.5" customHeight="1" x14ac:dyDescent="0.35">
      <c r="H151" s="10"/>
    </row>
    <row r="152" spans="8:8" ht="16.5" customHeight="1" x14ac:dyDescent="0.35">
      <c r="H152" s="10"/>
    </row>
    <row r="153" spans="8:8" ht="16.5" customHeight="1" x14ac:dyDescent="0.35">
      <c r="H153" s="10"/>
    </row>
    <row r="154" spans="8:8" ht="16.5" customHeight="1" x14ac:dyDescent="0.35">
      <c r="H154" s="10"/>
    </row>
    <row r="155" spans="8:8" ht="16.5" customHeight="1" x14ac:dyDescent="0.35">
      <c r="H155" s="10"/>
    </row>
    <row r="156" spans="8:8" ht="16.5" customHeight="1" x14ac:dyDescent="0.35">
      <c r="H156" s="10"/>
    </row>
    <row r="157" spans="8:8" ht="16.5" customHeight="1" x14ac:dyDescent="0.35">
      <c r="H157" s="10"/>
    </row>
    <row r="158" spans="8:8" ht="16.5" customHeight="1" x14ac:dyDescent="0.35">
      <c r="H158" s="10"/>
    </row>
    <row r="159" spans="8:8" ht="16.5" customHeight="1" x14ac:dyDescent="0.35">
      <c r="H159" s="10"/>
    </row>
    <row r="160" spans="8:8" ht="16.5" customHeight="1" x14ac:dyDescent="0.35">
      <c r="H160" s="10"/>
    </row>
    <row r="161" spans="8:8" ht="16.5" customHeight="1" x14ac:dyDescent="0.35">
      <c r="H161" s="10"/>
    </row>
    <row r="162" spans="8:8" ht="16.5" customHeight="1" x14ac:dyDescent="0.35">
      <c r="H162" s="10"/>
    </row>
    <row r="163" spans="8:8" ht="16.5" customHeight="1" x14ac:dyDescent="0.35">
      <c r="H163" s="10"/>
    </row>
    <row r="164" spans="8:8" ht="16.5" customHeight="1" x14ac:dyDescent="0.35">
      <c r="H164" s="10"/>
    </row>
    <row r="165" spans="8:8" ht="16.5" customHeight="1" x14ac:dyDescent="0.35">
      <c r="H165" s="10"/>
    </row>
    <row r="166" spans="8:8" ht="16.5" customHeight="1" x14ac:dyDescent="0.35">
      <c r="H166" s="10"/>
    </row>
    <row r="167" spans="8:8" ht="16.5" customHeight="1" x14ac:dyDescent="0.35">
      <c r="H167" s="10"/>
    </row>
    <row r="168" spans="8:8" x14ac:dyDescent="0.35">
      <c r="H168" s="10"/>
    </row>
    <row r="169" spans="8:8" ht="16.5" customHeight="1" x14ac:dyDescent="0.35">
      <c r="H169" s="10"/>
    </row>
    <row r="170" spans="8:8" ht="16.5" customHeight="1" x14ac:dyDescent="0.35">
      <c r="H170" s="10"/>
    </row>
    <row r="171" spans="8:8" ht="16.5" customHeight="1" x14ac:dyDescent="0.35">
      <c r="H171" s="10"/>
    </row>
    <row r="172" spans="8:8" s="25" customFormat="1" ht="16.5" customHeight="1" x14ac:dyDescent="0.35"/>
    <row r="173" spans="8:8" ht="16.5" customHeight="1" x14ac:dyDescent="0.35">
      <c r="H173" s="10"/>
    </row>
    <row r="174" spans="8:8" ht="16.5" customHeight="1" x14ac:dyDescent="0.35">
      <c r="H174" s="10"/>
    </row>
    <row r="175" spans="8:8" x14ac:dyDescent="0.35">
      <c r="H175" s="10"/>
    </row>
    <row r="176" spans="8:8" ht="16.5" customHeight="1" x14ac:dyDescent="0.35">
      <c r="H176" s="10"/>
    </row>
    <row r="177" spans="8:8" ht="16.5" customHeight="1" x14ac:dyDescent="0.35">
      <c r="H177" s="10"/>
    </row>
    <row r="178" spans="8:8" ht="16.5" customHeight="1" x14ac:dyDescent="0.35">
      <c r="H178" s="10"/>
    </row>
    <row r="179" spans="8:8" ht="16.5" customHeight="1" x14ac:dyDescent="0.35">
      <c r="H179" s="10"/>
    </row>
    <row r="180" spans="8:8" ht="16.5" customHeight="1" x14ac:dyDescent="0.35">
      <c r="H180" s="10"/>
    </row>
    <row r="181" spans="8:8" ht="16.5" customHeight="1" x14ac:dyDescent="0.35">
      <c r="H181" s="10"/>
    </row>
    <row r="182" spans="8:8" s="25" customFormat="1" ht="16.5" customHeight="1" x14ac:dyDescent="0.35"/>
    <row r="183" spans="8:8" ht="16.5" customHeight="1" x14ac:dyDescent="0.35">
      <c r="H183" s="10"/>
    </row>
    <row r="184" spans="8:8" ht="34.5" customHeight="1" x14ac:dyDescent="0.35">
      <c r="H184" s="10"/>
    </row>
    <row r="185" spans="8:8" ht="16.5" customHeight="1" x14ac:dyDescent="0.35">
      <c r="H185" s="10"/>
    </row>
    <row r="186" spans="8:8" ht="16.5" customHeight="1" x14ac:dyDescent="0.35">
      <c r="H186" s="10"/>
    </row>
    <row r="187" spans="8:8" ht="16.5" customHeight="1" x14ac:dyDescent="0.35">
      <c r="H187" s="10"/>
    </row>
    <row r="188" spans="8:8" ht="16.5" customHeight="1" x14ac:dyDescent="0.35">
      <c r="H188" s="10"/>
    </row>
    <row r="189" spans="8:8" ht="16.5" customHeight="1" x14ac:dyDescent="0.35">
      <c r="H189" s="10"/>
    </row>
    <row r="190" spans="8:8" ht="16.5" customHeight="1" x14ac:dyDescent="0.35">
      <c r="H190" s="10"/>
    </row>
    <row r="191" spans="8:8" ht="16.5" customHeight="1" x14ac:dyDescent="0.35">
      <c r="H191" s="10"/>
    </row>
    <row r="192" spans="8:8" ht="16.5" customHeight="1" x14ac:dyDescent="0.35">
      <c r="H192" s="10"/>
    </row>
    <row r="193" spans="8:8" ht="16.5" customHeight="1" x14ac:dyDescent="0.3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11" zoomScale="70" zoomScaleNormal="70" workbookViewId="0">
      <selection activeCell="D34" sqref="D34"/>
    </sheetView>
  </sheetViews>
  <sheetFormatPr defaultColWidth="9.1796875" defaultRowHeight="15.5" x14ac:dyDescent="0.35"/>
  <cols>
    <col min="1" max="1" width="37.453125" style="1" customWidth="1"/>
    <col min="2" max="3" width="33.26953125" style="1" customWidth="1"/>
    <col min="4" max="4" width="86.81640625" style="1" customWidth="1"/>
    <col min="5" max="5" width="9.1796875" style="1"/>
    <col min="6" max="6" width="19.26953125" style="1" customWidth="1"/>
    <col min="7" max="16384" width="9.1796875" style="1"/>
  </cols>
  <sheetData>
    <row r="1" spans="1:13" ht="30" customHeight="1" x14ac:dyDescent="0.35">
      <c r="A1" s="208" t="s">
        <v>139</v>
      </c>
      <c r="B1" s="208"/>
      <c r="C1" s="208"/>
      <c r="D1" s="208"/>
      <c r="E1" s="208"/>
      <c r="F1" s="208"/>
      <c r="G1" s="3"/>
      <c r="H1" s="3"/>
      <c r="I1" s="3"/>
      <c r="J1" s="3"/>
      <c r="K1" s="3"/>
      <c r="L1" s="3"/>
      <c r="M1" s="3"/>
    </row>
    <row r="2" spans="1:13" ht="64.150000000000006" customHeight="1" x14ac:dyDescent="0.35">
      <c r="A2" s="207" t="s">
        <v>137</v>
      </c>
      <c r="B2" s="207"/>
      <c r="C2" s="207"/>
      <c r="D2" s="207"/>
      <c r="E2" s="207"/>
      <c r="F2" s="207"/>
      <c r="G2" s="3"/>
      <c r="H2" s="3"/>
      <c r="I2" s="3"/>
      <c r="J2" s="3"/>
      <c r="K2" s="3"/>
      <c r="L2" s="3"/>
      <c r="M2" s="3"/>
    </row>
    <row r="3" spans="1:13" ht="31.9" customHeight="1" x14ac:dyDescent="0.35">
      <c r="A3" s="212" t="s">
        <v>194</v>
      </c>
      <c r="B3" s="212"/>
      <c r="C3" s="212"/>
      <c r="D3" s="24"/>
      <c r="E3" s="3"/>
      <c r="F3" s="3"/>
      <c r="G3" s="3"/>
      <c r="H3" s="3"/>
      <c r="I3" s="3"/>
      <c r="J3" s="3"/>
      <c r="K3" s="3"/>
      <c r="L3" s="3"/>
      <c r="M3" s="3"/>
    </row>
    <row r="4" spans="1:13" ht="31.15" customHeight="1" x14ac:dyDescent="0.35">
      <c r="A4" s="213" t="s">
        <v>5</v>
      </c>
      <c r="B4" s="213"/>
      <c r="C4" s="213"/>
      <c r="D4" s="24"/>
      <c r="E4" s="3"/>
      <c r="F4" s="3"/>
      <c r="G4" s="3"/>
      <c r="H4" s="3"/>
      <c r="I4" s="3"/>
      <c r="J4" s="3"/>
      <c r="K4" s="3"/>
      <c r="L4" s="3"/>
      <c r="M4" s="3"/>
    </row>
    <row r="5" spans="1:13" ht="31.15" customHeight="1" x14ac:dyDescent="0.35">
      <c r="A5" s="213" t="s">
        <v>7</v>
      </c>
      <c r="B5" s="213"/>
      <c r="C5" s="213"/>
      <c r="D5" s="24"/>
      <c r="E5" s="3"/>
      <c r="F5" s="3"/>
      <c r="G5" s="3"/>
      <c r="H5" s="3"/>
      <c r="I5" s="3"/>
      <c r="J5" s="3"/>
      <c r="K5" s="3"/>
      <c r="L5" s="3"/>
      <c r="M5" s="3"/>
    </row>
    <row r="6" spans="1:13" x14ac:dyDescent="0.35">
      <c r="A6" s="24"/>
      <c r="B6" s="24"/>
      <c r="C6" s="24"/>
      <c r="D6" s="24"/>
      <c r="E6" s="3"/>
      <c r="F6" s="3"/>
      <c r="G6" s="3"/>
      <c r="H6" s="3"/>
      <c r="I6" s="3"/>
      <c r="J6" s="3"/>
      <c r="K6" s="3"/>
      <c r="L6" s="3"/>
      <c r="M6" s="3"/>
    </row>
    <row r="7" spans="1:13" ht="20" x14ac:dyDescent="0.4">
      <c r="A7" s="105" t="s">
        <v>3</v>
      </c>
      <c r="B7" s="3"/>
      <c r="C7" s="3"/>
      <c r="D7" s="3"/>
      <c r="E7" s="3"/>
      <c r="F7" s="3"/>
      <c r="G7" s="3"/>
      <c r="H7" s="3"/>
      <c r="I7" s="3"/>
      <c r="J7" s="3"/>
      <c r="K7" s="3"/>
      <c r="L7" s="3"/>
      <c r="M7" s="3"/>
    </row>
    <row r="8" spans="1:13" x14ac:dyDescent="0.35">
      <c r="A8" s="5" t="s">
        <v>10</v>
      </c>
      <c r="B8" s="209" t="s">
        <v>21</v>
      </c>
      <c r="C8" s="209"/>
      <c r="D8" s="3"/>
      <c r="E8" s="3"/>
      <c r="F8" s="3"/>
    </row>
    <row r="9" spans="1:13" x14ac:dyDescent="0.35">
      <c r="A9" s="5" t="s">
        <v>192</v>
      </c>
      <c r="B9" s="210">
        <v>8620</v>
      </c>
      <c r="C9" s="210"/>
      <c r="D9" s="3"/>
      <c r="E9" s="3"/>
      <c r="F9" s="3"/>
    </row>
    <row r="10" spans="1:13" x14ac:dyDescent="0.35">
      <c r="A10" s="5" t="s">
        <v>191</v>
      </c>
      <c r="B10" s="211" t="s">
        <v>1715</v>
      </c>
      <c r="C10" s="211"/>
      <c r="D10" s="3"/>
      <c r="E10" s="3"/>
      <c r="F10" s="3"/>
      <c r="G10" s="27"/>
      <c r="H10" s="27"/>
      <c r="I10" s="27"/>
      <c r="J10" s="27"/>
      <c r="K10" s="27"/>
      <c r="L10" s="27"/>
      <c r="M10" s="27"/>
    </row>
    <row r="11" spans="1:13" ht="32.25" customHeight="1" x14ac:dyDescent="0.35">
      <c r="A11" s="202" t="s">
        <v>1685</v>
      </c>
      <c r="B11" s="203"/>
      <c r="C11" s="203"/>
      <c r="D11" s="3"/>
      <c r="E11" s="3"/>
      <c r="F11" s="3"/>
      <c r="G11" s="29"/>
      <c r="H11" s="29"/>
      <c r="I11" s="29"/>
      <c r="J11" s="29"/>
      <c r="K11" s="29"/>
      <c r="L11" s="29"/>
      <c r="M11" s="29"/>
    </row>
    <row r="12" spans="1:13" ht="15" customHeight="1" x14ac:dyDescent="0.3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5" customHeight="1" x14ac:dyDescent="0.35">
      <c r="A13" s="51" t="str">
        <f>RIGHT(B8,4)&amp;"–"&amp;RIGHT(B8,4)+1</f>
        <v>2024–2025</v>
      </c>
      <c r="B13" s="55">
        <v>422552</v>
      </c>
      <c r="C13" s="55">
        <v>30078</v>
      </c>
      <c r="D13" s="200" t="s">
        <v>4</v>
      </c>
      <c r="E13" s="201"/>
      <c r="F13" s="201"/>
      <c r="G13" s="29"/>
      <c r="H13" s="29"/>
      <c r="I13" s="29"/>
      <c r="J13" s="29"/>
      <c r="K13" s="29"/>
      <c r="L13" s="29"/>
      <c r="M13" s="29"/>
    </row>
    <row r="14" spans="1:13" x14ac:dyDescent="0.35">
      <c r="A14" s="51" t="str">
        <f>LEFT(A13,4)+1&amp;"–"&amp;RIGHT(A13,4)+1</f>
        <v>2025–2026</v>
      </c>
      <c r="B14" s="55">
        <v>441430</v>
      </c>
      <c r="C14" s="55">
        <v>19713</v>
      </c>
      <c r="D14" s="200"/>
      <c r="E14" s="201"/>
      <c r="F14" s="201"/>
    </row>
    <row r="15" spans="1:13" x14ac:dyDescent="0.35">
      <c r="A15" s="51" t="str">
        <f>LEFT(A14,4)+1&amp;"–"&amp;RIGHT(A14,4)+1</f>
        <v>2026–2027</v>
      </c>
      <c r="B15" s="55">
        <v>460767</v>
      </c>
      <c r="C15" s="55">
        <v>8889</v>
      </c>
      <c r="D15" s="197" t="s">
        <v>124</v>
      </c>
      <c r="E15" s="197"/>
      <c r="F15" s="197"/>
      <c r="G15" s="30"/>
      <c r="H15" s="30"/>
      <c r="I15" s="30"/>
      <c r="J15" s="30"/>
      <c r="K15" s="30"/>
      <c r="L15" s="30"/>
      <c r="M15" s="30"/>
    </row>
    <row r="16" spans="1:13" x14ac:dyDescent="0.35">
      <c r="A16" s="51" t="str">
        <f>LEFT(A15,4)+1&amp;"–"&amp;RIGHT(A15,4)+1</f>
        <v>2027–2028</v>
      </c>
      <c r="B16" s="55">
        <v>158441</v>
      </c>
      <c r="C16" s="55">
        <v>475</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35">
      <c r="A17" s="51" t="str">
        <f>LEFT(A16,4)+1&amp;"–"&amp;RIGHT(A16,4)+1</f>
        <v>2028–2029</v>
      </c>
      <c r="B17" s="55"/>
      <c r="C17" s="55"/>
      <c r="D17" s="197">
        <v>0</v>
      </c>
      <c r="E17" s="197"/>
      <c r="F17" s="197"/>
      <c r="G17" s="31"/>
      <c r="H17" s="31"/>
      <c r="I17" s="31"/>
      <c r="J17" s="31"/>
      <c r="K17" s="31"/>
    </row>
    <row r="18" spans="1:13" ht="15" customHeight="1" x14ac:dyDescent="0.35">
      <c r="A18" s="51" t="str">
        <f>LEFT(A17,4)+1&amp;"–"&amp;RIGHT(A17,4)+5</f>
        <v>2029–2034</v>
      </c>
      <c r="B18" s="55"/>
      <c r="C18" s="55"/>
      <c r="D18" s="200" t="s">
        <v>6</v>
      </c>
      <c r="E18" s="201"/>
      <c r="F18" s="201"/>
      <c r="G18" s="29"/>
      <c r="H18" s="29"/>
      <c r="I18" s="29"/>
      <c r="J18" s="29"/>
      <c r="K18" s="29"/>
      <c r="L18" s="29"/>
      <c r="M18" s="29"/>
    </row>
    <row r="19" spans="1:13" x14ac:dyDescent="0.35">
      <c r="A19" s="51" t="str">
        <f t="shared" ref="A19:A32" si="0">LEFT(A18,4)+5&amp;"–"&amp;RIGHT(A18,4)+5</f>
        <v>2034–2039</v>
      </c>
      <c r="B19" s="55"/>
      <c r="C19" s="55"/>
      <c r="D19" s="200"/>
      <c r="E19" s="201"/>
      <c r="F19" s="201"/>
    </row>
    <row r="20" spans="1:13" x14ac:dyDescent="0.35">
      <c r="A20" s="51" t="str">
        <f t="shared" si="0"/>
        <v>2039–2044</v>
      </c>
      <c r="B20" s="55"/>
      <c r="C20" s="55"/>
      <c r="D20" s="197" t="s">
        <v>124</v>
      </c>
      <c r="E20" s="197"/>
      <c r="F20" s="197"/>
      <c r="G20" s="30"/>
      <c r="H20" s="30"/>
      <c r="I20" s="30"/>
      <c r="J20" s="30"/>
      <c r="K20" s="30"/>
      <c r="L20" s="30"/>
      <c r="M20" s="30"/>
    </row>
    <row r="21" spans="1:13" ht="15" customHeight="1" x14ac:dyDescent="0.35">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35">
      <c r="A22" s="51" t="str">
        <f t="shared" si="0"/>
        <v>2049–2054</v>
      </c>
      <c r="B22" s="55"/>
      <c r="C22" s="55"/>
      <c r="D22" s="198"/>
      <c r="E22" s="199"/>
      <c r="F22" s="199"/>
    </row>
    <row r="23" spans="1:13" x14ac:dyDescent="0.35">
      <c r="A23" s="51" t="str">
        <f t="shared" si="0"/>
        <v>2054–2059</v>
      </c>
      <c r="B23" s="55"/>
      <c r="C23" s="55"/>
      <c r="D23" s="197">
        <v>0</v>
      </c>
      <c r="E23" s="197"/>
      <c r="F23" s="197"/>
    </row>
    <row r="24" spans="1:13" x14ac:dyDescent="0.35">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35">
      <c r="A25" s="51" t="str">
        <f t="shared" si="0"/>
        <v>2064–2069</v>
      </c>
      <c r="B25" s="55"/>
      <c r="C25" s="55"/>
      <c r="D25" s="198"/>
      <c r="E25" s="199"/>
      <c r="F25" s="199"/>
    </row>
    <row r="26" spans="1:13" x14ac:dyDescent="0.35">
      <c r="A26" s="51" t="str">
        <f t="shared" si="0"/>
        <v>2069–2074</v>
      </c>
      <c r="B26" s="55"/>
      <c r="C26" s="55"/>
      <c r="D26" s="197">
        <v>0</v>
      </c>
      <c r="E26" s="197"/>
      <c r="F26" s="197"/>
    </row>
    <row r="27" spans="1:13" ht="15" customHeight="1" x14ac:dyDescent="0.35">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x14ac:dyDescent="0.35">
      <c r="A28" s="51" t="str">
        <f t="shared" si="0"/>
        <v>2079–2084</v>
      </c>
      <c r="B28" s="55"/>
      <c r="C28" s="55"/>
      <c r="D28" s="200"/>
      <c r="E28" s="201"/>
      <c r="F28" s="201"/>
      <c r="G28" s="33"/>
      <c r="H28" s="33"/>
      <c r="I28" s="33"/>
      <c r="J28" s="33"/>
      <c r="K28" s="33"/>
      <c r="L28" s="33"/>
      <c r="M28" s="33"/>
    </row>
    <row r="29" spans="1:13" x14ac:dyDescent="0.35">
      <c r="A29" s="51" t="str">
        <f t="shared" si="0"/>
        <v>2084–2089</v>
      </c>
      <c r="B29" s="55"/>
      <c r="C29" s="55"/>
      <c r="D29" s="197">
        <v>0</v>
      </c>
      <c r="E29" s="197"/>
      <c r="F29" s="197"/>
      <c r="G29" s="33"/>
      <c r="H29" s="33"/>
      <c r="I29" s="33"/>
      <c r="J29" s="33"/>
      <c r="K29" s="33"/>
      <c r="L29" s="33"/>
      <c r="M29" s="33"/>
    </row>
    <row r="30" spans="1:13" x14ac:dyDescent="0.35">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35">
      <c r="A31" s="51" t="str">
        <f t="shared" si="0"/>
        <v>2094–2099</v>
      </c>
      <c r="B31" s="55"/>
      <c r="C31" s="55"/>
      <c r="D31" s="197" t="s">
        <v>124</v>
      </c>
      <c r="E31" s="197"/>
      <c r="F31" s="197"/>
    </row>
    <row r="32" spans="1:13" x14ac:dyDescent="0.35">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35">
      <c r="A33" s="51" t="str">
        <f>LEFT(A32,4)+5&amp;"–"&amp;RIGHT(A32,4)+5</f>
        <v>2104–2109</v>
      </c>
      <c r="B33" s="55"/>
      <c r="C33" s="55"/>
      <c r="D33" s="197">
        <v>0</v>
      </c>
      <c r="E33" s="197"/>
      <c r="F33" s="197"/>
    </row>
    <row r="34" spans="1:13" ht="15" customHeight="1" x14ac:dyDescent="0.35">
      <c r="A34" s="51" t="str">
        <f>LEFT(A33,4)+5&amp;"–"&amp;RIGHT(A33,4)+5</f>
        <v>2109–2114</v>
      </c>
      <c r="B34" s="55"/>
      <c r="C34" s="55"/>
      <c r="G34" s="27"/>
      <c r="H34" s="27"/>
      <c r="I34" s="27"/>
      <c r="J34" s="27"/>
      <c r="K34" s="27"/>
      <c r="L34" s="27"/>
      <c r="M34" s="27"/>
    </row>
    <row r="35" spans="1:13" ht="16.5" customHeight="1" x14ac:dyDescent="0.35">
      <c r="A35" s="51" t="str">
        <f>LEFT(A34,4)+5&amp;"–"&amp;RIGHT(A34,4)+5</f>
        <v>2114–2119</v>
      </c>
      <c r="B35" s="55"/>
      <c r="C35" s="55"/>
      <c r="G35" s="4"/>
      <c r="H35" s="4"/>
      <c r="I35" s="4"/>
      <c r="J35" s="4"/>
      <c r="K35" s="4"/>
      <c r="L35" s="4"/>
      <c r="M35" s="4"/>
    </row>
    <row r="36" spans="1:13" ht="15" customHeight="1" x14ac:dyDescent="0.35">
      <c r="A36" s="51" t="str">
        <f>LEFT(A35,4)+5&amp;"–"&amp;RIGHT(A35,4)+5</f>
        <v>2119–2124</v>
      </c>
      <c r="B36" s="55"/>
      <c r="C36" s="55"/>
      <c r="G36" s="4"/>
      <c r="H36" s="4"/>
      <c r="I36" s="4"/>
      <c r="J36" s="4"/>
      <c r="K36" s="4"/>
      <c r="L36" s="4"/>
      <c r="M36" s="4"/>
    </row>
    <row r="37" spans="1:13" x14ac:dyDescent="0.35">
      <c r="B37" s="34"/>
      <c r="C37" s="34"/>
      <c r="F37" s="33"/>
    </row>
    <row r="38" spans="1:13" ht="20" x14ac:dyDescent="0.4">
      <c r="A38" s="105" t="s">
        <v>132</v>
      </c>
      <c r="F38" s="33"/>
    </row>
    <row r="39" spans="1:13" x14ac:dyDescent="0.35">
      <c r="A39" s="5" t="s">
        <v>10</v>
      </c>
      <c r="B39" s="204" t="str">
        <f>B8</f>
        <v>2023–2024</v>
      </c>
      <c r="C39" s="204"/>
      <c r="E39" s="32"/>
    </row>
    <row r="40" spans="1:13" ht="15.65" customHeight="1" x14ac:dyDescent="0.35">
      <c r="A40" s="5" t="s">
        <v>192</v>
      </c>
      <c r="B40" s="206">
        <f>B9</f>
        <v>8620</v>
      </c>
      <c r="C40" s="206"/>
      <c r="E40" s="32"/>
    </row>
    <row r="41" spans="1:13" x14ac:dyDescent="0.35">
      <c r="A41" s="5" t="s">
        <v>191</v>
      </c>
      <c r="B41" s="204" t="str">
        <f>B10</f>
        <v>Fair Political Practices Commission</v>
      </c>
      <c r="C41" s="204"/>
      <c r="E41" s="32"/>
    </row>
    <row r="42" spans="1:13" ht="32.25" customHeight="1" x14ac:dyDescent="0.35">
      <c r="A42" s="202" t="s">
        <v>1685</v>
      </c>
      <c r="B42" s="203"/>
      <c r="C42" s="203"/>
      <c r="D42" s="3"/>
      <c r="E42" s="3"/>
      <c r="F42" s="3"/>
      <c r="G42" s="29"/>
      <c r="H42" s="29"/>
      <c r="I42" s="29"/>
      <c r="J42" s="29"/>
      <c r="K42" s="29"/>
      <c r="L42" s="29"/>
      <c r="M42" s="29"/>
    </row>
    <row r="43" spans="1:13" ht="15" customHeight="1" x14ac:dyDescent="0.35">
      <c r="A43" s="51"/>
      <c r="B43" s="52" t="s">
        <v>8</v>
      </c>
      <c r="C43" s="52" t="s">
        <v>9</v>
      </c>
      <c r="D43" s="205" t="str">
        <f>"All of the below questions are for Fiscal Year "&amp;$B$8&amp;":"</f>
        <v>All of the below questions are for Fiscal Year 2023–2024:</v>
      </c>
      <c r="E43" s="205"/>
      <c r="F43" s="205"/>
    </row>
    <row r="44" spans="1:13" ht="15" customHeight="1" x14ac:dyDescent="0.35">
      <c r="A44" s="51" t="str">
        <f>RIGHT(B39,4)&amp;"–"&amp;RIGHT(B39,4)+1</f>
        <v>2024–2025</v>
      </c>
      <c r="B44" s="55"/>
      <c r="C44" s="55"/>
      <c r="D44" s="200" t="s">
        <v>4</v>
      </c>
      <c r="E44" s="201"/>
      <c r="F44" s="201"/>
    </row>
    <row r="45" spans="1:13" ht="15" customHeight="1" x14ac:dyDescent="0.35">
      <c r="A45" s="51" t="str">
        <f>LEFT(A44,4)+1&amp;"–"&amp;RIGHT(A44,4)+1</f>
        <v>2025–2026</v>
      </c>
      <c r="B45" s="55"/>
      <c r="C45" s="55"/>
      <c r="D45" s="200"/>
      <c r="E45" s="201"/>
      <c r="F45" s="201"/>
    </row>
    <row r="46" spans="1:13" x14ac:dyDescent="0.35">
      <c r="A46" s="51" t="str">
        <f>LEFT(A45,4)+1&amp;"–"&amp;RIGHT(A45,4)+1</f>
        <v>2026–2027</v>
      </c>
      <c r="B46" s="55"/>
      <c r="C46" s="55"/>
      <c r="D46" s="197"/>
      <c r="E46" s="197"/>
      <c r="F46" s="197"/>
    </row>
    <row r="47" spans="1:13" ht="15" customHeight="1" x14ac:dyDescent="0.35">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35">
      <c r="A48" s="51" t="str">
        <f>LEFT(A47,4)+1&amp;"–"&amp;RIGHT(A47,4)+1</f>
        <v>2028–2029</v>
      </c>
      <c r="B48" s="55"/>
      <c r="C48" s="55"/>
      <c r="D48" s="197"/>
      <c r="E48" s="197"/>
      <c r="F48" s="197"/>
    </row>
    <row r="49" spans="1:6" ht="15" customHeight="1" x14ac:dyDescent="0.35">
      <c r="A49" s="51" t="str">
        <f>LEFT(A48,4)+1&amp;"–"&amp;RIGHT(A48,4)+5</f>
        <v>2029–2034</v>
      </c>
      <c r="B49" s="55"/>
      <c r="C49" s="55"/>
      <c r="D49" s="200" t="s">
        <v>6</v>
      </c>
      <c r="E49" s="201"/>
      <c r="F49" s="201"/>
    </row>
    <row r="50" spans="1:6" x14ac:dyDescent="0.35">
      <c r="A50" s="51" t="str">
        <f t="shared" ref="A50:A63" si="1">LEFT(A49,4)+5&amp;"–"&amp;RIGHT(A49,4)+5</f>
        <v>2034–2039</v>
      </c>
      <c r="B50" s="55"/>
      <c r="C50" s="55"/>
      <c r="D50" s="200"/>
      <c r="E50" s="201"/>
      <c r="F50" s="201"/>
    </row>
    <row r="51" spans="1:6" ht="15" customHeight="1" x14ac:dyDescent="0.35">
      <c r="A51" s="51" t="str">
        <f t="shared" si="1"/>
        <v>2039–2044</v>
      </c>
      <c r="B51" s="55"/>
      <c r="C51" s="55"/>
      <c r="D51" s="197"/>
      <c r="E51" s="197"/>
      <c r="F51" s="197"/>
    </row>
    <row r="52" spans="1:6" ht="15" customHeight="1" x14ac:dyDescent="0.35">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35">
      <c r="A53" s="51" t="str">
        <f t="shared" si="1"/>
        <v>2049–2054</v>
      </c>
      <c r="B53" s="55"/>
      <c r="C53" s="55"/>
      <c r="D53" s="198"/>
      <c r="E53" s="199"/>
      <c r="F53" s="199"/>
    </row>
    <row r="54" spans="1:6" x14ac:dyDescent="0.35">
      <c r="A54" s="51" t="str">
        <f t="shared" si="1"/>
        <v>2054–2059</v>
      </c>
      <c r="B54" s="55"/>
      <c r="C54" s="55"/>
      <c r="D54" s="197"/>
      <c r="E54" s="197"/>
      <c r="F54" s="197"/>
    </row>
    <row r="55" spans="1:6" ht="15" customHeight="1" x14ac:dyDescent="0.35">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35">
      <c r="A56" s="51" t="str">
        <f t="shared" si="1"/>
        <v>2064–2069</v>
      </c>
      <c r="B56" s="55"/>
      <c r="C56" s="55"/>
      <c r="D56" s="198"/>
      <c r="E56" s="199"/>
      <c r="F56" s="199"/>
    </row>
    <row r="57" spans="1:6" x14ac:dyDescent="0.35">
      <c r="A57" s="51" t="str">
        <f t="shared" si="1"/>
        <v>2069–2074</v>
      </c>
      <c r="B57" s="55"/>
      <c r="C57" s="55"/>
      <c r="D57" s="197"/>
      <c r="E57" s="197"/>
      <c r="F57" s="197"/>
    </row>
    <row r="58" spans="1:6" x14ac:dyDescent="0.35">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35">
      <c r="A59" s="51" t="str">
        <f t="shared" si="1"/>
        <v>2079–2084</v>
      </c>
      <c r="B59" s="55"/>
      <c r="C59" s="55"/>
      <c r="D59" s="200"/>
      <c r="E59" s="201"/>
      <c r="F59" s="201"/>
    </row>
    <row r="60" spans="1:6" ht="15" customHeight="1" x14ac:dyDescent="0.35">
      <c r="A60" s="51" t="str">
        <f t="shared" si="1"/>
        <v>2084–2089</v>
      </c>
      <c r="B60" s="55"/>
      <c r="C60" s="55"/>
      <c r="D60" s="197"/>
      <c r="E60" s="197"/>
      <c r="F60" s="197"/>
    </row>
    <row r="61" spans="1:6" x14ac:dyDescent="0.35">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35">
      <c r="A62" s="51" t="str">
        <f t="shared" si="1"/>
        <v>2094–2099</v>
      </c>
      <c r="B62" s="55"/>
      <c r="C62" s="55"/>
      <c r="D62" s="197"/>
      <c r="E62" s="197"/>
      <c r="F62" s="197"/>
    </row>
    <row r="63" spans="1:6" x14ac:dyDescent="0.35">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35">
      <c r="A64" s="51" t="str">
        <f>LEFT(A63,4)+5&amp;"–"&amp;RIGHT(A63,4)+5</f>
        <v>2104–2109</v>
      </c>
      <c r="B64" s="55"/>
      <c r="C64" s="55"/>
      <c r="D64" s="197"/>
      <c r="E64" s="197"/>
      <c r="F64" s="197"/>
    </row>
    <row r="65" spans="1:13" x14ac:dyDescent="0.35">
      <c r="A65" s="51" t="str">
        <f>LEFT(A64,4)+5&amp;"–"&amp;RIGHT(A64,4)+5</f>
        <v>2109–2114</v>
      </c>
      <c r="B65" s="55"/>
      <c r="C65" s="55"/>
    </row>
    <row r="66" spans="1:13" x14ac:dyDescent="0.35">
      <c r="A66" s="51" t="str">
        <f>LEFT(A65,4)+5&amp;"–"&amp;RIGHT(A65,4)+5</f>
        <v>2114–2119</v>
      </c>
      <c r="B66" s="55"/>
      <c r="C66" s="55"/>
    </row>
    <row r="67" spans="1:13" x14ac:dyDescent="0.35">
      <c r="A67" s="51" t="str">
        <f>LEFT(A66,4)+5&amp;"–"&amp;RIGHT(A66,4)+5</f>
        <v>2119–2124</v>
      </c>
      <c r="B67" s="55"/>
      <c r="C67" s="55"/>
    </row>
    <row r="69" spans="1:13" ht="20" x14ac:dyDescent="0.4">
      <c r="A69" s="105" t="s">
        <v>138</v>
      </c>
    </row>
    <row r="70" spans="1:13" x14ac:dyDescent="0.35">
      <c r="A70" s="5" t="s">
        <v>10</v>
      </c>
      <c r="B70" s="204" t="str">
        <f>B8</f>
        <v>2023–2024</v>
      </c>
      <c r="C70" s="204"/>
    </row>
    <row r="71" spans="1:13" x14ac:dyDescent="0.35">
      <c r="A71" s="5" t="s">
        <v>192</v>
      </c>
      <c r="B71" s="206">
        <f>B9</f>
        <v>8620</v>
      </c>
      <c r="C71" s="206"/>
    </row>
    <row r="72" spans="1:13" x14ac:dyDescent="0.35">
      <c r="A72" s="5" t="s">
        <v>191</v>
      </c>
      <c r="B72" s="204" t="str">
        <f>B10</f>
        <v>Fair Political Practices Commission</v>
      </c>
      <c r="C72" s="204"/>
    </row>
    <row r="73" spans="1:13" ht="32.25" customHeight="1" x14ac:dyDescent="0.35">
      <c r="A73" s="202" t="s">
        <v>1685</v>
      </c>
      <c r="B73" s="203"/>
      <c r="C73" s="203"/>
      <c r="D73" s="3"/>
      <c r="E73" s="3"/>
      <c r="F73" s="3"/>
      <c r="G73" s="29"/>
      <c r="H73" s="29"/>
      <c r="I73" s="29"/>
      <c r="J73" s="29"/>
      <c r="K73" s="29"/>
      <c r="L73" s="29"/>
      <c r="M73" s="29"/>
    </row>
    <row r="74" spans="1:13" x14ac:dyDescent="0.35">
      <c r="A74" s="51"/>
      <c r="B74" s="52" t="s">
        <v>8</v>
      </c>
      <c r="C74" s="52" t="s">
        <v>9</v>
      </c>
      <c r="D74" s="205" t="str">
        <f>"All of the below questions are for Fiscal Year "&amp;$B$8&amp;":"</f>
        <v>All of the below questions are for Fiscal Year 2023–2024:</v>
      </c>
      <c r="E74" s="205"/>
      <c r="F74" s="205"/>
    </row>
    <row r="75" spans="1:13" ht="15" customHeight="1" x14ac:dyDescent="0.35">
      <c r="A75" s="51" t="str">
        <f>RIGHT(B70,4)&amp;"–"&amp;RIGHT(B70,4)+1</f>
        <v>2024–2025</v>
      </c>
      <c r="B75" s="55"/>
      <c r="C75" s="55"/>
      <c r="D75" s="200" t="s">
        <v>4</v>
      </c>
      <c r="E75" s="201"/>
      <c r="F75" s="201"/>
    </row>
    <row r="76" spans="1:13" x14ac:dyDescent="0.35">
      <c r="A76" s="51" t="str">
        <f>LEFT(A75,4)+1&amp;"–"&amp;RIGHT(A75,4)+1</f>
        <v>2025–2026</v>
      </c>
      <c r="B76" s="55"/>
      <c r="C76" s="55"/>
      <c r="D76" s="200"/>
      <c r="E76" s="201"/>
      <c r="F76" s="201"/>
    </row>
    <row r="77" spans="1:13" x14ac:dyDescent="0.35">
      <c r="A77" s="51" t="str">
        <f>LEFT(A76,4)+1&amp;"–"&amp;RIGHT(A76,4)+1</f>
        <v>2026–2027</v>
      </c>
      <c r="B77" s="55"/>
      <c r="C77" s="55"/>
      <c r="D77" s="197"/>
      <c r="E77" s="197"/>
      <c r="F77" s="197"/>
    </row>
    <row r="78" spans="1:13" ht="15" customHeight="1" x14ac:dyDescent="0.35">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35">
      <c r="A79" s="51" t="str">
        <f>LEFT(A78,4)+1&amp;"–"&amp;RIGHT(A78,4)+1</f>
        <v>2028–2029</v>
      </c>
      <c r="B79" s="55"/>
      <c r="C79" s="55"/>
      <c r="D79" s="197"/>
      <c r="E79" s="197"/>
      <c r="F79" s="197"/>
    </row>
    <row r="80" spans="1:13" ht="15" customHeight="1" x14ac:dyDescent="0.35">
      <c r="A80" s="51" t="str">
        <f>LEFT(A79,4)+1&amp;"–"&amp;RIGHT(A79,4)+5</f>
        <v>2029–2034</v>
      </c>
      <c r="B80" s="55"/>
      <c r="C80" s="55"/>
      <c r="D80" s="200" t="s">
        <v>6</v>
      </c>
      <c r="E80" s="201"/>
      <c r="F80" s="201"/>
    </row>
    <row r="81" spans="1:6" x14ac:dyDescent="0.35">
      <c r="A81" s="51" t="str">
        <f t="shared" ref="A81:A94" si="2">LEFT(A80,4)+5&amp;"–"&amp;RIGHT(A80,4)+5</f>
        <v>2034–2039</v>
      </c>
      <c r="B81" s="55"/>
      <c r="C81" s="55"/>
      <c r="D81" s="200"/>
      <c r="E81" s="201"/>
      <c r="F81" s="201"/>
    </row>
    <row r="82" spans="1:6" x14ac:dyDescent="0.35">
      <c r="A82" s="51" t="str">
        <f t="shared" si="2"/>
        <v>2039–2044</v>
      </c>
      <c r="B82" s="55"/>
      <c r="C82" s="55"/>
      <c r="D82" s="197"/>
      <c r="E82" s="197"/>
      <c r="F82" s="197"/>
    </row>
    <row r="83" spans="1:6" ht="15" customHeight="1" x14ac:dyDescent="0.35">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35">
      <c r="A84" s="51" t="str">
        <f t="shared" si="2"/>
        <v>2049–2054</v>
      </c>
      <c r="B84" s="55"/>
      <c r="C84" s="55"/>
      <c r="D84" s="198"/>
      <c r="E84" s="199"/>
      <c r="F84" s="199"/>
    </row>
    <row r="85" spans="1:6" x14ac:dyDescent="0.35">
      <c r="A85" s="51" t="str">
        <f t="shared" si="2"/>
        <v>2054–2059</v>
      </c>
      <c r="B85" s="55"/>
      <c r="C85" s="55"/>
      <c r="D85" s="197"/>
      <c r="E85" s="197"/>
      <c r="F85" s="197"/>
    </row>
    <row r="86" spans="1:6" ht="15" customHeight="1" x14ac:dyDescent="0.35">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35">
      <c r="A87" s="51" t="str">
        <f t="shared" si="2"/>
        <v>2064–2069</v>
      </c>
      <c r="B87" s="55"/>
      <c r="C87" s="55"/>
      <c r="D87" s="198"/>
      <c r="E87" s="199"/>
      <c r="F87" s="199"/>
    </row>
    <row r="88" spans="1:6" x14ac:dyDescent="0.35">
      <c r="A88" s="51" t="str">
        <f t="shared" si="2"/>
        <v>2069–2074</v>
      </c>
      <c r="B88" s="55"/>
      <c r="C88" s="55"/>
      <c r="D88" s="197"/>
      <c r="E88" s="197"/>
      <c r="F88" s="197"/>
    </row>
    <row r="89" spans="1:6" x14ac:dyDescent="0.35">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35">
      <c r="A90" s="51" t="str">
        <f t="shared" si="2"/>
        <v>2079–2084</v>
      </c>
      <c r="B90" s="55"/>
      <c r="C90" s="55"/>
      <c r="D90" s="200"/>
      <c r="E90" s="201"/>
      <c r="F90" s="201"/>
    </row>
    <row r="91" spans="1:6" ht="15" customHeight="1" x14ac:dyDescent="0.35">
      <c r="A91" s="51" t="str">
        <f t="shared" si="2"/>
        <v>2084–2089</v>
      </c>
      <c r="B91" s="55"/>
      <c r="C91" s="55"/>
      <c r="D91" s="197"/>
      <c r="E91" s="197"/>
      <c r="F91" s="197"/>
    </row>
    <row r="92" spans="1:6" x14ac:dyDescent="0.35">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35">
      <c r="A93" s="51" t="str">
        <f t="shared" si="2"/>
        <v>2094–2099</v>
      </c>
      <c r="B93" s="55"/>
      <c r="C93" s="55"/>
      <c r="D93" s="197"/>
      <c r="E93" s="197"/>
      <c r="F93" s="197"/>
    </row>
    <row r="94" spans="1:6" x14ac:dyDescent="0.35">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35">
      <c r="A95" s="51" t="str">
        <f>LEFT(A94,4)+5&amp;"–"&amp;RIGHT(A94,4)+5</f>
        <v>2104–2109</v>
      </c>
      <c r="B95" s="55"/>
      <c r="C95" s="55"/>
      <c r="D95" s="197"/>
      <c r="E95" s="197"/>
      <c r="F95" s="197"/>
    </row>
    <row r="96" spans="1:6" x14ac:dyDescent="0.35">
      <c r="A96" s="51" t="str">
        <f>LEFT(A95,4)+5&amp;"–"&amp;RIGHT(A95,4)+5</f>
        <v>2109–2114</v>
      </c>
      <c r="B96" s="55"/>
      <c r="C96" s="55"/>
    </row>
    <row r="97" spans="1:3" x14ac:dyDescent="0.35">
      <c r="A97" s="51" t="str">
        <f>LEFT(A96,4)+5&amp;"–"&amp;RIGHT(A96,4)+5</f>
        <v>2114–2119</v>
      </c>
      <c r="B97" s="55"/>
      <c r="C97" s="55"/>
    </row>
    <row r="98" spans="1:3" x14ac:dyDescent="0.35">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A6" zoomScale="80" zoomScaleNormal="80" workbookViewId="0">
      <selection activeCell="L21" sqref="L21"/>
    </sheetView>
  </sheetViews>
  <sheetFormatPr defaultColWidth="9.1796875" defaultRowHeight="18" x14ac:dyDescent="0.4"/>
  <cols>
    <col min="1" max="1" width="9.1796875" style="35"/>
    <col min="2" max="3" width="3.7265625" style="35" customWidth="1"/>
    <col min="4" max="4" width="35.7265625" style="35" customWidth="1"/>
    <col min="5" max="5" width="3.7265625" style="35" customWidth="1"/>
    <col min="6" max="6" width="16.81640625" style="36" customWidth="1"/>
    <col min="7" max="7" width="3.7265625" style="35" customWidth="1"/>
    <col min="8" max="8" width="16.81640625" style="36" customWidth="1"/>
    <col min="9" max="9" width="3.7265625" style="35" customWidth="1"/>
    <col min="10" max="10" width="16.81640625" style="36" customWidth="1"/>
    <col min="11" max="11" width="3.7265625" style="35" customWidth="1"/>
    <col min="12" max="12" width="16.81640625" style="36" customWidth="1"/>
    <col min="13" max="13" width="3.7265625" style="35" customWidth="1"/>
    <col min="14" max="14" width="16.81640625" style="36" customWidth="1"/>
    <col min="15" max="15" width="3.7265625" style="35" customWidth="1"/>
    <col min="16" max="16" width="17.7265625" style="36" bestFit="1" customWidth="1"/>
    <col min="17" max="17" width="3.7265625" style="35" customWidth="1"/>
    <col min="18" max="16384" width="9.1796875" style="35"/>
  </cols>
  <sheetData>
    <row r="1" spans="2:17" ht="18.5" thickBot="1" x14ac:dyDescent="0.45"/>
    <row r="2" spans="2:17" x14ac:dyDescent="0.4">
      <c r="B2" s="37"/>
      <c r="C2" s="38"/>
      <c r="D2" s="38"/>
      <c r="E2" s="38"/>
      <c r="F2" s="39"/>
      <c r="G2" s="38"/>
      <c r="H2" s="39"/>
      <c r="I2" s="38"/>
      <c r="J2" s="39"/>
      <c r="K2" s="38"/>
      <c r="L2" s="39"/>
      <c r="M2" s="38"/>
      <c r="N2" s="39"/>
      <c r="O2" s="38"/>
      <c r="P2" s="39"/>
      <c r="Q2" s="40"/>
    </row>
    <row r="3" spans="2:17" ht="20" x14ac:dyDescent="0.4">
      <c r="B3" s="41"/>
      <c r="D3" s="2"/>
      <c r="E3" s="2"/>
      <c r="F3" s="2"/>
      <c r="G3" s="2"/>
      <c r="H3" s="2"/>
      <c r="I3" s="2"/>
      <c r="J3" s="42" t="s">
        <v>11</v>
      </c>
      <c r="K3" s="2"/>
      <c r="L3" s="2"/>
      <c r="M3" s="2"/>
      <c r="N3" s="2"/>
      <c r="O3" s="2"/>
      <c r="P3" s="2"/>
      <c r="Q3" s="43"/>
    </row>
    <row r="4" spans="2:17" ht="20" x14ac:dyDescent="0.4">
      <c r="B4" s="41"/>
      <c r="D4" s="2"/>
      <c r="E4" s="2"/>
      <c r="F4" s="2"/>
      <c r="G4" s="2"/>
      <c r="H4" s="2"/>
      <c r="I4" s="2"/>
      <c r="J4" s="42" t="str">
        <f>CONCATENATE("FY ",'LS-Fund 0001 Journal Entries'!F3)</f>
        <v>FY 2023–2024</v>
      </c>
      <c r="K4" s="2"/>
      <c r="L4" s="2"/>
      <c r="M4" s="2"/>
      <c r="N4" s="2"/>
      <c r="O4" s="2"/>
      <c r="P4" s="2"/>
      <c r="Q4" s="43"/>
    </row>
    <row r="5" spans="2:17" ht="20" x14ac:dyDescent="0.4">
      <c r="B5" s="41"/>
      <c r="D5" s="2"/>
      <c r="E5" s="2"/>
      <c r="F5" s="2"/>
      <c r="G5" s="2"/>
      <c r="H5" s="2"/>
      <c r="I5" s="2"/>
      <c r="J5" s="57" t="str">
        <f>CONCATENATE("Business Unit ",'LS-Department Note Disclosure'!B9," - ",'LS-Department Note Disclosure'!B10)</f>
        <v>Business Unit 8620 - Fair Political Practices Commission</v>
      </c>
      <c r="K5" s="2"/>
      <c r="L5" s="2"/>
      <c r="M5" s="2"/>
      <c r="N5" s="2"/>
      <c r="O5" s="2"/>
      <c r="P5" s="2"/>
      <c r="Q5" s="43"/>
    </row>
    <row r="6" spans="2:17" x14ac:dyDescent="0.4">
      <c r="B6" s="41"/>
      <c r="Q6" s="43"/>
    </row>
    <row r="7" spans="2:17" ht="36.5" thickBot="1" x14ac:dyDescent="0.45">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4">
      <c r="B8" s="41"/>
      <c r="F8" s="157" t="s">
        <v>1635</v>
      </c>
      <c r="G8" s="45"/>
      <c r="H8" s="158" t="s">
        <v>1679</v>
      </c>
      <c r="I8" s="45"/>
      <c r="J8" s="158" t="s">
        <v>1680</v>
      </c>
      <c r="K8" s="45"/>
      <c r="L8" s="158"/>
      <c r="M8" s="45"/>
      <c r="N8" s="158" t="s">
        <v>1636</v>
      </c>
      <c r="O8" s="45"/>
      <c r="P8" s="156"/>
      <c r="Q8" s="43"/>
    </row>
    <row r="9" spans="2:17" x14ac:dyDescent="0.4">
      <c r="B9" s="41"/>
      <c r="C9" s="45" t="s">
        <v>16</v>
      </c>
      <c r="Q9" s="43"/>
    </row>
    <row r="10" spans="2:17" ht="18.5" thickBot="1" x14ac:dyDescent="0.45">
      <c r="B10" s="41"/>
      <c r="D10" s="35" t="s">
        <v>17</v>
      </c>
      <c r="F10" s="61">
        <f>IF('LS-Fund 0001 Journal Entries'!$F$8="Governmental Fund",'LS-Fund 0001 Journal Entries'!$K$23,0)</f>
        <v>1887310</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404120</v>
      </c>
      <c r="K10" s="58"/>
      <c r="L10" s="63">
        <f>SUM(F10+H10-J10)</f>
        <v>1483190</v>
      </c>
      <c r="M10" s="58"/>
      <c r="N10" s="61">
        <f>IF('LS-Fund 0001 Journal Entries'!$F$8="Governmental Fund",'LS-Fund 0001 Journal Entries'!$K$76,0)</f>
        <v>422552</v>
      </c>
      <c r="O10" s="58"/>
      <c r="P10" s="63">
        <f>L10-N10</f>
        <v>1060638</v>
      </c>
      <c r="Q10" s="43"/>
    </row>
    <row r="11" spans="2:17" ht="19" thickTop="1" thickBot="1" x14ac:dyDescent="0.45">
      <c r="B11" s="41"/>
      <c r="C11" s="45" t="s">
        <v>18</v>
      </c>
      <c r="F11" s="62">
        <f>SUM(F10:F10)</f>
        <v>1887310</v>
      </c>
      <c r="G11" s="58"/>
      <c r="H11" s="62">
        <f>SUM(H10:H10)</f>
        <v>0</v>
      </c>
      <c r="I11" s="58"/>
      <c r="J11" s="62">
        <f>SUM(J10:J10)</f>
        <v>404120</v>
      </c>
      <c r="K11" s="58"/>
      <c r="L11" s="62">
        <f>SUM(L10:L10)</f>
        <v>1483190</v>
      </c>
      <c r="M11" s="58"/>
      <c r="N11" s="62">
        <f>SUM(N10:N10)</f>
        <v>422552</v>
      </c>
      <c r="O11" s="58"/>
      <c r="P11" s="62">
        <f>SUM(P10:P10)</f>
        <v>1060638</v>
      </c>
      <c r="Q11" s="43"/>
    </row>
    <row r="12" spans="2:17" ht="18.5" thickTop="1" x14ac:dyDescent="0.4">
      <c r="B12" s="41"/>
      <c r="F12" s="58"/>
      <c r="G12" s="59"/>
      <c r="H12" s="58"/>
      <c r="I12" s="58"/>
      <c r="J12" s="58"/>
      <c r="K12" s="58"/>
      <c r="L12" s="58"/>
      <c r="M12" s="58"/>
      <c r="N12" s="58"/>
      <c r="O12" s="58"/>
      <c r="P12" s="58"/>
      <c r="Q12" s="43"/>
    </row>
    <row r="13" spans="2:17" x14ac:dyDescent="0.4">
      <c r="B13" s="41"/>
      <c r="C13" s="45" t="s">
        <v>133</v>
      </c>
      <c r="F13" s="58"/>
      <c r="G13" s="58"/>
      <c r="H13" s="58"/>
      <c r="I13" s="58"/>
      <c r="J13" s="58"/>
      <c r="K13" s="58"/>
      <c r="L13" s="58"/>
      <c r="M13" s="58"/>
      <c r="N13" s="58"/>
      <c r="O13" s="58"/>
      <c r="P13" s="58"/>
      <c r="Q13" s="43"/>
    </row>
    <row r="14" spans="2:17" ht="18.5" thickBot="1" x14ac:dyDescent="0.45">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 thickTop="1" thickBot="1" x14ac:dyDescent="0.45">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5" thickTop="1" x14ac:dyDescent="0.4">
      <c r="B16" s="41"/>
      <c r="C16" s="45"/>
      <c r="F16" s="60"/>
      <c r="G16" s="58"/>
      <c r="H16" s="60"/>
      <c r="I16" s="58"/>
      <c r="J16" s="60"/>
      <c r="K16" s="58"/>
      <c r="L16" s="60"/>
      <c r="M16" s="58"/>
      <c r="N16" s="60"/>
      <c r="O16" s="58"/>
      <c r="P16" s="60"/>
      <c r="Q16" s="43"/>
    </row>
    <row r="17" spans="2:17" x14ac:dyDescent="0.4">
      <c r="B17" s="41"/>
      <c r="C17" s="45" t="s">
        <v>135</v>
      </c>
      <c r="F17" s="58"/>
      <c r="G17" s="58"/>
      <c r="H17" s="58"/>
      <c r="I17" s="58"/>
      <c r="J17" s="58"/>
      <c r="K17" s="58"/>
      <c r="L17" s="58"/>
      <c r="M17" s="58"/>
      <c r="N17" s="58"/>
      <c r="O17" s="58"/>
      <c r="P17" s="58"/>
      <c r="Q17" s="43"/>
    </row>
    <row r="18" spans="2:17" ht="18.5" thickBot="1" x14ac:dyDescent="0.45">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 thickTop="1" thickBot="1" x14ac:dyDescent="0.45">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 thickTop="1" thickBot="1" x14ac:dyDescent="0.45">
      <c r="B20" s="47"/>
      <c r="C20" s="48"/>
      <c r="D20" s="48"/>
      <c r="E20" s="48"/>
      <c r="F20" s="49"/>
      <c r="G20" s="48"/>
      <c r="H20" s="49"/>
      <c r="I20" s="48"/>
      <c r="J20" s="49"/>
      <c r="K20" s="48"/>
      <c r="L20" s="49"/>
      <c r="M20" s="48"/>
      <c r="N20" s="49"/>
      <c r="O20" s="48"/>
      <c r="P20" s="49"/>
      <c r="Q20" s="50"/>
    </row>
    <row r="22" spans="2:17" x14ac:dyDescent="0.4">
      <c r="B22" s="181" t="s">
        <v>1686</v>
      </c>
    </row>
    <row r="23" spans="2:17" x14ac:dyDescent="0.4">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31" zoomScale="78" zoomScaleNormal="112" workbookViewId="0"/>
  </sheetViews>
  <sheetFormatPr defaultColWidth="0" defaultRowHeight="14.5" zeroHeight="1" x14ac:dyDescent="0.35"/>
  <cols>
    <col min="1" max="1" width="2.81640625" style="74" customWidth="1"/>
    <col min="2" max="2" width="13.81640625" style="74" customWidth="1"/>
    <col min="3" max="3" width="2.81640625" style="96" customWidth="1"/>
    <col min="4" max="4" width="13.81640625" style="74" customWidth="1"/>
    <col min="5" max="5" width="2.81640625" style="96" customWidth="1"/>
    <col min="6" max="6" width="13.81640625" style="74" customWidth="1"/>
    <col min="7" max="7" width="2.81640625" style="74" customWidth="1"/>
    <col min="8" max="8" width="13.81640625" style="74" customWidth="1"/>
    <col min="9" max="9" width="2.81640625" style="74" customWidth="1"/>
    <col min="10" max="10" width="13.81640625" style="74" customWidth="1"/>
    <col min="11" max="11" width="2.81640625" style="96" customWidth="1"/>
    <col min="12" max="12" width="19.1796875" style="74" customWidth="1"/>
    <col min="13" max="13" width="2.81640625" style="96" customWidth="1"/>
    <col min="14" max="14" width="25.81640625" style="74" customWidth="1"/>
    <col min="15" max="15" width="2.81640625" style="74" customWidth="1"/>
    <col min="16" max="16" width="13.81640625" style="74" customWidth="1"/>
    <col min="17" max="17" width="2.81640625" style="74" customWidth="1"/>
    <col min="18" max="19" width="0" style="74" hidden="1" customWidth="1"/>
    <col min="20" max="16384" width="9.1796875" style="74" hidden="1"/>
  </cols>
  <sheetData>
    <row r="1" spans="1:17" s="69" customFormat="1" ht="15.5" x14ac:dyDescent="0.35">
      <c r="A1" s="64" t="s">
        <v>152</v>
      </c>
      <c r="B1" s="65"/>
      <c r="C1" s="66"/>
      <c r="D1" s="65"/>
      <c r="E1" s="66"/>
      <c r="F1" s="67"/>
      <c r="G1" s="67"/>
      <c r="H1" s="67"/>
      <c r="I1" s="67"/>
      <c r="J1" s="67"/>
      <c r="K1" s="68"/>
      <c r="L1" s="67"/>
      <c r="M1" s="68"/>
      <c r="N1" s="65"/>
      <c r="O1" s="65"/>
      <c r="P1" s="65"/>
      <c r="Q1" s="65"/>
    </row>
    <row r="2" spans="1:17" s="69" customFormat="1" ht="15.5" x14ac:dyDescent="0.35">
      <c r="A2" s="64" t="s">
        <v>140</v>
      </c>
      <c r="B2" s="65"/>
      <c r="C2" s="66"/>
      <c r="D2" s="65"/>
      <c r="E2" s="66"/>
      <c r="F2" s="65"/>
      <c r="G2" s="65"/>
      <c r="H2" s="65"/>
      <c r="I2" s="65"/>
      <c r="J2" s="65"/>
      <c r="K2" s="66"/>
      <c r="L2" s="65"/>
      <c r="M2" s="66"/>
      <c r="N2" s="65"/>
      <c r="O2" s="65"/>
      <c r="P2" s="65"/>
      <c r="Q2" s="65"/>
    </row>
    <row r="3" spans="1:17" s="69" customFormat="1" ht="15.5" x14ac:dyDescent="0.35">
      <c r="C3" s="70"/>
      <c r="E3" s="70"/>
      <c r="K3" s="70"/>
      <c r="M3" s="70"/>
    </row>
    <row r="4" spans="1:17" x14ac:dyDescent="0.35">
      <c r="A4" s="71" t="s">
        <v>141</v>
      </c>
      <c r="B4" s="72"/>
      <c r="C4" s="73"/>
      <c r="D4" s="72"/>
      <c r="E4" s="73"/>
      <c r="F4" s="72"/>
      <c r="G4" s="72"/>
      <c r="H4" s="72"/>
      <c r="I4" s="72"/>
      <c r="J4" s="72"/>
      <c r="K4" s="73"/>
      <c r="L4" s="72"/>
      <c r="M4" s="73"/>
      <c r="N4" s="72"/>
      <c r="O4" s="72"/>
      <c r="P4" s="72"/>
      <c r="Q4" s="72"/>
    </row>
    <row r="5" spans="1:17" ht="15" customHeight="1" x14ac:dyDescent="0.35">
      <c r="A5" s="214" t="s">
        <v>153</v>
      </c>
      <c r="B5" s="214"/>
      <c r="C5" s="214"/>
      <c r="D5" s="214"/>
      <c r="E5" s="214"/>
      <c r="F5" s="214"/>
      <c r="G5" s="214"/>
      <c r="H5" s="214"/>
      <c r="I5" s="214"/>
      <c r="J5" s="214"/>
      <c r="K5" s="214"/>
      <c r="L5" s="214"/>
      <c r="M5" s="214"/>
      <c r="N5" s="214"/>
      <c r="O5" s="214"/>
      <c r="P5" s="214"/>
      <c r="Q5" s="214"/>
    </row>
    <row r="6" spans="1:17" ht="15" customHeight="1" x14ac:dyDescent="0.35">
      <c r="A6" s="214"/>
      <c r="B6" s="214"/>
      <c r="C6" s="214"/>
      <c r="D6" s="214"/>
      <c r="E6" s="214"/>
      <c r="F6" s="214"/>
      <c r="G6" s="214"/>
      <c r="H6" s="214"/>
      <c r="I6" s="214"/>
      <c r="J6" s="214"/>
      <c r="K6" s="214"/>
      <c r="L6" s="214"/>
      <c r="M6" s="214"/>
      <c r="N6" s="214"/>
      <c r="O6" s="214"/>
      <c r="P6" s="214"/>
      <c r="Q6" s="214"/>
    </row>
    <row r="7" spans="1:17" x14ac:dyDescent="0.35">
      <c r="A7" s="214"/>
      <c r="B7" s="214"/>
      <c r="C7" s="214"/>
      <c r="D7" s="214"/>
      <c r="E7" s="214"/>
      <c r="F7" s="214"/>
      <c r="G7" s="214"/>
      <c r="H7" s="214"/>
      <c r="I7" s="214"/>
      <c r="J7" s="214"/>
      <c r="K7" s="214"/>
      <c r="L7" s="214"/>
      <c r="M7" s="214"/>
      <c r="N7" s="214"/>
      <c r="O7" s="214"/>
      <c r="P7" s="214"/>
      <c r="Q7" s="214"/>
    </row>
    <row r="8" spans="1:17" ht="15" customHeight="1" x14ac:dyDescent="0.35">
      <c r="A8" s="215" t="s">
        <v>1628</v>
      </c>
      <c r="B8" s="215"/>
      <c r="C8" s="215"/>
      <c r="D8" s="215"/>
      <c r="E8" s="215"/>
      <c r="F8" s="215"/>
      <c r="G8" s="215"/>
      <c r="H8" s="215"/>
      <c r="I8" s="215"/>
      <c r="J8" s="215"/>
      <c r="K8" s="215"/>
      <c r="L8" s="215"/>
      <c r="M8" s="215"/>
      <c r="N8" s="215"/>
      <c r="O8" s="215"/>
      <c r="P8" s="215"/>
      <c r="Q8" s="215"/>
    </row>
    <row r="9" spans="1:17" x14ac:dyDescent="0.35">
      <c r="A9" s="215"/>
      <c r="B9" s="215"/>
      <c r="C9" s="215"/>
      <c r="D9" s="215"/>
      <c r="E9" s="215"/>
      <c r="F9" s="215"/>
      <c r="G9" s="215"/>
      <c r="H9" s="215"/>
      <c r="I9" s="215"/>
      <c r="J9" s="215"/>
      <c r="K9" s="215"/>
      <c r="L9" s="215"/>
      <c r="M9" s="215"/>
      <c r="N9" s="215"/>
      <c r="O9" s="215"/>
      <c r="P9" s="215"/>
      <c r="Q9" s="215"/>
    </row>
    <row r="10" spans="1:17" x14ac:dyDescent="0.35">
      <c r="A10" s="71" t="s">
        <v>157</v>
      </c>
      <c r="B10" s="72"/>
      <c r="C10" s="73"/>
      <c r="D10" s="72"/>
      <c r="E10" s="73"/>
      <c r="F10" s="72"/>
      <c r="G10" s="72"/>
      <c r="H10" s="72"/>
      <c r="I10" s="72"/>
      <c r="J10" s="72"/>
      <c r="K10" s="73"/>
      <c r="L10" s="72"/>
      <c r="M10" s="73"/>
      <c r="N10" s="72"/>
      <c r="O10" s="72"/>
      <c r="P10" s="72"/>
      <c r="Q10" s="72"/>
    </row>
    <row r="11" spans="1:17" x14ac:dyDescent="0.35">
      <c r="A11" s="75"/>
      <c r="B11" s="101" t="s">
        <v>159</v>
      </c>
      <c r="C11" s="101"/>
      <c r="D11" s="75"/>
      <c r="E11" s="76"/>
      <c r="F11" s="75"/>
      <c r="G11" s="75"/>
      <c r="H11" s="75"/>
      <c r="I11" s="75"/>
      <c r="J11" s="75"/>
      <c r="K11" s="76"/>
      <c r="L11" s="75"/>
      <c r="M11" s="76"/>
      <c r="N11" s="75"/>
      <c r="O11" s="75"/>
      <c r="P11" s="75"/>
      <c r="Q11" s="75"/>
    </row>
    <row r="12" spans="1:17" ht="6.75" customHeight="1" x14ac:dyDescent="0.35">
      <c r="A12" s="75"/>
      <c r="B12" s="75"/>
      <c r="C12" s="76"/>
      <c r="D12" s="75"/>
      <c r="E12" s="76"/>
      <c r="F12" s="75"/>
      <c r="G12" s="75"/>
      <c r="H12" s="75"/>
      <c r="I12" s="75"/>
      <c r="J12" s="75"/>
      <c r="K12" s="76"/>
      <c r="L12" s="75"/>
      <c r="M12" s="76"/>
      <c r="N12" s="75"/>
      <c r="O12" s="75"/>
      <c r="P12" s="75"/>
      <c r="Q12" s="75"/>
    </row>
    <row r="13" spans="1:17" ht="15" customHeight="1" x14ac:dyDescent="0.35">
      <c r="A13" s="75"/>
      <c r="B13" s="216" t="s">
        <v>142</v>
      </c>
      <c r="C13" s="216"/>
      <c r="D13" s="216"/>
      <c r="E13" s="216"/>
      <c r="F13" s="216"/>
      <c r="G13" s="216"/>
      <c r="H13" s="216"/>
      <c r="I13" s="216"/>
      <c r="J13" s="216"/>
      <c r="K13" s="216"/>
      <c r="L13" s="216"/>
      <c r="M13" s="76"/>
      <c r="N13" s="77" t="s">
        <v>143</v>
      </c>
      <c r="O13" s="78"/>
      <c r="P13" s="78"/>
      <c r="Q13" s="75"/>
    </row>
    <row r="14" spans="1:17" ht="15" customHeight="1" x14ac:dyDescent="0.3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3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35">
      <c r="A16" s="83"/>
      <c r="B16" s="84">
        <f>IF('LS-Fund 0001 Journal Entries'!$F$8="Governmental Fund",'LS-Fund 0001 Journal Entries'!$K$23,0)</f>
        <v>1887310</v>
      </c>
      <c r="C16" s="116" t="s">
        <v>145</v>
      </c>
      <c r="D16" s="84">
        <f>IF('LS-Fund 0001 Journal Entries'!$F$8="Governmental Fund",'LS-Fund 0001 Journal Entries'!$K$48,0)</f>
        <v>0</v>
      </c>
      <c r="E16" s="118" t="s">
        <v>146</v>
      </c>
      <c r="F16" s="84">
        <f>IF('LS-Fund 0001 Journal Entries'!$F$8="Governmental Fund",'LS-Fund 0001 Journal Entries'!$J$68,0)</f>
        <v>404120</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1483190</v>
      </c>
      <c r="M16" s="86"/>
      <c r="N16" s="88">
        <f>SUM('LS-Department Note Disclosure'!B13:B36)</f>
        <v>1483190</v>
      </c>
      <c r="O16" s="85"/>
      <c r="P16" s="89">
        <f>L16-N16</f>
        <v>0</v>
      </c>
      <c r="Q16" s="75"/>
    </row>
    <row r="17" spans="1:17" ht="6" customHeight="1" x14ac:dyDescent="0.35">
      <c r="A17" s="83"/>
      <c r="B17" s="83"/>
      <c r="C17" s="90"/>
      <c r="D17" s="83"/>
      <c r="E17" s="90"/>
      <c r="F17" s="83"/>
      <c r="G17" s="83"/>
      <c r="H17" s="83"/>
      <c r="I17" s="83"/>
      <c r="J17" s="83"/>
      <c r="K17" s="90"/>
      <c r="L17" s="83"/>
      <c r="M17" s="90"/>
      <c r="N17" s="83"/>
      <c r="O17" s="83"/>
      <c r="P17" s="83"/>
      <c r="Q17" s="75"/>
    </row>
    <row r="18" spans="1:17" ht="15" customHeight="1" x14ac:dyDescent="0.3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5">
      <c r="A19" s="75"/>
      <c r="B19" s="101" t="s">
        <v>160</v>
      </c>
      <c r="C19" s="101"/>
      <c r="D19" s="75"/>
      <c r="E19" s="76"/>
      <c r="F19" s="75"/>
      <c r="G19" s="75"/>
      <c r="H19" s="75"/>
      <c r="I19" s="75"/>
      <c r="J19" s="75"/>
      <c r="K19" s="76"/>
      <c r="L19" s="75"/>
      <c r="M19" s="76"/>
      <c r="N19" s="75"/>
      <c r="O19" s="75"/>
      <c r="P19" s="75"/>
      <c r="Q19" s="75"/>
    </row>
    <row r="20" spans="1:17" ht="6" customHeight="1" x14ac:dyDescent="0.35">
      <c r="A20" s="75"/>
      <c r="B20" s="75"/>
      <c r="C20" s="76"/>
      <c r="D20" s="75"/>
      <c r="E20" s="76"/>
      <c r="F20" s="75"/>
      <c r="G20" s="75"/>
      <c r="H20" s="75"/>
      <c r="I20" s="75"/>
      <c r="J20" s="75"/>
      <c r="K20" s="76"/>
      <c r="L20" s="75"/>
      <c r="M20" s="76"/>
      <c r="N20" s="75"/>
      <c r="O20" s="75"/>
      <c r="P20" s="75"/>
      <c r="Q20" s="75"/>
    </row>
    <row r="21" spans="1:17" ht="15" customHeight="1" x14ac:dyDescent="0.35">
      <c r="A21" s="75"/>
      <c r="B21" s="216" t="s">
        <v>142</v>
      </c>
      <c r="C21" s="216"/>
      <c r="D21" s="216"/>
      <c r="E21" s="216"/>
      <c r="F21" s="216"/>
      <c r="G21" s="216"/>
      <c r="H21" s="216"/>
      <c r="I21" s="216"/>
      <c r="J21" s="216"/>
      <c r="K21" s="216"/>
      <c r="L21" s="216"/>
      <c r="M21" s="76"/>
      <c r="N21" s="77" t="s">
        <v>143</v>
      </c>
      <c r="O21" s="78"/>
      <c r="P21" s="78"/>
      <c r="Q21" s="75"/>
    </row>
    <row r="22" spans="1:17" ht="15" customHeight="1" x14ac:dyDescent="0.3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3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3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35">
      <c r="A25" s="83"/>
      <c r="B25" s="83"/>
      <c r="C25" s="90"/>
      <c r="D25" s="83"/>
      <c r="E25" s="90"/>
      <c r="F25" s="83"/>
      <c r="G25" s="83"/>
      <c r="H25" s="83"/>
      <c r="I25" s="83"/>
      <c r="J25" s="83"/>
      <c r="K25" s="90"/>
      <c r="L25" s="83"/>
      <c r="M25" s="90"/>
      <c r="N25" s="83"/>
      <c r="O25" s="83"/>
      <c r="P25" s="83"/>
      <c r="Q25" s="75"/>
    </row>
    <row r="26" spans="1:17" ht="15" customHeight="1" x14ac:dyDescent="0.3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5">
      <c r="A27" s="75"/>
      <c r="B27" s="92"/>
      <c r="C27" s="76"/>
      <c r="D27" s="92"/>
      <c r="E27" s="76"/>
      <c r="F27" s="92"/>
      <c r="G27" s="92"/>
      <c r="H27" s="92"/>
      <c r="I27" s="92"/>
      <c r="J27" s="92"/>
      <c r="K27" s="76"/>
      <c r="L27" s="92"/>
      <c r="M27" s="76"/>
      <c r="N27" s="92"/>
      <c r="O27" s="92"/>
      <c r="P27" s="92"/>
      <c r="Q27" s="75"/>
    </row>
    <row r="28" spans="1:17" x14ac:dyDescent="0.35">
      <c r="A28" s="75"/>
      <c r="B28" s="101" t="s">
        <v>161</v>
      </c>
      <c r="C28" s="101"/>
      <c r="D28" s="75"/>
      <c r="E28" s="76"/>
      <c r="F28" s="75"/>
      <c r="G28" s="75"/>
      <c r="H28" s="75"/>
      <c r="I28" s="75"/>
      <c r="J28" s="75"/>
      <c r="K28" s="76"/>
      <c r="L28" s="75"/>
      <c r="M28" s="76"/>
      <c r="N28" s="75"/>
      <c r="O28" s="75"/>
      <c r="P28" s="75"/>
      <c r="Q28" s="75"/>
    </row>
    <row r="29" spans="1:17" ht="6" customHeight="1" x14ac:dyDescent="0.35">
      <c r="A29" s="75"/>
      <c r="B29" s="75"/>
      <c r="C29" s="76"/>
      <c r="D29" s="75"/>
      <c r="E29" s="76"/>
      <c r="F29" s="75"/>
      <c r="G29" s="75"/>
      <c r="H29" s="75"/>
      <c r="I29" s="75"/>
      <c r="J29" s="75"/>
      <c r="K29" s="76"/>
      <c r="L29" s="75"/>
      <c r="M29" s="76"/>
      <c r="N29" s="75"/>
      <c r="O29" s="75"/>
      <c r="P29" s="75"/>
      <c r="Q29" s="75"/>
    </row>
    <row r="30" spans="1:17" ht="15" customHeight="1" x14ac:dyDescent="0.35">
      <c r="A30" s="75"/>
      <c r="B30" s="216" t="s">
        <v>142</v>
      </c>
      <c r="C30" s="216"/>
      <c r="D30" s="216"/>
      <c r="E30" s="216"/>
      <c r="F30" s="216"/>
      <c r="G30" s="216"/>
      <c r="H30" s="216"/>
      <c r="I30" s="216"/>
      <c r="J30" s="216"/>
      <c r="K30" s="216"/>
      <c r="L30" s="216"/>
      <c r="M30" s="76"/>
      <c r="N30" s="77" t="s">
        <v>143</v>
      </c>
      <c r="O30" s="78"/>
      <c r="P30" s="78"/>
      <c r="Q30" s="75"/>
    </row>
    <row r="31" spans="1:17" ht="15" customHeight="1" x14ac:dyDescent="0.3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3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3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35">
      <c r="A34" s="83"/>
      <c r="B34" s="83"/>
      <c r="C34" s="90"/>
      <c r="D34" s="83"/>
      <c r="E34" s="90"/>
      <c r="F34" s="83"/>
      <c r="G34" s="83"/>
      <c r="H34" s="83"/>
      <c r="I34" s="83"/>
      <c r="J34" s="83"/>
      <c r="K34" s="90"/>
      <c r="L34" s="83"/>
      <c r="M34" s="90"/>
      <c r="N34" s="83"/>
      <c r="O34" s="83"/>
      <c r="P34" s="83"/>
      <c r="Q34" s="75"/>
    </row>
    <row r="35" spans="1:17" ht="15" customHeight="1" x14ac:dyDescent="0.3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5">
      <c r="A36" s="75"/>
      <c r="B36" s="92"/>
      <c r="C36" s="76"/>
      <c r="D36" s="92"/>
      <c r="E36" s="76"/>
      <c r="F36" s="92"/>
      <c r="G36" s="92"/>
      <c r="H36" s="92"/>
      <c r="I36" s="92"/>
      <c r="J36" s="92"/>
      <c r="K36" s="76"/>
      <c r="L36" s="92"/>
      <c r="M36" s="76"/>
      <c r="N36" s="92"/>
      <c r="O36" s="92"/>
      <c r="P36" s="92"/>
      <c r="Q36" s="75"/>
    </row>
    <row r="37" spans="1:17" x14ac:dyDescent="0.35">
      <c r="A37" s="71" t="s">
        <v>150</v>
      </c>
      <c r="B37" s="72"/>
      <c r="C37" s="73"/>
      <c r="D37" s="72"/>
      <c r="E37" s="73"/>
      <c r="F37" s="72"/>
      <c r="G37" s="72"/>
      <c r="H37" s="72"/>
      <c r="I37" s="72"/>
      <c r="J37" s="72"/>
      <c r="K37" s="73"/>
      <c r="L37" s="72"/>
      <c r="M37" s="73"/>
      <c r="N37" s="72"/>
      <c r="O37" s="72"/>
      <c r="P37" s="72"/>
      <c r="Q37" s="72"/>
    </row>
    <row r="38" spans="1:17" ht="15" customHeight="1" x14ac:dyDescent="0.35">
      <c r="A38" s="75"/>
      <c r="B38" s="101" t="s">
        <v>159</v>
      </c>
      <c r="C38" s="101"/>
      <c r="D38" s="75"/>
      <c r="E38" s="76"/>
      <c r="F38" s="75"/>
      <c r="G38" s="75"/>
      <c r="H38" s="75"/>
      <c r="I38" s="75"/>
      <c r="J38" s="75"/>
      <c r="K38" s="76"/>
      <c r="L38" s="75"/>
      <c r="M38" s="76"/>
      <c r="N38" s="75"/>
      <c r="O38" s="75"/>
      <c r="P38" s="75"/>
      <c r="Q38" s="75"/>
    </row>
    <row r="39" spans="1:17" ht="6" customHeight="1" x14ac:dyDescent="0.35">
      <c r="A39" s="75"/>
      <c r="B39" s="75"/>
      <c r="C39" s="76"/>
      <c r="D39" s="75"/>
      <c r="E39" s="76"/>
      <c r="F39" s="75"/>
      <c r="G39" s="75"/>
      <c r="H39" s="75"/>
      <c r="I39" s="75"/>
      <c r="J39" s="75"/>
      <c r="K39" s="76"/>
      <c r="L39" s="75"/>
      <c r="M39" s="76"/>
      <c r="N39" s="75"/>
      <c r="O39" s="75"/>
      <c r="P39" s="75"/>
      <c r="Q39" s="75"/>
    </row>
    <row r="40" spans="1:17" ht="15" customHeight="1" x14ac:dyDescent="0.35">
      <c r="A40" s="75"/>
      <c r="B40" s="216" t="s">
        <v>142</v>
      </c>
      <c r="C40" s="216"/>
      <c r="D40" s="216"/>
      <c r="E40" s="101"/>
      <c r="F40" s="101"/>
      <c r="G40" s="101"/>
      <c r="H40" s="101"/>
      <c r="I40" s="101"/>
      <c r="J40" s="101"/>
      <c r="K40" s="101"/>
      <c r="L40" s="101"/>
      <c r="M40" s="76"/>
      <c r="N40" s="77" t="s">
        <v>143</v>
      </c>
      <c r="O40" s="78"/>
      <c r="P40" s="78"/>
      <c r="Q40" s="75"/>
    </row>
    <row r="41" spans="1:17" ht="15" customHeight="1" x14ac:dyDescent="0.3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35">
      <c r="A42" s="75"/>
      <c r="B42" s="84">
        <f>IF('LS-Fund 0001 Journal Entries'!$F$8="Governmental Fund",'LS-Fund 0001 Journal Entries'!$K$76,0)</f>
        <v>422552</v>
      </c>
      <c r="C42" s="92"/>
      <c r="E42" s="92"/>
      <c r="G42" s="115"/>
      <c r="H42" s="115"/>
      <c r="I42" s="115"/>
      <c r="J42" s="115"/>
      <c r="K42" s="92"/>
      <c r="L42" s="92"/>
      <c r="M42" s="93"/>
      <c r="N42" s="88">
        <f>'LS-Department Note Disclosure'!B13</f>
        <v>422552</v>
      </c>
      <c r="O42" s="94"/>
      <c r="P42" s="89">
        <f>B42-N42</f>
        <v>0</v>
      </c>
      <c r="Q42" s="75"/>
    </row>
    <row r="43" spans="1:17" ht="6" customHeight="1" x14ac:dyDescent="0.35">
      <c r="A43" s="75"/>
      <c r="B43" s="83"/>
      <c r="C43" s="90"/>
      <c r="D43" s="83"/>
      <c r="E43" s="90"/>
      <c r="F43" s="83"/>
      <c r="G43" s="83"/>
      <c r="H43" s="83"/>
      <c r="I43" s="83"/>
      <c r="J43" s="83"/>
      <c r="K43" s="90"/>
      <c r="L43" s="83"/>
      <c r="M43" s="90"/>
      <c r="N43" s="83"/>
      <c r="O43" s="83"/>
      <c r="P43" s="83"/>
      <c r="Q43" s="75"/>
    </row>
    <row r="44" spans="1:17" ht="17" x14ac:dyDescent="0.3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5">
      <c r="A45" s="75"/>
      <c r="B45" s="101" t="s">
        <v>160</v>
      </c>
      <c r="C45" s="101"/>
      <c r="D45" s="75"/>
      <c r="E45" s="76"/>
      <c r="F45" s="75"/>
      <c r="G45" s="75"/>
      <c r="H45" s="75"/>
      <c r="I45" s="75"/>
      <c r="J45" s="75"/>
      <c r="K45" s="76"/>
      <c r="L45" s="75"/>
      <c r="M45" s="76"/>
      <c r="N45" s="75"/>
      <c r="O45" s="75"/>
      <c r="P45" s="75"/>
      <c r="Q45" s="75"/>
    </row>
    <row r="46" spans="1:17" ht="6" customHeight="1" x14ac:dyDescent="0.35">
      <c r="A46" s="75"/>
      <c r="B46" s="75"/>
      <c r="C46" s="76"/>
      <c r="D46" s="75"/>
      <c r="E46" s="76"/>
      <c r="F46" s="75"/>
      <c r="G46" s="75"/>
      <c r="H46" s="75"/>
      <c r="I46" s="75"/>
      <c r="J46" s="75"/>
      <c r="K46" s="76"/>
      <c r="L46" s="75"/>
      <c r="M46" s="76"/>
      <c r="N46" s="75"/>
      <c r="O46" s="75"/>
      <c r="P46" s="75"/>
      <c r="Q46" s="75"/>
    </row>
    <row r="47" spans="1:17" ht="15" customHeight="1" x14ac:dyDescent="0.35">
      <c r="A47" s="75"/>
      <c r="B47" s="216" t="s">
        <v>142</v>
      </c>
      <c r="C47" s="216"/>
      <c r="D47" s="216"/>
      <c r="E47" s="101"/>
      <c r="F47" s="101"/>
      <c r="G47" s="101"/>
      <c r="H47" s="101"/>
      <c r="I47" s="101"/>
      <c r="J47" s="101"/>
      <c r="K47" s="101"/>
      <c r="L47" s="101"/>
      <c r="M47" s="76"/>
      <c r="N47" s="77" t="s">
        <v>143</v>
      </c>
      <c r="O47" s="78"/>
      <c r="P47" s="78"/>
      <c r="Q47" s="75"/>
    </row>
    <row r="48" spans="1:17" ht="15" customHeight="1" x14ac:dyDescent="0.3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3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5">
      <c r="A50" s="75"/>
      <c r="B50" s="83"/>
      <c r="C50" s="90"/>
      <c r="D50" s="83"/>
      <c r="E50" s="90"/>
      <c r="F50" s="83"/>
      <c r="G50" s="83"/>
      <c r="H50" s="83"/>
      <c r="I50" s="83"/>
      <c r="J50" s="83"/>
      <c r="K50" s="90"/>
      <c r="L50" s="83"/>
      <c r="M50" s="90"/>
      <c r="N50" s="83"/>
      <c r="O50" s="83"/>
      <c r="P50" s="83"/>
      <c r="Q50" s="75"/>
    </row>
    <row r="51" spans="1:17" ht="17" x14ac:dyDescent="0.3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5">
      <c r="A52" s="75"/>
      <c r="B52" s="92"/>
      <c r="C52" s="76"/>
      <c r="D52" s="92"/>
      <c r="E52" s="76"/>
      <c r="F52" s="92"/>
      <c r="G52" s="92"/>
      <c r="H52" s="92"/>
      <c r="I52" s="92"/>
      <c r="J52" s="92"/>
      <c r="K52" s="76"/>
      <c r="L52" s="92"/>
      <c r="M52" s="76"/>
      <c r="N52" s="92"/>
      <c r="O52" s="92"/>
      <c r="P52" s="92"/>
      <c r="Q52" s="75"/>
    </row>
    <row r="53" spans="1:17" x14ac:dyDescent="0.35">
      <c r="A53" s="75"/>
      <c r="B53" s="101" t="s">
        <v>161</v>
      </c>
      <c r="C53" s="101"/>
      <c r="D53" s="75"/>
      <c r="E53" s="76"/>
      <c r="F53" s="75"/>
      <c r="G53" s="75"/>
      <c r="H53" s="75"/>
      <c r="I53" s="75"/>
      <c r="J53" s="75"/>
      <c r="K53" s="76"/>
      <c r="L53" s="75"/>
      <c r="M53" s="76"/>
      <c r="N53" s="75"/>
      <c r="O53" s="75"/>
      <c r="P53" s="75"/>
      <c r="Q53" s="75"/>
    </row>
    <row r="54" spans="1:17" ht="6" customHeight="1" x14ac:dyDescent="0.35">
      <c r="A54" s="75"/>
      <c r="B54" s="75"/>
      <c r="C54" s="76"/>
      <c r="D54" s="75"/>
      <c r="E54" s="76"/>
      <c r="F54" s="75"/>
      <c r="G54" s="75"/>
      <c r="H54" s="75"/>
      <c r="I54" s="75"/>
      <c r="J54" s="75"/>
      <c r="K54" s="76"/>
      <c r="L54" s="75"/>
      <c r="M54" s="76"/>
      <c r="N54" s="75"/>
      <c r="O54" s="75"/>
      <c r="P54" s="75"/>
      <c r="Q54" s="75"/>
    </row>
    <row r="55" spans="1:17" ht="15" customHeight="1" x14ac:dyDescent="0.35">
      <c r="A55" s="75"/>
      <c r="B55" s="216" t="s">
        <v>142</v>
      </c>
      <c r="C55" s="216"/>
      <c r="D55" s="216"/>
      <c r="E55" s="101"/>
      <c r="F55" s="101"/>
      <c r="G55" s="101"/>
      <c r="H55" s="101"/>
      <c r="I55" s="101"/>
      <c r="J55" s="101"/>
      <c r="K55" s="101"/>
      <c r="L55" s="101"/>
      <c r="M55" s="76"/>
      <c r="N55" s="77" t="s">
        <v>143</v>
      </c>
      <c r="O55" s="78"/>
      <c r="P55" s="78"/>
      <c r="Q55" s="75"/>
    </row>
    <row r="56" spans="1:17" ht="15" customHeight="1" x14ac:dyDescent="0.3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3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5">
      <c r="A58" s="75"/>
      <c r="B58" s="83"/>
      <c r="C58" s="90"/>
      <c r="D58" s="83"/>
      <c r="E58" s="90"/>
      <c r="F58" s="83"/>
      <c r="G58" s="83"/>
      <c r="H58" s="83"/>
      <c r="I58" s="83"/>
      <c r="J58" s="83"/>
      <c r="K58" s="90"/>
      <c r="L58" s="83"/>
      <c r="M58" s="90"/>
      <c r="N58" s="83"/>
      <c r="O58" s="83"/>
      <c r="P58" s="83"/>
      <c r="Q58" s="75"/>
    </row>
    <row r="59" spans="1:17" ht="17" x14ac:dyDescent="0.3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5">
      <c r="A60" s="75"/>
      <c r="B60" s="92"/>
      <c r="C60" s="76"/>
      <c r="D60" s="92"/>
      <c r="E60" s="76"/>
      <c r="F60" s="92"/>
      <c r="G60" s="92"/>
      <c r="H60" s="92"/>
      <c r="I60" s="92"/>
      <c r="J60" s="92"/>
      <c r="K60" s="76"/>
      <c r="L60" s="92"/>
      <c r="M60" s="76"/>
      <c r="N60" s="92"/>
      <c r="O60" s="92"/>
      <c r="P60" s="92"/>
      <c r="Q60" s="75"/>
    </row>
    <row r="61" spans="1:17" x14ac:dyDescent="0.35">
      <c r="A61" s="71" t="s">
        <v>158</v>
      </c>
      <c r="B61" s="72"/>
      <c r="C61" s="73"/>
      <c r="D61" s="72"/>
      <c r="E61" s="73"/>
      <c r="F61" s="72"/>
      <c r="G61" s="72"/>
      <c r="H61" s="72"/>
      <c r="I61" s="72"/>
      <c r="J61" s="72"/>
      <c r="K61" s="73"/>
      <c r="L61" s="72"/>
      <c r="M61" s="73"/>
      <c r="N61" s="72"/>
      <c r="O61" s="72"/>
      <c r="P61" s="72"/>
      <c r="Q61" s="72"/>
    </row>
    <row r="62" spans="1:17" ht="15" customHeight="1" x14ac:dyDescent="0.35">
      <c r="A62" s="75"/>
      <c r="B62" s="101" t="s">
        <v>159</v>
      </c>
      <c r="C62" s="101"/>
      <c r="D62" s="78"/>
      <c r="E62" s="78"/>
      <c r="F62" s="78"/>
      <c r="G62" s="78"/>
      <c r="H62" s="78"/>
      <c r="I62" s="78"/>
      <c r="J62" s="78"/>
      <c r="K62" s="78"/>
      <c r="L62" s="78"/>
      <c r="M62" s="78"/>
      <c r="N62" s="78"/>
      <c r="O62" s="78"/>
      <c r="P62" s="78"/>
      <c r="Q62" s="75"/>
    </row>
    <row r="63" spans="1:17" x14ac:dyDescent="0.35">
      <c r="A63" s="75"/>
      <c r="B63" s="95"/>
      <c r="C63" s="95"/>
      <c r="D63" s="95"/>
      <c r="E63" s="95"/>
      <c r="F63" s="95"/>
      <c r="G63" s="95"/>
      <c r="H63" s="95"/>
      <c r="I63" s="95"/>
      <c r="J63" s="95"/>
      <c r="K63" s="95"/>
      <c r="L63" s="95"/>
      <c r="M63" s="95"/>
      <c r="N63" s="95"/>
      <c r="O63" s="95"/>
      <c r="P63" s="95"/>
      <c r="Q63" s="75"/>
    </row>
    <row r="64" spans="1:17" ht="15" customHeight="1" x14ac:dyDescent="0.35">
      <c r="A64" s="75"/>
      <c r="B64" s="217" t="s">
        <v>142</v>
      </c>
      <c r="C64" s="217"/>
      <c r="D64" s="217"/>
      <c r="E64" s="217"/>
      <c r="F64" s="217"/>
      <c r="G64" s="217"/>
      <c r="H64" s="217"/>
      <c r="I64" s="95"/>
      <c r="J64" s="77" t="s">
        <v>1627</v>
      </c>
      <c r="K64" s="95"/>
      <c r="L64" s="217" t="s">
        <v>11</v>
      </c>
      <c r="M64" s="217"/>
      <c r="N64" s="217"/>
      <c r="O64" s="95"/>
      <c r="P64" s="95"/>
      <c r="Q64" s="75"/>
    </row>
    <row r="65" spans="1:17" x14ac:dyDescent="0.35">
      <c r="A65" s="75"/>
      <c r="B65" s="75"/>
      <c r="C65" s="75"/>
      <c r="D65" s="75"/>
      <c r="E65" s="75"/>
      <c r="F65" s="75"/>
      <c r="G65" s="75"/>
      <c r="H65" s="75"/>
      <c r="I65" s="75"/>
      <c r="J65" s="75"/>
      <c r="K65" s="75"/>
      <c r="L65" s="75"/>
      <c r="M65" s="75"/>
      <c r="N65" s="75"/>
      <c r="O65" s="75"/>
      <c r="P65" s="82" t="s">
        <v>148</v>
      </c>
      <c r="Q65" s="75"/>
    </row>
    <row r="66" spans="1:17" x14ac:dyDescent="0.35">
      <c r="B66" s="79" t="s">
        <v>144</v>
      </c>
      <c r="D66" s="97">
        <f>$B$16</f>
        <v>1887310</v>
      </c>
      <c r="J66" s="97">
        <f>SUM(D66)</f>
        <v>1887310</v>
      </c>
      <c r="L66" s="98" t="str">
        <f>CONCATENATE("Balance July 1, ",LEFT('LS-Department Note Disclosure'!$B$8,4))</f>
        <v>Balance July 1, 2023</v>
      </c>
      <c r="N66" s="97">
        <f>'LS-Lease Liabilities'!F10</f>
        <v>1887310</v>
      </c>
      <c r="P66" s="89">
        <f>J66-N66</f>
        <v>0</v>
      </c>
    </row>
    <row r="67" spans="1:17" x14ac:dyDescent="0.3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35">
      <c r="B68" s="79" t="s">
        <v>151</v>
      </c>
      <c r="D68" s="97">
        <f>$F$16</f>
        <v>404120</v>
      </c>
      <c r="E68" s="119" t="s">
        <v>145</v>
      </c>
      <c r="F68" s="79" t="s">
        <v>1678</v>
      </c>
      <c r="H68" s="97">
        <f>$H$16</f>
        <v>0</v>
      </c>
      <c r="J68" s="97">
        <f>SUM(D68,H68)</f>
        <v>404120</v>
      </c>
      <c r="L68" s="98" t="s">
        <v>13</v>
      </c>
      <c r="N68" s="97">
        <f>'LS-Lease Liabilities'!J10</f>
        <v>404120</v>
      </c>
      <c r="P68" s="89">
        <f t="shared" si="0"/>
        <v>0</v>
      </c>
    </row>
    <row r="69" spans="1:17" x14ac:dyDescent="0.35">
      <c r="B69" s="79" t="s">
        <v>155</v>
      </c>
      <c r="D69" s="97">
        <f>$B$42</f>
        <v>422552</v>
      </c>
      <c r="J69" s="97">
        <f>SUM(D69)</f>
        <v>422552</v>
      </c>
      <c r="L69" s="98" t="s">
        <v>14</v>
      </c>
      <c r="N69" s="97">
        <f>'LS-Lease Liabilities'!N10</f>
        <v>422552</v>
      </c>
      <c r="P69" s="89">
        <f t="shared" si="0"/>
        <v>0</v>
      </c>
    </row>
    <row r="70" spans="1:17" x14ac:dyDescent="0.35">
      <c r="D70" s="99"/>
    </row>
    <row r="71" spans="1:17" ht="16" customHeight="1" x14ac:dyDescent="0.35">
      <c r="D71" s="91" t="str">
        <f>IF(OR(P66&gt;0, (P66&lt;0),P67&gt;0,P67&lt;0,P68&gt;0,P68&lt;0,P69&gt;0,P69&lt;0), "Please review and correct the variance.","")</f>
        <v/>
      </c>
    </row>
    <row r="72" spans="1:17" ht="6" customHeight="1" x14ac:dyDescent="0.35">
      <c r="D72" s="99"/>
    </row>
    <row r="73" spans="1:17" x14ac:dyDescent="0.35">
      <c r="B73" s="100" t="s">
        <v>160</v>
      </c>
      <c r="C73" s="100"/>
    </row>
    <row r="74" spans="1:17" x14ac:dyDescent="0.35">
      <c r="B74" s="100"/>
    </row>
    <row r="75" spans="1:17" ht="15" customHeight="1" x14ac:dyDescent="0.35">
      <c r="B75" s="217" t="s">
        <v>142</v>
      </c>
      <c r="C75" s="217"/>
      <c r="D75" s="217"/>
      <c r="E75" s="217"/>
      <c r="F75" s="217"/>
      <c r="G75" s="217"/>
      <c r="H75" s="217"/>
      <c r="I75" s="95"/>
      <c r="J75" s="77" t="s">
        <v>1627</v>
      </c>
      <c r="K75" s="95"/>
      <c r="L75" s="217" t="s">
        <v>11</v>
      </c>
      <c r="M75" s="217"/>
      <c r="N75" s="217"/>
    </row>
    <row r="76" spans="1:17" x14ac:dyDescent="0.35">
      <c r="L76" s="75"/>
      <c r="M76" s="75"/>
      <c r="N76" s="75"/>
      <c r="O76" s="75"/>
      <c r="P76" s="82" t="s">
        <v>148</v>
      </c>
    </row>
    <row r="77" spans="1:17" x14ac:dyDescent="0.3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3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35">
      <c r="B79" s="79" t="s">
        <v>151</v>
      </c>
      <c r="D79" s="97">
        <f>F24</f>
        <v>0</v>
      </c>
      <c r="E79" s="119" t="s">
        <v>145</v>
      </c>
      <c r="F79" s="79" t="s">
        <v>1678</v>
      </c>
      <c r="H79" s="97">
        <f>$H$24</f>
        <v>0</v>
      </c>
      <c r="J79" s="97">
        <f>SUM(D79,H79)</f>
        <v>0</v>
      </c>
      <c r="L79" s="98" t="s">
        <v>13</v>
      </c>
      <c r="N79" s="97">
        <f>'LS-Lease Liabilities'!J14</f>
        <v>0</v>
      </c>
      <c r="P79" s="89">
        <f t="shared" si="1"/>
        <v>0</v>
      </c>
    </row>
    <row r="80" spans="1:17" x14ac:dyDescent="0.35">
      <c r="B80" s="79" t="s">
        <v>155</v>
      </c>
      <c r="D80" s="97">
        <f>B49</f>
        <v>0</v>
      </c>
      <c r="J80" s="97">
        <f>SUM(D80)</f>
        <v>0</v>
      </c>
      <c r="L80" s="98" t="s">
        <v>14</v>
      </c>
      <c r="N80" s="97">
        <f>'LS-Lease Liabilities'!N14</f>
        <v>0</v>
      </c>
      <c r="P80" s="89">
        <f t="shared" si="1"/>
        <v>0</v>
      </c>
    </row>
    <row r="81" spans="2:16" x14ac:dyDescent="0.35"/>
    <row r="82" spans="2:16" x14ac:dyDescent="0.35"/>
    <row r="83" spans="2:16" ht="4.9000000000000004" customHeight="1" x14ac:dyDescent="0.35"/>
    <row r="84" spans="2:16" x14ac:dyDescent="0.35">
      <c r="B84" s="100" t="s">
        <v>161</v>
      </c>
      <c r="C84" s="100"/>
    </row>
    <row r="85" spans="2:16" x14ac:dyDescent="0.35">
      <c r="B85" s="100"/>
    </row>
    <row r="86" spans="2:16" ht="15" customHeight="1" x14ac:dyDescent="0.35">
      <c r="B86" s="217" t="s">
        <v>142</v>
      </c>
      <c r="C86" s="217"/>
      <c r="D86" s="217"/>
      <c r="E86" s="217"/>
      <c r="F86" s="217"/>
      <c r="G86" s="217"/>
      <c r="H86" s="217"/>
      <c r="I86" s="95"/>
      <c r="J86" s="77" t="s">
        <v>1627</v>
      </c>
      <c r="K86" s="95"/>
      <c r="L86" s="217" t="s">
        <v>11</v>
      </c>
      <c r="M86" s="217"/>
      <c r="N86" s="217"/>
    </row>
    <row r="87" spans="2:16" x14ac:dyDescent="0.35">
      <c r="L87" s="75"/>
      <c r="M87" s="75"/>
      <c r="N87" s="75"/>
      <c r="O87" s="75"/>
      <c r="P87" s="82" t="s">
        <v>148</v>
      </c>
    </row>
    <row r="88" spans="2:16" x14ac:dyDescent="0.3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3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35">
      <c r="B90" s="79" t="s">
        <v>151</v>
      </c>
      <c r="D90" s="97">
        <f>F33</f>
        <v>0</v>
      </c>
      <c r="E90" s="119" t="s">
        <v>145</v>
      </c>
      <c r="F90" s="79" t="s">
        <v>1678</v>
      </c>
      <c r="H90" s="97">
        <f>$H$33</f>
        <v>0</v>
      </c>
      <c r="J90" s="97">
        <f>SUM(D90,H90)</f>
        <v>0</v>
      </c>
      <c r="L90" s="98" t="s">
        <v>13</v>
      </c>
      <c r="N90" s="97">
        <f>'LS-Lease Liabilities'!J18</f>
        <v>0</v>
      </c>
      <c r="P90" s="89">
        <f t="shared" si="2"/>
        <v>0</v>
      </c>
    </row>
    <row r="91" spans="2:16" x14ac:dyDescent="0.35">
      <c r="B91" s="79" t="s">
        <v>155</v>
      </c>
      <c r="D91" s="97">
        <f>B57</f>
        <v>0</v>
      </c>
      <c r="J91" s="97">
        <f>SUM(D91)</f>
        <v>0</v>
      </c>
      <c r="L91" s="98" t="s">
        <v>14</v>
      </c>
      <c r="N91" s="97">
        <f>'LS-Lease Liabilities'!N18</f>
        <v>0</v>
      </c>
      <c r="P91" s="89">
        <f t="shared" si="2"/>
        <v>0</v>
      </c>
    </row>
    <row r="92" spans="2:16" x14ac:dyDescent="0.35"/>
    <row r="93" spans="2:16" ht="17" x14ac:dyDescent="0.35">
      <c r="D93" s="91" t="str">
        <f>IF(OR(P88&gt;0, (P88&lt;0),P89&gt;0,P89&lt;0,P90&gt;0,P90&lt;0,P91&gt;0,P91&lt;0), "Please review and correct the variance.","")</f>
        <v/>
      </c>
    </row>
    <row r="94" spans="2:16" x14ac:dyDescent="0.35"/>
    <row r="95" spans="2:16" x14ac:dyDescent="0.35"/>
    <row r="96" spans="2:1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row r="163" x14ac:dyDescent="0.35"/>
    <row r="164" x14ac:dyDescent="0.35"/>
    <row r="165" x14ac:dyDescent="0.35"/>
    <row r="166" x14ac:dyDescent="0.35"/>
    <row r="167" x14ac:dyDescent="0.35"/>
    <row r="168" x14ac:dyDescent="0.35"/>
    <row r="169" x14ac:dyDescent="0.35"/>
    <row r="170" x14ac:dyDescent="0.35"/>
    <row r="171" x14ac:dyDescent="0.35"/>
    <row r="172" x14ac:dyDescent="0.35"/>
    <row r="173" x14ac:dyDescent="0.35"/>
    <row r="174" x14ac:dyDescent="0.35"/>
    <row r="175" x14ac:dyDescent="0.35"/>
    <row r="176" x14ac:dyDescent="0.35"/>
    <row r="177" x14ac:dyDescent="0.35"/>
    <row r="178" x14ac:dyDescent="0.35"/>
    <row r="179" x14ac:dyDescent="0.35"/>
    <row r="180" x14ac:dyDescent="0.35"/>
    <row r="181" x14ac:dyDescent="0.35"/>
    <row r="182" x14ac:dyDescent="0.35"/>
    <row r="183" x14ac:dyDescent="0.35"/>
    <row r="184" x14ac:dyDescent="0.35"/>
    <row r="185" x14ac:dyDescent="0.35"/>
    <row r="186" x14ac:dyDescent="0.35"/>
    <row r="187" x14ac:dyDescent="0.35"/>
    <row r="188" x14ac:dyDescent="0.35"/>
    <row r="189" x14ac:dyDescent="0.35"/>
    <row r="190" x14ac:dyDescent="0.35"/>
    <row r="191" x14ac:dyDescent="0.35"/>
    <row r="192" x14ac:dyDescent="0.35"/>
    <row r="193" x14ac:dyDescent="0.35"/>
    <row r="194" x14ac:dyDescent="0.35"/>
    <row r="195" x14ac:dyDescent="0.35"/>
    <row r="196" x14ac:dyDescent="0.35"/>
    <row r="197" x14ac:dyDescent="0.35"/>
    <row r="198" x14ac:dyDescent="0.35"/>
    <row r="199" x14ac:dyDescent="0.35"/>
    <row r="200" x14ac:dyDescent="0.35"/>
    <row r="201" x14ac:dyDescent="0.35"/>
    <row r="202" x14ac:dyDescent="0.35"/>
    <row r="203" x14ac:dyDescent="0.35"/>
    <row r="204" x14ac:dyDescent="0.35"/>
    <row r="205" x14ac:dyDescent="0.35"/>
    <row r="206" x14ac:dyDescent="0.35"/>
    <row r="207" x14ac:dyDescent="0.35"/>
    <row r="208" x14ac:dyDescent="0.35"/>
    <row r="209" x14ac:dyDescent="0.35"/>
    <row r="210" x14ac:dyDescent="0.35"/>
    <row r="211" x14ac:dyDescent="0.35"/>
    <row r="212" x14ac:dyDescent="0.35"/>
    <row r="213" x14ac:dyDescent="0.35"/>
    <row r="214" x14ac:dyDescent="0.35"/>
    <row r="215" x14ac:dyDescent="0.35"/>
    <row r="216" x14ac:dyDescent="0.35"/>
    <row r="217" x14ac:dyDescent="0.35"/>
    <row r="218" x14ac:dyDescent="0.35"/>
    <row r="219" x14ac:dyDescent="0.35"/>
    <row r="220" x14ac:dyDescent="0.35"/>
    <row r="221" x14ac:dyDescent="0.35"/>
    <row r="222" x14ac:dyDescent="0.35"/>
    <row r="223" x14ac:dyDescent="0.35"/>
    <row r="224" x14ac:dyDescent="0.35"/>
    <row r="225" x14ac:dyDescent="0.35"/>
    <row r="226" x14ac:dyDescent="0.35"/>
    <row r="227" x14ac:dyDescent="0.35"/>
    <row r="228" x14ac:dyDescent="0.35"/>
    <row r="229" x14ac:dyDescent="0.35"/>
    <row r="230" x14ac:dyDescent="0.35"/>
    <row r="231" x14ac:dyDescent="0.35"/>
    <row r="232" x14ac:dyDescent="0.35"/>
    <row r="233" x14ac:dyDescent="0.35"/>
    <row r="234" x14ac:dyDescent="0.35"/>
    <row r="235" x14ac:dyDescent="0.35"/>
    <row r="236" x14ac:dyDescent="0.35"/>
    <row r="237" x14ac:dyDescent="0.35"/>
    <row r="238" x14ac:dyDescent="0.35"/>
    <row r="239" x14ac:dyDescent="0.35"/>
    <row r="240" x14ac:dyDescent="0.35"/>
    <row r="241" x14ac:dyDescent="0.35"/>
    <row r="242" x14ac:dyDescent="0.35"/>
    <row r="243" x14ac:dyDescent="0.35"/>
    <row r="244" x14ac:dyDescent="0.35"/>
    <row r="245" x14ac:dyDescent="0.35"/>
    <row r="246" x14ac:dyDescent="0.35"/>
    <row r="247" x14ac:dyDescent="0.35"/>
    <row r="248" x14ac:dyDescent="0.35"/>
    <row r="249" x14ac:dyDescent="0.35"/>
    <row r="250" x14ac:dyDescent="0.35"/>
    <row r="251" x14ac:dyDescent="0.35"/>
    <row r="252" x14ac:dyDescent="0.35"/>
    <row r="253" x14ac:dyDescent="0.35"/>
    <row r="254" x14ac:dyDescent="0.35"/>
    <row r="255" x14ac:dyDescent="0.35"/>
    <row r="256" x14ac:dyDescent="0.35"/>
    <row r="257" x14ac:dyDescent="0.35"/>
    <row r="258" x14ac:dyDescent="0.35"/>
    <row r="259" x14ac:dyDescent="0.35"/>
    <row r="260" x14ac:dyDescent="0.35"/>
    <row r="261" x14ac:dyDescent="0.35"/>
    <row r="262" x14ac:dyDescent="0.35"/>
    <row r="263" x14ac:dyDescent="0.35"/>
    <row r="264" x14ac:dyDescent="0.35"/>
    <row r="265" x14ac:dyDescent="0.35"/>
    <row r="266" x14ac:dyDescent="0.35"/>
    <row r="267" x14ac:dyDescent="0.35"/>
    <row r="268" x14ac:dyDescent="0.35"/>
    <row r="269" x14ac:dyDescent="0.35"/>
    <row r="270" x14ac:dyDescent="0.35"/>
    <row r="271" x14ac:dyDescent="0.35"/>
    <row r="272" x14ac:dyDescent="0.35"/>
    <row r="273" x14ac:dyDescent="0.35"/>
    <row r="274" x14ac:dyDescent="0.35"/>
    <row r="275" x14ac:dyDescent="0.35"/>
    <row r="276" x14ac:dyDescent="0.35"/>
    <row r="277" x14ac:dyDescent="0.35"/>
    <row r="278" x14ac:dyDescent="0.35"/>
    <row r="279" x14ac:dyDescent="0.35"/>
    <row r="280" x14ac:dyDescent="0.35"/>
    <row r="281" x14ac:dyDescent="0.35"/>
    <row r="282" x14ac:dyDescent="0.35"/>
    <row r="283" x14ac:dyDescent="0.35"/>
    <row r="284" x14ac:dyDescent="0.35"/>
    <row r="285" x14ac:dyDescent="0.35"/>
    <row r="286" x14ac:dyDescent="0.35"/>
    <row r="287" x14ac:dyDescent="0.35"/>
    <row r="288" x14ac:dyDescent="0.35"/>
    <row r="289" x14ac:dyDescent="0.35"/>
    <row r="290" x14ac:dyDescent="0.35"/>
    <row r="291" x14ac:dyDescent="0.35"/>
    <row r="292" x14ac:dyDescent="0.35"/>
    <row r="293" x14ac:dyDescent="0.35"/>
    <row r="294" x14ac:dyDescent="0.35"/>
    <row r="295" x14ac:dyDescent="0.35"/>
    <row r="296" x14ac:dyDescent="0.35"/>
    <row r="297" x14ac:dyDescent="0.35"/>
    <row r="298" x14ac:dyDescent="0.35"/>
    <row r="299" x14ac:dyDescent="0.35"/>
    <row r="300" x14ac:dyDescent="0.35"/>
    <row r="301" x14ac:dyDescent="0.35"/>
    <row r="302" x14ac:dyDescent="0.35"/>
    <row r="303" x14ac:dyDescent="0.35"/>
    <row r="304" x14ac:dyDescent="0.35"/>
    <row r="305" x14ac:dyDescent="0.35"/>
    <row r="306" x14ac:dyDescent="0.35"/>
    <row r="307" x14ac:dyDescent="0.35"/>
    <row r="308" x14ac:dyDescent="0.35"/>
    <row r="309" x14ac:dyDescent="0.35"/>
    <row r="310" x14ac:dyDescent="0.35"/>
    <row r="311" x14ac:dyDescent="0.35"/>
    <row r="312" x14ac:dyDescent="0.35"/>
    <row r="313" x14ac:dyDescent="0.35"/>
    <row r="314" x14ac:dyDescent="0.35"/>
    <row r="315" x14ac:dyDescent="0.35"/>
    <row r="316" x14ac:dyDescent="0.35"/>
    <row r="317" x14ac:dyDescent="0.35"/>
    <row r="318" x14ac:dyDescent="0.35"/>
    <row r="319" x14ac:dyDescent="0.35"/>
    <row r="320" x14ac:dyDescent="0.35"/>
    <row r="321" x14ac:dyDescent="0.35"/>
    <row r="322" x14ac:dyDescent="0.35"/>
    <row r="323" x14ac:dyDescent="0.35"/>
    <row r="324" x14ac:dyDescent="0.35"/>
    <row r="325" x14ac:dyDescent="0.35"/>
    <row r="326" x14ac:dyDescent="0.35"/>
    <row r="327" x14ac:dyDescent="0.35"/>
    <row r="328" x14ac:dyDescent="0.35"/>
    <row r="329" x14ac:dyDescent="0.35"/>
    <row r="330" x14ac:dyDescent="0.35"/>
    <row r="331" x14ac:dyDescent="0.35"/>
    <row r="332" x14ac:dyDescent="0.35"/>
    <row r="333" x14ac:dyDescent="0.35"/>
    <row r="334" x14ac:dyDescent="0.35"/>
    <row r="335" x14ac:dyDescent="0.35"/>
    <row r="336" x14ac:dyDescent="0.35"/>
    <row r="337" x14ac:dyDescent="0.35"/>
    <row r="338" x14ac:dyDescent="0.35"/>
    <row r="339" x14ac:dyDescent="0.35"/>
    <row r="340" x14ac:dyDescent="0.35"/>
    <row r="341" x14ac:dyDescent="0.35"/>
    <row r="342" x14ac:dyDescent="0.35"/>
    <row r="343" x14ac:dyDescent="0.35"/>
    <row r="344" x14ac:dyDescent="0.35"/>
    <row r="345" x14ac:dyDescent="0.35"/>
    <row r="346" x14ac:dyDescent="0.35"/>
    <row r="347" x14ac:dyDescent="0.35"/>
    <row r="348" x14ac:dyDescent="0.35"/>
    <row r="349" x14ac:dyDescent="0.35"/>
    <row r="350" x14ac:dyDescent="0.35"/>
    <row r="351" x14ac:dyDescent="0.35"/>
    <row r="352" x14ac:dyDescent="0.35"/>
    <row r="353" x14ac:dyDescent="0.35"/>
    <row r="354" x14ac:dyDescent="0.35"/>
    <row r="355" x14ac:dyDescent="0.35"/>
    <row r="356" x14ac:dyDescent="0.35"/>
    <row r="357" x14ac:dyDescent="0.35"/>
    <row r="358" x14ac:dyDescent="0.35"/>
    <row r="359" x14ac:dyDescent="0.35"/>
    <row r="360" x14ac:dyDescent="0.35"/>
    <row r="361" x14ac:dyDescent="0.35"/>
    <row r="362" x14ac:dyDescent="0.35"/>
    <row r="363" x14ac:dyDescent="0.35"/>
    <row r="364" x14ac:dyDescent="0.35"/>
    <row r="365" x14ac:dyDescent="0.35"/>
    <row r="366" x14ac:dyDescent="0.35"/>
    <row r="367" x14ac:dyDescent="0.35"/>
    <row r="368" x14ac:dyDescent="0.35"/>
    <row r="369" x14ac:dyDescent="0.35"/>
    <row r="370" x14ac:dyDescent="0.35"/>
    <row r="371" x14ac:dyDescent="0.35"/>
    <row r="372" x14ac:dyDescent="0.35"/>
    <row r="373" x14ac:dyDescent="0.35"/>
    <row r="374" x14ac:dyDescent="0.35"/>
    <row r="375" x14ac:dyDescent="0.35"/>
    <row r="376" x14ac:dyDescent="0.35"/>
    <row r="377" x14ac:dyDescent="0.35"/>
    <row r="378" x14ac:dyDescent="0.35"/>
    <row r="379" x14ac:dyDescent="0.35"/>
    <row r="380" x14ac:dyDescent="0.35"/>
    <row r="381" x14ac:dyDescent="0.35"/>
    <row r="382" x14ac:dyDescent="0.35"/>
    <row r="383" x14ac:dyDescent="0.35"/>
    <row r="384" x14ac:dyDescent="0.35"/>
    <row r="385" x14ac:dyDescent="0.35"/>
    <row r="386" x14ac:dyDescent="0.35"/>
    <row r="387" x14ac:dyDescent="0.35"/>
    <row r="388" x14ac:dyDescent="0.35"/>
    <row r="389" x14ac:dyDescent="0.35"/>
    <row r="390" x14ac:dyDescent="0.35"/>
    <row r="391" x14ac:dyDescent="0.35"/>
    <row r="392" x14ac:dyDescent="0.35"/>
    <row r="393" x14ac:dyDescent="0.35"/>
    <row r="394" x14ac:dyDescent="0.35"/>
    <row r="395" x14ac:dyDescent="0.35"/>
    <row r="396" x14ac:dyDescent="0.35"/>
    <row r="397" x14ac:dyDescent="0.35"/>
    <row r="398" x14ac:dyDescent="0.35"/>
    <row r="399" x14ac:dyDescent="0.35"/>
    <row r="400" x14ac:dyDescent="0.35"/>
    <row r="401" x14ac:dyDescent="0.35"/>
    <row r="402" x14ac:dyDescent="0.35"/>
    <row r="403" x14ac:dyDescent="0.35"/>
    <row r="404" x14ac:dyDescent="0.35"/>
    <row r="405" x14ac:dyDescent="0.35"/>
    <row r="406" x14ac:dyDescent="0.35"/>
    <row r="407" x14ac:dyDescent="0.35"/>
    <row r="408" x14ac:dyDescent="0.35"/>
    <row r="409" x14ac:dyDescent="0.35"/>
    <row r="410" x14ac:dyDescent="0.35"/>
    <row r="411" x14ac:dyDescent="0.35"/>
    <row r="412" x14ac:dyDescent="0.35"/>
    <row r="413" x14ac:dyDescent="0.35"/>
    <row r="414" x14ac:dyDescent="0.35"/>
    <row r="415" x14ac:dyDescent="0.35"/>
    <row r="416" x14ac:dyDescent="0.35"/>
    <row r="417" x14ac:dyDescent="0.35"/>
    <row r="418" x14ac:dyDescent="0.35"/>
    <row r="419" x14ac:dyDescent="0.35"/>
    <row r="420" x14ac:dyDescent="0.35"/>
    <row r="421" x14ac:dyDescent="0.35"/>
    <row r="422" x14ac:dyDescent="0.35"/>
    <row r="423" x14ac:dyDescent="0.35"/>
    <row r="424" x14ac:dyDescent="0.35"/>
    <row r="425" x14ac:dyDescent="0.35"/>
    <row r="426" x14ac:dyDescent="0.35"/>
    <row r="427" x14ac:dyDescent="0.35"/>
    <row r="428" x14ac:dyDescent="0.35"/>
    <row r="429" x14ac:dyDescent="0.35"/>
    <row r="430" x14ac:dyDescent="0.35"/>
    <row r="431" x14ac:dyDescent="0.35"/>
    <row r="432" x14ac:dyDescent="0.35"/>
    <row r="433" x14ac:dyDescent="0.35"/>
    <row r="434" x14ac:dyDescent="0.35"/>
    <row r="435" x14ac:dyDescent="0.35"/>
    <row r="436" x14ac:dyDescent="0.35"/>
    <row r="437" x14ac:dyDescent="0.35"/>
    <row r="438" x14ac:dyDescent="0.35"/>
    <row r="439" x14ac:dyDescent="0.35"/>
    <row r="440" x14ac:dyDescent="0.35"/>
    <row r="441" x14ac:dyDescent="0.35"/>
    <row r="442" x14ac:dyDescent="0.35"/>
    <row r="443" x14ac:dyDescent="0.35"/>
    <row r="444" x14ac:dyDescent="0.35"/>
    <row r="445" x14ac:dyDescent="0.35"/>
    <row r="446" x14ac:dyDescent="0.35"/>
    <row r="447" x14ac:dyDescent="0.35"/>
    <row r="448" x14ac:dyDescent="0.35"/>
    <row r="449" x14ac:dyDescent="0.35"/>
    <row r="450" x14ac:dyDescent="0.35"/>
    <row r="451" x14ac:dyDescent="0.35"/>
    <row r="452" x14ac:dyDescent="0.35"/>
    <row r="453" x14ac:dyDescent="0.35"/>
    <row r="454" x14ac:dyDescent="0.35"/>
    <row r="455" x14ac:dyDescent="0.35"/>
    <row r="456" x14ac:dyDescent="0.35"/>
    <row r="457" x14ac:dyDescent="0.35"/>
    <row r="458" x14ac:dyDescent="0.35"/>
    <row r="459" x14ac:dyDescent="0.35"/>
    <row r="460" x14ac:dyDescent="0.35"/>
    <row r="461" x14ac:dyDescent="0.35"/>
    <row r="462" x14ac:dyDescent="0.35"/>
    <row r="463" x14ac:dyDescent="0.35"/>
    <row r="464" x14ac:dyDescent="0.35"/>
    <row r="465" x14ac:dyDescent="0.35"/>
    <row r="466" x14ac:dyDescent="0.35"/>
    <row r="467" x14ac:dyDescent="0.35"/>
    <row r="468" x14ac:dyDescent="0.35"/>
    <row r="469" x14ac:dyDescent="0.35"/>
    <row r="470" x14ac:dyDescent="0.35"/>
    <row r="471" x14ac:dyDescent="0.35"/>
    <row r="472" x14ac:dyDescent="0.35"/>
    <row r="473" x14ac:dyDescent="0.35"/>
    <row r="474" x14ac:dyDescent="0.35"/>
    <row r="475" x14ac:dyDescent="0.35"/>
    <row r="476" x14ac:dyDescent="0.35"/>
    <row r="477" x14ac:dyDescent="0.35"/>
    <row r="478" x14ac:dyDescent="0.35"/>
    <row r="479" x14ac:dyDescent="0.35"/>
    <row r="480" x14ac:dyDescent="0.35"/>
    <row r="481" x14ac:dyDescent="0.35"/>
    <row r="482" x14ac:dyDescent="0.35"/>
    <row r="483" x14ac:dyDescent="0.35"/>
    <row r="484" x14ac:dyDescent="0.35"/>
    <row r="485" x14ac:dyDescent="0.35"/>
    <row r="486" x14ac:dyDescent="0.35"/>
    <row r="487" x14ac:dyDescent="0.35"/>
    <row r="488" x14ac:dyDescent="0.35"/>
    <row r="489" x14ac:dyDescent="0.35"/>
    <row r="490" x14ac:dyDescent="0.35"/>
    <row r="491" x14ac:dyDescent="0.35"/>
    <row r="492" x14ac:dyDescent="0.35"/>
    <row r="493" x14ac:dyDescent="0.35"/>
    <row r="494" x14ac:dyDescent="0.35"/>
    <row r="495" x14ac:dyDescent="0.35"/>
    <row r="496" x14ac:dyDescent="0.35"/>
    <row r="497" x14ac:dyDescent="0.35"/>
    <row r="498" x14ac:dyDescent="0.35"/>
    <row r="499" x14ac:dyDescent="0.35"/>
    <row r="500" x14ac:dyDescent="0.35"/>
    <row r="501" x14ac:dyDescent="0.35"/>
    <row r="502" x14ac:dyDescent="0.35"/>
    <row r="503" x14ac:dyDescent="0.35"/>
    <row r="504" x14ac:dyDescent="0.35"/>
    <row r="505" x14ac:dyDescent="0.35"/>
    <row r="506" x14ac:dyDescent="0.35"/>
    <row r="507" x14ac:dyDescent="0.35"/>
    <row r="508" x14ac:dyDescent="0.35"/>
    <row r="509" x14ac:dyDescent="0.35"/>
    <row r="510" x14ac:dyDescent="0.35"/>
    <row r="511" x14ac:dyDescent="0.35"/>
    <row r="512" x14ac:dyDescent="0.35"/>
    <row r="513" x14ac:dyDescent="0.35"/>
    <row r="514" x14ac:dyDescent="0.35"/>
    <row r="515" x14ac:dyDescent="0.35"/>
    <row r="516" x14ac:dyDescent="0.35"/>
    <row r="517" x14ac:dyDescent="0.35"/>
    <row r="518" x14ac:dyDescent="0.35"/>
    <row r="519" x14ac:dyDescent="0.35"/>
    <row r="520" x14ac:dyDescent="0.35"/>
    <row r="521" x14ac:dyDescent="0.35"/>
    <row r="522" x14ac:dyDescent="0.35"/>
    <row r="523" x14ac:dyDescent="0.35"/>
    <row r="524" x14ac:dyDescent="0.35"/>
    <row r="525" x14ac:dyDescent="0.35"/>
    <row r="526" x14ac:dyDescent="0.35"/>
    <row r="527" x14ac:dyDescent="0.35"/>
    <row r="528" x14ac:dyDescent="0.35"/>
    <row r="529" x14ac:dyDescent="0.35"/>
    <row r="530" x14ac:dyDescent="0.35"/>
    <row r="531" x14ac:dyDescent="0.35"/>
    <row r="532" x14ac:dyDescent="0.35"/>
    <row r="533" x14ac:dyDescent="0.35"/>
    <row r="534" x14ac:dyDescent="0.35"/>
    <row r="535" x14ac:dyDescent="0.35"/>
    <row r="536" x14ac:dyDescent="0.35"/>
    <row r="537" x14ac:dyDescent="0.35"/>
    <row r="538" x14ac:dyDescent="0.35"/>
    <row r="539" x14ac:dyDescent="0.35"/>
    <row r="540" x14ac:dyDescent="0.35"/>
    <row r="541" x14ac:dyDescent="0.35"/>
    <row r="542" x14ac:dyDescent="0.35"/>
    <row r="543" x14ac:dyDescent="0.35"/>
    <row r="544" x14ac:dyDescent="0.35"/>
    <row r="545" x14ac:dyDescent="0.35"/>
    <row r="546" x14ac:dyDescent="0.35"/>
    <row r="547" x14ac:dyDescent="0.35"/>
    <row r="548" x14ac:dyDescent="0.35"/>
    <row r="549" x14ac:dyDescent="0.35"/>
    <row r="550" x14ac:dyDescent="0.35"/>
    <row r="551" x14ac:dyDescent="0.35"/>
    <row r="552" x14ac:dyDescent="0.35"/>
    <row r="553" x14ac:dyDescent="0.35"/>
    <row r="554" x14ac:dyDescent="0.35"/>
    <row r="555" x14ac:dyDescent="0.35"/>
    <row r="556" x14ac:dyDescent="0.35"/>
    <row r="557" x14ac:dyDescent="0.35"/>
    <row r="558" x14ac:dyDescent="0.35"/>
    <row r="559" x14ac:dyDescent="0.35"/>
    <row r="560" x14ac:dyDescent="0.35"/>
    <row r="561" x14ac:dyDescent="0.35"/>
    <row r="562" x14ac:dyDescent="0.35"/>
    <row r="563" x14ac:dyDescent="0.35"/>
    <row r="564" x14ac:dyDescent="0.35"/>
    <row r="565" x14ac:dyDescent="0.35"/>
    <row r="566" x14ac:dyDescent="0.35"/>
    <row r="567" x14ac:dyDescent="0.35"/>
    <row r="568" x14ac:dyDescent="0.35"/>
    <row r="569" x14ac:dyDescent="0.35"/>
    <row r="570" x14ac:dyDescent="0.35"/>
    <row r="571" x14ac:dyDescent="0.35"/>
    <row r="572" x14ac:dyDescent="0.35"/>
    <row r="573" x14ac:dyDescent="0.35"/>
    <row r="574" x14ac:dyDescent="0.35"/>
    <row r="575" x14ac:dyDescent="0.35"/>
    <row r="576" x14ac:dyDescent="0.35"/>
    <row r="577" x14ac:dyDescent="0.3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Starr, Meghan@DGS</cp:lastModifiedBy>
  <cp:lastPrinted>2024-09-14T00:58:00Z</cp:lastPrinted>
  <dcterms:created xsi:type="dcterms:W3CDTF">2023-03-08T17:19:33Z</dcterms:created>
  <dcterms:modified xsi:type="dcterms:W3CDTF">2024-12-11T23:17:56Z</dcterms:modified>
</cp:coreProperties>
</file>