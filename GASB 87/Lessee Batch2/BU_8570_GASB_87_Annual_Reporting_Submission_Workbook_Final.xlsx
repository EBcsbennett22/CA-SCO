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https://cdfao365-my.sharepoint.com/personal/brian_gonzales_cdfa_ca_gov/Documents/Fund/Year End/Year End FY 2023/GAAP/Submission/"/>
    </mc:Choice>
  </mc:AlternateContent>
  <xr:revisionPtr revIDLastSave="0" documentId="8_{739F2047-5D94-48C0-85C9-484A3CE2212E}" xr6:coauthVersionLast="47" xr6:coauthVersionMax="47" xr10:uidLastSave="{00000000-0000-0000-0000-000000000000}"/>
  <bookViews>
    <workbookView xWindow="-120" yWindow="-120" windowWidth="29040" windowHeight="15720" firstSheet="6" activeTab="10" xr2:uid="{CAC8FDFB-C0F6-443E-ADD8-24715D7B7A9C}"/>
  </bookViews>
  <sheets>
    <sheet name="Drop Down Menus" sheetId="1" state="hidden" r:id="rId1"/>
    <sheet name="qryIndex02a" sheetId="11" state="hidden" r:id="rId2"/>
    <sheet name="LS-Version Changes" sheetId="13" r:id="rId3"/>
    <sheet name="LS-Fund 0001 Journal Entries" sheetId="2" r:id="rId4"/>
    <sheet name="LS-Fund 0111 Journal Entries " sheetId="16" r:id="rId5"/>
    <sheet name="LS-Fund 0890 Journal Entries" sheetId="17" r:id="rId6"/>
    <sheet name="LS-Fund 3010 Journal Entries" sheetId="20" r:id="rId7"/>
    <sheet name="LS-Fund 3237 Journal Entries " sheetId="19" r:id="rId8"/>
    <sheet name="LS-Department Note Disclosure" sheetId="3" r:id="rId9"/>
    <sheet name="LS-Lease Liabilities" sheetId="4" r:id="rId10"/>
    <sheet name="LS-Check Figures  " sheetId="7" r:id="rId11"/>
    <sheet name="LR-Version Changes" sheetId="15" state="hidden" r:id="rId12"/>
    <sheet name="LR-Fund #### Journal Entries" sheetId="5" state="hidden" r:id="rId13"/>
    <sheet name="LR-Department Note Disclosure" sheetId="6" state="hidden" r:id="rId14"/>
    <sheet name="LR-Check Figures" sheetId="12" state="hidden" r:id="rId15"/>
    <sheet name="FP-Version Changes" sheetId="14" state="hidden" r:id="rId16"/>
    <sheet name="FP-Fund #### Journal Entries" sheetId="8" state="hidden" r:id="rId17"/>
    <sheet name="FP-Lease Liabilities" sheetId="10" state="hidden" r:id="rId18"/>
  </sheets>
  <externalReferences>
    <externalReference r:id="rId1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5">#REF!</definedName>
    <definedName name="AgencyCode" localSheetId="14">#REF!</definedName>
    <definedName name="AgencyCode" localSheetId="11">#REF!</definedName>
    <definedName name="AgencyCode">#REF!</definedName>
    <definedName name="AgencyCode1" localSheetId="15">#REF!</definedName>
    <definedName name="AgencyCode1" localSheetId="14">#REF!</definedName>
    <definedName name="AgencyCode1" localSheetId="11">#REF!</definedName>
    <definedName name="AgencyCode1">#REF!</definedName>
    <definedName name="AnalystGASB">[1]DeveloperInfo!$D$20</definedName>
    <definedName name="Annuity" localSheetId="15">#REF!</definedName>
    <definedName name="Annuity" localSheetId="14">#REF!</definedName>
    <definedName name="Annuity" localSheetId="11">#REF!</definedName>
    <definedName name="Annuity">#REF!</definedName>
    <definedName name="Annuity1" localSheetId="15">#REF!</definedName>
    <definedName name="Annuity1" localSheetId="14">#REF!</definedName>
    <definedName name="Annuity1" localSheetId="11">#REF!</definedName>
    <definedName name="Annuity1">#REF!</definedName>
    <definedName name="AnnuityLY" localSheetId="15">#REF!</definedName>
    <definedName name="AnnuityLY" localSheetId="14">#REF!</definedName>
    <definedName name="AnnuityLY" localSheetId="1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5">#REF!</definedName>
    <definedName name="EmployerRates" localSheetId="14">#REF!</definedName>
    <definedName name="EmployerRates" localSheetId="11">#REF!</definedName>
    <definedName name="EmployerRates">#REF!</definedName>
    <definedName name="EmployerRates1" localSheetId="15">#REF!</definedName>
    <definedName name="EmployerRates1" localSheetId="14">#REF!</definedName>
    <definedName name="EmployerRates1" localSheetId="11">#REF!</definedName>
    <definedName name="EmployerRates1">#REF!</definedName>
    <definedName name="EmployerRatesLEO" localSheetId="15">#REF!</definedName>
    <definedName name="EmployerRatesLEO" localSheetId="14">#REF!</definedName>
    <definedName name="EmployerRatesLEO" localSheetId="11">#REF!</definedName>
    <definedName name="EmployerRatesLEO">#REF!</definedName>
    <definedName name="EmployerRatesLEO1" localSheetId="15">#REF!</definedName>
    <definedName name="EmployerRatesLEO1" localSheetId="14">#REF!</definedName>
    <definedName name="EmployerRatesLEO1" localSheetId="11">#REF!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5">#REF!</definedName>
    <definedName name="Pension" localSheetId="14">#REF!</definedName>
    <definedName name="Pension" localSheetId="11">#REF!</definedName>
    <definedName name="Pension">#REF!</definedName>
    <definedName name="Pension1" localSheetId="15">#REF!</definedName>
    <definedName name="Pension1" localSheetId="14">#REF!</definedName>
    <definedName name="Pension1" localSheetId="11">#REF!</definedName>
    <definedName name="Pension1">#REF!</definedName>
    <definedName name="PensionLY" localSheetId="15">#REF!</definedName>
    <definedName name="PensionLY" localSheetId="14">#REF!</definedName>
    <definedName name="PensionLY" localSheetId="11">#REF!</definedName>
    <definedName name="PensionLY">#REF!</definedName>
    <definedName name="PlanNameLongGASB">[1]DeveloperInfo!$D$7</definedName>
    <definedName name="PlanNameShortGASB">[1]DeveloperInfo!$D$8</definedName>
    <definedName name="_xlnm.Print_Area" localSheetId="16">'FP-Fund #### Journal Entries'!$A$1:$R$84</definedName>
    <definedName name="_xlnm.Print_Area" localSheetId="17">'FP-Lease Liabilities'!$A$1:$S$23</definedName>
    <definedName name="_xlnm.Print_Area" localSheetId="14">'LR-Check Figures'!$A$1:$Q$59</definedName>
    <definedName name="_xlnm.Print_Area" localSheetId="13">'LR-Department Note Disclosure'!$A$1:$E$99</definedName>
    <definedName name="_xlnm.Print_Area" localSheetId="12">'LR-Fund #### Journal Entries'!$A$1:$R$70</definedName>
    <definedName name="_xlnm.Print_Area" localSheetId="8">'LS-Department Note Disclosure'!$A$1:$F$96</definedName>
    <definedName name="_xlnm.Print_Area" localSheetId="3">'LS-Fund 0001 Journal Entries'!$A$1:$R$130</definedName>
    <definedName name="_xlnm.Print_Area" localSheetId="4">'LS-Fund 0111 Journal Entries '!$A$1:$R$130</definedName>
    <definedName name="_xlnm.Print_Area" localSheetId="5">'LS-Fund 0890 Journal Entries'!$A$1:$R$130</definedName>
    <definedName name="_xlnm.Print_Area" localSheetId="6">'LS-Fund 3010 Journal Entries'!$A$1:$R$130</definedName>
    <definedName name="_xlnm.Print_Area" localSheetId="7">'LS-Fund 3237 Journal Entries '!$A$1:$R$130</definedName>
    <definedName name="_xlnm.Print_Area" localSheetId="9">'LS-Lease Liabilities'!$A$1:$U$24</definedName>
    <definedName name="ProjDisc?">[1]DeveloperInfo!$D$65</definedName>
    <definedName name="ProValResults" localSheetId="15">#REF!</definedName>
    <definedName name="ProValResults" localSheetId="14">#REF!</definedName>
    <definedName name="ProValResults" localSheetId="11">#REF!</definedName>
    <definedName name="ProValResults">#REF!</definedName>
    <definedName name="ProValResults1" localSheetId="15">#REF!</definedName>
    <definedName name="ProValResults1" localSheetId="14">#REF!</definedName>
    <definedName name="ProValResults1" localSheetId="11">#REF!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5">#REF!</definedName>
    <definedName name="TableData" localSheetId="14">#REF!</definedName>
    <definedName name="TableData" localSheetId="11">#REF!</definedName>
    <definedName name="TableData">#REF!</definedName>
    <definedName name="TableData1" localSheetId="15">#REF!</definedName>
    <definedName name="TableData1" localSheetId="14">#REF!</definedName>
    <definedName name="TableData1" localSheetId="11">#REF!</definedName>
    <definedName name="TableData1">#REF!</definedName>
    <definedName name="Type" localSheetId="15">#REF!</definedName>
    <definedName name="Type" localSheetId="14">#REF!</definedName>
    <definedName name="Type" localSheetId="11">#REF!</definedName>
    <definedName name="Type">#REF!</definedName>
    <definedName name="TypeAnnuity" localSheetId="15">#REF!</definedName>
    <definedName name="TypeAnnuity" localSheetId="14">#REF!</definedName>
    <definedName name="TypeAnnuity" localSheetId="11">#REF!</definedName>
    <definedName name="TypeAnnuity">#REF!</definedName>
    <definedName name="TypeAnnuity1" localSheetId="15">#REF!</definedName>
    <definedName name="TypeAnnuity1" localSheetId="14">#REF!</definedName>
    <definedName name="TypeAnnuity1" localSheetId="11">#REF!</definedName>
    <definedName name="TypeAnnuity1">#REF!</definedName>
    <definedName name="TypePension" localSheetId="15">#REF!</definedName>
    <definedName name="TypePension" localSheetId="14">#REF!</definedName>
    <definedName name="TypePension" localSheetId="11">#REF!</definedName>
    <definedName name="TypePension">#REF!</definedName>
    <definedName name="TypePension1" localSheetId="15">#REF!</definedName>
    <definedName name="TypePension1" localSheetId="14">#REF!</definedName>
    <definedName name="TypePension1" localSheetId="11">#REF!</definedName>
    <definedName name="TypePension1">#REF!</definedName>
    <definedName name="UnfundedData" localSheetId="15">#REF!</definedName>
    <definedName name="UnfundedData" localSheetId="14">#REF!</definedName>
    <definedName name="UnfundedData" localSheetId="11">#REF!</definedName>
    <definedName name="UnfundedData">#REF!</definedName>
    <definedName name="UnfundedData1" localSheetId="15">#REF!</definedName>
    <definedName name="UnfundedData1" localSheetId="14">#REF!</definedName>
    <definedName name="UnfundedData1" localSheetId="11">#REF!</definedName>
    <definedName name="UnfundedData1">#REF!</definedName>
    <definedName name="UnfundedLY" localSheetId="15">#REF!</definedName>
    <definedName name="UnfundedLY" localSheetId="14">#REF!</definedName>
    <definedName name="UnfundedLY" localSheetId="11">#REF!</definedName>
    <definedName name="UnfundedLY">#REF!</definedName>
    <definedName name="UnfundedLY1" localSheetId="15">#REF!</definedName>
    <definedName name="UnfundedLY1" localSheetId="14">#REF!</definedName>
    <definedName name="UnfundedLY1" localSheetId="11">#REF!</definedName>
    <definedName name="UnfundedLY1">#REF!</definedName>
    <definedName name="UnfundedLYLEO1" localSheetId="15">#REF!</definedName>
    <definedName name="UnfundedLYLEO1" localSheetId="14">#REF!</definedName>
    <definedName name="UnfundedLYLEO1" localSheetId="11">#REF!</definedName>
    <definedName name="UnfundedLYLEO1">#REF!</definedName>
    <definedName name="UnfunedLYLEO" localSheetId="15">#REF!</definedName>
    <definedName name="UnfunedLYLEO" localSheetId="14">#REF!</definedName>
    <definedName name="UnfunedLYLEO" localSheetId="1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7" l="1"/>
  <c r="D16" i="7"/>
  <c r="H10" i="4"/>
  <c r="K129" i="20" l="1"/>
  <c r="K114" i="20"/>
  <c r="J114" i="20"/>
  <c r="L114" i="20" s="1"/>
  <c r="K105" i="20"/>
  <c r="J105" i="20"/>
  <c r="K91" i="20"/>
  <c r="J91" i="20"/>
  <c r="L91" i="20" s="1"/>
  <c r="K77" i="20"/>
  <c r="J77" i="20"/>
  <c r="L77" i="20" s="1"/>
  <c r="K70" i="20"/>
  <c r="J70" i="20"/>
  <c r="L69" i="20"/>
  <c r="K65" i="20"/>
  <c r="J65" i="20"/>
  <c r="B63" i="20"/>
  <c r="L62" i="20"/>
  <c r="K59" i="20"/>
  <c r="J59" i="20"/>
  <c r="K49" i="20"/>
  <c r="J49" i="20"/>
  <c r="L43" i="20"/>
  <c r="K43" i="20"/>
  <c r="J43" i="20"/>
  <c r="K36" i="20"/>
  <c r="J36" i="20"/>
  <c r="L36" i="20" s="1"/>
  <c r="S25" i="20"/>
  <c r="Q24" i="20"/>
  <c r="K24" i="20" s="1"/>
  <c r="S23" i="20"/>
  <c r="K23" i="20"/>
  <c r="K128" i="20" s="1"/>
  <c r="S22" i="20"/>
  <c r="K22" i="20"/>
  <c r="K127" i="20" s="1"/>
  <c r="S21" i="20"/>
  <c r="K21" i="20"/>
  <c r="K126" i="20" s="1"/>
  <c r="S20" i="20"/>
  <c r="K20" i="20"/>
  <c r="S19" i="20"/>
  <c r="P18" i="20"/>
  <c r="S18" i="20" s="1"/>
  <c r="S17" i="20"/>
  <c r="J17" i="20"/>
  <c r="K124" i="20" s="1"/>
  <c r="S16" i="20"/>
  <c r="J16" i="20"/>
  <c r="K123" i="20" s="1"/>
  <c r="S15" i="20"/>
  <c r="J15" i="20"/>
  <c r="F9" i="20"/>
  <c r="B100" i="20" s="1"/>
  <c r="L49" i="20" l="1"/>
  <c r="J18" i="20"/>
  <c r="L105" i="20"/>
  <c r="J19" i="20"/>
  <c r="S24" i="20"/>
  <c r="J26" i="20"/>
  <c r="L70" i="20"/>
  <c r="L65" i="20"/>
  <c r="L59" i="20"/>
  <c r="K25" i="20"/>
  <c r="K26" i="20" s="1"/>
  <c r="L26" i="20" s="1"/>
  <c r="C35" i="20"/>
  <c r="K122" i="20"/>
  <c r="C104" i="20"/>
  <c r="C64" i="20"/>
  <c r="K125" i="20"/>
  <c r="J63" i="17" l="1"/>
  <c r="J62" i="17"/>
  <c r="J68" i="17"/>
  <c r="J75" i="17"/>
  <c r="B42" i="7" l="1"/>
  <c r="N10" i="4"/>
  <c r="F16" i="7"/>
  <c r="J10" i="4"/>
  <c r="J55" i="17"/>
  <c r="K129" i="19" l="1"/>
  <c r="K114" i="19"/>
  <c r="J114" i="19"/>
  <c r="K105" i="19"/>
  <c r="J105" i="19"/>
  <c r="L105" i="19" s="1"/>
  <c r="K91" i="19"/>
  <c r="J91" i="19"/>
  <c r="L91" i="19" s="1"/>
  <c r="K77" i="19"/>
  <c r="J77" i="19"/>
  <c r="K70" i="19"/>
  <c r="J70" i="19"/>
  <c r="L69" i="19"/>
  <c r="K65" i="19"/>
  <c r="J65" i="19"/>
  <c r="B63" i="19"/>
  <c r="L62" i="19"/>
  <c r="K59" i="19"/>
  <c r="J59" i="19"/>
  <c r="K49" i="19"/>
  <c r="J49" i="19"/>
  <c r="K43" i="19"/>
  <c r="J43" i="19"/>
  <c r="L43" i="19" s="1"/>
  <c r="K36" i="19"/>
  <c r="J36" i="19"/>
  <c r="S25" i="19"/>
  <c r="Q24" i="19"/>
  <c r="K24" i="19" s="1"/>
  <c r="S23" i="19"/>
  <c r="K23" i="19"/>
  <c r="S22" i="19"/>
  <c r="K22" i="19"/>
  <c r="K127" i="19" s="1"/>
  <c r="S21" i="19"/>
  <c r="K21" i="19"/>
  <c r="K126" i="19" s="1"/>
  <c r="S20" i="19"/>
  <c r="K20" i="19"/>
  <c r="K125" i="19" s="1"/>
  <c r="S19" i="19"/>
  <c r="P18" i="19"/>
  <c r="S18" i="19" s="1"/>
  <c r="S17" i="19"/>
  <c r="J17" i="19"/>
  <c r="K124" i="19" s="1"/>
  <c r="S16" i="19"/>
  <c r="J16" i="19"/>
  <c r="K123" i="19" s="1"/>
  <c r="S15" i="19"/>
  <c r="J15" i="19"/>
  <c r="K122" i="19" s="1"/>
  <c r="F9" i="19"/>
  <c r="C104" i="19" s="1"/>
  <c r="K129" i="17"/>
  <c r="K114" i="17"/>
  <c r="J114" i="17"/>
  <c r="L105" i="17"/>
  <c r="K105" i="17"/>
  <c r="J105" i="17"/>
  <c r="K91" i="17"/>
  <c r="J91" i="17"/>
  <c r="L91" i="17" s="1"/>
  <c r="K77" i="17"/>
  <c r="J77" i="17"/>
  <c r="K70" i="17"/>
  <c r="J70" i="17"/>
  <c r="L69" i="17"/>
  <c r="K65" i="17"/>
  <c r="J65" i="17"/>
  <c r="B63" i="17"/>
  <c r="L62" i="17"/>
  <c r="K59" i="17"/>
  <c r="J59" i="17"/>
  <c r="K49" i="17"/>
  <c r="J49" i="17"/>
  <c r="K43" i="17"/>
  <c r="J43" i="17"/>
  <c r="K36" i="17"/>
  <c r="J36" i="17"/>
  <c r="S25" i="17"/>
  <c r="Q24" i="17"/>
  <c r="S24" i="17" s="1"/>
  <c r="S23" i="17"/>
  <c r="K23" i="17"/>
  <c r="K128" i="17" s="1"/>
  <c r="S22" i="17"/>
  <c r="K22" i="17"/>
  <c r="S21" i="17"/>
  <c r="K21" i="17"/>
  <c r="S20" i="17"/>
  <c r="K20" i="17"/>
  <c r="K125" i="17" s="1"/>
  <c r="S19" i="17"/>
  <c r="P18" i="17"/>
  <c r="J18" i="17" s="1"/>
  <c r="S17" i="17"/>
  <c r="J17" i="17"/>
  <c r="K124" i="17" s="1"/>
  <c r="S16" i="17"/>
  <c r="J16" i="17"/>
  <c r="K123" i="17" s="1"/>
  <c r="S15" i="17"/>
  <c r="J15" i="17"/>
  <c r="F9" i="17"/>
  <c r="C104" i="17" s="1"/>
  <c r="K129" i="16"/>
  <c r="K114" i="16"/>
  <c r="J114" i="16"/>
  <c r="K105" i="16"/>
  <c r="J105" i="16"/>
  <c r="L105" i="16" s="1"/>
  <c r="K91" i="16"/>
  <c r="J91" i="16"/>
  <c r="K77" i="16"/>
  <c r="J77" i="16"/>
  <c r="K70" i="16"/>
  <c r="J70" i="16"/>
  <c r="L69" i="16"/>
  <c r="K65" i="16"/>
  <c r="J65" i="16"/>
  <c r="B63" i="16"/>
  <c r="L62" i="16"/>
  <c r="K59" i="16"/>
  <c r="J59" i="16"/>
  <c r="K49" i="16"/>
  <c r="J49" i="16"/>
  <c r="K43" i="16"/>
  <c r="J43" i="16"/>
  <c r="K36" i="16"/>
  <c r="J36" i="16"/>
  <c r="S25" i="16"/>
  <c r="Q24" i="16"/>
  <c r="S24" i="16" s="1"/>
  <c r="S23" i="16"/>
  <c r="K23" i="16"/>
  <c r="K128" i="16" s="1"/>
  <c r="S22" i="16"/>
  <c r="K22" i="16"/>
  <c r="S21" i="16"/>
  <c r="K21" i="16"/>
  <c r="K126" i="16" s="1"/>
  <c r="S20" i="16"/>
  <c r="K20" i="16"/>
  <c r="K125" i="16" s="1"/>
  <c r="S19" i="16"/>
  <c r="P18" i="16"/>
  <c r="S18" i="16" s="1"/>
  <c r="S17" i="16"/>
  <c r="J17" i="16"/>
  <c r="K124" i="16" s="1"/>
  <c r="S16" i="16"/>
  <c r="J16" i="16"/>
  <c r="K123" i="16" s="1"/>
  <c r="S15" i="16"/>
  <c r="J15" i="16"/>
  <c r="F9" i="16"/>
  <c r="C104" i="16" s="1"/>
  <c r="L49" i="19" l="1"/>
  <c r="L36" i="19"/>
  <c r="K128" i="19"/>
  <c r="L49" i="16"/>
  <c r="L49" i="17"/>
  <c r="L36" i="17"/>
  <c r="L36" i="16"/>
  <c r="L114" i="16"/>
  <c r="L77" i="16"/>
  <c r="L59" i="16"/>
  <c r="L70" i="16"/>
  <c r="L65" i="16"/>
  <c r="L91" i="16"/>
  <c r="L43" i="16"/>
  <c r="L77" i="17"/>
  <c r="L70" i="17"/>
  <c r="L65" i="17"/>
  <c r="L59" i="17"/>
  <c r="L43" i="17"/>
  <c r="L114" i="19"/>
  <c r="L77" i="19"/>
  <c r="L70" i="19"/>
  <c r="L65" i="19"/>
  <c r="L59" i="19"/>
  <c r="L114" i="17"/>
  <c r="S24" i="19"/>
  <c r="J18" i="19"/>
  <c r="J19" i="19" s="1"/>
  <c r="S18" i="17"/>
  <c r="J18" i="16"/>
  <c r="C35" i="19"/>
  <c r="C64" i="19"/>
  <c r="B100" i="19"/>
  <c r="K122" i="17"/>
  <c r="C64" i="17"/>
  <c r="K24" i="17"/>
  <c r="K25" i="17" s="1"/>
  <c r="C35" i="17"/>
  <c r="B100" i="17"/>
  <c r="K126" i="17"/>
  <c r="K127" i="17"/>
  <c r="C35" i="16"/>
  <c r="K122" i="16"/>
  <c r="C64" i="16"/>
  <c r="K24" i="16"/>
  <c r="B100" i="16"/>
  <c r="J19" i="16"/>
  <c r="J26" i="16" s="1"/>
  <c r="K127" i="16"/>
  <c r="J26" i="19" l="1"/>
  <c r="K25" i="19"/>
  <c r="K26" i="19" s="1"/>
  <c r="K26" i="17"/>
  <c r="J19" i="17"/>
  <c r="J26" i="17" s="1"/>
  <c r="L26" i="17" s="1"/>
  <c r="K25" i="16"/>
  <c r="K26" i="16" s="1"/>
  <c r="L26" i="16" s="1"/>
  <c r="L26" i="19" l="1"/>
  <c r="B63" i="2" l="1"/>
  <c r="B57" i="8"/>
  <c r="L56" i="8"/>
  <c r="L63" i="8"/>
  <c r="K83" i="8"/>
  <c r="J18" i="4"/>
  <c r="J14" i="4"/>
  <c r="H18" i="4"/>
  <c r="H14" i="4"/>
  <c r="N18" i="4"/>
  <c r="N14" i="4"/>
  <c r="F18" i="4"/>
  <c r="F14" i="4"/>
  <c r="L69" i="2"/>
  <c r="L62" i="2"/>
  <c r="S20" i="2"/>
  <c r="Q24" i="2"/>
  <c r="P18" i="2"/>
  <c r="H16" i="12"/>
  <c r="B57" i="12"/>
  <c r="B49" i="12"/>
  <c r="B42" i="12"/>
  <c r="J33" i="12"/>
  <c r="H33" i="12"/>
  <c r="F33" i="12"/>
  <c r="D33" i="12"/>
  <c r="J24" i="12"/>
  <c r="H24" i="12"/>
  <c r="F24" i="12"/>
  <c r="D24" i="12"/>
  <c r="B24" i="12"/>
  <c r="J16" i="12"/>
  <c r="F16" i="12"/>
  <c r="D16" i="12"/>
  <c r="B16" i="12"/>
  <c r="J15" i="8" l="1"/>
  <c r="K77" i="8" s="1"/>
  <c r="J16" i="8"/>
  <c r="K78" i="8" s="1"/>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B16" i="7" l="1"/>
  <c r="F10" i="4"/>
  <c r="K128" i="2"/>
  <c r="K24" i="2"/>
  <c r="K25" i="2" s="1"/>
  <c r="K17" i="5"/>
  <c r="K69" i="5" s="1"/>
  <c r="J14" i="5"/>
  <c r="S18" i="8"/>
  <c r="S24" i="8"/>
  <c r="S18" i="2"/>
  <c r="K23" i="8"/>
  <c r="K82" i="8" s="1"/>
  <c r="K22" i="8"/>
  <c r="K81" i="8" s="1"/>
  <c r="K21" i="8"/>
  <c r="K80" i="8" s="1"/>
  <c r="J17" i="8"/>
  <c r="K79" i="8" s="1"/>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J11" i="10"/>
  <c r="H11" i="10"/>
  <c r="F11" i="10"/>
  <c r="L10" i="10"/>
  <c r="P10" i="10" s="1"/>
  <c r="P11" i="10" s="1"/>
  <c r="J4" i="10"/>
  <c r="F7" i="10" s="1"/>
  <c r="K26" i="8"/>
  <c r="J26" i="8"/>
  <c r="K26" i="2"/>
  <c r="J26" i="2"/>
  <c r="L11" i="10" l="1"/>
  <c r="L15" i="10"/>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<sst xmlns="http://schemas.openxmlformats.org/spreadsheetml/2006/main" count="8599" uniqueCount="1805">
  <si>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</si>
  <si>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</si>
  <si>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</si>
  <si>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</si>
  <si>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</si>
  <si>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</si>
  <si>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</si>
  <si>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</si>
  <si>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</si>
  <si>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</si>
  <si>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</si>
  <si>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</si>
  <si>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</si>
  <si>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</si>
  <si>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</si>
  <si>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</si>
  <si>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</si>
  <si>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</si>
  <si>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</si>
  <si>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</si>
  <si>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</si>
  <si>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</si>
  <si>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</si>
  <si>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</si>
  <si>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</si>
  <si>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</si>
  <si>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</si>
  <si>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</si>
  <si>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</si>
  <si>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</si>
  <si>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</si>
  <si>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</si>
  <si>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</si>
  <si>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</si>
  <si>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</si>
  <si>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</si>
  <si>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</si>
  <si>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</si>
  <si>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</si>
  <si>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</si>
  <si>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</si>
  <si>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</si>
  <si>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</si>
  <si>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</si>
  <si>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</si>
  <si>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</si>
  <si>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</si>
  <si>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</si>
  <si>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</si>
  <si>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</si>
  <si>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</si>
  <si>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</si>
  <si>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</si>
  <si>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</si>
  <si>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</si>
  <si>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</si>
  <si>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</si>
  <si>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</si>
  <si>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</si>
  <si>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</si>
  <si>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</si>
  <si>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</si>
  <si>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</si>
  <si>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</si>
  <si>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</si>
  <si>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</si>
  <si>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</si>
  <si>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</si>
  <si>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</si>
  <si>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</si>
  <si>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</si>
  <si>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</si>
  <si>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</si>
  <si>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</si>
  <si>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</si>
  <si>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</si>
  <si>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</si>
  <si>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</si>
  <si>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</si>
  <si>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</si>
  <si>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</si>
  <si>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</si>
  <si>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</si>
  <si>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</si>
  <si>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</si>
  <si>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</si>
  <si>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</si>
  <si>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</si>
  <si>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</si>
  <si>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</si>
  <si>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</si>
  <si>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</si>
  <si>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</si>
  <si>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</si>
  <si>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</si>
  <si>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</si>
  <si>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</si>
  <si>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</si>
  <si>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</si>
  <si>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</si>
  <si>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</si>
  <si>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</si>
  <si>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</si>
  <si>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</si>
  <si>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</si>
  <si>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</si>
  <si>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</si>
  <si>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</si>
  <si>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</si>
  <si>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</si>
  <si>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</si>
  <si>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</si>
  <si>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</si>
  <si>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</si>
  <si>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</si>
  <si>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</si>
  <si>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</si>
  <si>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</si>
  <si>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</si>
  <si>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</si>
  <si>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</si>
  <si>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</si>
  <si>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</si>
  <si>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</si>
  <si>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</si>
  <si>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</si>
  <si>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</si>
  <si>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</si>
  <si>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</si>
  <si>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</si>
  <si>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</si>
  <si>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</si>
  <si>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</si>
  <si>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</si>
  <si>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</si>
  <si>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</si>
  <si>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</si>
  <si>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</si>
  <si>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</si>
  <si>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</si>
  <si>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</si>
  <si>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</si>
  <si>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</si>
  <si>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</si>
  <si>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</si>
  <si>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</si>
  <si>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</si>
  <si>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</si>
  <si>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</si>
  <si>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</si>
  <si>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</si>
  <si>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</si>
  <si>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</si>
  <si>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</si>
  <si>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</si>
  <si>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</si>
  <si>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</si>
  <si>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</si>
  <si>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</si>
  <si>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</si>
  <si>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</si>
  <si>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</si>
  <si>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</si>
  <si>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</si>
  <si>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</si>
  <si>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</si>
  <si>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</si>
  <si>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</si>
  <si>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</si>
  <si>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</si>
  <si>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</si>
  <si>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</si>
  <si>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</si>
  <si>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</si>
  <si>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</si>
  <si>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</si>
  <si>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</si>
  <si>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</si>
  <si>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</si>
  <si>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</si>
  <si>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</si>
  <si>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</si>
  <si>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</si>
  <si>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</si>
  <si>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</si>
  <si>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</si>
  <si>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</si>
  <si>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</si>
  <si>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</si>
  <si>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</si>
  <si>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</si>
  <si>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</si>
  <si>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</si>
  <si>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</si>
  <si>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</si>
  <si>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</si>
  <si>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</si>
  <si>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</si>
  <si>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</si>
  <si>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</si>
  <si>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</si>
  <si>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</si>
  <si>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</si>
  <si>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</si>
  <si>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</si>
  <si>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</si>
  <si>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</si>
  <si>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</si>
  <si>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</si>
  <si>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</si>
  <si>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</si>
  <si>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</si>
  <si>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</si>
  <si>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</si>
  <si>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</si>
  <si>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</si>
  <si>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</si>
  <si>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</si>
  <si>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</si>
  <si>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</si>
  <si>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</si>
  <si>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</si>
  <si>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</si>
  <si>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</si>
  <si>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</si>
  <si>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</si>
  <si>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</si>
  <si>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</si>
  <si>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</si>
  <si>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</si>
  <si>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</si>
  <si>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</si>
  <si>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</si>
  <si>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</si>
  <si>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</si>
  <si>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</si>
  <si>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</si>
  <si>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</si>
  <si>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</si>
  <si>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</si>
  <si>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</si>
  <si>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</si>
  <si>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</si>
  <si>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</si>
  <si>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</si>
  <si>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</si>
  <si>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</si>
  <si>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</si>
  <si>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</si>
  <si>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</si>
  <si>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</si>
  <si>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</si>
  <si>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</si>
  <si>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</si>
  <si>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</si>
  <si>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</si>
  <si>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</si>
  <si>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</si>
  <si>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</si>
  <si>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</si>
  <si>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</si>
  <si>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</si>
  <si>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</si>
  <si>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</si>
  <si>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</si>
  <si>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</si>
  <si>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</si>
  <si>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</si>
  <si>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</si>
  <si>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</si>
  <si>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</si>
  <si>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</si>
  <si>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</si>
  <si>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</si>
  <si>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</si>
  <si>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</si>
  <si>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</si>
  <si>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</si>
  <si>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</si>
  <si>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</si>
  <si>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</si>
  <si>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</si>
  <si>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</si>
  <si>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</si>
  <si>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</si>
  <si>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</si>
  <si>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</si>
  <si>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</si>
  <si>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</si>
  <si>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</si>
  <si>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</si>
  <si>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</si>
  <si>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</si>
  <si>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</si>
  <si>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</si>
  <si>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</si>
  <si>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</si>
  <si>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</si>
  <si>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</si>
  <si>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</si>
  <si>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</si>
  <si>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</si>
  <si>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</si>
  <si>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</si>
  <si>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</si>
  <si>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</si>
  <si>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</si>
  <si>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</si>
  <si>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</si>
  <si>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</si>
  <si>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</si>
  <si>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</si>
  <si>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</si>
  <si>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</si>
  <si>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</si>
  <si>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</si>
  <si>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</si>
  <si>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</si>
  <si>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</si>
  <si>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</si>
  <si>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</si>
  <si>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</si>
  <si>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</si>
  <si>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</si>
  <si>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</si>
  <si>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</si>
  <si>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</si>
  <si>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</si>
  <si>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</si>
  <si>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</si>
  <si>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</si>
  <si>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</si>
  <si>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</si>
  <si>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</si>
  <si>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</si>
  <si>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</si>
  <si>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</si>
  <si>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</si>
  <si>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</si>
  <si>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</si>
  <si>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</si>
  <si>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</si>
  <si>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</si>
  <si>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</si>
  <si>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</si>
  <si>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</si>
  <si>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</si>
  <si>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</si>
  <si>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</si>
  <si>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</si>
  <si>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</si>
  <si>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</si>
  <si>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</si>
  <si>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</si>
  <si>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</si>
  <si>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</si>
  <si>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</si>
  <si>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</si>
  <si>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</si>
  <si>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</si>
  <si>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</si>
  <si>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</si>
  <si>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</si>
  <si>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</si>
  <si>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</si>
  <si>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</si>
  <si>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</si>
  <si>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</si>
  <si>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</si>
  <si>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</si>
  <si>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</si>
  <si>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</si>
  <si>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</si>
  <si>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</si>
  <si>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</si>
  <si>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</si>
  <si>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</si>
  <si>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</si>
  <si>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</si>
  <si>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</si>
  <si>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</si>
  <si>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</si>
  <si>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</si>
  <si>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</si>
  <si>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</si>
  <si>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</si>
  <si>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</si>
  <si>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</si>
  <si>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</si>
  <si>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</si>
  <si>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</si>
  <si>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</si>
  <si>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</si>
  <si>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</si>
  <si>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</si>
  <si>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</si>
  <si>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</si>
  <si>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</si>
  <si>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</si>
  <si>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</si>
  <si>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</si>
  <si>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</si>
  <si>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</si>
  <si>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</si>
  <si>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</si>
  <si>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</si>
  <si>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</si>
  <si>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</si>
  <si>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</si>
  <si>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</si>
  <si>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</si>
  <si>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</si>
  <si>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</si>
  <si>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</si>
  <si>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</si>
  <si>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</si>
  <si>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</si>
  <si>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</si>
  <si>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</si>
  <si>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</si>
  <si>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</si>
  <si>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</si>
  <si>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</si>
  <si>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</si>
  <si>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</si>
  <si>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</si>
  <si>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</si>
  <si>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</si>
  <si>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</si>
  <si>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</si>
  <si>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</si>
  <si>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</si>
  <si>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</si>
  <si>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</si>
  <si>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</si>
  <si>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</si>
  <si>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</si>
  <si>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</si>
  <si>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</si>
  <si>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</si>
  <si>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</si>
  <si>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</si>
  <si>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</si>
  <si>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</si>
  <si>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</si>
  <si>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</si>
  <si>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</si>
  <si>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</si>
  <si>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</si>
  <si>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</si>
  <si>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</si>
  <si>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</si>
  <si>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</si>
  <si>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</si>
  <si>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</si>
  <si>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</si>
  <si>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</si>
  <si>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</si>
  <si>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</si>
  <si>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</si>
  <si>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</si>
  <si>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</si>
  <si>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</si>
  <si>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</si>
  <si>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</si>
  <si>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</si>
  <si>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</si>
  <si>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</si>
  <si>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</si>
  <si>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</si>
  <si>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</si>
  <si>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</si>
  <si>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</si>
  <si>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</si>
  <si>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</si>
  <si>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</si>
  <si>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</si>
  <si>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</si>
  <si>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</si>
  <si>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</si>
  <si>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</si>
  <si>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</si>
  <si>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</si>
  <si>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</si>
  <si>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</si>
  <si>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</si>
  <si>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</si>
  <si>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</si>
  <si>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</si>
  <si>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</si>
  <si>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</si>
  <si>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</si>
  <si>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</si>
  <si>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</si>
  <si>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</si>
  <si>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</si>
  <si>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</si>
  <si>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</si>
  <si>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</si>
  <si>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</si>
  <si>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</si>
  <si>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</si>
  <si>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</si>
  <si>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</si>
  <si>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</si>
  <si>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</si>
  <si>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</si>
  <si>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</si>
  <si>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</si>
  <si>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</si>
  <si>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</si>
  <si>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</si>
  <si>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</si>
  <si>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</si>
  <si>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</si>
  <si>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</si>
  <si>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</si>
  <si>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</si>
  <si>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</si>
  <si>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</si>
  <si>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</si>
  <si>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</si>
  <si>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</si>
  <si>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</si>
  <si>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</si>
  <si>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</si>
  <si>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</si>
  <si>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</si>
  <si>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</si>
  <si>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</si>
  <si>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</si>
  <si>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</si>
  <si>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</si>
  <si>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</si>
  <si>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</si>
  <si>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</si>
  <si>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</si>
  <si>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</si>
  <si>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</si>
  <si>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</si>
  <si>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</si>
  <si>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</si>
  <si>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</si>
  <si>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</si>
  <si>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</si>
  <si>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</si>
  <si>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</si>
  <si>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</si>
  <si>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</si>
  <si>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</si>
  <si>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</si>
  <si>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</si>
  <si>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</si>
  <si>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</si>
  <si>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</si>
  <si>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</si>
  <si>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</si>
  <si>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</si>
  <si>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</si>
  <si>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</si>
  <si>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</si>
  <si>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</si>
  <si>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</si>
  <si>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</si>
  <si>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</si>
  <si>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</si>
  <si>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</si>
  <si>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</si>
  <si>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</si>
  <si>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</si>
  <si>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</si>
  <si>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</si>
  <si>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</si>
  <si>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</si>
  <si>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</si>
  <si>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</si>
  <si>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</si>
  <si>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</si>
  <si>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</si>
  <si>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</si>
  <si>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</si>
  <si>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</si>
  <si>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</si>
  <si>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</si>
  <si>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</si>
  <si>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</si>
  <si>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</si>
  <si>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</si>
  <si>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</si>
  <si>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</si>
  <si>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</si>
  <si>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</si>
  <si>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</si>
  <si>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</si>
  <si>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</si>
  <si>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</si>
  <si>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</si>
  <si>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</si>
  <si>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</si>
  <si>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</si>
  <si>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</si>
  <si>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</si>
  <si>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</si>
  <si>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</si>
  <si>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</si>
  <si>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</si>
  <si>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</si>
  <si>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</si>
  <si>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</si>
  <si>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</si>
  <si>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</si>
  <si>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</si>
  <si>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</si>
  <si>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</si>
  <si>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</si>
  <si>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</si>
  <si>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</si>
  <si>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</si>
  <si>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</si>
  <si>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</si>
  <si>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</si>
  <si>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</si>
  <si>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</si>
  <si>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</si>
  <si>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</si>
  <si>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</si>
  <si>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</si>
  <si>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</si>
  <si>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</si>
  <si>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</si>
  <si>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</si>
  <si>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</si>
  <si>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</si>
  <si>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</si>
  <si>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</si>
  <si>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</si>
  <si>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</si>
  <si>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</si>
  <si>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</si>
  <si>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</si>
  <si>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</si>
  <si>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</si>
  <si>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</si>
  <si>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</si>
  <si>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</si>
  <si>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</si>
  <si>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</si>
  <si>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</si>
  <si>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</si>
  <si>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</si>
  <si>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</si>
  <si>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</si>
  <si>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</si>
  <si>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</si>
  <si>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</si>
  <si>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</si>
  <si>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</si>
  <si>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</si>
  <si>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</si>
  <si>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</si>
  <si>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</si>
  <si>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</si>
  <si>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</si>
  <si>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</si>
  <si>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</si>
  <si>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</si>
  <si>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</si>
  <si>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</si>
  <si>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</si>
  <si>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</si>
  <si>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</si>
  <si>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</si>
  <si>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</si>
  <si>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</si>
  <si>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</si>
  <si>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</si>
  <si>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</si>
  <si>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</si>
  <si>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</si>
  <si>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</si>
  <si>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</si>
  <si>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</si>
  <si>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</si>
  <si>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</si>
  <si>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</si>
  <si>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</si>
  <si>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</si>
  <si>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</si>
  <si>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</si>
  <si>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</si>
  <si>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</si>
  <si>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</si>
  <si>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</si>
  <si>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</si>
  <si>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</si>
  <si>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</si>
  <si>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</si>
  <si>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</si>
  <si>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</si>
  <si>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</si>
  <si>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</si>
  <si>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</si>
  <si>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</si>
  <si>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</si>
  <si>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</si>
  <si>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</si>
  <si>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</si>
  <si>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</si>
  <si>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</si>
  <si>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</si>
  <si>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</si>
  <si>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</si>
  <si>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</si>
  <si>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</si>
  <si>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</si>
  <si>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</si>
  <si>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</si>
  <si>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</si>
  <si>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</si>
  <si>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</si>
  <si>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</si>
  <si>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</si>
  <si>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</si>
  <si>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</si>
  <si>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</si>
  <si>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</si>
  <si>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</si>
  <si>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</si>
  <si>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</si>
  <si>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</si>
  <si>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</si>
  <si>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</si>
  <si>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</si>
  <si>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</si>
  <si>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</si>
  <si>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</si>
  <si>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</si>
  <si>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</si>
  <si>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</si>
  <si>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</si>
  <si>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</si>
  <si>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</si>
  <si>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</si>
  <si>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</si>
  <si>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</si>
  <si>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</si>
  <si>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</si>
  <si>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</si>
  <si>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</si>
  <si>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</si>
  <si>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</si>
  <si>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</si>
  <si>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</si>
  <si>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</si>
  <si>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</si>
  <si>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</si>
  <si>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</si>
  <si>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</si>
  <si>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</si>
  <si>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</si>
  <si>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</si>
  <si>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</si>
  <si>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</si>
  <si>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</si>
  <si>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</si>
  <si>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</si>
  <si>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</si>
  <si>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</si>
  <si>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</si>
  <si>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</si>
  <si>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</si>
  <si>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</si>
  <si>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</si>
  <si>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</si>
  <si>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</si>
  <si>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</si>
  <si>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</si>
  <si>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</si>
  <si>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</si>
  <si>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</si>
  <si>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</si>
  <si>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</si>
  <si>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</si>
  <si>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</si>
  <si>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</si>
  <si>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</si>
  <si>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</si>
  <si>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</si>
  <si>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</si>
  <si>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</si>
  <si>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</si>
  <si>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</si>
  <si>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</si>
  <si>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</si>
  <si>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</si>
  <si>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</si>
  <si>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</si>
  <si>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</si>
  <si>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</si>
  <si>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</si>
  <si>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</si>
  <si>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</si>
  <si>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</si>
  <si>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</si>
  <si>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</si>
  <si>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</si>
  <si>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</si>
  <si>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</si>
  <si>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</si>
  <si>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</si>
  <si>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</si>
  <si>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</si>
  <si>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</si>
  <si>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</si>
  <si>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</si>
  <si>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</si>
  <si>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</si>
  <si>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</si>
  <si>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</si>
  <si>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</si>
  <si>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</si>
  <si>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</si>
  <si>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</si>
  <si>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</si>
  <si>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</si>
  <si>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</si>
  <si>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</si>
  <si>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</si>
  <si>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</si>
  <si>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</si>
  <si>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</si>
  <si>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</si>
  <si>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</si>
  <si>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</si>
  <si>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</si>
  <si>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</si>
  <si>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</si>
  <si>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</si>
  <si>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</si>
  <si>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</si>
  <si>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</si>
  <si>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</si>
  <si>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</si>
  <si>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</si>
  <si>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</si>
  <si>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</si>
  <si>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</si>
  <si>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</si>
  <si>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</si>
  <si>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</si>
  <si>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</si>
  <si>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</si>
  <si>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</si>
  <si>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</si>
  <si>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</si>
  <si>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</si>
  <si>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</si>
  <si>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</si>
  <si>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</si>
  <si>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</si>
  <si>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</si>
  <si>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</si>
  <si>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</si>
  <si>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</si>
  <si>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</si>
  <si>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</si>
  <si>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</si>
  <si>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</si>
  <si>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</si>
  <si>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</si>
  <si>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</si>
  <si>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</si>
  <si>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</si>
  <si>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</si>
  <si>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</si>
  <si>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</si>
  <si>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</si>
  <si>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</si>
  <si>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</si>
  <si>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</si>
  <si>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</si>
  <si>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</si>
  <si>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</si>
  <si>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</si>
  <si>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</si>
  <si>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</si>
  <si>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</si>
  <si>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</si>
  <si>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</si>
  <si>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</si>
  <si>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</si>
  <si>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</si>
  <si>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</si>
  <si>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</si>
  <si>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</si>
  <si>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</si>
  <si>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</si>
  <si>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</si>
  <si>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</si>
  <si>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</si>
  <si>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</si>
  <si>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</si>
  <si>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</si>
  <si>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</si>
  <si>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</si>
  <si>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</si>
  <si>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</si>
  <si>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</si>
  <si>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</si>
  <si>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</si>
  <si>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</si>
  <si>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</si>
  <si>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</si>
  <si>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</si>
  <si>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</si>
  <si>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</si>
  <si>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</si>
  <si>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</si>
  <si>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</si>
  <si>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</si>
  <si>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</si>
  <si>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</si>
  <si>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</si>
  <si>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</si>
  <si>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</si>
  <si>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</si>
  <si>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</si>
  <si>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</si>
  <si>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</si>
  <si>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</si>
  <si>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</si>
  <si>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</si>
  <si>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</si>
  <si>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</si>
  <si>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</si>
  <si>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</si>
  <si>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</si>
  <si>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</si>
  <si>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</si>
  <si>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</si>
  <si>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</si>
  <si>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</si>
  <si>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</si>
  <si>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</si>
  <si>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</si>
  <si>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</si>
  <si>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</si>
  <si>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</si>
  <si>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</si>
  <si>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</si>
  <si>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</si>
  <si>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</si>
  <si>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</si>
  <si>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</si>
  <si>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</si>
  <si>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</si>
  <si>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</si>
  <si>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</si>
  <si>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</si>
  <si>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</si>
  <si>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</si>
  <si>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</si>
  <si>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</si>
  <si>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</si>
  <si>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</si>
  <si>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</si>
  <si>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</si>
  <si>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</si>
  <si>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</si>
  <si>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</si>
  <si>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</si>
  <si>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</si>
  <si>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</si>
  <si>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</si>
  <si>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</si>
  <si>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</si>
  <si>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</si>
  <si>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</si>
  <si>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</si>
  <si>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</si>
  <si>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</si>
  <si>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</si>
  <si>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</si>
  <si>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</si>
  <si>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</si>
  <si>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</si>
  <si>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</si>
  <si>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</si>
  <si>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</si>
  <si>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</si>
  <si>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</si>
  <si>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</si>
  <si>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</si>
  <si>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</si>
  <si>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</si>
  <si>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</si>
  <si>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</si>
  <si>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</si>
  <si>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</si>
  <si>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</si>
  <si>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</si>
  <si>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</si>
  <si>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</si>
  <si>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</si>
  <si>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</si>
  <si>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</si>
  <si>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</si>
  <si>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</si>
  <si>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</si>
  <si>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</si>
  <si>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</si>
  <si>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</si>
  <si>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</si>
  <si>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</si>
  <si>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</si>
  <si>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</si>
  <si>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</si>
  <si>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</si>
  <si>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</si>
  <si>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</si>
  <si>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</si>
  <si>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</si>
  <si>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</si>
  <si>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</si>
  <si>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</si>
  <si>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</si>
  <si>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</si>
  <si>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</si>
  <si>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</si>
  <si>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</si>
  <si>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</si>
  <si>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</si>
  <si>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</si>
  <si>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</si>
  <si>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</si>
  <si>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</si>
  <si>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</si>
  <si>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</si>
  <si>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</si>
  <si>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</si>
  <si>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</si>
  <si>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</si>
  <si>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</si>
  <si>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</si>
  <si>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</si>
  <si>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</si>
  <si>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</si>
  <si>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</si>
  <si>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</si>
  <si>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</si>
  <si>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</si>
  <si>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</si>
  <si>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</si>
  <si>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</si>
  <si>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</si>
  <si>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</si>
  <si>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</si>
  <si>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</si>
  <si>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</si>
  <si>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</si>
  <si>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</si>
  <si>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</si>
  <si>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</si>
  <si>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</si>
  <si>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</si>
  <si>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</si>
  <si>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</si>
  <si>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</si>
  <si>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</si>
  <si>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</si>
  <si>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</si>
  <si>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</si>
  <si>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</si>
  <si>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</si>
  <si>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</si>
  <si>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</si>
  <si>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</si>
  <si>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</si>
  <si>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</si>
  <si>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</si>
  <si>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</si>
  <si>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</si>
  <si>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</si>
  <si>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</si>
  <si>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</si>
  <si>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</si>
  <si>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</si>
  <si>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</si>
  <si>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</si>
  <si>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</si>
  <si>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</si>
  <si>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</si>
  <si>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</si>
  <si>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</si>
  <si>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</si>
  <si>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</si>
  <si>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</si>
  <si>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</si>
  <si>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</si>
  <si>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</si>
  <si>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</si>
  <si>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</si>
  <si>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</si>
  <si>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</si>
  <si>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</si>
  <si>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</si>
  <si>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</si>
  <si>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</si>
  <si>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</si>
  <si>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</si>
  <si>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</si>
  <si>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</si>
  <si>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</si>
  <si>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</si>
  <si>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</si>
  <si>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</si>
  <si>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</si>
  <si>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</si>
  <si>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</si>
  <si>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</si>
  <si>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</si>
  <si>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</si>
  <si>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</si>
  <si>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</si>
  <si>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</si>
  <si>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</si>
  <si>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</si>
  <si>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</si>
  <si>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</si>
  <si>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</si>
  <si>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</si>
  <si>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</si>
  <si>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</si>
  <si>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</si>
  <si>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</si>
  <si>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</si>
  <si>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</si>
  <si>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</si>
  <si>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</si>
  <si>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</si>
  <si>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</si>
  <si>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</si>
  <si>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</si>
  <si>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</si>
  <si>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</si>
  <si>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</si>
  <si>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</si>
  <si>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</si>
  <si>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</si>
  <si>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</si>
  <si>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</si>
  <si>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</si>
  <si>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</si>
  <si>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</si>
  <si>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</si>
  <si>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</si>
  <si>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</si>
  <si>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</si>
  <si>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</si>
  <si>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</si>
  <si>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</si>
  <si>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</si>
  <si>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</si>
  <si>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</si>
  <si>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</si>
  <si>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</si>
  <si>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</si>
  <si>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</si>
  <si>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</si>
  <si>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</si>
  <si>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</si>
  <si>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</si>
  <si>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</si>
  <si>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</si>
  <si>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</si>
  <si>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</si>
  <si>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</si>
  <si>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</si>
  <si>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</si>
  <si>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</si>
  <si>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</si>
  <si>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</si>
  <si>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</si>
  <si>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</si>
  <si>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</si>
  <si>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</si>
  <si>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</si>
  <si>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</si>
  <si>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</si>
  <si>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</si>
  <si>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</si>
  <si>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</si>
  <si>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</si>
  <si>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</si>
  <si>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</si>
  <si>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</si>
  <si>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</si>
  <si>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</si>
  <si>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</si>
  <si>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</si>
  <si>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</si>
  <si>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</si>
  <si>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</si>
  <si>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</si>
  <si>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</si>
  <si>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</si>
  <si>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</si>
  <si>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</si>
  <si>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</si>
  <si>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</si>
  <si>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</si>
  <si>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</si>
  <si>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</si>
  <si>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</si>
  <si>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</si>
  <si>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</si>
  <si>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</si>
  <si>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</si>
  <si>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</si>
  <si>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</si>
  <si>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</si>
  <si>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</si>
  <si>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</si>
  <si>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</si>
  <si>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</si>
  <si>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</si>
  <si>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</si>
  <si>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</si>
  <si>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</si>
  <si>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</si>
  <si>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</si>
  <si>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</si>
  <si>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</si>
  <si>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</si>
  <si>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</si>
  <si>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</si>
  <si>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</si>
  <si>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</si>
  <si>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</si>
  <si>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</si>
  <si>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</si>
  <si>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</si>
  <si>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</si>
  <si>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</si>
  <si>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</si>
  <si>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</si>
  <si>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</si>
  <si>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</si>
  <si>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</si>
  <si>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</si>
  <si>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</si>
  <si>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</si>
  <si>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</si>
  <si>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</si>
  <si>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</si>
  <si>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</si>
  <si>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</si>
  <si>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</si>
  <si>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</si>
  <si>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</si>
  <si>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</si>
  <si>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</si>
  <si>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</si>
  <si>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</si>
  <si>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</si>
  <si>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</si>
  <si>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</si>
  <si>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</si>
  <si>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</si>
  <si>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</si>
  <si>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</si>
  <si>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</si>
  <si>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</si>
  <si>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</si>
  <si>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</si>
  <si>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</si>
  <si>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</si>
  <si>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</si>
  <si>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</si>
  <si>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</si>
  <si>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</si>
  <si>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</si>
  <si>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</si>
  <si>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</si>
  <si>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</si>
  <si>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</si>
  <si>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</si>
  <si>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</si>
  <si>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</si>
  <si>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</si>
  <si>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</si>
  <si>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</si>
  <si>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</si>
  <si>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</si>
  <si>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</si>
  <si>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</si>
  <si>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</si>
  <si>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</si>
  <si>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</si>
  <si>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</si>
  <si>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</si>
  <si>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</si>
  <si>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</si>
  <si>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</si>
  <si>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</si>
  <si>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</si>
  <si>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</si>
  <si>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</si>
  <si>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</si>
  <si>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</si>
  <si>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</si>
  <si>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</si>
  <si>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</si>
  <si>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</si>
  <si>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</si>
  <si>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</si>
  <si>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</si>
  <si>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</si>
  <si>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</si>
  <si>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</si>
  <si>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</si>
  <si>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</si>
  <si>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</si>
  <si>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</si>
  <si>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</si>
  <si>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</si>
  <si>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</si>
  <si>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</si>
  <si>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</si>
  <si>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</si>
  <si>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</si>
  <si>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</si>
  <si>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</si>
  <si>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</si>
  <si>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</si>
  <si>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</si>
  <si>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</si>
  <si>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</si>
  <si>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</si>
  <si>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</si>
  <si>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</si>
  <si>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</si>
  <si>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</si>
  <si>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</si>
  <si>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</si>
  <si>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</si>
  <si>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</si>
  <si>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</si>
  <si>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</si>
  <si>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</si>
  <si>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</si>
  <si>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</si>
  <si>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</si>
  <si>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</si>
  <si>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</si>
  <si>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</si>
  <si>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</si>
  <si>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</si>
  <si>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</si>
  <si>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</si>
  <si>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</si>
  <si>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</si>
  <si>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</si>
  <si>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</si>
  <si>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</si>
  <si>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</si>
  <si>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</si>
  <si>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</si>
  <si>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</si>
  <si>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</si>
  <si>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</si>
  <si>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</si>
  <si>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</si>
  <si>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</si>
  <si>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</si>
  <si>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</si>
  <si>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</si>
  <si>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</si>
  <si>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</si>
  <si>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</si>
  <si>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</si>
  <si>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</si>
  <si>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</si>
  <si>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</si>
  <si>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</si>
  <si>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</si>
  <si>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</si>
  <si>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</si>
  <si>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</si>
  <si>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</si>
  <si>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</si>
  <si>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</si>
  <si>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</si>
  <si>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</si>
  <si>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</si>
  <si>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</si>
  <si>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</si>
  <si>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</si>
  <si>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</si>
  <si>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</si>
  <si>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</si>
  <si>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</si>
  <si>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</si>
  <si>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</si>
  <si>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</si>
  <si>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</si>
  <si>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</si>
  <si>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</si>
  <si>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</si>
  <si>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</si>
  <si>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</si>
  <si>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</si>
  <si>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</si>
  <si>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</si>
  <si>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</si>
  <si>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</si>
  <si>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</si>
  <si>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</si>
  <si>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</si>
  <si>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</si>
  <si>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</si>
  <si>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</si>
  <si>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</si>
  <si>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</si>
  <si>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</si>
  <si>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</si>
  <si>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</si>
  <si>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</si>
  <si>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</si>
  <si>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</si>
  <si>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</si>
  <si>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</si>
  <si>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</si>
  <si>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</si>
  <si>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</si>
  <si>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</si>
  <si>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</si>
  <si>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</si>
  <si>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</si>
  <si>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</si>
  <si>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</si>
  <si>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</si>
  <si>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</si>
  <si>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</si>
  <si>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</si>
  <si>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</si>
  <si>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</si>
  <si>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</si>
  <si>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</si>
  <si>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</si>
  <si>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</si>
  <si>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</si>
  <si>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</si>
  <si>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</si>
  <si>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</si>
  <si>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</si>
  <si>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</si>
  <si>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</si>
  <si>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</si>
  <si>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</si>
  <si>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</si>
  <si>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</si>
  <si>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</si>
  <si>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</si>
  <si>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</si>
  <si>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</si>
  <si>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</si>
  <si>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</si>
  <si>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</si>
  <si>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</si>
  <si>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</si>
  <si>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</si>
  <si>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</si>
  <si>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</si>
  <si>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</si>
  <si>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</si>
  <si>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</si>
  <si>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</si>
  <si>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</si>
  <si>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</si>
  <si>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</si>
  <si>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</si>
  <si>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</si>
  <si>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</si>
  <si>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</si>
  <si>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</si>
  <si>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</si>
  <si>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</si>
  <si>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</si>
  <si>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</si>
  <si>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</si>
  <si>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</si>
  <si>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</si>
  <si>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</si>
  <si>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</si>
  <si>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</si>
  <si>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</si>
  <si>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</si>
  <si>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</si>
  <si>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</si>
  <si>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</si>
  <si>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</si>
  <si>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</si>
  <si>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</si>
  <si>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</si>
  <si>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</si>
  <si>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</si>
  <si>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</si>
  <si>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</si>
  <si>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</si>
  <si>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</si>
  <si>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</si>
  <si>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</si>
  <si>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</si>
  <si>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</si>
  <si>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</si>
  <si>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</si>
  <si>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</si>
  <si>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</si>
  <si>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</si>
  <si>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</si>
  <si>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</si>
  <si>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</si>
  <si>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</si>
  <si>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</si>
  <si>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</si>
  <si>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</si>
  <si>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</si>
  <si>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</si>
  <si>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</si>
  <si>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</si>
  <si>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</si>
  <si>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</si>
  <si>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</si>
  <si>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</si>
  <si>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</si>
  <si>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</si>
  <si>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</si>
  <si>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</si>
  <si>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</si>
  <si>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</si>
  <si>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</si>
  <si>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</si>
  <si>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</si>
  <si>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</si>
  <si>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</si>
  <si>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</si>
  <si>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</si>
  <si>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</si>
  <si>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</si>
  <si>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</si>
  <si>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</si>
  <si>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</si>
  <si>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</si>
  <si>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</si>
  <si>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</si>
  <si>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</si>
  <si>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</si>
  <si>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</si>
  <si>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</si>
  <si>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</si>
  <si>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</si>
  <si>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</si>
  <si>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</si>
  <si>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</si>
  <si>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</si>
  <si>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</si>
  <si>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</si>
  <si>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</si>
  <si>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</si>
  <si>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</si>
  <si>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</si>
  <si>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</si>
  <si>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</si>
  <si>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</si>
  <si>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</si>
  <si>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</si>
  <si>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</si>
  <si>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</si>
  <si>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</si>
  <si>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</si>
  <si>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</si>
  <si>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</si>
  <si>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</si>
  <si>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</si>
  <si>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</si>
  <si>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</si>
  <si>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</si>
  <si>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</si>
  <si>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</si>
  <si>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</si>
  <si>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</si>
  <si>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</si>
  <si>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</si>
  <si>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</si>
  <si>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</si>
  <si>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</si>
  <si>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</si>
  <si>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</si>
  <si>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</si>
  <si>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</si>
  <si>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</si>
  <si>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</si>
  <si>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</si>
  <si>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</si>
  <si>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</si>
  <si>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</si>
  <si>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</si>
  <si>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</si>
  <si>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</si>
  <si>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</si>
  <si>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</si>
  <si>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</si>
  <si>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</si>
  <si>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</si>
  <si>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</si>
  <si>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</si>
  <si>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</si>
  <si>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</si>
  <si>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</si>
  <si>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</si>
  <si>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</si>
  <si>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</si>
  <si>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</si>
  <si>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</si>
  <si>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</si>
  <si>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</si>
  <si>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</si>
  <si>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</si>
  <si>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</si>
  <si>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</si>
  <si>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</si>
  <si>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</si>
  <si>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</si>
  <si>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</si>
  <si>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</si>
  <si>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</si>
  <si>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</si>
  <si>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</si>
  <si>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</si>
  <si>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</si>
  <si>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</si>
  <si>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</si>
  <si>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</si>
  <si>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</si>
  <si>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</si>
  <si>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</si>
  <si>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</si>
  <si>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</si>
  <si>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</si>
  <si>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</si>
  <si>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</si>
  <si>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</si>
  <si>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</si>
  <si>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</si>
  <si>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</si>
  <si>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</si>
  <si>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</si>
  <si>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</si>
  <si>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</si>
  <si>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</si>
  <si>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</si>
  <si>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</si>
  <si>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</si>
  <si>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</si>
  <si>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</si>
  <si>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</si>
  <si>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</si>
  <si>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</si>
  <si>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</si>
  <si>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</si>
  <si>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</si>
  <si>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</si>
  <si>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</si>
  <si>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</si>
  <si>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</si>
  <si>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</si>
  <si>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</si>
  <si>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</si>
  <si>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</si>
  <si>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</si>
  <si>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</si>
  <si>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</si>
  <si>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</si>
  <si>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</si>
  <si>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</si>
  <si>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</si>
  <si>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</si>
  <si>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</si>
  <si>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</si>
  <si>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</si>
  <si>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</si>
  <si>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</si>
  <si>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</si>
  <si>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</si>
  <si>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</si>
  <si>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</si>
  <si>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</si>
  <si>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</si>
  <si>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</si>
  <si>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</si>
  <si>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</si>
  <si>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</si>
  <si>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</si>
  <si>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</si>
  <si>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</si>
  <si>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</si>
  <si>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</si>
  <si>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</si>
  <si>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</si>
  <si>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</si>
  <si>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</si>
  <si>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</si>
  <si>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</si>
  <si>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</si>
  <si>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</si>
  <si>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</si>
  <si>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</si>
  <si>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</si>
  <si>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</si>
  <si>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</si>
  <si>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</si>
  <si>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</si>
  <si>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</si>
  <si>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</si>
  <si>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</si>
  <si>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</si>
  <si>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</si>
  <si>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</si>
  <si>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</si>
  <si>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</si>
  <si>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</si>
  <si>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</si>
  <si>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</si>
  <si>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</si>
  <si>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</si>
  <si>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</si>
  <si>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</si>
  <si>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</si>
  <si>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</si>
  <si>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</si>
  <si>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</si>
  <si>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</si>
  <si>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</si>
  <si>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</si>
  <si>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</si>
  <si>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</si>
  <si>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</si>
  <si>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</si>
  <si>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</si>
  <si>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</si>
  <si>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</si>
  <si>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</si>
  <si>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</si>
  <si>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</si>
  <si>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</si>
  <si>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</si>
  <si>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</si>
  <si>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</si>
  <si>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</si>
  <si>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</si>
  <si>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</si>
  <si>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</si>
  <si>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</si>
  <si>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</si>
  <si>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</si>
  <si>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</si>
  <si>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</si>
  <si>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</si>
  <si>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</si>
  <si>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</si>
  <si>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</si>
  <si>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</si>
  <si>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</si>
  <si>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</si>
  <si>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</si>
  <si>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</si>
  <si>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</si>
  <si>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</si>
  <si>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</si>
  <si>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</si>
  <si>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</si>
  <si>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</si>
  <si>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</si>
  <si>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</si>
  <si>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</si>
  <si>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</si>
  <si>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</si>
  <si>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</si>
  <si>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</si>
  <si>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</si>
  <si>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</si>
  <si>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</si>
  <si>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</si>
  <si>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</si>
  <si>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</si>
  <si>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</si>
  <si>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</si>
  <si>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</si>
  <si>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</si>
  <si>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</si>
  <si>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</si>
  <si>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</si>
  <si>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Food and Agriculture</t>
  </si>
  <si>
    <t>California Department of Food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</si>
</sst>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106">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14" workbookViewId="0">
      <selection activeCell="K124" sqref="K124:K12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1313</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8114740</v>
      </c>
      <c r="M17" s="196">
        <v>8114740</v>
      </c>
      <c r="P17" s="196">
        <v>8114740</v>
      </c>
      <c r="Q17" s="224"/>
      <c r="S17" s="223">
        <f t="shared" si="0"/>
        <v>0</v>
      </c>
      <c r="T17" s="251" t="s">
        <v>1760</v>
      </c>
    </row>
    <row r="18" spans="1:20" ht="16.5" customHeight="1" x14ac:dyDescent="0.25">
      <c r="A18" s="99"/>
      <c r="B18" s="26" t="s">
        <v>178</v>
      </c>
      <c r="C18" s="26"/>
      <c r="D18" s="26"/>
      <c r="E18" s="193"/>
      <c r="F18" s="194"/>
      <c r="G18" s="194"/>
      <c r="H18" s="195"/>
      <c r="I18" s="195"/>
      <c r="J18" s="248">
        <f>P18</f>
        <v>40576</v>
      </c>
      <c r="M18" s="196">
        <v>40576</v>
      </c>
      <c r="P18" s="221">
        <f>IF(SUM($Q$20:$Q$23)&gt;SUM($P$15:$P$17),SUM($Q$20:$Q$23)-SUM($P$15:$P$17),0)</f>
        <v>40576</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3503583</v>
      </c>
      <c r="N22" s="196">
        <v>3503583</v>
      </c>
      <c r="P22" s="224"/>
      <c r="Q22" s="196">
        <v>3503583</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4651733</v>
      </c>
      <c r="N23" s="196">
        <v>4651733</v>
      </c>
      <c r="P23" s="224"/>
      <c r="Q23" s="196">
        <v>4651733</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8155316</v>
      </c>
      <c r="K26" s="155">
        <f>SUM(K15:K25)</f>
        <v>8155316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1510380</v>
      </c>
      <c r="K33" s="197"/>
    </row>
    <row r="34" spans="1:12" ht="16.5" customHeight="1" x14ac:dyDescent="0.25">
      <c r="A34" s="99"/>
      <c r="B34" s="26"/>
      <c r="C34" s="26" t="s">
        <v>1745</v>
      </c>
      <c r="D34" s="193"/>
      <c r="E34" s="193"/>
      <c r="F34" s="194"/>
      <c r="G34" s="194"/>
      <c r="H34" s="195"/>
      <c r="I34" s="195"/>
      <c r="J34" s="197"/>
      <c r="K34" s="196">
        <v>1510380</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1510380</v>
      </c>
      <c r="K36" s="155">
        <f>SUM(K33:K35)</f>
        <v>1510380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1510380</v>
      </c>
      <c r="K41" s="197"/>
    </row>
    <row r="42" spans="1:12" ht="16.5" customHeight="1" x14ac:dyDescent="0.25">
      <c r="A42" s="99"/>
      <c r="B42" s="26"/>
      <c r="C42" s="26" t="s">
        <v>197</v>
      </c>
      <c r="D42" s="193"/>
      <c r="E42" s="193"/>
      <c r="F42" s="194"/>
      <c r="G42" s="194"/>
      <c r="H42" s="195"/>
      <c r="I42" s="195"/>
      <c r="J42" s="197"/>
      <c r="K42" s="196">
        <v>1510380</v>
      </c>
    </row>
    <row r="43" spans="1:12" ht="16.5" customHeight="1" x14ac:dyDescent="0.25">
      <c r="A43" s="99"/>
      <c r="B43" s="182" t="s">
        <v>1691</v>
      </c>
      <c r="C43" s="43"/>
      <c r="D43" s="43"/>
      <c r="E43" s="43"/>
      <c r="F43" s="44"/>
      <c r="G43" s="44"/>
      <c r="H43" s="45"/>
      <c r="I43" s="45"/>
      <c r="J43" s="155">
        <f>SUM(J39:J42)</f>
        <v>1510380</v>
      </c>
      <c r="K43" s="155">
        <f>SUM(K39:K42)</f>
        <v>1510380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1510380</v>
      </c>
      <c r="K47" s="197"/>
    </row>
    <row r="48" spans="1:12" ht="16.5" customHeight="1" x14ac:dyDescent="0.25">
      <c r="A48" s="234" t="s">
        <v>1697</v>
      </c>
      <c r="B48" s="26"/>
      <c r="C48" s="26" t="s">
        <v>183</v>
      </c>
      <c r="D48" s="193"/>
      <c r="E48" s="193"/>
      <c r="F48" s="194"/>
      <c r="G48" s="194"/>
      <c r="H48" s="195"/>
      <c r="I48" s="195"/>
      <c r="J48" s="197"/>
      <c r="K48" s="196">
        <v>1510380</v>
      </c>
    </row>
    <row r="49" spans="1:16" ht="16.5" customHeight="1" x14ac:dyDescent="0.25">
      <c r="A49" s="99"/>
      <c r="C49" s="43"/>
      <c r="D49" s="43"/>
      <c r="E49" s="43"/>
      <c r="F49" s="44"/>
      <c r="G49" s="44"/>
      <c r="H49" s="45"/>
      <c r="I49" s="45"/>
      <c r="J49" s="155">
        <f>SUM(J47:J48)</f>
        <v>1510380</v>
      </c>
      <c r="K49" s="155">
        <f>SUM(K47:K48)</f>
        <v>1510380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1819498</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1819498</v>
      </c>
    </row>
    <row r="59" spans="1:16" ht="16.5" customHeight="1" x14ac:dyDescent="0.25">
      <c r="A59" s="99"/>
      <c r="C59" s="43"/>
      <c r="D59" s="43"/>
      <c r="E59" s="43"/>
      <c r="F59" s="44"/>
      <c r="G59" s="44"/>
      <c r="H59" s="45"/>
      <c r="I59" s="45"/>
      <c r="J59" s="155">
        <f>SUM(J55:J58)</f>
        <v>1819498</v>
      </c>
      <c r="K59" s="155">
        <f>SUM(K55:K58)</f>
        <v>1819498</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1819498</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3531</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1823029</v>
      </c>
    </row>
    <row r="65" spans="1:12" ht="16.5" customHeight="1" x14ac:dyDescent="0.25">
      <c r="A65" s="99"/>
      <c r="C65" s="43"/>
      <c r="D65" s="43"/>
      <c r="E65" s="43"/>
      <c r="F65" s="44"/>
      <c r="G65" s="44"/>
      <c r="H65" s="45"/>
      <c r="I65" s="45"/>
      <c r="J65" s="155">
        <f>SUM(J62:J64)</f>
        <v>1823029</v>
      </c>
      <c r="K65" s="155">
        <f>SUM(K62:K64)</f>
        <v>1823029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1819498</v>
      </c>
      <c r="K68" s="197"/>
    </row>
    <row r="69" spans="1:12" ht="16.5" customHeight="1" x14ac:dyDescent="0.25">
      <c r="A69" s="99"/>
      <c r="B69" s="26"/>
      <c r="C69" s="26" t="s">
        <v>202</v>
      </c>
      <c r="D69" s="193"/>
      <c r="E69" s="193"/>
      <c r="F69" s="194"/>
      <c r="G69" s="194"/>
      <c r="H69" s="195"/>
      <c r="I69" s="195"/>
      <c r="J69" s="197"/>
      <c r="K69" s="196">
        <v>1819498</v>
      </c>
      <c r="L69" s="37" t="str">
        <f>IF($J$62=$K$69,"","&lt;- Accts 0848 must agree")</f>
        <v/>
      </c>
    </row>
    <row r="70" spans="1:12" ht="16.5" customHeight="1" x14ac:dyDescent="0.25">
      <c r="A70" s="99"/>
      <c r="C70" s="43"/>
      <c r="D70" s="43"/>
      <c r="E70" s="43"/>
      <c r="F70" s="44"/>
      <c r="G70" s="44"/>
      <c r="H70" s="45"/>
      <c r="I70" s="45"/>
      <c r="J70" s="155">
        <f>SUM(J68:J69)</f>
        <v>1819498</v>
      </c>
      <c r="K70" s="155">
        <f>SUM(K68:K69)</f>
        <v>1819498</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1718629</v>
      </c>
      <c r="K75" s="197"/>
    </row>
    <row r="76" spans="1:12" ht="16.5" customHeight="1" x14ac:dyDescent="0.25">
      <c r="A76" s="99"/>
      <c r="B76" s="26"/>
      <c r="C76" s="26" t="s">
        <v>210</v>
      </c>
      <c r="D76" s="193"/>
      <c r="E76" s="193"/>
      <c r="F76" s="194"/>
      <c r="G76" s="194"/>
      <c r="H76" s="195"/>
      <c r="I76" s="195"/>
      <c r="J76" s="197"/>
      <c r="K76" s="196">
        <v>1718629</v>
      </c>
    </row>
    <row r="77" spans="1:12" ht="16.5" customHeight="1" x14ac:dyDescent="0.2">
      <c r="A77" s="99"/>
      <c r="B77" s="262" t="s">
        <v>1737</v>
      </c>
      <c r="C77" s="262"/>
      <c r="D77" s="262"/>
      <c r="E77" s="262"/>
      <c r="F77" s="262"/>
      <c r="G77" s="262"/>
      <c r="H77" s="262"/>
      <c r="I77" s="262"/>
      <c r="J77" s="155">
        <f>SUM(J75:J76)</f>
        <v>1718629</v>
      </c>
      <c r="K77" s="155">
        <f>SUM(K75:K76)</f>
        <v>1718629</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176894</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176894</v>
      </c>
    </row>
    <row r="91" spans="1:16" ht="16.5" customHeight="1" x14ac:dyDescent="0.25">
      <c r="B91" s="182" t="s">
        <v>1692</v>
      </c>
      <c r="H91" s="37"/>
      <c r="J91" s="156">
        <f>SUM(J85:J90)</f>
        <v>176894</v>
      </c>
      <c r="K91" s="156">
        <f>SUM(K85:K90)</f>
        <v>176894</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9448226</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-5146187</v>
      </c>
    </row>
    <row r="128" spans="1:12" ht="16.5" customHeight="1" x14ac:dyDescent="0.25">
      <c r="D128" s="193" t="s">
        <v>1708</v>
      </c>
      <c r="H128" s="37"/>
      <c r="K128" s="238">
        <f>-K23-K48+J68+J75+J96-K113</f>
        <v>-2623986</v>
      </c>
    </row>
    <row r="129" spans="4:11" ht="16.5" customHeight="1" x14ac:dyDescent="0.25">
      <c r="D129" s="193" t="s">
        <v>1709</v>
      </c>
      <c r="H129" s="37"/>
      <c r="K129" s="238">
        <f>-K76</f>
        <v>-1718629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105" priority="12">
      <formula>$J$62&lt;&gt;$K$69</formula>
    </cfRule>
  </conditionalFormatting>
  <conditionalFormatting sqref="L26:P26">
    <cfRule type="expression" dxfId="104" priority="1">
      <formula>$J$26&lt;&gt;$K$26</formula>
    </cfRule>
  </conditionalFormatting>
  <conditionalFormatting sqref="L36:P36">
    <cfRule type="expression" dxfId="103" priority="2">
      <formula>$J$36&lt;&gt;$K$36</formula>
    </cfRule>
  </conditionalFormatting>
  <conditionalFormatting sqref="L43:P43">
    <cfRule type="expression" dxfId="102" priority="3">
      <formula>$J$43&lt;&gt;$K$43</formula>
    </cfRule>
  </conditionalFormatting>
  <conditionalFormatting sqref="L49:P49">
    <cfRule type="expression" dxfId="101" priority="4">
      <formula>$J$49&lt;&gt;$K$49</formula>
    </cfRule>
  </conditionalFormatting>
  <conditionalFormatting sqref="L59:P59">
    <cfRule type="expression" dxfId="100" priority="5">
      <formula>$J$59&lt;&gt;$K$59</formula>
    </cfRule>
  </conditionalFormatting>
  <conditionalFormatting sqref="L65:P65">
    <cfRule type="expression" dxfId="99" priority="6">
      <formula>$J$65&lt;&gt;$K$65</formula>
    </cfRule>
  </conditionalFormatting>
  <conditionalFormatting sqref="L70:P70">
    <cfRule type="expression" dxfId="98" priority="7">
      <formula>$J$70&lt;&gt;$K$70</formula>
    </cfRule>
  </conditionalFormatting>
  <conditionalFormatting sqref="L77:P77">
    <cfRule type="expression" dxfId="97" priority="8">
      <formula>$J$77&lt;&gt;$K$77</formula>
    </cfRule>
  </conditionalFormatting>
  <conditionalFormatting sqref="L91:P91">
    <cfRule type="expression" dxfId="96" priority="9">
      <formula>$J$91&lt;&gt;$K$91</formula>
    </cfRule>
  </conditionalFormatting>
  <conditionalFormatting sqref="L105:P105">
    <cfRule type="expression" dxfId="95" priority="10">
      <formula>$J$105&lt;&gt;$K$105</formula>
    </cfRule>
  </conditionalFormatting>
  <conditionalFormatting sqref="L114:P114">
    <cfRule type="expression" dxfId="94"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40" fitToHeight="0" orientation="portrait"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E7B6-5183-4713-9EF5-C3CF0876E284}">
  <sheetPr>
    <tabColor theme="9" tint="0.39997558519241921"/>
    <pageSetUpPr fitToPage="1"/>
  </sheetPr>
  <dimension ref="A1:T193"/>
  <sheetViews>
    <sheetView topLeftCell="A106"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1313</v>
      </c>
      <c r="G5" s="266"/>
      <c r="H5" s="266"/>
      <c r="I5" s="266"/>
      <c r="L5" s="39"/>
      <c r="M5" s="39"/>
      <c r="N5" s="39"/>
      <c r="O5" s="39"/>
      <c r="P5" s="39"/>
      <c r="Q5" s="39"/>
    </row>
    <row r="6" spans="1:20" ht="16.5" customHeight="1" x14ac:dyDescent="0.25">
      <c r="A6" s="264" t="s">
        <v>1682</v>
      </c>
      <c r="B6" s="264"/>
      <c r="C6" s="264"/>
      <c r="D6" s="264"/>
      <c r="E6" s="264"/>
      <c r="F6" s="267">
        <v>111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1019225</v>
      </c>
      <c r="M17" s="196">
        <v>1019225</v>
      </c>
      <c r="P17" s="196">
        <v>1019225</v>
      </c>
      <c r="Q17" s="224"/>
      <c r="S17" s="223">
        <f t="shared" si="0"/>
        <v>0</v>
      </c>
      <c r="T17" s="251" t="s">
        <v>1760</v>
      </c>
    </row>
    <row r="18" spans="1:20" ht="16.5" customHeight="1" x14ac:dyDescent="0.25">
      <c r="A18" s="99"/>
      <c r="B18" s="26" t="s">
        <v>178</v>
      </c>
      <c r="C18" s="26"/>
      <c r="D18" s="26"/>
      <c r="E18" s="193"/>
      <c r="F18" s="194"/>
      <c r="G18" s="194"/>
      <c r="H18" s="195"/>
      <c r="I18" s="195"/>
      <c r="J18" s="248">
        <f>P18</f>
        <v>49386</v>
      </c>
      <c r="M18" s="196">
        <v>49386</v>
      </c>
      <c r="P18" s="221">
        <f>IF(SUM($Q$20:$Q$23)&gt;SUM($P$15:$P$17),SUM($Q$20:$Q$23)-SUM($P$15:$P$17),0)</f>
        <v>49386</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445566</v>
      </c>
      <c r="N22" s="196">
        <v>445566</v>
      </c>
      <c r="P22" s="224"/>
      <c r="Q22" s="196">
        <v>445566</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623045</v>
      </c>
      <c r="N23" s="196">
        <v>623045</v>
      </c>
      <c r="P23" s="224"/>
      <c r="Q23" s="196">
        <v>623045</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1068611</v>
      </c>
      <c r="K26" s="155">
        <f>SUM(K15:K25)</f>
        <v>1068611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1371333.2508513043</v>
      </c>
      <c r="K33" s="197"/>
    </row>
    <row r="34" spans="1:12" ht="16.5" customHeight="1" x14ac:dyDescent="0.25">
      <c r="A34" s="99"/>
      <c r="B34" s="26"/>
      <c r="C34" s="26" t="s">
        <v>1745</v>
      </c>
      <c r="D34" s="193"/>
      <c r="E34" s="193"/>
      <c r="F34" s="194"/>
      <c r="G34" s="194"/>
      <c r="H34" s="195"/>
      <c r="I34" s="195"/>
      <c r="J34" s="197"/>
      <c r="K34" s="196">
        <v>1371333.2508513043</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1371333.2508513043</v>
      </c>
      <c r="K36" s="155">
        <f>SUM(K33:K35)</f>
        <v>1371333.2508513043</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1371333.2508513043</v>
      </c>
      <c r="K41" s="197"/>
    </row>
    <row r="42" spans="1:12" ht="16.5" customHeight="1" x14ac:dyDescent="0.25">
      <c r="A42" s="99"/>
      <c r="B42" s="26"/>
      <c r="C42" s="26" t="s">
        <v>197</v>
      </c>
      <c r="D42" s="193"/>
      <c r="E42" s="193"/>
      <c r="F42" s="194"/>
      <c r="G42" s="194"/>
      <c r="H42" s="195"/>
      <c r="I42" s="195"/>
      <c r="J42" s="197"/>
      <c r="K42" s="196">
        <v>1371333.2508513043</v>
      </c>
    </row>
    <row r="43" spans="1:12" ht="16.5" customHeight="1" x14ac:dyDescent="0.25">
      <c r="A43" s="99"/>
      <c r="B43" s="182" t="s">
        <v>1691</v>
      </c>
      <c r="C43" s="43"/>
      <c r="D43" s="43"/>
      <c r="E43" s="43"/>
      <c r="F43" s="44"/>
      <c r="G43" s="44"/>
      <c r="H43" s="45"/>
      <c r="I43" s="45"/>
      <c r="J43" s="155">
        <f>SUM(J39:J42)</f>
        <v>1371333.2508513043</v>
      </c>
      <c r="K43" s="155">
        <f>SUM(K39:K42)</f>
        <v>1371333.2508513043</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1371333</v>
      </c>
      <c r="K47" s="197"/>
    </row>
    <row r="48" spans="1:12" ht="16.5" customHeight="1" x14ac:dyDescent="0.25">
      <c r="A48" s="234" t="s">
        <v>1697</v>
      </c>
      <c r="B48" s="26"/>
      <c r="C48" s="26" t="s">
        <v>183</v>
      </c>
      <c r="D48" s="193"/>
      <c r="E48" s="193"/>
      <c r="F48" s="194"/>
      <c r="G48" s="194"/>
      <c r="H48" s="195"/>
      <c r="I48" s="195"/>
      <c r="J48" s="197"/>
      <c r="K48" s="196">
        <v>1371333</v>
      </c>
    </row>
    <row r="49" spans="1:16" ht="16.5" customHeight="1" x14ac:dyDescent="0.25">
      <c r="A49" s="99"/>
      <c r="C49" s="43"/>
      <c r="D49" s="43"/>
      <c r="E49" s="43"/>
      <c r="F49" s="44"/>
      <c r="G49" s="44"/>
      <c r="H49" s="45"/>
      <c r="I49" s="45"/>
      <c r="J49" s="155">
        <f>SUM(J47:J48)</f>
        <v>1371333</v>
      </c>
      <c r="K49" s="155">
        <f>SUM(K47:K48)</f>
        <v>1371333</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447632</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447632</v>
      </c>
    </row>
    <row r="59" spans="1:16" ht="16.5" customHeight="1" x14ac:dyDescent="0.25">
      <c r="A59" s="99"/>
      <c r="C59" s="43"/>
      <c r="D59" s="43"/>
      <c r="E59" s="43"/>
      <c r="F59" s="44"/>
      <c r="G59" s="44"/>
      <c r="H59" s="45"/>
      <c r="I59" s="45"/>
      <c r="J59" s="155">
        <f>SUM(J55:J58)</f>
        <v>447632</v>
      </c>
      <c r="K59" s="155">
        <f>SUM(K55:K58)</f>
        <v>447632</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501282</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1038</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502320</v>
      </c>
    </row>
    <row r="65" spans="1:12" ht="16.5" customHeight="1" x14ac:dyDescent="0.25">
      <c r="A65" s="99"/>
      <c r="C65" s="43"/>
      <c r="D65" s="43"/>
      <c r="E65" s="43"/>
      <c r="F65" s="44"/>
      <c r="G65" s="44"/>
      <c r="H65" s="45"/>
      <c r="I65" s="45"/>
      <c r="J65" s="155">
        <f>SUM(J62:J64)</f>
        <v>502320</v>
      </c>
      <c r="K65" s="155">
        <f>SUM(K62:K64)</f>
        <v>502320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501282</v>
      </c>
      <c r="K68" s="197"/>
    </row>
    <row r="69" spans="1:12" ht="16.5" customHeight="1" x14ac:dyDescent="0.25">
      <c r="A69" s="99"/>
      <c r="B69" s="26"/>
      <c r="C69" s="26" t="s">
        <v>202</v>
      </c>
      <c r="D69" s="193"/>
      <c r="E69" s="193"/>
      <c r="F69" s="194"/>
      <c r="G69" s="194"/>
      <c r="H69" s="195"/>
      <c r="I69" s="195"/>
      <c r="J69" s="197"/>
      <c r="K69" s="196">
        <v>501282</v>
      </c>
      <c r="L69" s="37" t="str">
        <f>IF($J$62=$K$69,"","&lt;- Accts 0848 must agree")</f>
        <v/>
      </c>
    </row>
    <row r="70" spans="1:12" ht="16.5" customHeight="1" x14ac:dyDescent="0.25">
      <c r="A70" s="99"/>
      <c r="C70" s="43"/>
      <c r="D70" s="43"/>
      <c r="E70" s="43"/>
      <c r="F70" s="44"/>
      <c r="G70" s="44"/>
      <c r="H70" s="45"/>
      <c r="I70" s="45"/>
      <c r="J70" s="155">
        <f>SUM(J68:J69)</f>
        <v>501282</v>
      </c>
      <c r="K70" s="155">
        <f>SUM(K68:K69)</f>
        <v>501282</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453824</v>
      </c>
      <c r="K75" s="197"/>
    </row>
    <row r="76" spans="1:12" ht="16.5" customHeight="1" x14ac:dyDescent="0.25">
      <c r="A76" s="99"/>
      <c r="B76" s="26"/>
      <c r="C76" s="26" t="s">
        <v>210</v>
      </c>
      <c r="D76" s="193"/>
      <c r="E76" s="193"/>
      <c r="F76" s="194"/>
      <c r="G76" s="194"/>
      <c r="H76" s="195"/>
      <c r="I76" s="195"/>
      <c r="J76" s="197"/>
      <c r="K76" s="196">
        <v>453824</v>
      </c>
    </row>
    <row r="77" spans="1:12" ht="16.5" customHeight="1" x14ac:dyDescent="0.2">
      <c r="A77" s="99"/>
      <c r="B77" s="262" t="s">
        <v>1737</v>
      </c>
      <c r="C77" s="262"/>
      <c r="D77" s="262"/>
      <c r="E77" s="262"/>
      <c r="F77" s="262"/>
      <c r="G77" s="262"/>
      <c r="H77" s="262"/>
      <c r="I77" s="262"/>
      <c r="J77" s="155">
        <f>SUM(J75:J76)</f>
        <v>453824</v>
      </c>
      <c r="K77" s="155">
        <f>SUM(K75:K76)</f>
        <v>453824</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2390558.2508513043</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-893198</v>
      </c>
    </row>
    <row r="128" spans="1:12" ht="16.5" customHeight="1" x14ac:dyDescent="0.25">
      <c r="D128" s="193" t="s">
        <v>1708</v>
      </c>
      <c r="H128" s="37"/>
      <c r="K128" s="238">
        <f>-K23-K48+J68+J75+J96-K113</f>
        <v>-1039272</v>
      </c>
    </row>
    <row r="129" spans="4:11" ht="16.5" customHeight="1" x14ac:dyDescent="0.25">
      <c r="D129" s="193" t="s">
        <v>1709</v>
      </c>
      <c r="H129" s="37"/>
      <c r="K129" s="238">
        <f>-K76</f>
        <v>-453824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93" priority="12">
      <formula>$J$62&lt;&gt;$K$69</formula>
    </cfRule>
  </conditionalFormatting>
  <conditionalFormatting sqref="L26:P26">
    <cfRule type="expression" dxfId="92" priority="1">
      <formula>$J$26&lt;&gt;$K$26</formula>
    </cfRule>
  </conditionalFormatting>
  <conditionalFormatting sqref="L36:P36">
    <cfRule type="expression" dxfId="91" priority="2">
      <formula>$J$36&lt;&gt;$K$36</formula>
    </cfRule>
  </conditionalFormatting>
  <conditionalFormatting sqref="L43:P43">
    <cfRule type="expression" dxfId="90" priority="3">
      <formula>$J$43&lt;&gt;$K$43</formula>
    </cfRule>
  </conditionalFormatting>
  <conditionalFormatting sqref="L49:P49">
    <cfRule type="expression" dxfId="89" priority="4">
      <formula>$J$49&lt;&gt;$K$49</formula>
    </cfRule>
  </conditionalFormatting>
  <conditionalFormatting sqref="L59:P59">
    <cfRule type="expression" dxfId="88" priority="5">
      <formula>$J$59&lt;&gt;$K$59</formula>
    </cfRule>
  </conditionalFormatting>
  <conditionalFormatting sqref="L65:P65">
    <cfRule type="expression" dxfId="87" priority="6">
      <formula>$J$65&lt;&gt;$K$65</formula>
    </cfRule>
  </conditionalFormatting>
  <conditionalFormatting sqref="L70:P70">
    <cfRule type="expression" dxfId="86" priority="7">
      <formula>$J$70&lt;&gt;$K$70</formula>
    </cfRule>
  </conditionalFormatting>
  <conditionalFormatting sqref="L77:P77">
    <cfRule type="expression" dxfId="85" priority="8">
      <formula>$J$77&lt;&gt;$K$77</formula>
    </cfRule>
  </conditionalFormatting>
  <conditionalFormatting sqref="L91:P91">
    <cfRule type="expression" dxfId="84" priority="9">
      <formula>$J$91&lt;&gt;$K$91</formula>
    </cfRule>
  </conditionalFormatting>
  <conditionalFormatting sqref="L105:P105">
    <cfRule type="expression" dxfId="83" priority="10">
      <formula>$J$105&lt;&gt;$K$105</formula>
    </cfRule>
  </conditionalFormatting>
  <conditionalFormatting sqref="L114:P114">
    <cfRule type="expression" dxfId="82" priority="11">
      <formula>$J$114&lt;&gt;$K$114</formula>
    </cfRule>
  </conditionalFormatting>
  <dataValidations count="3">
    <dataValidation type="textLength" operator="equal" allowBlank="1" showInputMessage="1" showErrorMessage="1" errorTitle="4-Digit Org Code" error="Enter the Org Code/BU as 4 digits." sqref="F5" xr:uid="{D20864FA-FD09-445B-8023-90F349B1B92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9CB7725-AD5F-4F36-8A95-853ADEB8B1E8}">
      <formula1>0</formula1>
    </dataValidation>
    <dataValidation operator="lessThan" allowBlank="1" showInputMessage="1" showErrorMessage="1" sqref="A3:A8" xr:uid="{07AE2AF9-2303-4EA5-A9AB-C54F83A8D7D5}"/>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9DBEF6A-D1D6-432F-9525-89B38FBD1513}">
          <x14:formula1>
            <xm:f>'Drop Down Menus'!$E$1:$E$3</xm:f>
          </x14:formula1>
          <xm:sqref>F8</xm:sqref>
        </x14:dataValidation>
        <x14:dataValidation type="list" allowBlank="1" showInputMessage="1" showErrorMessage="1" xr:uid="{B54169E1-2FBA-41BC-ABC4-0BCDF51C6F20}">
          <x14:formula1>
            <xm:f>'Drop Down Menus'!$B$1:$B$2</xm:f>
          </x14:formula1>
          <xm:sqref>F7</xm:sqref>
        </x14:dataValidation>
        <x14:dataValidation type="list" allowBlank="1" showInputMessage="1" showErrorMessage="1" xr:uid="{2BF4FB79-3F5A-41B7-A05A-DC532D7DBEAE}">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9468-F3EF-45DE-91F2-404AC4EA7053}">
  <sheetPr>
    <tabColor theme="9" tint="0.39997558519241921"/>
    <pageSetUpPr fitToPage="1"/>
  </sheetPr>
  <dimension ref="A1:T193"/>
  <sheetViews>
    <sheetView topLeftCell="A114" workbookViewId="0">
      <selection activeCell="J112" activeCellId="1" sqref="J33 J11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1313</v>
      </c>
      <c r="G5" s="266"/>
      <c r="H5" s="266"/>
      <c r="I5" s="266"/>
      <c r="L5" s="39"/>
      <c r="M5" s="39"/>
      <c r="N5" s="39"/>
      <c r="O5" s="39"/>
      <c r="P5" s="39"/>
      <c r="Q5" s="39"/>
    </row>
    <row r="6" spans="1:20" ht="16.5" customHeight="1" x14ac:dyDescent="0.25">
      <c r="A6" s="264" t="s">
        <v>1682</v>
      </c>
      <c r="B6" s="264"/>
      <c r="C6" s="264"/>
      <c r="D6" s="264"/>
      <c r="E6" s="264"/>
      <c r="F6" s="267">
        <v>890</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100887</v>
      </c>
      <c r="M17" s="196">
        <v>100887</v>
      </c>
      <c r="P17" s="196">
        <v>100887</v>
      </c>
      <c r="Q17" s="224"/>
      <c r="S17" s="223">
        <f t="shared" si="0"/>
        <v>0</v>
      </c>
      <c r="T17" s="251" t="s">
        <v>1760</v>
      </c>
    </row>
    <row r="18" spans="1:20" ht="16.5" customHeight="1" x14ac:dyDescent="0.25">
      <c r="A18" s="99"/>
      <c r="B18" s="26" t="s">
        <v>178</v>
      </c>
      <c r="C18" s="26"/>
      <c r="D18" s="26"/>
      <c r="E18" s="193"/>
      <c r="F18" s="194"/>
      <c r="G18" s="194"/>
      <c r="H18" s="195"/>
      <c r="I18" s="195"/>
      <c r="J18" s="248">
        <f>P18</f>
        <v>2985</v>
      </c>
      <c r="M18" s="196">
        <v>2985</v>
      </c>
      <c r="P18" s="221">
        <f>IF(SUM($Q$20:$Q$23)&gt;SUM($P$15:$P$17),SUM($Q$20:$Q$23)-SUM($P$15:$P$17),0)</f>
        <v>2985</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58803</v>
      </c>
      <c r="N22" s="196">
        <v>58803</v>
      </c>
      <c r="P22" s="224"/>
      <c r="Q22" s="196">
        <v>58803</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45069</v>
      </c>
      <c r="N23" s="196">
        <v>45069</v>
      </c>
      <c r="P23" s="224"/>
      <c r="Q23" s="196">
        <v>45069</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103872</v>
      </c>
      <c r="K26" s="155">
        <f>SUM(K15:K25)</f>
        <v>103872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92314</v>
      </c>
      <c r="K33" s="197"/>
    </row>
    <row r="34" spans="1:12" ht="16.5" customHeight="1" x14ac:dyDescent="0.25">
      <c r="A34" s="99"/>
      <c r="B34" s="26"/>
      <c r="C34" s="26" t="s">
        <v>1745</v>
      </c>
      <c r="D34" s="193"/>
      <c r="E34" s="193"/>
      <c r="F34" s="194"/>
      <c r="G34" s="194"/>
      <c r="H34" s="195"/>
      <c r="I34" s="195"/>
      <c r="J34" s="197"/>
      <c r="K34" s="196">
        <v>92314</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92314</v>
      </c>
      <c r="K36" s="155">
        <f>SUM(K33:K35)</f>
        <v>92314</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92314</v>
      </c>
      <c r="K41" s="197"/>
    </row>
    <row r="42" spans="1:12" ht="16.5" customHeight="1" x14ac:dyDescent="0.25">
      <c r="A42" s="99"/>
      <c r="B42" s="26"/>
      <c r="C42" s="26" t="s">
        <v>197</v>
      </c>
      <c r="D42" s="193"/>
      <c r="E42" s="193"/>
      <c r="F42" s="194"/>
      <c r="G42" s="194"/>
      <c r="H42" s="195"/>
      <c r="I42" s="195"/>
      <c r="J42" s="197"/>
      <c r="K42" s="196">
        <v>92314</v>
      </c>
    </row>
    <row r="43" spans="1:12" ht="16.5" customHeight="1" x14ac:dyDescent="0.25">
      <c r="A43" s="99"/>
      <c r="B43" s="182" t="s">
        <v>1691</v>
      </c>
      <c r="C43" s="43"/>
      <c r="D43" s="43"/>
      <c r="E43" s="43"/>
      <c r="F43" s="44"/>
      <c r="G43" s="44"/>
      <c r="H43" s="45"/>
      <c r="I43" s="45"/>
      <c r="J43" s="155">
        <f>SUM(J39:J42)</f>
        <v>92314</v>
      </c>
      <c r="K43" s="155">
        <f>SUM(K39:K42)</f>
        <v>92314</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92314</v>
      </c>
      <c r="K47" s="197"/>
    </row>
    <row r="48" spans="1:12" ht="16.5" customHeight="1" x14ac:dyDescent="0.25">
      <c r="A48" s="234" t="s">
        <v>1697</v>
      </c>
      <c r="B48" s="26"/>
      <c r="C48" s="26" t="s">
        <v>183</v>
      </c>
      <c r="D48" s="193"/>
      <c r="E48" s="193"/>
      <c r="F48" s="194"/>
      <c r="G48" s="194"/>
      <c r="H48" s="195"/>
      <c r="I48" s="195"/>
      <c r="J48" s="197"/>
      <c r="K48" s="196">
        <v>92314</v>
      </c>
    </row>
    <row r="49" spans="1:16" ht="16.5" customHeight="1" x14ac:dyDescent="0.25">
      <c r="A49" s="99"/>
      <c r="C49" s="43"/>
      <c r="D49" s="43"/>
      <c r="E49" s="43"/>
      <c r="F49" s="44"/>
      <c r="G49" s="44"/>
      <c r="H49" s="45"/>
      <c r="I49" s="45"/>
      <c r="J49" s="155">
        <f>SUM(J47:J48)</f>
        <v>92314</v>
      </c>
      <c r="K49" s="155">
        <f>SUM(K47:K48)</f>
        <v>92314</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f>6160+8257+23570</f>
        <v>37987</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37987</v>
      </c>
    </row>
    <row r="59" spans="1:16" ht="16.5" customHeight="1" x14ac:dyDescent="0.25">
      <c r="A59" s="99"/>
      <c r="C59" s="43"/>
      <c r="D59" s="43"/>
      <c r="E59" s="43"/>
      <c r="F59" s="44"/>
      <c r="G59" s="44"/>
      <c r="H59" s="45"/>
      <c r="I59" s="45"/>
      <c r="J59" s="155">
        <f>SUM(J55:J58)</f>
        <v>37987</v>
      </c>
      <c r="K59" s="155">
        <f>SUM(K55:K58)</f>
        <v>37987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f>23570+11483+15401</f>
        <v>50454</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62+63</f>
        <v>125</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50579</v>
      </c>
    </row>
    <row r="65" spans="1:12" ht="16.5" customHeight="1" x14ac:dyDescent="0.25">
      <c r="A65" s="99"/>
      <c r="C65" s="43"/>
      <c r="D65" s="43"/>
      <c r="E65" s="43"/>
      <c r="F65" s="44"/>
      <c r="G65" s="44"/>
      <c r="H65" s="45"/>
      <c r="I65" s="45"/>
      <c r="J65" s="155">
        <f>SUM(J62:J64)</f>
        <v>50579</v>
      </c>
      <c r="K65" s="155">
        <f>SUM(K62:K64)</f>
        <v>50579</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23570+11483+15401</f>
        <v>50454</v>
      </c>
      <c r="K68" s="197"/>
    </row>
    <row r="69" spans="1:12" ht="16.5" customHeight="1" x14ac:dyDescent="0.25">
      <c r="A69" s="99"/>
      <c r="B69" s="26"/>
      <c r="C69" s="26" t="s">
        <v>202</v>
      </c>
      <c r="D69" s="193"/>
      <c r="E69" s="193"/>
      <c r="F69" s="194"/>
      <c r="G69" s="194"/>
      <c r="H69" s="195"/>
      <c r="I69" s="195"/>
      <c r="J69" s="197"/>
      <c r="K69" s="196">
        <v>50454</v>
      </c>
      <c r="L69" s="37" t="str">
        <f>IF($J$62=$K$69,"","&lt;- Accts 0848 must agree")</f>
        <v/>
      </c>
    </row>
    <row r="70" spans="1:12" ht="16.5" customHeight="1" x14ac:dyDescent="0.25">
      <c r="A70" s="99"/>
      <c r="C70" s="43"/>
      <c r="D70" s="43"/>
      <c r="E70" s="43"/>
      <c r="F70" s="44"/>
      <c r="G70" s="44"/>
      <c r="H70" s="45"/>
      <c r="I70" s="45"/>
      <c r="J70" s="155">
        <f>SUM(J68:J69)</f>
        <v>50454</v>
      </c>
      <c r="K70" s="155">
        <f>SUM(K68:K69)</f>
        <v>50454</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f>21606+11506+15432</f>
        <v>48544</v>
      </c>
      <c r="K75" s="197"/>
    </row>
    <row r="76" spans="1:12" ht="16.5" customHeight="1" x14ac:dyDescent="0.25">
      <c r="A76" s="99"/>
      <c r="B76" s="26"/>
      <c r="C76" s="26" t="s">
        <v>210</v>
      </c>
      <c r="D76" s="193"/>
      <c r="E76" s="193"/>
      <c r="F76" s="194"/>
      <c r="G76" s="194"/>
      <c r="H76" s="195"/>
      <c r="I76" s="195"/>
      <c r="J76" s="197"/>
      <c r="K76" s="196">
        <v>48544</v>
      </c>
    </row>
    <row r="77" spans="1:12" ht="16.5" customHeight="1" x14ac:dyDescent="0.2">
      <c r="A77" s="99"/>
      <c r="B77" s="262" t="s">
        <v>1737</v>
      </c>
      <c r="C77" s="262"/>
      <c r="D77" s="262"/>
      <c r="E77" s="262"/>
      <c r="F77" s="262"/>
      <c r="G77" s="262"/>
      <c r="H77" s="262"/>
      <c r="I77" s="262"/>
      <c r="J77" s="155">
        <f>SUM(J75:J76)</f>
        <v>48544</v>
      </c>
      <c r="K77" s="155">
        <f>SUM(K75:K76)</f>
        <v>48544</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27722</v>
      </c>
      <c r="K112" s="53"/>
    </row>
    <row r="113" spans="1:12" ht="16.5" customHeight="1" x14ac:dyDescent="0.2">
      <c r="A113" s="234" t="s">
        <v>1697</v>
      </c>
      <c r="B113" s="26"/>
      <c r="C113" s="26" t="s">
        <v>183</v>
      </c>
      <c r="D113" s="20"/>
      <c r="E113" s="53"/>
      <c r="F113" s="53"/>
      <c r="G113" s="53"/>
      <c r="H113" s="53"/>
      <c r="I113" s="53"/>
      <c r="J113" s="53"/>
      <c r="K113" s="196">
        <v>27722</v>
      </c>
    </row>
    <row r="114" spans="1:12" ht="16.5" customHeight="1" x14ac:dyDescent="0.25">
      <c r="A114" s="15"/>
      <c r="B114" s="182" t="s">
        <v>1691</v>
      </c>
      <c r="C114" s="166"/>
      <c r="D114" s="166"/>
      <c r="H114" s="37"/>
      <c r="J114" s="156">
        <f>SUM(J110:J113)</f>
        <v>27722</v>
      </c>
      <c r="K114" s="156">
        <f>SUM(K110:K113)</f>
        <v>27722</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220923</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-96790</v>
      </c>
    </row>
    <row r="128" spans="1:12" ht="16.5" customHeight="1" x14ac:dyDescent="0.25">
      <c r="D128" s="193" t="s">
        <v>1708</v>
      </c>
      <c r="H128" s="37"/>
      <c r="K128" s="238">
        <f>-K23-K48+J68+J75+J96-K113</f>
        <v>-66107</v>
      </c>
    </row>
    <row r="129" spans="4:11" ht="16.5" customHeight="1" x14ac:dyDescent="0.25">
      <c r="D129" s="193" t="s">
        <v>1709</v>
      </c>
      <c r="H129" s="37"/>
      <c r="K129" s="238">
        <f>-K76</f>
        <v>-48544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81" priority="12">
      <formula>$J$62&lt;&gt;$K$69</formula>
    </cfRule>
  </conditionalFormatting>
  <conditionalFormatting sqref="L26:P26">
    <cfRule type="expression" dxfId="80" priority="1">
      <formula>$J$26&lt;&gt;$K$26</formula>
    </cfRule>
  </conditionalFormatting>
  <conditionalFormatting sqref="L36:P36">
    <cfRule type="expression" dxfId="79" priority="2">
      <formula>$J$36&lt;&gt;$K$36</formula>
    </cfRule>
  </conditionalFormatting>
  <conditionalFormatting sqref="L43:P43">
    <cfRule type="expression" dxfId="78" priority="3">
      <formula>$J$43&lt;&gt;$K$43</formula>
    </cfRule>
  </conditionalFormatting>
  <conditionalFormatting sqref="L49:P49">
    <cfRule type="expression" dxfId="77" priority="4">
      <formula>$J$49&lt;&gt;$K$49</formula>
    </cfRule>
  </conditionalFormatting>
  <conditionalFormatting sqref="L59:P59">
    <cfRule type="expression" dxfId="76" priority="5">
      <formula>$J$59&lt;&gt;$K$59</formula>
    </cfRule>
  </conditionalFormatting>
  <conditionalFormatting sqref="L65:P65">
    <cfRule type="expression" dxfId="75" priority="6">
      <formula>$J$65&lt;&gt;$K$65</formula>
    </cfRule>
  </conditionalFormatting>
  <conditionalFormatting sqref="L70:P70">
    <cfRule type="expression" dxfId="74" priority="7">
      <formula>$J$70&lt;&gt;$K$70</formula>
    </cfRule>
  </conditionalFormatting>
  <conditionalFormatting sqref="L77:P77">
    <cfRule type="expression" dxfId="73" priority="8">
      <formula>$J$77&lt;&gt;$K$77</formula>
    </cfRule>
  </conditionalFormatting>
  <conditionalFormatting sqref="L91:P91">
    <cfRule type="expression" dxfId="72" priority="9">
      <formula>$J$91&lt;&gt;$K$91</formula>
    </cfRule>
  </conditionalFormatting>
  <conditionalFormatting sqref="L105:P105">
    <cfRule type="expression" dxfId="71" priority="10">
      <formula>$J$105&lt;&gt;$K$105</formula>
    </cfRule>
  </conditionalFormatting>
  <conditionalFormatting sqref="L114:P114">
    <cfRule type="expression" dxfId="70" priority="11">
      <formula>$J$114&lt;&gt;$K$114</formula>
    </cfRule>
  </conditionalFormatting>
  <dataValidations count="3">
    <dataValidation operator="lessThan" allowBlank="1" showInputMessage="1" showErrorMessage="1" sqref="A3:A8" xr:uid="{5E2D2C18-8A0D-4F03-9FC8-1D5E964FF3BA}"/>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70C83BF-0500-415F-963F-991C412A8568}">
      <formula1>0</formula1>
    </dataValidation>
    <dataValidation type="textLength" operator="equal" allowBlank="1" showInputMessage="1" showErrorMessage="1" errorTitle="4-Digit Org Code" error="Enter the Org Code/BU as 4 digits." sqref="F5" xr:uid="{ECFFE9C5-020A-4FDA-BB03-83D0A1159B5D}">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08C2B60-2528-459E-A004-F774D70ACF2F}">
          <x14:formula1>
            <xm:f>'Drop Down Menus'!$A$1:$A$101</xm:f>
          </x14:formula1>
          <xm:sqref>F3</xm:sqref>
        </x14:dataValidation>
        <x14:dataValidation type="list" allowBlank="1" showInputMessage="1" showErrorMessage="1" xr:uid="{41DB605B-887C-436C-A69B-EC5E7100ADC5}">
          <x14:formula1>
            <xm:f>'Drop Down Menus'!$B$1:$B$2</xm:f>
          </x14:formula1>
          <xm:sqref>F7</xm:sqref>
        </x14:dataValidation>
        <x14:dataValidation type="list" allowBlank="1" showInputMessage="1" showErrorMessage="1" xr:uid="{B9012DE6-5420-4DFA-98C0-C1D81A6B1DDD}">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276F-7177-4304-81E8-67EAE09FAEA2}">
  <sheetPr>
    <tabColor theme="9" tint="0.39997558519241921"/>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1313</v>
      </c>
      <c r="G5" s="266"/>
      <c r="H5" s="266"/>
      <c r="I5" s="266"/>
      <c r="L5" s="39"/>
      <c r="M5" s="39"/>
      <c r="N5" s="39"/>
      <c r="O5" s="39"/>
      <c r="P5" s="39"/>
      <c r="Q5" s="39"/>
    </row>
    <row r="6" spans="1:20" ht="16.5" customHeight="1" x14ac:dyDescent="0.25">
      <c r="A6" s="264" t="s">
        <v>1682</v>
      </c>
      <c r="B6" s="264"/>
      <c r="C6" s="264"/>
      <c r="D6" s="264"/>
      <c r="E6" s="264"/>
      <c r="F6" s="267">
        <v>3010</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41548</v>
      </c>
      <c r="M17" s="196">
        <v>41548</v>
      </c>
      <c r="P17" s="196">
        <v>41548</v>
      </c>
      <c r="Q17" s="224"/>
      <c r="S17" s="223">
        <f t="shared" si="0"/>
        <v>0</v>
      </c>
      <c r="T17" s="251" t="s">
        <v>1760</v>
      </c>
    </row>
    <row r="18" spans="1:20" ht="16.5" customHeight="1" x14ac:dyDescent="0.25">
      <c r="A18" s="99"/>
      <c r="B18" s="26" t="s">
        <v>178</v>
      </c>
      <c r="C18" s="26"/>
      <c r="D18" s="26"/>
      <c r="E18" s="193"/>
      <c r="F18" s="194"/>
      <c r="G18" s="194"/>
      <c r="H18" s="195"/>
      <c r="I18" s="195"/>
      <c r="J18" s="248">
        <f>P18</f>
        <v>16</v>
      </c>
      <c r="M18" s="196">
        <v>16</v>
      </c>
      <c r="P18" s="221">
        <f>IF(SUM($Q$20:$Q$23)&gt;SUM($P$15:$P$17),SUM($Q$20:$Q$23)-SUM($P$15:$P$17),0)</f>
        <v>16</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33238</v>
      </c>
      <c r="N22" s="196">
        <v>33238</v>
      </c>
      <c r="P22" s="224"/>
      <c r="Q22" s="196">
        <v>33238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8326</v>
      </c>
      <c r="N23" s="196">
        <v>8326</v>
      </c>
      <c r="P23" s="224"/>
      <c r="Q23" s="196">
        <v>8326</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41564</v>
      </c>
      <c r="K26" s="155">
        <f>SUM(K15:K25)</f>
        <v>41564</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14470</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14470</v>
      </c>
    </row>
    <row r="59" spans="1:16" ht="16.5" customHeight="1" x14ac:dyDescent="0.25">
      <c r="A59" s="99"/>
      <c r="C59" s="43"/>
      <c r="D59" s="43"/>
      <c r="E59" s="43"/>
      <c r="F59" s="44"/>
      <c r="G59" s="44"/>
      <c r="H59" s="45"/>
      <c r="I59" s="45"/>
      <c r="J59" s="155">
        <f>SUM(J55:J58)</f>
        <v>14470</v>
      </c>
      <c r="K59" s="155">
        <f>SUM(K55:K58)</f>
        <v>14470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23727</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68</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23795</v>
      </c>
    </row>
    <row r="65" spans="1:12" ht="16.5" customHeight="1" x14ac:dyDescent="0.25">
      <c r="A65" s="99"/>
      <c r="C65" s="43"/>
      <c r="D65" s="43"/>
      <c r="E65" s="43"/>
      <c r="F65" s="44"/>
      <c r="G65" s="44"/>
      <c r="H65" s="45"/>
      <c r="I65" s="45"/>
      <c r="J65" s="155">
        <f>SUM(J62:J64)</f>
        <v>23795</v>
      </c>
      <c r="K65" s="155">
        <f>SUM(K62:K64)</f>
        <v>23795</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23727</v>
      </c>
      <c r="K68" s="197"/>
    </row>
    <row r="69" spans="1:12" ht="16.5" customHeight="1" x14ac:dyDescent="0.25">
      <c r="A69" s="99"/>
      <c r="B69" s="26"/>
      <c r="C69" s="26" t="s">
        <v>202</v>
      </c>
      <c r="D69" s="193"/>
      <c r="E69" s="193"/>
      <c r="F69" s="194"/>
      <c r="G69" s="194"/>
      <c r="H69" s="195"/>
      <c r="I69" s="195"/>
      <c r="J69" s="197"/>
      <c r="K69" s="196">
        <v>23727</v>
      </c>
      <c r="L69" s="37" t="str">
        <f>IF($J$62=$K$69,"","&lt;- Accts 0848 must agree")</f>
        <v/>
      </c>
    </row>
    <row r="70" spans="1:12" ht="16.5" customHeight="1" x14ac:dyDescent="0.25">
      <c r="A70" s="99"/>
      <c r="C70" s="43"/>
      <c r="D70" s="43"/>
      <c r="E70" s="43"/>
      <c r="F70" s="44"/>
      <c r="G70" s="44"/>
      <c r="H70" s="45"/>
      <c r="I70" s="45"/>
      <c r="J70" s="155">
        <f>SUM(J68:J69)</f>
        <v>23727</v>
      </c>
      <c r="K70" s="155">
        <f>SUM(K68:K69)</f>
        <v>23727</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15432</v>
      </c>
      <c r="K75" s="197"/>
    </row>
    <row r="76" spans="1:12" ht="16.5" customHeight="1" x14ac:dyDescent="0.25">
      <c r="A76" s="99"/>
      <c r="B76" s="26"/>
      <c r="C76" s="26" t="s">
        <v>210</v>
      </c>
      <c r="D76" s="193"/>
      <c r="E76" s="193"/>
      <c r="F76" s="194"/>
      <c r="G76" s="194"/>
      <c r="H76" s="195"/>
      <c r="I76" s="195"/>
      <c r="J76" s="197"/>
      <c r="K76" s="196">
        <v>15432</v>
      </c>
    </row>
    <row r="77" spans="1:12" ht="16.5" customHeight="1" x14ac:dyDescent="0.2">
      <c r="A77" s="99"/>
      <c r="B77" s="262" t="s">
        <v>1737</v>
      </c>
      <c r="C77" s="262"/>
      <c r="D77" s="262"/>
      <c r="E77" s="262"/>
      <c r="F77" s="262"/>
      <c r="G77" s="262"/>
      <c r="H77" s="262"/>
      <c r="I77" s="262"/>
      <c r="J77" s="155">
        <f>SUM(J75:J76)</f>
        <v>15432</v>
      </c>
      <c r="K77" s="155">
        <f>SUM(K75:K76)</f>
        <v>15432</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27722</v>
      </c>
      <c r="K112" s="53"/>
    </row>
    <row r="113" spans="1:12" ht="16.5" customHeight="1" x14ac:dyDescent="0.2">
      <c r="A113" s="234" t="s">
        <v>1697</v>
      </c>
      <c r="B113" s="26"/>
      <c r="C113" s="26" t="s">
        <v>183</v>
      </c>
      <c r="D113" s="20"/>
      <c r="E113" s="53"/>
      <c r="F113" s="53"/>
      <c r="G113" s="53"/>
      <c r="H113" s="53"/>
      <c r="I113" s="53"/>
      <c r="J113" s="53"/>
      <c r="K113" s="196">
        <v>27722</v>
      </c>
    </row>
    <row r="114" spans="1:12" ht="16.5" customHeight="1" x14ac:dyDescent="0.25">
      <c r="A114" s="15"/>
      <c r="B114" s="182" t="s">
        <v>1691</v>
      </c>
      <c r="C114" s="166"/>
      <c r="D114" s="166"/>
      <c r="H114" s="37"/>
      <c r="J114" s="156">
        <f>SUM(J110:J113)</f>
        <v>27722</v>
      </c>
      <c r="K114" s="156">
        <f>SUM(K110:K113)</f>
        <v>27722</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69270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-47708</v>
      </c>
    </row>
    <row r="128" spans="1:12" ht="16.5" customHeight="1" x14ac:dyDescent="0.25">
      <c r="D128" s="193" t="s">
        <v>1708</v>
      </c>
      <c r="H128" s="37"/>
      <c r="K128" s="238">
        <f>-K23-K48+J68+J75+J96-K113</f>
        <v>3111</v>
      </c>
    </row>
    <row r="129" spans="4:11" ht="16.5" customHeight="1" x14ac:dyDescent="0.25">
      <c r="D129" s="193" t="s">
        <v>1709</v>
      </c>
      <c r="H129" s="37"/>
      <c r="K129" s="238">
        <f>-K76</f>
        <v>-15432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operator="lessThan" allowBlank="1" showInputMessage="1" showErrorMessage="1" sqref="A3:A8" xr:uid="{F8F482B0-AB12-42CC-A4FE-9828E1C93971}"/>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3B98820-EBEF-42A5-BC39-DBCFB3816821}">
      <formula1>0</formula1>
    </dataValidation>
    <dataValidation type="textLength" operator="equal" allowBlank="1" showInputMessage="1" showErrorMessage="1" errorTitle="4-Digit Org Code" error="Enter the Org Code/BU as 4 digits." sqref="F5" xr:uid="{7BF4E6F9-D50E-4CD4-BCDE-1E7AF8D4D28D}">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9D979FEC-7694-4629-94E8-002A31B9044C}">
          <x14:formula1>
            <xm:f>'Drop Down Menus'!$A$1:$A$101</xm:f>
          </x14:formula1>
          <xm:sqref>F3</xm:sqref>
        </x14:dataValidation>
        <x14:dataValidation type="list" allowBlank="1" showInputMessage="1" showErrorMessage="1" xr:uid="{F91189E2-B71E-4B17-B2CB-018B1D13DE94}">
          <x14:formula1>
            <xm:f>'Drop Down Menus'!$B$1:$B$2</xm:f>
          </x14:formula1>
          <xm:sqref>F7</xm:sqref>
        </x14:dataValidation>
        <x14:dataValidation type="list" allowBlank="1" showInputMessage="1" showErrorMessage="1" xr:uid="{93FBBBC9-BF59-4713-B6B6-D85F79C5CB76}">
          <x14:formula1>
            <xm:f>'Drop Down Menus'!$E$1:$E$3</xm:f>
          </x14:formula1>
          <xm:sqref>F8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C5F1-3FC7-4384-8009-925B325DC04F}">
  <sheetPr>
    <tabColor theme="9" tint="0.39997558519241921"/>
    <pageSetUpPr fitToPage="1"/>
  </sheetPr>
  <dimension ref="A1:T193"/>
  <sheetViews>
    <sheetView workbookViewId="0">
      <selection sqref="A1:K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1313</v>
      </c>
      <c r="G5" s="266"/>
      <c r="H5" s="266"/>
      <c r="I5" s="266"/>
      <c r="L5" s="39"/>
      <c r="M5" s="39"/>
      <c r="N5" s="39"/>
      <c r="O5" s="39"/>
      <c r="P5" s="39"/>
      <c r="Q5" s="39"/>
    </row>
    <row r="6" spans="1:20" ht="16.5" customHeight="1" x14ac:dyDescent="0.25">
      <c r="A6" s="264" t="s">
        <v>1682</v>
      </c>
      <c r="B6" s="264"/>
      <c r="C6" s="264"/>
      <c r="D6" s="264"/>
      <c r="E6" s="264"/>
      <c r="F6" s="267">
        <v>3237</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217575</v>
      </c>
      <c r="M17" s="196">
        <v>217575</v>
      </c>
      <c r="P17" s="196">
        <v>217575</v>
      </c>
      <c r="Q17" s="224"/>
      <c r="S17" s="223">
        <f t="shared" si="0"/>
        <v>0</v>
      </c>
      <c r="T17" s="251" t="s">
        <v>1760</v>
      </c>
    </row>
    <row r="18" spans="1:20" ht="16.5" customHeight="1" x14ac:dyDescent="0.25">
      <c r="A18" s="99"/>
      <c r="B18" s="26" t="s">
        <v>178</v>
      </c>
      <c r="C18" s="26"/>
      <c r="D18" s="26"/>
      <c r="E18" s="193"/>
      <c r="F18" s="194"/>
      <c r="G18" s="194"/>
      <c r="H18" s="195"/>
      <c r="I18" s="195"/>
      <c r="J18" s="248">
        <f>P18</f>
        <v>10881</v>
      </c>
      <c r="M18" s="196">
        <v>10881</v>
      </c>
      <c r="P18" s="221">
        <f>IF(SUM($Q$20:$Q$23)&gt;SUM($P$15:$P$17),SUM($Q$20:$Q$23)-SUM($P$15:$P$17),0)</f>
        <v>10881</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v>0</v>
      </c>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93734</v>
      </c>
      <c r="N22" s="196">
        <v>93734</v>
      </c>
      <c r="P22" s="224"/>
      <c r="Q22" s="196">
        <v>93734</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134722</v>
      </c>
      <c r="N23" s="196">
        <v>134722</v>
      </c>
      <c r="P23" s="224"/>
      <c r="Q23" s="196">
        <v>134722</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228456</v>
      </c>
      <c r="K26" s="155">
        <f>SUM(K15:K25)</f>
        <v>228456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18653</v>
      </c>
      <c r="K33" s="197"/>
    </row>
    <row r="34" spans="1:12" ht="16.5" customHeight="1" x14ac:dyDescent="0.25">
      <c r="A34" s="99"/>
      <c r="B34" s="26"/>
      <c r="C34" s="26" t="s">
        <v>1745</v>
      </c>
      <c r="D34" s="193"/>
      <c r="E34" s="193"/>
      <c r="F34" s="194"/>
      <c r="G34" s="194"/>
      <c r="H34" s="195"/>
      <c r="I34" s="195"/>
      <c r="J34" s="197"/>
      <c r="K34" s="196">
        <v>18653</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18653</v>
      </c>
      <c r="K36" s="155">
        <f>SUM(K33:K35)</f>
        <v>18653</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18653</v>
      </c>
      <c r="K41" s="197"/>
    </row>
    <row r="42" spans="1:12" ht="16.5" customHeight="1" x14ac:dyDescent="0.25">
      <c r="A42" s="99"/>
      <c r="B42" s="26"/>
      <c r="C42" s="26" t="s">
        <v>197</v>
      </c>
      <c r="D42" s="193"/>
      <c r="E42" s="193"/>
      <c r="F42" s="194"/>
      <c r="G42" s="194"/>
      <c r="H42" s="195"/>
      <c r="I42" s="195"/>
      <c r="J42" s="197"/>
      <c r="K42" s="196">
        <v>18653</v>
      </c>
    </row>
    <row r="43" spans="1:12" ht="16.5" customHeight="1" x14ac:dyDescent="0.25">
      <c r="A43" s="99"/>
      <c r="B43" s="182" t="s">
        <v>1691</v>
      </c>
      <c r="C43" s="43"/>
      <c r="D43" s="43"/>
      <c r="E43" s="43"/>
      <c r="F43" s="44"/>
      <c r="G43" s="44"/>
      <c r="H43" s="45"/>
      <c r="I43" s="45"/>
      <c r="J43" s="155">
        <f>SUM(J39:J42)</f>
        <v>18653</v>
      </c>
      <c r="K43" s="155">
        <f>SUM(K39:K42)</f>
        <v>18653</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18653</v>
      </c>
      <c r="K47" s="197"/>
    </row>
    <row r="48" spans="1:12" ht="16.5" customHeight="1" x14ac:dyDescent="0.25">
      <c r="A48" s="234" t="s">
        <v>1697</v>
      </c>
      <c r="B48" s="26"/>
      <c r="C48" s="26" t="s">
        <v>183</v>
      </c>
      <c r="D48" s="193"/>
      <c r="E48" s="193"/>
      <c r="F48" s="194"/>
      <c r="G48" s="194"/>
      <c r="H48" s="195"/>
      <c r="I48" s="195"/>
      <c r="J48" s="197"/>
      <c r="K48" s="196">
        <v>18653</v>
      </c>
    </row>
    <row r="49" spans="1:16" ht="16.5" customHeight="1" x14ac:dyDescent="0.25">
      <c r="A49" s="99"/>
      <c r="C49" s="43"/>
      <c r="D49" s="43"/>
      <c r="E49" s="43"/>
      <c r="F49" s="44"/>
      <c r="G49" s="44"/>
      <c r="H49" s="45"/>
      <c r="I49" s="45"/>
      <c r="J49" s="155">
        <f>SUM(J47:J48)</f>
        <v>18653</v>
      </c>
      <c r="K49" s="155">
        <f>SUM(K47:K48)</f>
        <v>18653</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44598.350427589845</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44598.350427589845</v>
      </c>
    </row>
    <row r="59" spans="1:16" ht="16.5" customHeight="1" x14ac:dyDescent="0.25">
      <c r="A59" s="99"/>
      <c r="C59" s="43"/>
      <c r="D59" s="43"/>
      <c r="E59" s="43"/>
      <c r="F59" s="44"/>
      <c r="G59" s="44"/>
      <c r="H59" s="45"/>
      <c r="I59" s="45"/>
      <c r="J59" s="155">
        <f>SUM(J55:J58)</f>
        <v>44598.350427589845</v>
      </c>
      <c r="K59" s="155">
        <f>SUM(K55:K58)</f>
        <v>44598.350427589845</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56424</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56717</v>
      </c>
    </row>
    <row r="65" spans="1:12" ht="16.5" customHeight="1" x14ac:dyDescent="0.25">
      <c r="A65" s="99"/>
      <c r="C65" s="43"/>
      <c r="D65" s="43"/>
      <c r="E65" s="43"/>
      <c r="F65" s="44"/>
      <c r="G65" s="44"/>
      <c r="H65" s="45"/>
      <c r="I65" s="45"/>
      <c r="J65" s="155">
        <f>SUM(J62:J64)</f>
        <v>56717</v>
      </c>
      <c r="K65" s="155">
        <f>SUM(K62:K64)</f>
        <v>56717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56424</v>
      </c>
      <c r="K68" s="197"/>
    </row>
    <row r="69" spans="1:12" ht="16.5" customHeight="1" x14ac:dyDescent="0.25">
      <c r="A69" s="99"/>
      <c r="B69" s="26"/>
      <c r="C69" s="26" t="s">
        <v>202</v>
      </c>
      <c r="D69" s="193"/>
      <c r="E69" s="193"/>
      <c r="F69" s="194"/>
      <c r="G69" s="194"/>
      <c r="H69" s="195"/>
      <c r="I69" s="195"/>
      <c r="J69" s="197"/>
      <c r="K69" s="196">
        <v>56424</v>
      </c>
      <c r="L69" s="37" t="str">
        <f>IF($J$62=$K$69,"","&lt;- Accts 0848 must agree")</f>
        <v/>
      </c>
    </row>
    <row r="70" spans="1:12" ht="16.5" customHeight="1" x14ac:dyDescent="0.25">
      <c r="A70" s="99"/>
      <c r="C70" s="43"/>
      <c r="D70" s="43"/>
      <c r="E70" s="43"/>
      <c r="F70" s="44"/>
      <c r="G70" s="44"/>
      <c r="H70" s="45"/>
      <c r="I70" s="45"/>
      <c r="J70" s="155">
        <f>SUM(J68:J69)</f>
        <v>56424</v>
      </c>
      <c r="K70" s="155">
        <f>SUM(K68:K69)</f>
        <v>56424</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56532</v>
      </c>
      <c r="K75" s="197"/>
    </row>
    <row r="76" spans="1:12" ht="16.5" customHeight="1" x14ac:dyDescent="0.25">
      <c r="A76" s="99"/>
      <c r="B76" s="26"/>
      <c r="C76" s="26" t="s">
        <v>210</v>
      </c>
      <c r="D76" s="193"/>
      <c r="E76" s="193"/>
      <c r="F76" s="194"/>
      <c r="G76" s="194"/>
      <c r="H76" s="195"/>
      <c r="I76" s="195"/>
      <c r="J76" s="197"/>
      <c r="K76" s="196">
        <v>56532</v>
      </c>
    </row>
    <row r="77" spans="1:12" ht="16.5" customHeight="1" x14ac:dyDescent="0.2">
      <c r="A77" s="99"/>
      <c r="B77" s="262" t="s">
        <v>1737</v>
      </c>
      <c r="C77" s="262"/>
      <c r="D77" s="262"/>
      <c r="E77" s="262"/>
      <c r="F77" s="262"/>
      <c r="G77" s="262"/>
      <c r="H77" s="262"/>
      <c r="I77" s="262"/>
      <c r="J77" s="155">
        <f>SUM(J75:J76)</f>
        <v>56532</v>
      </c>
      <c r="K77" s="155">
        <f>SUM(K75:K76)</f>
        <v>56532</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236228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-138332.35042758984</v>
      </c>
    </row>
    <row r="128" spans="1:12" ht="16.5" customHeight="1" x14ac:dyDescent="0.25">
      <c r="D128" s="193" t="s">
        <v>1708</v>
      </c>
      <c r="H128" s="37"/>
      <c r="K128" s="238">
        <f>-K23-K48+J68+J75+J96-K113</f>
        <v>-40419</v>
      </c>
    </row>
    <row r="129" spans="4:11" ht="16.5" customHeight="1" x14ac:dyDescent="0.25">
      <c r="D129" s="193" t="s">
        <v>1709</v>
      </c>
      <c r="H129" s="37"/>
      <c r="K129" s="238">
        <f>-K76</f>
        <v>-56532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1A071374-90DB-456D-B4FD-77AF1C3B8F1D}"/>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23FD0B7-CA4F-4CDA-98AF-D8522D0BF62F}">
      <formula1>0</formula1>
    </dataValidation>
    <dataValidation type="textLength" operator="equal" allowBlank="1" showInputMessage="1" showErrorMessage="1" errorTitle="4-Digit Org Code" error="Enter the Org Code/BU as 4 digits." sqref="F5" xr:uid="{AAB681AB-32F2-427A-B9C1-194B89624D22}">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AA9C384B-57BB-4E14-AAB3-17C01E5C9038}">
          <x14:formula1>
            <xm:f>'Drop Down Menus'!$A$1:$A$101</xm:f>
          </x14:formula1>
          <xm:sqref>F3</xm:sqref>
        </x14:dataValidation>
        <x14:dataValidation type="list" allowBlank="1" showInputMessage="1" showErrorMessage="1" xr:uid="{6AB809F8-D8CE-4157-ACF1-B1AEC8DF54B8}">
          <x14:formula1>
            <xm:f>'Drop Down Menus'!$B$1:$B$2</xm:f>
          </x14:formula1>
          <xm:sqref>F7</xm:sqref>
        </x14:dataValidation>
        <x14:dataValidation type="list" allowBlank="1" showInputMessage="1" showErrorMessage="1" xr:uid="{70474E5D-8E7C-414C-AC9B-8AD87D6CCB90}">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8570</v>
      </c>
      <c r="C9" s="282"/>
      <c r="D9" s="5"/>
      <c r="E9" s="5"/>
      <c r="F9" s="5"/>
    </row>
    <row r="10" spans="1:13" ht="15.75" x14ac:dyDescent="0.25">
      <c r="A10" s="12" t="s">
        <v>208</v>
      </c>
      <c r="B10" s="283" t="s">
        <v>1804</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2292961</v>
      </c>
      <c r="C13" s="100">
        <v>119412.1249310897</v>
      </c>
      <c r="D13" s="272" t="s">
        <v>6</v>
      </c>
      <c r="E13" s="273"/>
      <c r="F13" s="273"/>
      <c r="G13" s="57"/>
      <c r="H13" s="57"/>
      <c r="I13" s="57"/>
      <c r="J13" s="57"/>
      <c r="K13" s="57"/>
      <c r="L13" s="57"/>
      <c r="M13" s="57"/>
    </row>
    <row r="14" spans="1:13" x14ac:dyDescent="0.2">
      <c r="A14" s="84" t="str">
        <f>LEFT(A13,4)+1&amp;"–"&amp;RIGHT(A13,4)+1</f>
        <v>2025–2026</v>
      </c>
      <c r="B14" s="100">
        <v>1507862.8473914908</v>
      </c>
      <c r="C14" s="100">
        <v>92405.470963361557</v>
      </c>
      <c r="D14" s="272"/>
      <c r="E14" s="273"/>
      <c r="F14" s="273"/>
    </row>
    <row r="15" spans="1:13" ht="15.75" x14ac:dyDescent="0.2">
      <c r="A15" s="84" t="str">
        <f>LEFT(A14,4)+1&amp;"–"&amp;RIGHT(A14,4)+1</f>
        <v>2026–2027</v>
      </c>
      <c r="B15" s="100">
        <v>908340.95132218988</v>
      </c>
      <c r="C15" s="100">
        <v>87849.199966789078</v>
      </c>
      <c r="D15" s="269" t="s">
        <v>130</v>
      </c>
      <c r="E15" s="269"/>
      <c r="F15" s="269"/>
      <c r="G15" s="58"/>
      <c r="H15" s="58"/>
      <c r="I15" s="58"/>
      <c r="J15" s="58"/>
      <c r="K15" s="58"/>
      <c r="L15" s="58"/>
      <c r="M15" s="58"/>
    </row>
    <row r="16" spans="1:13" x14ac:dyDescent="0.2">
      <c r="A16" s="84" t="str">
        <f>LEFT(A15,4)+1&amp;"–"&amp;RIGHT(A15,4)+1</f>
        <v>2027–2028</v>
      </c>
      <c r="B16" s="100">
        <v>629814.03478489583</v>
      </c>
      <c r="C16" s="100">
        <v>50485.746460441886</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440753.8915330146</v>
      </c>
      <c r="C17" s="100">
        <v>13128.418280143094</v>
      </c>
      <c r="D17" s="269"/>
      <c r="E17" s="269"/>
      <c r="F17" s="269"/>
      <c r="G17" s="59"/>
      <c r="H17" s="59"/>
      <c r="I17" s="59"/>
      <c r="J17" s="59"/>
      <c r="K17" s="59"/>
    </row>
    <row r="18" spans="1:13" ht="15" customHeight="1" x14ac:dyDescent="0.25">
      <c r="A18" s="84" t="str">
        <f>LEFT(A17,4)+1&amp;"–"&amp;RIGHT(A17,4)+5</f>
        <v>2029–2034</v>
      </c>
      <c r="B18" s="100">
        <v>279901.2749684084</v>
      </c>
      <c r="C18" s="100">
        <v>8450.333922131671</v>
      </c>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v>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8570</v>
      </c>
      <c r="C40" s="278"/>
      <c r="E40" s="60"/>
    </row>
    <row r="41" spans="1:13" ht="15.75" x14ac:dyDescent="0.25">
      <c r="A41" s="12" t="s">
        <v>208</v>
      </c>
      <c r="B41" s="276" t="str">
        <f>B10</f>
        <v>California Department of Food and Agriculture</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8570</v>
      </c>
      <c r="C71" s="278"/>
    </row>
    <row r="72" spans="1:13" ht="15.75" x14ac:dyDescent="0.25">
      <c r="A72" s="12" t="s">
        <v>208</v>
      </c>
      <c r="B72" s="276" t="str">
        <f>B10</f>
        <v>California Department of Food and Agriculture</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8570 - California Department of Food and Agriculture</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'LS-Fund 0001 Journal Entries'!K23+'LS-Fund 0111 Journal Entries '!K23+'LS-Fund 0890 Journal Entries'!K23+'LS-Fund 3010 Journal Entries'!K23+'LS-Fund 3237 Journal Entries '!K23</f>
        <v>5462895</v>
      </c>
      <c r="G10" s="103"/>
      <c r="H10" s="107">
        <f>'LS-Fund 0001 Journal Entries'!K48+'LS-Fund 0001 Journal Entries'!K113+'LS-Fund 0111 Journal Entries '!K48+'LS-Fund 0111 Journal Entries '!K113+'LS-Fund 0890 Journal Entries'!K48+'LS-Fund 0890 Journal Entries'!K113+'LS-Fund 3010 Journal Entries'!K48+'LS-Fund 3010 Journal Entries'!K113+'LS-Fund 3237 Journal Entries '!K48+'LS-Fund 3237 Journal Entries '!K113</f>
        <v>3048124</v>
      </c>
      <c r="I10" s="103"/>
      <c r="J10" s="107">
        <f>'LS-Fund 0001 Journal Entries'!J68+'LS-Fund 0001 Journal Entries'!J96+'LS-Fund 0111 Journal Entries '!J68+'LS-Fund 0111 Journal Entries '!J96+'LS-Fund 0890 Journal Entries'!J68+'LS-Fund 0890 Journal Entries'!J96+'LS-Fund 3010 Journal Entries'!J68+'LS-Fund 3010 Journal Entries'!J96+'LS-Fund 3237 Journal Entries '!J68+'LS-Fund 3237 Journal Entries '!J96</f>
        <v>2451385</v>
      </c>
      <c r="K10" s="103"/>
      <c r="L10" s="109">
        <f>SUM(F10+H10-J10)</f>
        <v>6059634</v>
      </c>
      <c r="M10" s="103"/>
      <c r="N10" s="107">
        <f>'LS-Fund 0001 Journal Entries'!J75+'LS-Fund 0111 Journal Entries '!J75+'LS-Fund 0890 Journal Entries'!J75+'LS-Fund 3010 Journal Entries'!J75+'LS-Fund 3237 Journal Entries '!J75</f>
        <v>2292961</v>
      </c>
      <c r="O10" s="103"/>
      <c r="P10" s="109">
        <f>L10-N10</f>
        <v>3766673</v>
      </c>
      <c r="Q10" s="71"/>
    </row>
    <row r="11" spans="2:17" ht="19.5" thickTop="1" thickBot="1" x14ac:dyDescent="0.3">
      <c r="B11" s="69"/>
      <c r="C11" s="73" t="s">
        <v>21</v>
      </c>
      <c r="F11" s="108">
        <f>SUM(F10:F10)</f>
        <v>5462895</v>
      </c>
      <c r="G11" s="103"/>
      <c r="H11" s="108">
        <f>SUM(H10:H10)</f>
        <v>3048124</v>
      </c>
      <c r="I11" s="103"/>
      <c r="J11" s="108">
        <f>SUM(J10:J10)</f>
        <v>2451385</v>
      </c>
      <c r="K11" s="103"/>
      <c r="L11" s="108">
        <f>SUM(L10:L10)</f>
        <v>6059634</v>
      </c>
      <c r="M11" s="103"/>
      <c r="N11" s="108">
        <f>SUM(N10:N10)</f>
        <v>2292961</v>
      </c>
      <c r="O11" s="103"/>
      <c r="P11" s="108">
        <f>SUM(P10:P10)</f>
        <v>3766673</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tabSelected="1"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'LS-Fund 0001 Journal Entries'!K23+'LS-Fund 0111 Journal Entries '!K23+'LS-Fund 0890 Journal Entries'!K23+'LS-Fund 3010 Journal Entries'!K23+'LS-Fund 3237 Journal Entries '!K23</f>
        <v>5462895</v>
      </c>
      <c r="C16" s="168" t="s">
        <v>155</v>
      </c>
      <c r="D16" s="130">
        <f>'LS-Fund 0001 Journal Entries'!K48+'LS-Fund 0111 Journal Entries '!K48+'LS-Fund 0890 Journal Entries'!K48+'LS-Fund 3010 Journal Entries'!K48+'LS-Fund 3237 Journal Entries '!K48</f>
        <v>2992680</v>
      </c>
      <c r="E16" s="170" t="s">
        <v>156</v>
      </c>
      <c r="F16" s="130">
        <f>'LS-Fund 0001 Journal Entries'!J68+'LS-Fund 0111 Journal Entries '!J68+'LS-Fund 0890 Journal Entries'!J68+'LS-Fund 3010 Journal Entries'!J68+'LS-Fund 3237 Journal Entries '!J68</f>
        <v>2451385</v>
      </c>
      <c r="G16" s="169" t="s">
        <v>156</v>
      </c>
      <c r="H16" s="130">
        <f>IF('LS-Fund 0001 Journal Entries'!$F$8="Governmental Fund",'LS-Fund 0001 Journal Entries'!$J$96,0)</f>
        <v>0</v>
      </c>
      <c r="I16" s="169" t="s">
        <v>155</v>
      </c>
      <c r="J16" s="130">
        <f>'LS-Fund 0001 Journal Entries'!K113+'LS-Fund 0111 Journal Entries '!K113+'LS-Fund 0890 Journal Entries'!K113+'LS-Fund 3010 Journal Entries'!K113+'LS-Fund 3237 Journal Entries '!K113</f>
        <v>55444</v>
      </c>
      <c r="K16" s="170" t="s">
        <v>159</v>
      </c>
      <c r="L16" s="133">
        <f>+B16+D16-F16-H16+J16</f>
        <v>6059634</v>
      </c>
      <c r="M16" s="132"/>
      <c r="N16" s="134">
        <f>SUM('LS-Department Note Disclosure'!B13:B36)</f>
        <v>6059633.9999999991</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'LS-Fund 0001 Journal Entries'!J75+'LS-Fund 0111 Journal Entries '!J75+'LS-Fund 0890 Journal Entries'!J75+'LS-Fund 3010 Journal Entries'!J75+'LS-Fund 3237 Journal Entries '!J75</f>
        <v>2292961</v>
      </c>
      <c r="C42" s="138"/>
      <c r="E42" s="138"/>
      <c r="G42" s="167"/>
      <c r="H42" s="167"/>
      <c r="I42" s="167"/>
      <c r="J42" s="167"/>
      <c r="K42" s="138"/>
      <c r="L42" s="138"/>
      <c r="M42" s="139"/>
      <c r="N42" s="134">
        <f>'LS-Department Note Disclosure'!B13</f>
        <v>2292961</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5462895</v>
      </c>
      <c r="J66" s="143">
        <f>SUM(D66)</f>
        <v>5462895</v>
      </c>
      <c r="L66" s="144" t="str">
        <f>CONCATENATE("Balance July 1, ",LEFT('LS-Department Note Disclosure'!$B$8,4))</f>
        <v>Balance July 1, 2023</v>
      </c>
      <c r="N66" s="143">
        <f>'LS-Lease Liabilities'!F10</f>
        <v>5462895</v>
      </c>
      <c r="P66" s="135">
        <f>J66-N66</f>
        <v>0</v>
      </c>
    </row>
    <row r="67" spans="1:17" x14ac:dyDescent="0.25">
      <c r="B67" s="125" t="s">
        <v>166</v>
      </c>
      <c r="D67" s="143">
        <f>$D$16</f>
        <v>2992680</v>
      </c>
      <c r="E67" s="171" t="s">
        <v>155</v>
      </c>
      <c r="F67" s="125" t="s">
        <v>1753</v>
      </c>
      <c r="H67" s="143">
        <f>$J$16</f>
        <v>55444</v>
      </c>
      <c r="J67" s="143">
        <f>SUM(D67,H67)</f>
        <v>3048124</v>
      </c>
      <c r="L67" s="144" t="s">
        <v>14</v>
      </c>
      <c r="N67" s="143">
        <f>'LS-Lease Liabilities'!H10</f>
        <v>3048124</v>
      </c>
      <c r="P67" s="135">
        <f t="shared" ref="P67:P69" si="0">J67-N67</f>
        <v>0</v>
      </c>
    </row>
    <row r="68" spans="1:17" x14ac:dyDescent="0.25">
      <c r="B68" s="125" t="s">
        <v>161</v>
      </c>
      <c r="D68" s="143">
        <f>$F$16</f>
        <v>2451385</v>
      </c>
      <c r="E68" s="171" t="s">
        <v>155</v>
      </c>
      <c r="F68" s="125" t="s">
        <v>1750</v>
      </c>
      <c r="H68" s="143">
        <f>$H$16</f>
        <v>0</v>
      </c>
      <c r="J68" s="143">
        <f>SUM(D68,H68)</f>
        <v>2451385</v>
      </c>
      <c r="L68" s="144" t="s">
        <v>15</v>
      </c>
      <c r="N68" s="143">
        <f>'LS-Lease Liabilities'!J10</f>
        <v>2451385</v>
      </c>
      <c r="P68" s="135">
        <f t="shared" si="0"/>
        <v>0</v>
      </c>
    </row>
    <row r="69" spans="1:17" x14ac:dyDescent="0.25">
      <c r="B69" s="125" t="s">
        <v>165</v>
      </c>
      <c r="D69" s="143">
        <f>$B$42</f>
        <v>2292961</v>
      </c>
      <c r="J69" s="143">
        <f>SUM(D69)</f>
        <v>2292961</v>
      </c>
      <c r="L69" s="144" t="s">
        <v>16</v>
      </c>
      <c r="N69" s="143">
        <f>'LS-Lease Liabilities'!N10</f>
        <v>2292961</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12</vt:i4>
      </vt:variant>
    </vt:vector>
  </HeadingPairs>
  <TitlesOfParts>
    <vt:vector size="30" baseType="lpstr">
      <vt:lpstr>Drop Down Menus</vt:lpstr>
      <vt:lpstr>qryIndex02a</vt:lpstr>
      <vt:lpstr>LS-Version Changes</vt:lpstr>
      <vt:lpstr>LS-Fund 0001 Journal Entries</vt:lpstr>
      <vt:lpstr>LS-Fund 0111 Journal Entries </vt:lpstr>
      <vt:lpstr>LS-Fund 0890 Journal Entries</vt:lpstr>
      <vt:lpstr>LS-Fund 3010 Journal Entries</vt:lpstr>
      <vt:lpstr>LS-Fund 3237 Journal Entries </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'LS-Fund 0111 Journal Entries '!Print_Area</vt:lpstr>
      <vt:lpstr>'LS-Fund 0890 Journal Entries'!Print_Area</vt:lpstr>
      <vt:lpstr>'LS-Fund 3010 Journal Entries'!Print_Area</vt:lpstr>
      <vt:lpstr>'LS-Fund 3237 Journal Entries '!Print_Area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Gonzales, Brian@CDFA</cp:lastModifiedBy>
  <cp:lastPrinted>2024-09-14T00:58:00Z</cp:lastPrinted>
  <dcterms:created xsi:type="dcterms:W3CDTF">2023-03-08T17:19:33Z</dcterms:created>
  <dcterms:modified xsi:type="dcterms:W3CDTF">2024-12-19T00:55:56Z</dcterms:modified>
</cp:coreProperties>
</file>