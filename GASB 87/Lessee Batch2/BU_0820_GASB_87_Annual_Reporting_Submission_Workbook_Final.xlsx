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codeName="ThisWorkbook"/>
  <mc:AlternateContent xmlns:mc="http://schemas.openxmlformats.org/markup-compatibility/2006">
    <mc:Choice Requires="x15">
      <x15ac:absPath xmlns:x15ac="http://schemas.microsoft.com/office/spreadsheetml/2010/11/ac" url="https://eidebailly-my.sharepoint.com/personal/cbennett_eidebailly_com/Documents/Current Projects/State of California/Accounting Standards/Current Year/GASB 87/Completed Templates/Lessee/"/>
    </mc:Choice>
  </mc:AlternateContent>
  <xr:revisionPtr revIDLastSave="24" documentId="13_ncr:1_{3966B0D3-0677-442E-9019-B042685C5D61}" xr6:coauthVersionLast="47" xr6:coauthVersionMax="47" xr10:uidLastSave="{938CE7A7-D283-4D57-A0C4-6FD23BD86666}"/>
  <bookViews>
    <workbookView xWindow="-120" yWindow="-16890" windowWidth="29040" windowHeight="15720" tabRatio="921" firstSheet="2" activeTab="2" xr2:uid="{00000000-000D-0000-FFFF-FFFF00000000}"/>
  </bookViews>
  <sheets>
    <sheet name="Drop Down Menus" sheetId="1" state="hidden" r:id="rId1"/>
    <sheet name="qryIndex02a" sheetId="11" state="hidden" r:id="rId2"/>
    <sheet name="LS-Fund #### JE" sheetId="2" r:id="rId3"/>
    <sheet name="LS-Fund 0001 Journal Entries" sheetId="16" r:id="rId4"/>
    <sheet name="LS-Fund 0012 Journal Entries" sheetId="17" r:id="rId5"/>
    <sheet name="LS-Fund 0017 Journal Entries" sheetId="18" r:id="rId6"/>
    <sheet name="LS-Fund 0044 Journal Entries" sheetId="19" r:id="rId7"/>
    <sheet name="LS-Fund 0142 Journal Entries" sheetId="20" r:id="rId8"/>
    <sheet name="LS-Fund 0256 Journal Entries" sheetId="21" r:id="rId9"/>
    <sheet name="LS-Fund 0367 Journal Entries" sheetId="22" r:id="rId10"/>
    <sheet name="LS-Fund 0378 Journal Entries" sheetId="23" r:id="rId11"/>
    <sheet name="LS-Fund 0460 Journal Entries" sheetId="24" r:id="rId12"/>
    <sheet name="LS-Fund 0566 Journal Entries" sheetId="25" r:id="rId13"/>
    <sheet name="LS-Fund 0567 Journal Entries" sheetId="26" r:id="rId14"/>
    <sheet name="LS-Fund 0569 Journal Entries" sheetId="27" r:id="rId15"/>
    <sheet name="LS-Fund 0890 Journal Entries" sheetId="28" r:id="rId16"/>
    <sheet name="LS-Fund 1008 Journal Entries" sheetId="29" r:id="rId17"/>
    <sheet name="LS-Fund 3016 Journal Entries" sheetId="30" r:id="rId18"/>
    <sheet name="LS-Fund 3053 Journal Entries" sheetId="31" r:id="rId19"/>
    <sheet name="LS-Fund 3086 Journal Entries" sheetId="32" r:id="rId20"/>
    <sheet name="LS-Fund 3087 Journal Entries" sheetId="33" r:id="rId21"/>
    <sheet name="LS-Fund 3320 Journal Entries" sheetId="34" r:id="rId22"/>
    <sheet name="LS-Fund 9731 Journal Entries" sheetId="35" r:id="rId23"/>
    <sheet name="LS-Fund 9740 Journal Entries" sheetId="36" r:id="rId24"/>
    <sheet name="LS-Department Note Disclosure" sheetId="3" r:id="rId25"/>
    <sheet name="LS-Lease Liabilities" sheetId="4" r:id="rId26"/>
    <sheet name="LS-Check Figures  " sheetId="7" r:id="rId27"/>
  </sheets>
  <externalReferences>
    <externalReference r:id="rId28"/>
    <externalReference r:id="rId29"/>
    <externalReference r:id="rId30"/>
    <externalReference r:id="rId31"/>
    <externalReference r:id="rId32"/>
    <externalReference r:id="rId33"/>
    <externalReference r:id="rId34"/>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3">#REF!</definedName>
    <definedName name="AgencyCode" localSheetId="14">#REF!</definedName>
    <definedName name="AgencyCode" localSheetId="15">#REF!</definedName>
    <definedName name="AgencyCode" localSheetId="16">#REF!</definedName>
    <definedName name="AgencyCode" localSheetId="18">#REF!</definedName>
    <definedName name="AgencyCode" localSheetId="19">#REF!</definedName>
    <definedName name="AgencyCode" localSheetId="20">#REF!</definedName>
    <definedName name="AgencyCode">#REF!</definedName>
    <definedName name="AgencyCode1" localSheetId="13">#REF!</definedName>
    <definedName name="AgencyCode1" localSheetId="14">#REF!</definedName>
    <definedName name="AgencyCode1" localSheetId="15">#REF!</definedName>
    <definedName name="AgencyCode1" localSheetId="16">#REF!</definedName>
    <definedName name="AgencyCode1" localSheetId="18">#REF!</definedName>
    <definedName name="AgencyCode1" localSheetId="19">#REF!</definedName>
    <definedName name="AgencyCode1" localSheetId="20">#REF!</definedName>
    <definedName name="AgencyCode1">#REF!</definedName>
    <definedName name="AnalystGASB">[1]DeveloperInfo!$D$20</definedName>
    <definedName name="Annuity" localSheetId="13">#REF!</definedName>
    <definedName name="Annuity" localSheetId="14">#REF!</definedName>
    <definedName name="Annuity" localSheetId="15">#REF!</definedName>
    <definedName name="Annuity" localSheetId="16">#REF!</definedName>
    <definedName name="Annuity" localSheetId="18">#REF!</definedName>
    <definedName name="Annuity" localSheetId="19">#REF!</definedName>
    <definedName name="Annuity" localSheetId="20">#REF!</definedName>
    <definedName name="Annuity">#REF!</definedName>
    <definedName name="Annuity1" localSheetId="13">#REF!</definedName>
    <definedName name="Annuity1" localSheetId="14">#REF!</definedName>
    <definedName name="Annuity1" localSheetId="15">#REF!</definedName>
    <definedName name="Annuity1" localSheetId="16">#REF!</definedName>
    <definedName name="Annuity1" localSheetId="18">#REF!</definedName>
    <definedName name="Annuity1" localSheetId="19">#REF!</definedName>
    <definedName name="Annuity1" localSheetId="20">#REF!</definedName>
    <definedName name="Annuity1">#REF!</definedName>
    <definedName name="AnnuityLY" localSheetId="13">#REF!</definedName>
    <definedName name="AnnuityLY" localSheetId="14">#REF!</definedName>
    <definedName name="AnnuityLY" localSheetId="15">#REF!</definedName>
    <definedName name="AnnuityLY" localSheetId="16">#REF!</definedName>
    <definedName name="AnnuityLY" localSheetId="18">#REF!</definedName>
    <definedName name="AnnuityLY" localSheetId="19">#REF!</definedName>
    <definedName name="AnnuityLY" localSheetId="20">#REF!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3">#REF!</definedName>
    <definedName name="EmployerRates" localSheetId="14">#REF!</definedName>
    <definedName name="EmployerRates" localSheetId="15">#REF!</definedName>
    <definedName name="EmployerRates" localSheetId="16">#REF!</definedName>
    <definedName name="EmployerRates" localSheetId="18">#REF!</definedName>
    <definedName name="EmployerRates" localSheetId="19">#REF!</definedName>
    <definedName name="EmployerRates" localSheetId="20">#REF!</definedName>
    <definedName name="EmployerRates">#REF!</definedName>
    <definedName name="EmployerRates1" localSheetId="13">#REF!</definedName>
    <definedName name="EmployerRates1" localSheetId="14">#REF!</definedName>
    <definedName name="EmployerRates1" localSheetId="15">#REF!</definedName>
    <definedName name="EmployerRates1" localSheetId="16">#REF!</definedName>
    <definedName name="EmployerRates1" localSheetId="18">#REF!</definedName>
    <definedName name="EmployerRates1" localSheetId="19">#REF!</definedName>
    <definedName name="EmployerRates1" localSheetId="20">#REF!</definedName>
    <definedName name="EmployerRates1">#REF!</definedName>
    <definedName name="EmployerRatesLEO" localSheetId="13">#REF!</definedName>
    <definedName name="EmployerRatesLEO" localSheetId="14">#REF!</definedName>
    <definedName name="EmployerRatesLEO" localSheetId="15">#REF!</definedName>
    <definedName name="EmployerRatesLEO" localSheetId="16">#REF!</definedName>
    <definedName name="EmployerRatesLEO" localSheetId="18">#REF!</definedName>
    <definedName name="EmployerRatesLEO" localSheetId="19">#REF!</definedName>
    <definedName name="EmployerRatesLEO" localSheetId="20">#REF!</definedName>
    <definedName name="EmployerRatesLEO">#REF!</definedName>
    <definedName name="EmployerRatesLEO1" localSheetId="13">#REF!</definedName>
    <definedName name="EmployerRatesLEO1" localSheetId="14">#REF!</definedName>
    <definedName name="EmployerRatesLEO1" localSheetId="15">#REF!</definedName>
    <definedName name="EmployerRatesLEO1" localSheetId="16">#REF!</definedName>
    <definedName name="EmployerRatesLEO1" localSheetId="18">#REF!</definedName>
    <definedName name="EmployerRatesLEO1" localSheetId="19">#REF!</definedName>
    <definedName name="EmployerRatesLEO1" localSheetId="20">#REF!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3">#REF!</definedName>
    <definedName name="Pension" localSheetId="14">#REF!</definedName>
    <definedName name="Pension" localSheetId="15">#REF!</definedName>
    <definedName name="Pension" localSheetId="16">#REF!</definedName>
    <definedName name="Pension" localSheetId="18">#REF!</definedName>
    <definedName name="Pension" localSheetId="19">#REF!</definedName>
    <definedName name="Pension" localSheetId="20">#REF!</definedName>
    <definedName name="Pension">#REF!</definedName>
    <definedName name="Pension1" localSheetId="13">#REF!</definedName>
    <definedName name="Pension1" localSheetId="14">#REF!</definedName>
    <definedName name="Pension1" localSheetId="15">#REF!</definedName>
    <definedName name="Pension1" localSheetId="16">#REF!</definedName>
    <definedName name="Pension1" localSheetId="18">#REF!</definedName>
    <definedName name="Pension1" localSheetId="19">#REF!</definedName>
    <definedName name="Pension1" localSheetId="20">#REF!</definedName>
    <definedName name="Pension1">#REF!</definedName>
    <definedName name="PensionLY" localSheetId="13">#REF!</definedName>
    <definedName name="PensionLY" localSheetId="14">#REF!</definedName>
    <definedName name="PensionLY" localSheetId="15">#REF!</definedName>
    <definedName name="PensionLY" localSheetId="16">#REF!</definedName>
    <definedName name="PensionLY" localSheetId="18">#REF!</definedName>
    <definedName name="PensionLY" localSheetId="19">#REF!</definedName>
    <definedName name="PensionLY" localSheetId="20">#REF!</definedName>
    <definedName name="PensionLY">#REF!</definedName>
    <definedName name="PlanNameLongGASB">[1]DeveloperInfo!$D$7</definedName>
    <definedName name="PlanNameShortGASB">[1]DeveloperInfo!$D$8</definedName>
    <definedName name="_xlnm.Print_Area" localSheetId="24">'LS-Department Note Disclosure'!$A$1:$F$96</definedName>
    <definedName name="_xlnm.Print_Area" localSheetId="2">'LS-Fund #### JE'!$A$1:$R$130</definedName>
    <definedName name="_xlnm.Print_Area" localSheetId="3">'LS-Fund 0001 Journal Entries'!$A$1:$R$130</definedName>
    <definedName name="_xlnm.Print_Area" localSheetId="4">'LS-Fund 0012 Journal Entries'!$A$1:$R$130</definedName>
    <definedName name="_xlnm.Print_Area" localSheetId="5">'LS-Fund 0017 Journal Entries'!$A$1:$R$130</definedName>
    <definedName name="_xlnm.Print_Area" localSheetId="6">'LS-Fund 0044 Journal Entries'!$A$1:$R$130</definedName>
    <definedName name="_xlnm.Print_Area" localSheetId="7">'LS-Fund 0142 Journal Entries'!$A$1:$R$130</definedName>
    <definedName name="_xlnm.Print_Area" localSheetId="8">'LS-Fund 0256 Journal Entries'!$A$1:$R$130</definedName>
    <definedName name="_xlnm.Print_Area" localSheetId="9">'LS-Fund 0367 Journal Entries'!$A$1:$R$130</definedName>
    <definedName name="_xlnm.Print_Area" localSheetId="10">'LS-Fund 0378 Journal Entries'!$A$1:$R$130</definedName>
    <definedName name="_xlnm.Print_Area" localSheetId="11">'LS-Fund 0460 Journal Entries'!$A$1:$R$130</definedName>
    <definedName name="_xlnm.Print_Area" localSheetId="12">'LS-Fund 0566 Journal Entries'!$A$1:$R$130</definedName>
    <definedName name="_xlnm.Print_Area" localSheetId="13">'LS-Fund 0567 Journal Entries'!$A$1:$J$9</definedName>
    <definedName name="_xlnm.Print_Area" localSheetId="14">'LS-Fund 0569 Journal Entries'!$A$1:$J$9</definedName>
    <definedName name="_xlnm.Print_Area" localSheetId="15">'LS-Fund 0890 Journal Entries'!$A$1:$J$9</definedName>
    <definedName name="_xlnm.Print_Area" localSheetId="16">'LS-Fund 1008 Journal Entries'!$A$1:$J$9</definedName>
    <definedName name="_xlnm.Print_Area" localSheetId="17">'LS-Fund 3016 Journal Entries'!$A$1:$J$9</definedName>
    <definedName name="_xlnm.Print_Area" localSheetId="18">'LS-Fund 3053 Journal Entries'!$A$1:$J$9</definedName>
    <definedName name="_xlnm.Print_Area" localSheetId="19">'LS-Fund 3086 Journal Entries'!$A$1:$J$9</definedName>
    <definedName name="_xlnm.Print_Area" localSheetId="20">'LS-Fund 3087 Journal Entries'!$A$1:$J$9</definedName>
    <definedName name="_xlnm.Print_Area" localSheetId="21">'LS-Fund 3320 Journal Entries'!$A$1:$J$9</definedName>
    <definedName name="_xlnm.Print_Area" localSheetId="22">'LS-Fund 9731 Journal Entries'!$A$1:$J$9</definedName>
    <definedName name="_xlnm.Print_Area" localSheetId="23">'LS-Fund 9740 Journal Entries'!$A$1:$J$9</definedName>
    <definedName name="_xlnm.Print_Area" localSheetId="25">'LS-Lease Liabilities'!$A$1:$U$24</definedName>
    <definedName name="ProjDisc?">[1]DeveloperInfo!$D$65</definedName>
    <definedName name="ProValResults" localSheetId="13">#REF!</definedName>
    <definedName name="ProValResults" localSheetId="14">#REF!</definedName>
    <definedName name="ProValResults" localSheetId="15">#REF!</definedName>
    <definedName name="ProValResults" localSheetId="16">#REF!</definedName>
    <definedName name="ProValResults" localSheetId="18">#REF!</definedName>
    <definedName name="ProValResults" localSheetId="19">#REF!</definedName>
    <definedName name="ProValResults" localSheetId="20">#REF!</definedName>
    <definedName name="ProValResults">#REF!</definedName>
    <definedName name="ProValResults1" localSheetId="13">#REF!</definedName>
    <definedName name="ProValResults1" localSheetId="14">#REF!</definedName>
    <definedName name="ProValResults1" localSheetId="15">#REF!</definedName>
    <definedName name="ProValResults1" localSheetId="16">#REF!</definedName>
    <definedName name="ProValResults1" localSheetId="18">#REF!</definedName>
    <definedName name="ProValResults1" localSheetId="19">#REF!</definedName>
    <definedName name="ProValResults1" localSheetId="20">#REF!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3">#REF!</definedName>
    <definedName name="TableData" localSheetId="14">#REF!</definedName>
    <definedName name="TableData" localSheetId="15">#REF!</definedName>
    <definedName name="TableData" localSheetId="16">#REF!</definedName>
    <definedName name="TableData" localSheetId="18">#REF!</definedName>
    <definedName name="TableData" localSheetId="19">#REF!</definedName>
    <definedName name="TableData" localSheetId="20">#REF!</definedName>
    <definedName name="TableData">#REF!</definedName>
    <definedName name="TableData1" localSheetId="13">#REF!</definedName>
    <definedName name="TableData1" localSheetId="14">#REF!</definedName>
    <definedName name="TableData1" localSheetId="15">#REF!</definedName>
    <definedName name="TableData1" localSheetId="16">#REF!</definedName>
    <definedName name="TableData1" localSheetId="18">#REF!</definedName>
    <definedName name="TableData1" localSheetId="19">#REF!</definedName>
    <definedName name="TableData1" localSheetId="20">#REF!</definedName>
    <definedName name="TableData1">#REF!</definedName>
    <definedName name="Type" localSheetId="13">#REF!</definedName>
    <definedName name="Type" localSheetId="14">#REF!</definedName>
    <definedName name="Type" localSheetId="15">#REF!</definedName>
    <definedName name="Type" localSheetId="16">#REF!</definedName>
    <definedName name="Type" localSheetId="18">#REF!</definedName>
    <definedName name="Type" localSheetId="19">#REF!</definedName>
    <definedName name="Type" localSheetId="20">#REF!</definedName>
    <definedName name="Type">#REF!</definedName>
    <definedName name="TypeAnnuity" localSheetId="13">#REF!</definedName>
    <definedName name="TypeAnnuity" localSheetId="14">#REF!</definedName>
    <definedName name="TypeAnnuity" localSheetId="15">#REF!</definedName>
    <definedName name="TypeAnnuity" localSheetId="16">#REF!</definedName>
    <definedName name="TypeAnnuity" localSheetId="18">#REF!</definedName>
    <definedName name="TypeAnnuity" localSheetId="19">#REF!</definedName>
    <definedName name="TypeAnnuity" localSheetId="20">#REF!</definedName>
    <definedName name="TypeAnnuity">#REF!</definedName>
    <definedName name="TypeAnnuity1" localSheetId="13">#REF!</definedName>
    <definedName name="TypeAnnuity1" localSheetId="14">#REF!</definedName>
    <definedName name="TypeAnnuity1" localSheetId="15">#REF!</definedName>
    <definedName name="TypeAnnuity1" localSheetId="16">#REF!</definedName>
    <definedName name="TypeAnnuity1" localSheetId="18">#REF!</definedName>
    <definedName name="TypeAnnuity1" localSheetId="19">#REF!</definedName>
    <definedName name="TypeAnnuity1" localSheetId="20">#REF!</definedName>
    <definedName name="TypeAnnuity1">#REF!</definedName>
    <definedName name="TypePension" localSheetId="13">#REF!</definedName>
    <definedName name="TypePension" localSheetId="14">#REF!</definedName>
    <definedName name="TypePension" localSheetId="15">#REF!</definedName>
    <definedName name="TypePension" localSheetId="16">#REF!</definedName>
    <definedName name="TypePension" localSheetId="18">#REF!</definedName>
    <definedName name="TypePension" localSheetId="19">#REF!</definedName>
    <definedName name="TypePension" localSheetId="20">#REF!</definedName>
    <definedName name="TypePension">#REF!</definedName>
    <definedName name="TypePension1" localSheetId="13">#REF!</definedName>
    <definedName name="TypePension1" localSheetId="14">#REF!</definedName>
    <definedName name="TypePension1" localSheetId="15">#REF!</definedName>
    <definedName name="TypePension1" localSheetId="16">#REF!</definedName>
    <definedName name="TypePension1" localSheetId="18">#REF!</definedName>
    <definedName name="TypePension1" localSheetId="19">#REF!</definedName>
    <definedName name="TypePension1" localSheetId="20">#REF!</definedName>
    <definedName name="TypePension1">#REF!</definedName>
    <definedName name="UnfundedData" localSheetId="13">#REF!</definedName>
    <definedName name="UnfundedData" localSheetId="14">#REF!</definedName>
    <definedName name="UnfundedData" localSheetId="15">#REF!</definedName>
    <definedName name="UnfundedData" localSheetId="16">#REF!</definedName>
    <definedName name="UnfundedData" localSheetId="18">#REF!</definedName>
    <definedName name="UnfundedData" localSheetId="19">#REF!</definedName>
    <definedName name="UnfundedData" localSheetId="20">#REF!</definedName>
    <definedName name="UnfundedData">#REF!</definedName>
    <definedName name="UnfundedData1" localSheetId="13">#REF!</definedName>
    <definedName name="UnfundedData1" localSheetId="14">#REF!</definedName>
    <definedName name="UnfundedData1" localSheetId="15">#REF!</definedName>
    <definedName name="UnfundedData1" localSheetId="16">#REF!</definedName>
    <definedName name="UnfundedData1" localSheetId="18">#REF!</definedName>
    <definedName name="UnfundedData1" localSheetId="19">#REF!</definedName>
    <definedName name="UnfundedData1" localSheetId="20">#REF!</definedName>
    <definedName name="UnfundedData1">#REF!</definedName>
    <definedName name="UnfundedLY" localSheetId="13">#REF!</definedName>
    <definedName name="UnfundedLY" localSheetId="14">#REF!</definedName>
    <definedName name="UnfundedLY" localSheetId="15">#REF!</definedName>
    <definedName name="UnfundedLY" localSheetId="16">#REF!</definedName>
    <definedName name="UnfundedLY" localSheetId="18">#REF!</definedName>
    <definedName name="UnfundedLY" localSheetId="19">#REF!</definedName>
    <definedName name="UnfundedLY" localSheetId="20">#REF!</definedName>
    <definedName name="UnfundedLY">#REF!</definedName>
    <definedName name="UnfundedLY1" localSheetId="13">#REF!</definedName>
    <definedName name="UnfundedLY1" localSheetId="14">#REF!</definedName>
    <definedName name="UnfundedLY1" localSheetId="15">#REF!</definedName>
    <definedName name="UnfundedLY1" localSheetId="16">#REF!</definedName>
    <definedName name="UnfundedLY1" localSheetId="18">#REF!</definedName>
    <definedName name="UnfundedLY1" localSheetId="19">#REF!</definedName>
    <definedName name="UnfundedLY1" localSheetId="20">#REF!</definedName>
    <definedName name="UnfundedLY1">#REF!</definedName>
    <definedName name="UnfundedLYLEO1" localSheetId="13">#REF!</definedName>
    <definedName name="UnfundedLYLEO1" localSheetId="14">#REF!</definedName>
    <definedName name="UnfundedLYLEO1" localSheetId="15">#REF!</definedName>
    <definedName name="UnfundedLYLEO1" localSheetId="16">#REF!</definedName>
    <definedName name="UnfundedLYLEO1" localSheetId="18">#REF!</definedName>
    <definedName name="UnfundedLYLEO1" localSheetId="19">#REF!</definedName>
    <definedName name="UnfundedLYLEO1" localSheetId="20">#REF!</definedName>
    <definedName name="UnfundedLYLEO1">#REF!</definedName>
    <definedName name="UnfunedLYLEO" localSheetId="13">#REF!</definedName>
    <definedName name="UnfunedLYLEO" localSheetId="14">#REF!</definedName>
    <definedName name="UnfunedLYLEO" localSheetId="15">#REF!</definedName>
    <definedName name="UnfunedLYLEO" localSheetId="16">#REF!</definedName>
    <definedName name="UnfunedLYLEO" localSheetId="18">#REF!</definedName>
    <definedName name="UnfunedLYLEO" localSheetId="19">#REF!</definedName>
    <definedName name="UnfunedLYLEO" localSheetId="20">#REF!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36" l="1"/>
  <c r="K127" i="36"/>
  <c r="K125" i="36"/>
  <c r="L114" i="36"/>
  <c r="K114" i="36"/>
  <c r="J114" i="36"/>
  <c r="K105" i="36"/>
  <c r="J105" i="36"/>
  <c r="L105" i="36" s="1"/>
  <c r="C104" i="36"/>
  <c r="B100" i="36"/>
  <c r="L91" i="36"/>
  <c r="K91" i="36"/>
  <c r="J91" i="36"/>
  <c r="K77" i="36"/>
  <c r="J77" i="36"/>
  <c r="L77" i="36" s="1"/>
  <c r="K70" i="36"/>
  <c r="L70" i="36" s="1"/>
  <c r="J70" i="36"/>
  <c r="L65" i="36"/>
  <c r="K65" i="36"/>
  <c r="J65" i="36"/>
  <c r="C64" i="36"/>
  <c r="B63" i="36"/>
  <c r="K59" i="36"/>
  <c r="J59" i="36"/>
  <c r="L59" i="36" s="1"/>
  <c r="K49" i="36"/>
  <c r="J49" i="36"/>
  <c r="L49" i="36" s="1"/>
  <c r="K43" i="36"/>
  <c r="J43" i="36"/>
  <c r="L43" i="36" s="1"/>
  <c r="K36" i="36"/>
  <c r="L36" i="36" s="1"/>
  <c r="J36" i="36"/>
  <c r="C35" i="36"/>
  <c r="S25" i="36"/>
  <c r="Q24" i="36"/>
  <c r="S24" i="36" s="1"/>
  <c r="S23" i="36"/>
  <c r="K23" i="36"/>
  <c r="K128" i="36" s="1"/>
  <c r="S22" i="36"/>
  <c r="K22" i="36"/>
  <c r="S21" i="36"/>
  <c r="K21" i="36"/>
  <c r="K126" i="36" s="1"/>
  <c r="S20" i="36"/>
  <c r="K20" i="36"/>
  <c r="S19" i="36"/>
  <c r="S18" i="36"/>
  <c r="P18" i="36"/>
  <c r="J18" i="36" s="1"/>
  <c r="S17" i="36"/>
  <c r="J17" i="36"/>
  <c r="K124" i="36" s="1"/>
  <c r="S16" i="36"/>
  <c r="J16" i="36"/>
  <c r="K123" i="36" s="1"/>
  <c r="S15" i="36"/>
  <c r="J15" i="36"/>
  <c r="K122" i="36" s="1"/>
  <c r="F9" i="36"/>
  <c r="K129" i="35"/>
  <c r="K127" i="35"/>
  <c r="K126" i="35"/>
  <c r="K125" i="35"/>
  <c r="K114" i="35"/>
  <c r="J114" i="35"/>
  <c r="L114" i="35" s="1"/>
  <c r="K105" i="35"/>
  <c r="L105" i="35" s="1"/>
  <c r="J105" i="35"/>
  <c r="C104" i="35"/>
  <c r="B100" i="35"/>
  <c r="K91" i="35"/>
  <c r="L91" i="35" s="1"/>
  <c r="J91" i="35"/>
  <c r="K77" i="35"/>
  <c r="J77" i="35"/>
  <c r="L77" i="35" s="1"/>
  <c r="K70" i="35"/>
  <c r="J70" i="35"/>
  <c r="L70" i="35" s="1"/>
  <c r="K65" i="35"/>
  <c r="J65" i="35"/>
  <c r="L65" i="35" s="1"/>
  <c r="C64" i="35"/>
  <c r="B63" i="35"/>
  <c r="L59" i="35"/>
  <c r="K59" i="35"/>
  <c r="J59" i="35"/>
  <c r="L49" i="35"/>
  <c r="K49" i="35"/>
  <c r="J49" i="35"/>
  <c r="L43" i="35"/>
  <c r="K43" i="35"/>
  <c r="J43" i="35"/>
  <c r="K36" i="35"/>
  <c r="J36" i="35"/>
  <c r="L36" i="35" s="1"/>
  <c r="C35" i="35"/>
  <c r="S25" i="35"/>
  <c r="S24" i="35"/>
  <c r="Q24" i="35"/>
  <c r="K24" i="35"/>
  <c r="S23" i="35"/>
  <c r="K23" i="35"/>
  <c r="K128" i="35" s="1"/>
  <c r="S22" i="35"/>
  <c r="K22" i="35"/>
  <c r="S21" i="35"/>
  <c r="K21" i="35"/>
  <c r="S20" i="35"/>
  <c r="K20" i="35"/>
  <c r="S19" i="35"/>
  <c r="P18" i="35"/>
  <c r="S18" i="35" s="1"/>
  <c r="S17" i="35"/>
  <c r="J17" i="35"/>
  <c r="K124" i="35" s="1"/>
  <c r="S16" i="35"/>
  <c r="J16" i="35"/>
  <c r="K123" i="35" s="1"/>
  <c r="S15" i="35"/>
  <c r="J15" i="35"/>
  <c r="K122" i="35" s="1"/>
  <c r="F9" i="35"/>
  <c r="K129" i="34"/>
  <c r="K128" i="34"/>
  <c r="K126" i="34"/>
  <c r="K123" i="34"/>
  <c r="K122" i="34"/>
  <c r="K114" i="34"/>
  <c r="J114" i="34"/>
  <c r="L114" i="34" s="1"/>
  <c r="K105" i="34"/>
  <c r="J105" i="34"/>
  <c r="L105" i="34" s="1"/>
  <c r="K91" i="34"/>
  <c r="J91" i="34"/>
  <c r="L91" i="34" s="1"/>
  <c r="L77" i="34"/>
  <c r="K77" i="34"/>
  <c r="J77" i="34"/>
  <c r="L70" i="34"/>
  <c r="K70" i="34"/>
  <c r="J70" i="34"/>
  <c r="L65" i="34"/>
  <c r="K65" i="34"/>
  <c r="J65" i="34"/>
  <c r="B63" i="34"/>
  <c r="L59" i="34"/>
  <c r="K59" i="34"/>
  <c r="J59" i="34"/>
  <c r="K49" i="34"/>
  <c r="J49" i="34"/>
  <c r="L49" i="34" s="1"/>
  <c r="K43" i="34"/>
  <c r="J43" i="34"/>
  <c r="L43" i="34" s="1"/>
  <c r="L36" i="34"/>
  <c r="K36" i="34"/>
  <c r="J36" i="34"/>
  <c r="S25" i="34"/>
  <c r="Q24" i="34"/>
  <c r="K24" i="34" s="1"/>
  <c r="S23" i="34"/>
  <c r="K23" i="34"/>
  <c r="S22" i="34"/>
  <c r="K22" i="34"/>
  <c r="K127" i="34" s="1"/>
  <c r="S21" i="34"/>
  <c r="K21" i="34"/>
  <c r="S20" i="34"/>
  <c r="K20" i="34"/>
  <c r="K125" i="34" s="1"/>
  <c r="S19" i="34"/>
  <c r="S18" i="34"/>
  <c r="P18" i="34"/>
  <c r="J18" i="34"/>
  <c r="S17" i="34"/>
  <c r="J17" i="34"/>
  <c r="K124" i="34" s="1"/>
  <c r="S16" i="34"/>
  <c r="J16" i="34"/>
  <c r="S15" i="34"/>
  <c r="J15" i="34"/>
  <c r="F9" i="34"/>
  <c r="C104" i="34" s="1"/>
  <c r="K129" i="33"/>
  <c r="K127" i="33"/>
  <c r="K126" i="33"/>
  <c r="K125" i="33"/>
  <c r="K122" i="33"/>
  <c r="L114" i="33"/>
  <c r="K114" i="33"/>
  <c r="J114" i="33"/>
  <c r="L105" i="33"/>
  <c r="K105" i="33"/>
  <c r="J105" i="33"/>
  <c r="L91" i="33"/>
  <c r="K91" i="33"/>
  <c r="J91" i="33"/>
  <c r="L77" i="33"/>
  <c r="K77" i="33"/>
  <c r="J77" i="33"/>
  <c r="K70" i="33"/>
  <c r="J70" i="33"/>
  <c r="L70" i="33" s="1"/>
  <c r="K65" i="33"/>
  <c r="J65" i="33"/>
  <c r="L65" i="33" s="1"/>
  <c r="B63" i="33"/>
  <c r="K59" i="33"/>
  <c r="L59" i="33" s="1"/>
  <c r="J59" i="33"/>
  <c r="K49" i="33"/>
  <c r="J49" i="33"/>
  <c r="L49" i="33" s="1"/>
  <c r="K43" i="33"/>
  <c r="J43" i="33"/>
  <c r="L43" i="33" s="1"/>
  <c r="K36" i="33"/>
  <c r="J36" i="33"/>
  <c r="L36" i="33" s="1"/>
  <c r="S25" i="33"/>
  <c r="Q24" i="33"/>
  <c r="S24" i="33" s="1"/>
  <c r="K24" i="33"/>
  <c r="S23" i="33"/>
  <c r="K23" i="33"/>
  <c r="K128" i="33" s="1"/>
  <c r="S22" i="33"/>
  <c r="K22" i="33"/>
  <c r="S21" i="33"/>
  <c r="K21" i="33"/>
  <c r="K26" i="33" s="1"/>
  <c r="S20" i="33"/>
  <c r="K20" i="33"/>
  <c r="S19" i="33"/>
  <c r="P18" i="33"/>
  <c r="J18" i="33" s="1"/>
  <c r="K25" i="33" s="1"/>
  <c r="S17" i="33"/>
  <c r="J17" i="33"/>
  <c r="K124" i="33" s="1"/>
  <c r="S16" i="33"/>
  <c r="J16" i="33"/>
  <c r="K123" i="33" s="1"/>
  <c r="S15" i="33"/>
  <c r="J15" i="33"/>
  <c r="F9" i="33"/>
  <c r="B100" i="33" s="1"/>
  <c r="K129" i="32"/>
  <c r="K127" i="32"/>
  <c r="K126" i="32"/>
  <c r="K125" i="32"/>
  <c r="K123" i="32"/>
  <c r="K122" i="32"/>
  <c r="K114" i="32"/>
  <c r="J114" i="32"/>
  <c r="K105" i="32"/>
  <c r="L105" i="32" s="1"/>
  <c r="J105" i="32"/>
  <c r="K91" i="32"/>
  <c r="J91" i="32"/>
  <c r="L91" i="32" s="1"/>
  <c r="K77" i="32"/>
  <c r="L77" i="32" s="1"/>
  <c r="J77" i="32"/>
  <c r="K70" i="32"/>
  <c r="J70" i="32"/>
  <c r="L70" i="32" s="1"/>
  <c r="K65" i="32"/>
  <c r="J65" i="32"/>
  <c r="L65" i="32" s="1"/>
  <c r="B63" i="32"/>
  <c r="K59" i="32"/>
  <c r="J59" i="32"/>
  <c r="K49" i="32"/>
  <c r="J49" i="32"/>
  <c r="L49" i="32" s="1"/>
  <c r="L43" i="32"/>
  <c r="K43" i="32"/>
  <c r="J43" i="32"/>
  <c r="L36" i="32"/>
  <c r="K36" i="32"/>
  <c r="J36" i="32"/>
  <c r="S25" i="32"/>
  <c r="K25" i="32"/>
  <c r="S24" i="32"/>
  <c r="Q24" i="32"/>
  <c r="K24" i="32"/>
  <c r="S23" i="32"/>
  <c r="K23" i="32"/>
  <c r="K128" i="32" s="1"/>
  <c r="S22" i="32"/>
  <c r="K22" i="32"/>
  <c r="S21" i="32"/>
  <c r="K21" i="32"/>
  <c r="K26" i="32" s="1"/>
  <c r="S20" i="32"/>
  <c r="K20" i="32"/>
  <c r="S19" i="32"/>
  <c r="J19" i="32"/>
  <c r="P18" i="32"/>
  <c r="S18" i="32" s="1"/>
  <c r="J18" i="32"/>
  <c r="S17" i="32"/>
  <c r="J17" i="32"/>
  <c r="K124" i="32" s="1"/>
  <c r="S16" i="32"/>
  <c r="J16" i="32"/>
  <c r="S15" i="32"/>
  <c r="J15" i="32"/>
  <c r="J26" i="32" s="1"/>
  <c r="L26" i="32" s="1"/>
  <c r="F9" i="32"/>
  <c r="C64" i="32" s="1"/>
  <c r="K129" i="31"/>
  <c r="K128" i="31"/>
  <c r="K126" i="31"/>
  <c r="K125" i="31"/>
  <c r="K123" i="31"/>
  <c r="K114" i="31"/>
  <c r="L114" i="31" s="1"/>
  <c r="J114" i="31"/>
  <c r="K105" i="31"/>
  <c r="J105" i="31"/>
  <c r="L105" i="31" s="1"/>
  <c r="L91" i="31"/>
  <c r="K91" i="31"/>
  <c r="J91" i="31"/>
  <c r="K77" i="31"/>
  <c r="J77" i="31"/>
  <c r="L77" i="31" s="1"/>
  <c r="K70" i="31"/>
  <c r="J70" i="31"/>
  <c r="L70" i="31" s="1"/>
  <c r="L65" i="31"/>
  <c r="K65" i="31"/>
  <c r="J65" i="31"/>
  <c r="B63" i="31"/>
  <c r="L59" i="31"/>
  <c r="K59" i="31"/>
  <c r="J59" i="31"/>
  <c r="K49" i="31"/>
  <c r="J49" i="31"/>
  <c r="L49" i="31" s="1"/>
  <c r="K43" i="31"/>
  <c r="L43" i="31" s="1"/>
  <c r="J43" i="31"/>
  <c r="K36" i="31"/>
  <c r="L36" i="31" s="1"/>
  <c r="J36" i="31"/>
  <c r="S25" i="31"/>
  <c r="Q24" i="31"/>
  <c r="S24" i="31" s="1"/>
  <c r="S23" i="31"/>
  <c r="K23" i="31"/>
  <c r="S22" i="31"/>
  <c r="K22" i="31"/>
  <c r="K127" i="31" s="1"/>
  <c r="S21" i="31"/>
  <c r="K21" i="31"/>
  <c r="S20" i="31"/>
  <c r="K20" i="31"/>
  <c r="S19" i="31"/>
  <c r="S18" i="31"/>
  <c r="P18" i="31"/>
  <c r="J18" i="31"/>
  <c r="S17" i="31"/>
  <c r="J17" i="31"/>
  <c r="K124" i="31" s="1"/>
  <c r="S16" i="31"/>
  <c r="J16" i="31"/>
  <c r="S15" i="31"/>
  <c r="J15" i="31"/>
  <c r="K122" i="31" s="1"/>
  <c r="F9" i="31"/>
  <c r="C35" i="31" s="1"/>
  <c r="K129" i="30"/>
  <c r="K128" i="30"/>
  <c r="K127" i="30"/>
  <c r="K125" i="30"/>
  <c r="K122" i="30"/>
  <c r="K114" i="30"/>
  <c r="J114" i="30"/>
  <c r="K105" i="30"/>
  <c r="J105" i="30"/>
  <c r="L105" i="30" s="1"/>
  <c r="K91" i="30"/>
  <c r="L91" i="30" s="1"/>
  <c r="J91" i="30"/>
  <c r="L77" i="30"/>
  <c r="K77" i="30"/>
  <c r="J77" i="30"/>
  <c r="K70" i="30"/>
  <c r="J70" i="30"/>
  <c r="L70" i="30" s="1"/>
  <c r="K65" i="30"/>
  <c r="L65" i="30" s="1"/>
  <c r="J65" i="30"/>
  <c r="B63" i="30"/>
  <c r="K59" i="30"/>
  <c r="J59" i="30"/>
  <c r="L59" i="30" s="1"/>
  <c r="K49" i="30"/>
  <c r="J49" i="30"/>
  <c r="L49" i="30" s="1"/>
  <c r="K43" i="30"/>
  <c r="J43" i="30"/>
  <c r="L43" i="30" s="1"/>
  <c r="K36" i="30"/>
  <c r="J36" i="30"/>
  <c r="L36" i="30" s="1"/>
  <c r="S25" i="30"/>
  <c r="Q24" i="30"/>
  <c r="S24" i="30" s="1"/>
  <c r="K24" i="30"/>
  <c r="S23" i="30"/>
  <c r="K23" i="30"/>
  <c r="S22" i="30"/>
  <c r="K22" i="30"/>
  <c r="S21" i="30"/>
  <c r="K21" i="30"/>
  <c r="K126" i="30" s="1"/>
  <c r="S20" i="30"/>
  <c r="K20" i="30"/>
  <c r="S19" i="30"/>
  <c r="P18" i="30"/>
  <c r="S18" i="30" s="1"/>
  <c r="S17" i="30"/>
  <c r="J17" i="30"/>
  <c r="K124" i="30" s="1"/>
  <c r="S16" i="30"/>
  <c r="J16" i="30"/>
  <c r="K123" i="30" s="1"/>
  <c r="S15" i="30"/>
  <c r="J15" i="30"/>
  <c r="F9" i="30"/>
  <c r="C35" i="30" s="1"/>
  <c r="K129" i="29"/>
  <c r="K128" i="29"/>
  <c r="K127" i="29"/>
  <c r="K126" i="29"/>
  <c r="K123" i="29"/>
  <c r="L114" i="29"/>
  <c r="K114" i="29"/>
  <c r="J114" i="29"/>
  <c r="K105" i="29"/>
  <c r="J105" i="29"/>
  <c r="L105" i="29" s="1"/>
  <c r="K91" i="29"/>
  <c r="J91" i="29"/>
  <c r="L91" i="29" s="1"/>
  <c r="K77" i="29"/>
  <c r="J77" i="29"/>
  <c r="L77" i="29" s="1"/>
  <c r="K70" i="29"/>
  <c r="J70" i="29"/>
  <c r="L70" i="29" s="1"/>
  <c r="K65" i="29"/>
  <c r="J65" i="29"/>
  <c r="L65" i="29" s="1"/>
  <c r="B63" i="29"/>
  <c r="L59" i="29"/>
  <c r="K59" i="29"/>
  <c r="J59" i="29"/>
  <c r="K49" i="29"/>
  <c r="J49" i="29"/>
  <c r="L49" i="29" s="1"/>
  <c r="K43" i="29"/>
  <c r="J43" i="29"/>
  <c r="L43" i="29" s="1"/>
  <c r="L36" i="29"/>
  <c r="K36" i="29"/>
  <c r="J36" i="29"/>
  <c r="S25" i="29"/>
  <c r="Q24" i="29"/>
  <c r="K24" i="29" s="1"/>
  <c r="S23" i="29"/>
  <c r="K23" i="29"/>
  <c r="S22" i="29"/>
  <c r="K22" i="29"/>
  <c r="S21" i="29"/>
  <c r="K21" i="29"/>
  <c r="S20" i="29"/>
  <c r="K20" i="29"/>
  <c r="K125" i="29" s="1"/>
  <c r="S19" i="29"/>
  <c r="P18" i="29"/>
  <c r="S18" i="29" s="1"/>
  <c r="J18" i="29"/>
  <c r="S17" i="29"/>
  <c r="J17" i="29"/>
  <c r="K124" i="29" s="1"/>
  <c r="S16" i="29"/>
  <c r="J16" i="29"/>
  <c r="S15" i="29"/>
  <c r="J15" i="29"/>
  <c r="K122" i="29" s="1"/>
  <c r="F9" i="29"/>
  <c r="C64" i="29" s="1"/>
  <c r="K129" i="28"/>
  <c r="K127" i="28"/>
  <c r="K126" i="28"/>
  <c r="K125" i="28"/>
  <c r="K122" i="28"/>
  <c r="K114" i="28"/>
  <c r="J114" i="28"/>
  <c r="L114" i="28" s="1"/>
  <c r="K105" i="28"/>
  <c r="J105" i="28"/>
  <c r="L105" i="28" s="1"/>
  <c r="L91" i="28"/>
  <c r="K91" i="28"/>
  <c r="J91" i="28"/>
  <c r="L77" i="28"/>
  <c r="K77" i="28"/>
  <c r="J77" i="28"/>
  <c r="K70" i="28"/>
  <c r="J70" i="28"/>
  <c r="L70" i="28" s="1"/>
  <c r="K65" i="28"/>
  <c r="J65" i="28"/>
  <c r="L65" i="28" s="1"/>
  <c r="B63" i="28"/>
  <c r="K59" i="28"/>
  <c r="L59" i="28" s="1"/>
  <c r="J59" i="28"/>
  <c r="K49" i="28"/>
  <c r="J49" i="28"/>
  <c r="L49" i="28" s="1"/>
  <c r="K43" i="28"/>
  <c r="J43" i="28"/>
  <c r="L43" i="28" s="1"/>
  <c r="K36" i="28"/>
  <c r="L36" i="28" s="1"/>
  <c r="J36" i="28"/>
  <c r="S25" i="28"/>
  <c r="Q24" i="28"/>
  <c r="S24" i="28" s="1"/>
  <c r="K24" i="28"/>
  <c r="S23" i="28"/>
  <c r="K23" i="28"/>
  <c r="J19" i="28" s="1"/>
  <c r="S22" i="28"/>
  <c r="K22" i="28"/>
  <c r="S21" i="28"/>
  <c r="K21" i="28"/>
  <c r="S20" i="28"/>
  <c r="K20" i="28"/>
  <c r="S19" i="28"/>
  <c r="P18" i="28"/>
  <c r="S18" i="28" s="1"/>
  <c r="J18" i="28"/>
  <c r="S17" i="28"/>
  <c r="J17" i="28"/>
  <c r="K124" i="28" s="1"/>
  <c r="S16" i="28"/>
  <c r="J16" i="28"/>
  <c r="K123" i="28" s="1"/>
  <c r="S15" i="28"/>
  <c r="J15" i="28"/>
  <c r="F9" i="28"/>
  <c r="C35" i="28" s="1"/>
  <c r="K129" i="27"/>
  <c r="K127" i="27"/>
  <c r="K126" i="27"/>
  <c r="K125" i="27"/>
  <c r="K122" i="27"/>
  <c r="L114" i="27"/>
  <c r="K114" i="27"/>
  <c r="J114" i="27"/>
  <c r="K105" i="27"/>
  <c r="J105" i="27"/>
  <c r="L105" i="27" s="1"/>
  <c r="K91" i="27"/>
  <c r="L91" i="27" s="1"/>
  <c r="J91" i="27"/>
  <c r="K77" i="27"/>
  <c r="L77" i="27" s="1"/>
  <c r="J77" i="27"/>
  <c r="K70" i="27"/>
  <c r="J70" i="27"/>
  <c r="L70" i="27" s="1"/>
  <c r="K65" i="27"/>
  <c r="J65" i="27"/>
  <c r="L65" i="27" s="1"/>
  <c r="B63" i="27"/>
  <c r="K59" i="27"/>
  <c r="J59" i="27"/>
  <c r="L59" i="27" s="1"/>
  <c r="K49" i="27"/>
  <c r="J49" i="27"/>
  <c r="L49" i="27" s="1"/>
  <c r="K43" i="27"/>
  <c r="J43" i="27"/>
  <c r="L43" i="27" s="1"/>
  <c r="K36" i="27"/>
  <c r="J36" i="27"/>
  <c r="L36" i="27" s="1"/>
  <c r="S25" i="27"/>
  <c r="Q24" i="27"/>
  <c r="S24" i="27" s="1"/>
  <c r="K24" i="27"/>
  <c r="S23" i="27"/>
  <c r="K23" i="27"/>
  <c r="K25" i="27" s="1"/>
  <c r="S22" i="27"/>
  <c r="K22" i="27"/>
  <c r="S21" i="27"/>
  <c r="K21" i="27"/>
  <c r="K26" i="27" s="1"/>
  <c r="S20" i="27"/>
  <c r="K20" i="27"/>
  <c r="S19" i="27"/>
  <c r="P18" i="27"/>
  <c r="S18" i="27" s="1"/>
  <c r="J18" i="27"/>
  <c r="S17" i="27"/>
  <c r="J17" i="27"/>
  <c r="K124" i="27" s="1"/>
  <c r="S16" i="27"/>
  <c r="J16" i="27"/>
  <c r="K123" i="27" s="1"/>
  <c r="S15" i="27"/>
  <c r="J15" i="27"/>
  <c r="F9" i="27"/>
  <c r="C35" i="27" s="1"/>
  <c r="K129" i="26"/>
  <c r="K125" i="26"/>
  <c r="K124" i="26"/>
  <c r="K123" i="26"/>
  <c r="K114" i="26"/>
  <c r="L114" i="26" s="1"/>
  <c r="J114" i="26"/>
  <c r="K105" i="26"/>
  <c r="J105" i="26"/>
  <c r="L105" i="26" s="1"/>
  <c r="K91" i="26"/>
  <c r="J91" i="26"/>
  <c r="L91" i="26" s="1"/>
  <c r="K77" i="26"/>
  <c r="J77" i="26"/>
  <c r="L77" i="26" s="1"/>
  <c r="K70" i="26"/>
  <c r="J70" i="26"/>
  <c r="L70" i="26" s="1"/>
  <c r="K65" i="26"/>
  <c r="J65" i="26"/>
  <c r="L65" i="26" s="1"/>
  <c r="B63" i="26"/>
  <c r="L59" i="26"/>
  <c r="K59" i="26"/>
  <c r="J59" i="26"/>
  <c r="K49" i="26"/>
  <c r="J49" i="26"/>
  <c r="L49" i="26" s="1"/>
  <c r="K43" i="26"/>
  <c r="J43" i="26"/>
  <c r="L43" i="26" s="1"/>
  <c r="K36" i="26"/>
  <c r="J36" i="26"/>
  <c r="L36" i="26" s="1"/>
  <c r="S25" i="26"/>
  <c r="Q24" i="26"/>
  <c r="S24" i="26" s="1"/>
  <c r="K24" i="26"/>
  <c r="S23" i="26"/>
  <c r="K23" i="26"/>
  <c r="K128" i="26" s="1"/>
  <c r="S22" i="26"/>
  <c r="K22" i="26"/>
  <c r="S21" i="26"/>
  <c r="K21" i="26"/>
  <c r="S20" i="26"/>
  <c r="K20" i="26"/>
  <c r="S19" i="26"/>
  <c r="P18" i="26"/>
  <c r="S18" i="26" s="1"/>
  <c r="J18" i="26"/>
  <c r="S17" i="26"/>
  <c r="J17" i="26"/>
  <c r="S16" i="26"/>
  <c r="J16" i="26"/>
  <c r="S15" i="26"/>
  <c r="J15" i="26"/>
  <c r="K122" i="26" s="1"/>
  <c r="F9" i="26"/>
  <c r="B100" i="26" s="1"/>
  <c r="H10" i="4"/>
  <c r="B100" i="27" l="1"/>
  <c r="C64" i="28"/>
  <c r="K25" i="26"/>
  <c r="K26" i="26" s="1"/>
  <c r="K126" i="26"/>
  <c r="C104" i="28"/>
  <c r="B100" i="28"/>
  <c r="C64" i="27"/>
  <c r="B100" i="29"/>
  <c r="C104" i="29"/>
  <c r="C104" i="27"/>
  <c r="C104" i="30"/>
  <c r="L114" i="32"/>
  <c r="L59" i="32"/>
  <c r="L114" i="30"/>
  <c r="J26" i="34"/>
  <c r="L26" i="34" s="1"/>
  <c r="K26" i="35"/>
  <c r="K25" i="29"/>
  <c r="J19" i="29"/>
  <c r="J19" i="30"/>
  <c r="J26" i="30" s="1"/>
  <c r="L26" i="30" s="1"/>
  <c r="J26" i="28"/>
  <c r="K26" i="29"/>
  <c r="K26" i="30"/>
  <c r="J19" i="33"/>
  <c r="J26" i="33" s="1"/>
  <c r="L26" i="33" s="1"/>
  <c r="C64" i="26"/>
  <c r="S24" i="29"/>
  <c r="K127" i="26"/>
  <c r="J19" i="27"/>
  <c r="J26" i="27" s="1"/>
  <c r="L26" i="27" s="1"/>
  <c r="C64" i="31"/>
  <c r="B100" i="32"/>
  <c r="C104" i="33"/>
  <c r="K25" i="30"/>
  <c r="C104" i="26"/>
  <c r="K128" i="27"/>
  <c r="K25" i="28"/>
  <c r="K26" i="28" s="1"/>
  <c r="J19" i="26"/>
  <c r="J26" i="26" s="1"/>
  <c r="B100" i="31"/>
  <c r="J19" i="34"/>
  <c r="S24" i="34"/>
  <c r="K25" i="35"/>
  <c r="C35" i="26"/>
  <c r="K128" i="28"/>
  <c r="C35" i="29"/>
  <c r="C64" i="30"/>
  <c r="C104" i="32"/>
  <c r="S18" i="33"/>
  <c r="J18" i="30"/>
  <c r="B100" i="30"/>
  <c r="K24" i="31"/>
  <c r="C104" i="31"/>
  <c r="K25" i="34"/>
  <c r="J26" i="35"/>
  <c r="L26" i="35" s="1"/>
  <c r="K26" i="34"/>
  <c r="C35" i="34"/>
  <c r="C35" i="33"/>
  <c r="J26" i="29"/>
  <c r="L26" i="29" s="1"/>
  <c r="C35" i="32"/>
  <c r="C64" i="34"/>
  <c r="J18" i="35"/>
  <c r="J19" i="35" s="1"/>
  <c r="K24" i="36"/>
  <c r="J19" i="36" s="1"/>
  <c r="J26" i="36" s="1"/>
  <c r="C64" i="33"/>
  <c r="B100" i="34"/>
  <c r="K129" i="25"/>
  <c r="K114" i="25"/>
  <c r="J114" i="25"/>
  <c r="L114" i="25" s="1"/>
  <c r="K105" i="25"/>
  <c r="J105" i="25"/>
  <c r="L105" i="25" s="1"/>
  <c r="K91" i="25"/>
  <c r="J91" i="25"/>
  <c r="L91" i="25" s="1"/>
  <c r="K77" i="25"/>
  <c r="J77" i="25"/>
  <c r="K70" i="25"/>
  <c r="J70" i="25"/>
  <c r="L70" i="25" s="1"/>
  <c r="L69" i="25"/>
  <c r="K65" i="25"/>
  <c r="J65" i="25"/>
  <c r="B63" i="25"/>
  <c r="L62" i="25"/>
  <c r="K59" i="25"/>
  <c r="J59" i="25"/>
  <c r="K49" i="25"/>
  <c r="J49" i="25"/>
  <c r="L49" i="25" s="1"/>
  <c r="K43" i="25"/>
  <c r="L43" i="25" s="1"/>
  <c r="J43" i="25"/>
  <c r="K36" i="25"/>
  <c r="J36" i="25"/>
  <c r="L36" i="25" s="1"/>
  <c r="S25" i="25"/>
  <c r="Q24" i="25"/>
  <c r="K24" i="25" s="1"/>
  <c r="S23" i="25"/>
  <c r="K23" i="25"/>
  <c r="K128" i="25" s="1"/>
  <c r="S22" i="25"/>
  <c r="K22" i="25"/>
  <c r="K127" i="25" s="1"/>
  <c r="S21" i="25"/>
  <c r="K21" i="25"/>
  <c r="K126" i="25" s="1"/>
  <c r="S20" i="25"/>
  <c r="K20" i="25"/>
  <c r="K125" i="25" s="1"/>
  <c r="S19" i="25"/>
  <c r="P18" i="25"/>
  <c r="S18" i="25" s="1"/>
  <c r="S17" i="25"/>
  <c r="J17" i="25"/>
  <c r="K124" i="25" s="1"/>
  <c r="S16" i="25"/>
  <c r="J16" i="25"/>
  <c r="K123" i="25" s="1"/>
  <c r="S15" i="25"/>
  <c r="J15" i="25"/>
  <c r="K122" i="25" s="1"/>
  <c r="F9" i="25"/>
  <c r="C104" i="25" s="1"/>
  <c r="K129" i="24"/>
  <c r="K114" i="24"/>
  <c r="L114" i="24" s="1"/>
  <c r="J114" i="24"/>
  <c r="K105" i="24"/>
  <c r="J105" i="24"/>
  <c r="L105" i="24" s="1"/>
  <c r="K91" i="24"/>
  <c r="J91" i="24"/>
  <c r="K77" i="24"/>
  <c r="J77" i="24"/>
  <c r="K70" i="24"/>
  <c r="J70" i="24"/>
  <c r="L70" i="24" s="1"/>
  <c r="L69" i="24"/>
  <c r="K65" i="24"/>
  <c r="J65" i="24"/>
  <c r="B63" i="24"/>
  <c r="L62" i="24"/>
  <c r="K59" i="24"/>
  <c r="J59" i="24"/>
  <c r="K49" i="24"/>
  <c r="J49" i="24"/>
  <c r="L49" i="24" s="1"/>
  <c r="L43" i="24"/>
  <c r="K43" i="24"/>
  <c r="J43" i="24"/>
  <c r="K36" i="24"/>
  <c r="J36" i="24"/>
  <c r="L36" i="24" s="1"/>
  <c r="S25" i="24"/>
  <c r="Q24" i="24"/>
  <c r="K24" i="24" s="1"/>
  <c r="S23" i="24"/>
  <c r="K23" i="24"/>
  <c r="K128" i="24" s="1"/>
  <c r="S22" i="24"/>
  <c r="K22" i="24"/>
  <c r="K127" i="24" s="1"/>
  <c r="S21" i="24"/>
  <c r="K21" i="24"/>
  <c r="S20" i="24"/>
  <c r="K20" i="24"/>
  <c r="K125" i="24" s="1"/>
  <c r="S19" i="24"/>
  <c r="P18" i="24"/>
  <c r="S18" i="24" s="1"/>
  <c r="S17" i="24"/>
  <c r="J17" i="24"/>
  <c r="K124" i="24" s="1"/>
  <c r="S16" i="24"/>
  <c r="J16" i="24"/>
  <c r="K123" i="24" s="1"/>
  <c r="S15" i="24"/>
  <c r="J15" i="24"/>
  <c r="K122" i="24" s="1"/>
  <c r="F9" i="24"/>
  <c r="C104" i="24" s="1"/>
  <c r="K129" i="23"/>
  <c r="K122" i="23"/>
  <c r="K114" i="23"/>
  <c r="J114" i="23"/>
  <c r="K105" i="23"/>
  <c r="J105" i="23"/>
  <c r="L105" i="23" s="1"/>
  <c r="K91" i="23"/>
  <c r="J91" i="23"/>
  <c r="L91" i="23" s="1"/>
  <c r="K77" i="23"/>
  <c r="J77" i="23"/>
  <c r="K70" i="23"/>
  <c r="J70" i="23"/>
  <c r="L69" i="23"/>
  <c r="K65" i="23"/>
  <c r="J65" i="23"/>
  <c r="B63" i="23"/>
  <c r="L62" i="23"/>
  <c r="K59" i="23"/>
  <c r="J59" i="23"/>
  <c r="K49" i="23"/>
  <c r="J49" i="23"/>
  <c r="L49" i="23" s="1"/>
  <c r="L43" i="23"/>
  <c r="K43" i="23"/>
  <c r="J43" i="23"/>
  <c r="K36" i="23"/>
  <c r="J36" i="23"/>
  <c r="L36" i="23" s="1"/>
  <c r="S25" i="23"/>
  <c r="Q24" i="23"/>
  <c r="K24" i="23" s="1"/>
  <c r="S23" i="23"/>
  <c r="K23" i="23"/>
  <c r="K128" i="23" s="1"/>
  <c r="S22" i="23"/>
  <c r="K22" i="23"/>
  <c r="S21" i="23"/>
  <c r="K21" i="23"/>
  <c r="K126" i="23" s="1"/>
  <c r="S20" i="23"/>
  <c r="K20" i="23"/>
  <c r="K125" i="23" s="1"/>
  <c r="S19" i="23"/>
  <c r="P18" i="23"/>
  <c r="J18" i="23" s="1"/>
  <c r="S17" i="23"/>
  <c r="J17" i="23"/>
  <c r="K124" i="23" s="1"/>
  <c r="S16" i="23"/>
  <c r="J16" i="23"/>
  <c r="K123" i="23" s="1"/>
  <c r="S15" i="23"/>
  <c r="J15" i="23"/>
  <c r="F9" i="23"/>
  <c r="C104" i="23" s="1"/>
  <c r="K129" i="22"/>
  <c r="K114" i="22"/>
  <c r="J114" i="22"/>
  <c r="K105" i="22"/>
  <c r="L105" i="22" s="1"/>
  <c r="J105" i="22"/>
  <c r="K91" i="22"/>
  <c r="J91" i="22"/>
  <c r="K77" i="22"/>
  <c r="J77" i="22"/>
  <c r="K70" i="22"/>
  <c r="J70" i="22"/>
  <c r="L69" i="22"/>
  <c r="K65" i="22"/>
  <c r="J65" i="22"/>
  <c r="B63" i="22"/>
  <c r="L62" i="22"/>
  <c r="K59" i="22"/>
  <c r="J59" i="22"/>
  <c r="K49" i="22"/>
  <c r="L49" i="22" s="1"/>
  <c r="J49" i="22"/>
  <c r="K43" i="22"/>
  <c r="L43" i="22" s="1"/>
  <c r="J43" i="22"/>
  <c r="K36" i="22"/>
  <c r="J36" i="22"/>
  <c r="L36" i="22" s="1"/>
  <c r="S25" i="22"/>
  <c r="Q24" i="22"/>
  <c r="S24" i="22" s="1"/>
  <c r="S23" i="22"/>
  <c r="K23" i="22"/>
  <c r="K128" i="22" s="1"/>
  <c r="S22" i="22"/>
  <c r="K22" i="22"/>
  <c r="K127" i="22" s="1"/>
  <c r="S21" i="22"/>
  <c r="K21" i="22"/>
  <c r="K126" i="22" s="1"/>
  <c r="S20" i="22"/>
  <c r="K20" i="22"/>
  <c r="S19" i="22"/>
  <c r="P18" i="22"/>
  <c r="S18" i="22" s="1"/>
  <c r="S17" i="22"/>
  <c r="J17" i="22"/>
  <c r="K124" i="22" s="1"/>
  <c r="S16" i="22"/>
  <c r="J16" i="22"/>
  <c r="K123" i="22" s="1"/>
  <c r="S15" i="22"/>
  <c r="J15" i="22"/>
  <c r="K122" i="22" s="1"/>
  <c r="F9" i="22"/>
  <c r="B100" i="22" s="1"/>
  <c r="K129" i="21"/>
  <c r="K114" i="21"/>
  <c r="L114" i="21" s="1"/>
  <c r="J114" i="21"/>
  <c r="K105" i="21"/>
  <c r="J105" i="21"/>
  <c r="L105" i="21" s="1"/>
  <c r="K91" i="21"/>
  <c r="J91" i="21"/>
  <c r="L91" i="21" s="1"/>
  <c r="K77" i="21"/>
  <c r="J77" i="21"/>
  <c r="K70" i="21"/>
  <c r="J70" i="21"/>
  <c r="L69" i="21"/>
  <c r="K65" i="21"/>
  <c r="J65" i="21"/>
  <c r="B63" i="21"/>
  <c r="L62" i="21"/>
  <c r="K59" i="21"/>
  <c r="J59" i="21"/>
  <c r="K49" i="21"/>
  <c r="J49" i="21"/>
  <c r="L49" i="21" s="1"/>
  <c r="L43" i="21"/>
  <c r="K43" i="21"/>
  <c r="J43" i="21"/>
  <c r="K36" i="21"/>
  <c r="J36" i="21"/>
  <c r="L36" i="21" s="1"/>
  <c r="S25" i="21"/>
  <c r="Q24" i="21"/>
  <c r="K24" i="21" s="1"/>
  <c r="S23" i="21"/>
  <c r="K23" i="21"/>
  <c r="K128" i="21" s="1"/>
  <c r="S22" i="21"/>
  <c r="K22" i="21"/>
  <c r="K127" i="21" s="1"/>
  <c r="S21" i="21"/>
  <c r="K21" i="21"/>
  <c r="K126" i="21" s="1"/>
  <c r="S20" i="21"/>
  <c r="K20" i="21"/>
  <c r="K125" i="21" s="1"/>
  <c r="S19" i="21"/>
  <c r="P18" i="21"/>
  <c r="S18" i="21" s="1"/>
  <c r="S17" i="21"/>
  <c r="J17" i="21"/>
  <c r="K124" i="21" s="1"/>
  <c r="S16" i="21"/>
  <c r="J16" i="21"/>
  <c r="K123" i="21" s="1"/>
  <c r="S15" i="21"/>
  <c r="J15" i="21"/>
  <c r="K122" i="21" s="1"/>
  <c r="F9" i="21"/>
  <c r="C104" i="21" s="1"/>
  <c r="K129" i="20"/>
  <c r="K123" i="20"/>
  <c r="K122" i="20"/>
  <c r="L114" i="20"/>
  <c r="K114" i="20"/>
  <c r="J114" i="20"/>
  <c r="K105" i="20"/>
  <c r="J105" i="20"/>
  <c r="L105" i="20" s="1"/>
  <c r="K91" i="20"/>
  <c r="J91" i="20"/>
  <c r="L91" i="20" s="1"/>
  <c r="K77" i="20"/>
  <c r="L77" i="20" s="1"/>
  <c r="J77" i="20"/>
  <c r="K70" i="20"/>
  <c r="J70" i="20"/>
  <c r="L69" i="20"/>
  <c r="K65" i="20"/>
  <c r="J65" i="20"/>
  <c r="B63" i="20"/>
  <c r="L62" i="20"/>
  <c r="K59" i="20"/>
  <c r="L59" i="20" s="1"/>
  <c r="J59" i="20"/>
  <c r="K49" i="20"/>
  <c r="J49" i="20"/>
  <c r="L49" i="20" s="1"/>
  <c r="K43" i="20"/>
  <c r="J43" i="20"/>
  <c r="L43" i="20" s="1"/>
  <c r="K36" i="20"/>
  <c r="J36" i="20"/>
  <c r="L36" i="20" s="1"/>
  <c r="S25" i="20"/>
  <c r="Q24" i="20"/>
  <c r="S24" i="20" s="1"/>
  <c r="S23" i="20"/>
  <c r="K23" i="20"/>
  <c r="K128" i="20" s="1"/>
  <c r="S22" i="20"/>
  <c r="K22" i="20"/>
  <c r="K127" i="20" s="1"/>
  <c r="S21" i="20"/>
  <c r="K21" i="20"/>
  <c r="K126" i="20" s="1"/>
  <c r="S20" i="20"/>
  <c r="K20" i="20"/>
  <c r="K125" i="20" s="1"/>
  <c r="S19" i="20"/>
  <c r="P18" i="20"/>
  <c r="S18" i="20" s="1"/>
  <c r="S17" i="20"/>
  <c r="J17" i="20"/>
  <c r="K124" i="20" s="1"/>
  <c r="S16" i="20"/>
  <c r="J16" i="20"/>
  <c r="S15" i="20"/>
  <c r="J15" i="20"/>
  <c r="F9" i="20"/>
  <c r="C104" i="20" s="1"/>
  <c r="K129" i="19"/>
  <c r="K114" i="19"/>
  <c r="L114" i="19" s="1"/>
  <c r="J114" i="19"/>
  <c r="K105" i="19"/>
  <c r="J105" i="19"/>
  <c r="L105" i="19" s="1"/>
  <c r="K91" i="19"/>
  <c r="J91" i="19"/>
  <c r="L91" i="19" s="1"/>
  <c r="K77" i="19"/>
  <c r="J77" i="19"/>
  <c r="K70" i="19"/>
  <c r="J70" i="19"/>
  <c r="L70" i="19" s="1"/>
  <c r="L69" i="19"/>
  <c r="K65" i="19"/>
  <c r="J65" i="19"/>
  <c r="B63" i="19"/>
  <c r="L62" i="19"/>
  <c r="K59" i="19"/>
  <c r="J59" i="19"/>
  <c r="K49" i="19"/>
  <c r="J49" i="19"/>
  <c r="L49" i="19" s="1"/>
  <c r="K43" i="19"/>
  <c r="L43" i="19" s="1"/>
  <c r="J43" i="19"/>
  <c r="K36" i="19"/>
  <c r="J36" i="19"/>
  <c r="L36" i="19" s="1"/>
  <c r="S25" i="19"/>
  <c r="Q24" i="19"/>
  <c r="S24" i="19" s="1"/>
  <c r="S23" i="19"/>
  <c r="K23" i="19"/>
  <c r="K128" i="19" s="1"/>
  <c r="S22" i="19"/>
  <c r="K22" i="19"/>
  <c r="K127" i="19" s="1"/>
  <c r="S21" i="19"/>
  <c r="K21" i="19"/>
  <c r="K126" i="19" s="1"/>
  <c r="S20" i="19"/>
  <c r="K20" i="19"/>
  <c r="S19" i="19"/>
  <c r="P18" i="19"/>
  <c r="S18" i="19" s="1"/>
  <c r="S17" i="19"/>
  <c r="J17" i="19"/>
  <c r="K124" i="19" s="1"/>
  <c r="S16" i="19"/>
  <c r="J16" i="19"/>
  <c r="K123" i="19" s="1"/>
  <c r="S15" i="19"/>
  <c r="J15" i="19"/>
  <c r="K122" i="19" s="1"/>
  <c r="F9" i="19"/>
  <c r="C104" i="19" s="1"/>
  <c r="K129" i="18"/>
  <c r="K114" i="18"/>
  <c r="L114" i="18" s="1"/>
  <c r="J114" i="18"/>
  <c r="L105" i="18"/>
  <c r="K105" i="18"/>
  <c r="J105" i="18"/>
  <c r="L91" i="18"/>
  <c r="K91" i="18"/>
  <c r="J91" i="18"/>
  <c r="K77" i="18"/>
  <c r="J77" i="18"/>
  <c r="K70" i="18"/>
  <c r="J70" i="18"/>
  <c r="L69" i="18"/>
  <c r="K65" i="18"/>
  <c r="J65" i="18"/>
  <c r="B63" i="18"/>
  <c r="L62" i="18"/>
  <c r="K59" i="18"/>
  <c r="J59" i="18"/>
  <c r="L49" i="18"/>
  <c r="K49" i="18"/>
  <c r="J49" i="18"/>
  <c r="K43" i="18"/>
  <c r="J43" i="18"/>
  <c r="L43" i="18" s="1"/>
  <c r="K36" i="18"/>
  <c r="J36" i="18"/>
  <c r="L36" i="18" s="1"/>
  <c r="S25" i="18"/>
  <c r="Q24" i="18"/>
  <c r="S24" i="18" s="1"/>
  <c r="S23" i="18"/>
  <c r="K23" i="18"/>
  <c r="K128" i="18" s="1"/>
  <c r="S22" i="18"/>
  <c r="K22" i="18"/>
  <c r="S21" i="18"/>
  <c r="K21" i="18"/>
  <c r="S20" i="18"/>
  <c r="K20" i="18"/>
  <c r="K125" i="18" s="1"/>
  <c r="S19" i="18"/>
  <c r="P18" i="18"/>
  <c r="S18" i="18" s="1"/>
  <c r="S17" i="18"/>
  <c r="J17" i="18"/>
  <c r="K124" i="18" s="1"/>
  <c r="S16" i="18"/>
  <c r="J16" i="18"/>
  <c r="K123" i="18" s="1"/>
  <c r="S15" i="18"/>
  <c r="J15" i="18"/>
  <c r="K122" i="18" s="1"/>
  <c r="F9" i="18"/>
  <c r="C35" i="18" s="1"/>
  <c r="K129" i="17"/>
  <c r="K114" i="17"/>
  <c r="J114" i="17"/>
  <c r="L114" i="17" s="1"/>
  <c r="L105" i="17"/>
  <c r="K105" i="17"/>
  <c r="J105" i="17"/>
  <c r="K91" i="17"/>
  <c r="J91" i="17"/>
  <c r="L91" i="17" s="1"/>
  <c r="K77" i="17"/>
  <c r="J77" i="17"/>
  <c r="K70" i="17"/>
  <c r="J70" i="17"/>
  <c r="L69" i="17"/>
  <c r="K65" i="17"/>
  <c r="J65" i="17"/>
  <c r="B63" i="17"/>
  <c r="L62" i="17"/>
  <c r="K59" i="17"/>
  <c r="J59" i="17"/>
  <c r="L49" i="17"/>
  <c r="K49" i="17"/>
  <c r="J49" i="17"/>
  <c r="K43" i="17"/>
  <c r="J43" i="17"/>
  <c r="L43" i="17" s="1"/>
  <c r="K36" i="17"/>
  <c r="J36" i="17"/>
  <c r="L36" i="17" s="1"/>
  <c r="S25" i="17"/>
  <c r="Q24" i="17"/>
  <c r="S24" i="17" s="1"/>
  <c r="S23" i="17"/>
  <c r="K23" i="17"/>
  <c r="K128" i="17" s="1"/>
  <c r="S22" i="17"/>
  <c r="K22" i="17"/>
  <c r="K127" i="17" s="1"/>
  <c r="S21" i="17"/>
  <c r="K21" i="17"/>
  <c r="S20" i="17"/>
  <c r="K20" i="17"/>
  <c r="S19" i="17"/>
  <c r="P18" i="17"/>
  <c r="S18" i="17" s="1"/>
  <c r="S17" i="17"/>
  <c r="J17" i="17"/>
  <c r="K124" i="17" s="1"/>
  <c r="S16" i="17"/>
  <c r="J16" i="17"/>
  <c r="K123" i="17" s="1"/>
  <c r="S15" i="17"/>
  <c r="J15" i="17"/>
  <c r="F9" i="17"/>
  <c r="C104" i="17" s="1"/>
  <c r="L26" i="26" l="1"/>
  <c r="K25" i="36"/>
  <c r="K26" i="36" s="1"/>
  <c r="L26" i="36" s="1"/>
  <c r="L26" i="28"/>
  <c r="J19" i="31"/>
  <c r="J26" i="31" s="1"/>
  <c r="K25" i="31"/>
  <c r="K26" i="31" s="1"/>
  <c r="J18" i="25"/>
  <c r="K25" i="25" s="1"/>
  <c r="K26" i="25" s="1"/>
  <c r="L77" i="25"/>
  <c r="L65" i="25"/>
  <c r="L59" i="25"/>
  <c r="C35" i="25"/>
  <c r="C64" i="25"/>
  <c r="S24" i="25"/>
  <c r="B100" i="25"/>
  <c r="J18" i="24"/>
  <c r="K25" i="24" s="1"/>
  <c r="K26" i="24" s="1"/>
  <c r="S24" i="24"/>
  <c r="L91" i="24"/>
  <c r="L77" i="24"/>
  <c r="L65" i="24"/>
  <c r="L59" i="24"/>
  <c r="C35" i="24"/>
  <c r="C64" i="24"/>
  <c r="B100" i="24"/>
  <c r="K126" i="24"/>
  <c r="L114" i="23"/>
  <c r="L77" i="23"/>
  <c r="L65" i="23"/>
  <c r="L70" i="23"/>
  <c r="L59" i="23"/>
  <c r="S24" i="23"/>
  <c r="S18" i="23"/>
  <c r="K25" i="23"/>
  <c r="K26" i="23" s="1"/>
  <c r="J19" i="23"/>
  <c r="J26" i="23" s="1"/>
  <c r="C35" i="23"/>
  <c r="C64" i="23"/>
  <c r="B100" i="23"/>
  <c r="K127" i="23"/>
  <c r="J18" i="22"/>
  <c r="L91" i="22"/>
  <c r="L114" i="22"/>
  <c r="L77" i="22"/>
  <c r="L70" i="22"/>
  <c r="L65" i="22"/>
  <c r="L59" i="22"/>
  <c r="C35" i="22"/>
  <c r="C64" i="22"/>
  <c r="K24" i="22"/>
  <c r="K125" i="22"/>
  <c r="C104" i="22"/>
  <c r="J18" i="21"/>
  <c r="S24" i="21"/>
  <c r="L77" i="21"/>
  <c r="L70" i="21"/>
  <c r="L65" i="21"/>
  <c r="L59" i="21"/>
  <c r="J19" i="21"/>
  <c r="J26" i="21" s="1"/>
  <c r="K25" i="21"/>
  <c r="K26" i="21" s="1"/>
  <c r="C64" i="21"/>
  <c r="C35" i="21"/>
  <c r="B100" i="21"/>
  <c r="K24" i="20"/>
  <c r="J18" i="20"/>
  <c r="J19" i="20" s="1"/>
  <c r="J26" i="20" s="1"/>
  <c r="L70" i="20"/>
  <c r="L65" i="20"/>
  <c r="C35" i="20"/>
  <c r="C64" i="20"/>
  <c r="B100" i="20"/>
  <c r="J18" i="19"/>
  <c r="L77" i="19"/>
  <c r="L65" i="19"/>
  <c r="L59" i="19"/>
  <c r="K24" i="19"/>
  <c r="K25" i="19" s="1"/>
  <c r="K26" i="19" s="1"/>
  <c r="K125" i="19"/>
  <c r="B100" i="19"/>
  <c r="C35" i="19"/>
  <c r="C64" i="19"/>
  <c r="K24" i="18"/>
  <c r="L77" i="18"/>
  <c r="L70" i="18"/>
  <c r="L65" i="18"/>
  <c r="L59" i="18"/>
  <c r="J18" i="18"/>
  <c r="C64" i="18"/>
  <c r="B100" i="18"/>
  <c r="K126" i="18"/>
  <c r="C104" i="18"/>
  <c r="K127" i="18"/>
  <c r="L77" i="17"/>
  <c r="L70" i="17"/>
  <c r="L65" i="17"/>
  <c r="L59" i="17"/>
  <c r="K24" i="17"/>
  <c r="K25" i="17" s="1"/>
  <c r="K26" i="17" s="1"/>
  <c r="J18" i="17"/>
  <c r="K122" i="17"/>
  <c r="C35" i="17"/>
  <c r="K125" i="17"/>
  <c r="B100" i="17"/>
  <c r="K126" i="17"/>
  <c r="C64" i="17"/>
  <c r="L26" i="31" l="1"/>
  <c r="J19" i="25"/>
  <c r="J26" i="25" s="1"/>
  <c r="L26" i="25" s="1"/>
  <c r="J19" i="24"/>
  <c r="J26" i="24" s="1"/>
  <c r="L26" i="24" s="1"/>
  <c r="L26" i="23"/>
  <c r="J19" i="22"/>
  <c r="J26" i="22" s="1"/>
  <c r="K25" i="22"/>
  <c r="K26" i="22" s="1"/>
  <c r="L26" i="21"/>
  <c r="K25" i="20"/>
  <c r="K26" i="20" s="1"/>
  <c r="L26" i="20"/>
  <c r="J19" i="19"/>
  <c r="J26" i="19" s="1"/>
  <c r="L26" i="19" s="1"/>
  <c r="K25" i="18"/>
  <c r="K26" i="18" s="1"/>
  <c r="J19" i="18"/>
  <c r="J26" i="18" s="1"/>
  <c r="J19" i="17"/>
  <c r="J26" i="17" s="1"/>
  <c r="L26" i="17" s="1"/>
  <c r="L26" i="22" l="1"/>
  <c r="L26" i="18"/>
  <c r="K129" i="16" l="1"/>
  <c r="K114" i="16"/>
  <c r="J114" i="16"/>
  <c r="L105" i="16"/>
  <c r="K105" i="16"/>
  <c r="J105" i="16"/>
  <c r="K91" i="16"/>
  <c r="J91" i="16"/>
  <c r="K77" i="16"/>
  <c r="J77" i="16"/>
  <c r="K70" i="16"/>
  <c r="J70" i="16"/>
  <c r="L69" i="16"/>
  <c r="K65" i="16"/>
  <c r="J65" i="16"/>
  <c r="B63" i="16"/>
  <c r="L62" i="16"/>
  <c r="K59" i="16"/>
  <c r="J59" i="16"/>
  <c r="K49" i="16"/>
  <c r="J49" i="16"/>
  <c r="K43" i="16"/>
  <c r="J43" i="16"/>
  <c r="K36" i="16"/>
  <c r="J36" i="16"/>
  <c r="S25" i="16"/>
  <c r="Q24" i="16"/>
  <c r="K24" i="16" s="1"/>
  <c r="S23" i="16"/>
  <c r="K23" i="16"/>
  <c r="K128" i="16" s="1"/>
  <c r="S22" i="16"/>
  <c r="K22" i="16"/>
  <c r="K127" i="16" s="1"/>
  <c r="S21" i="16"/>
  <c r="K21" i="16"/>
  <c r="K126" i="16" s="1"/>
  <c r="S20" i="16"/>
  <c r="K20" i="16"/>
  <c r="K125" i="16" s="1"/>
  <c r="S19" i="16"/>
  <c r="P18" i="16"/>
  <c r="J18" i="16" s="1"/>
  <c r="S17" i="16"/>
  <c r="J17" i="16"/>
  <c r="K124" i="16" s="1"/>
  <c r="S16" i="16"/>
  <c r="J16" i="16"/>
  <c r="K123" i="16" s="1"/>
  <c r="S15" i="16"/>
  <c r="J15" i="16"/>
  <c r="K122" i="16" s="1"/>
  <c r="F9" i="16"/>
  <c r="B100" i="16" s="1"/>
  <c r="B63" i="2"/>
  <c r="J18" i="4"/>
  <c r="H18" i="4"/>
  <c r="H14" i="4"/>
  <c r="N18" i="4"/>
  <c r="F18" i="4"/>
  <c r="L69" i="2"/>
  <c r="L62" i="2"/>
  <c r="S20" i="2"/>
  <c r="Q24" i="2"/>
  <c r="P18" i="2"/>
  <c r="L114" i="16" l="1"/>
  <c r="L91" i="16"/>
  <c r="L77" i="16"/>
  <c r="L70" i="16"/>
  <c r="L65" i="16"/>
  <c r="L59" i="16"/>
  <c r="L49" i="16"/>
  <c r="L43" i="16"/>
  <c r="L36" i="16"/>
  <c r="S18" i="16"/>
  <c r="S24" i="16"/>
  <c r="K25" i="16"/>
  <c r="K26" i="16" s="1"/>
  <c r="J19" i="16"/>
  <c r="J26" i="16" s="1"/>
  <c r="C104" i="16"/>
  <c r="C35" i="16"/>
  <c r="C64" i="16"/>
  <c r="L26" i="16" l="1"/>
  <c r="K129" i="2" l="1"/>
  <c r="K20" i="2"/>
  <c r="K125" i="2" s="1"/>
  <c r="J18" i="2" l="1"/>
  <c r="S25" i="2"/>
  <c r="S24" i="2"/>
  <c r="S23" i="2"/>
  <c r="K23" i="2"/>
  <c r="S22" i="2"/>
  <c r="K22" i="2"/>
  <c r="K127" i="2" s="1"/>
  <c r="S21" i="2"/>
  <c r="K21" i="2"/>
  <c r="K126" i="2" s="1"/>
  <c r="S19" i="2"/>
  <c r="S17" i="2"/>
  <c r="J17" i="2"/>
  <c r="K124" i="2" s="1"/>
  <c r="S16" i="2"/>
  <c r="J16" i="2"/>
  <c r="K123" i="2" s="1"/>
  <c r="S15" i="2"/>
  <c r="J15" i="2"/>
  <c r="K122" i="2" s="1"/>
  <c r="K128" i="2" l="1"/>
  <c r="J19" i="2"/>
  <c r="K25" i="2"/>
  <c r="K24" i="2"/>
  <c r="S18" i="2"/>
  <c r="J5" i="4" l="1"/>
  <c r="N91" i="7" l="1"/>
  <c r="N90" i="7"/>
  <c r="N89" i="7"/>
  <c r="N88" i="7"/>
  <c r="N80" i="7"/>
  <c r="N79" i="7"/>
  <c r="N78" i="7"/>
  <c r="N77" i="7"/>
  <c r="N69" i="7"/>
  <c r="N68" i="7"/>
  <c r="N67" i="7"/>
  <c r="N66" i="7"/>
  <c r="N16" i="7"/>
  <c r="J33" i="7"/>
  <c r="H89" i="7" s="1"/>
  <c r="H33" i="7"/>
  <c r="H90" i="7" s="1"/>
  <c r="J24" i="7"/>
  <c r="H78" i="7" s="1"/>
  <c r="H24" i="7"/>
  <c r="H79" i="7" s="1"/>
  <c r="H67" i="7"/>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D80" i="7"/>
  <c r="J80" i="7" s="1"/>
  <c r="P80" i="7" s="1"/>
  <c r="F33" i="7"/>
  <c r="D90" i="7" s="1"/>
  <c r="J90" i="7" s="1"/>
  <c r="P90" i="7" s="1"/>
  <c r="D79" i="7"/>
  <c r="J79" i="7" s="1"/>
  <c r="P79" i="7" s="1"/>
  <c r="N57" i="7"/>
  <c r="N49" i="7"/>
  <c r="N42" i="7"/>
  <c r="N33" i="7"/>
  <c r="N24" i="7"/>
  <c r="B33"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<sst xmlns="http://schemas.openxmlformats.org/spreadsheetml/2006/main" count="10350" uniqueCount="1677">
  <si>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</si>
  <si>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</si>
  <si>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</si>
  <si>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</si>
  <si>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</si>
  <si>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</si>
  <si>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</si>
  <si>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</si>
  <si>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</si>
  <si>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</si>
  <si>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</si>
  <si>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</si>
  <si>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</si>
  <si>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</si>
  <si>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</si>
  <si>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</si>
  <si>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</si>
  <si>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</si>
  <si>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</si>
  <si>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</si>
  <si>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</si>
  <si>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</si>
  <si>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</si>
  <si>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</si>
  <si>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</si>
  <si>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</si>
  <si>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</si>
  <si>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</si>
  <si>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</si>
  <si>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</si>
  <si>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</si>
  <si>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</si>
  <si>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</si>
  <si>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</si>
  <si>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</si>
  <si>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</si>
  <si>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</si>
  <si>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</si>
  <si>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</si>
  <si>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</si>
  <si>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</si>
  <si>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</si>
  <si>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</si>
  <si>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</si>
  <si>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</si>
  <si>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</si>
  <si>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</si>
  <si>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</si>
  <si>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</si>
  <si>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</si>
  <si>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</si>
  <si>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</si>
  <si>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</si>
  <si>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</si>
  <si>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</si>
  <si>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</si>
  <si>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</si>
  <si>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</si>
  <si>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</si>
  <si>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</si>
  <si>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</si>
  <si>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</si>
  <si>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</si>
  <si>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</si>
  <si>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</si>
  <si>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</si>
  <si>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</si>
  <si>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</si>
  <si>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</si>
  <si>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</si>
  <si>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</si>
  <si>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</si>
  <si>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</si>
  <si>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</si>
  <si>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</si>
  <si>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</si>
  <si>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</si>
  <si>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</si>
  <si>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</si>
  <si>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</si>
  <si>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</si>
  <si>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</si>
  <si>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</si>
  <si>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</si>
  <si>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</si>
  <si>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</si>
  <si>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</si>
  <si>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</si>
  <si>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</si>
  <si>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</si>
  <si>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</si>
  <si>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</si>
  <si>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</si>
  <si>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</si>
  <si>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</si>
  <si>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</si>
  <si>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</si>
  <si>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</si>
  <si>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</si>
  <si>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</si>
  <si>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</si>
  <si>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</si>
  <si>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</si>
  <si>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</si>
  <si>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</si>
  <si>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</si>
  <si>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</si>
  <si>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</si>
  <si>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</si>
  <si>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</si>
  <si>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</si>
  <si>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</si>
  <si>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</si>
  <si>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</si>
  <si>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</si>
  <si>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</si>
  <si>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</si>
  <si>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</si>
  <si>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</si>
  <si>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</si>
  <si>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</si>
  <si>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</si>
  <si>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</si>
  <si>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</si>
  <si>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</si>
  <si>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</si>
  <si>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</si>
  <si>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</si>
  <si>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</si>
  <si>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</si>
  <si>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</si>
  <si>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</si>
  <si>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</si>
  <si>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</si>
  <si>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</si>
  <si>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</si>
  <si>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</si>
  <si>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</si>
  <si>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</si>
  <si>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</si>
  <si>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</si>
  <si>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</si>
  <si>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</si>
  <si>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</si>
  <si>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</si>
  <si>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</si>
  <si>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</si>
  <si>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</si>
  <si>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</si>
  <si>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</si>
  <si>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</si>
  <si>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</si>
  <si>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</si>
  <si>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</si>
  <si>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</si>
  <si>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</si>
  <si>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</si>
  <si>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</si>
  <si>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</si>
  <si>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</si>
  <si>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</si>
  <si>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</si>
  <si>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</si>
  <si>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</si>
  <si>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</si>
  <si>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</si>
  <si>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</si>
  <si>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</si>
  <si>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</si>
  <si>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</si>
  <si>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</si>
  <si>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</si>
  <si>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</si>
  <si>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</si>
  <si>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</si>
  <si>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</si>
  <si>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</si>
  <si>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</si>
  <si>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</si>
  <si>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</si>
  <si>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</si>
  <si>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</si>
  <si>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</si>
  <si>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</si>
  <si>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</si>
  <si>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</si>
  <si>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</si>
  <si>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</si>
  <si>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</si>
  <si>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</si>
  <si>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</si>
  <si>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</si>
  <si>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</si>
  <si>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</si>
  <si>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</si>
  <si>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</si>
  <si>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</si>
  <si>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</si>
  <si>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</si>
  <si>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</si>
  <si>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</si>
  <si>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</si>
  <si>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</si>
  <si>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</si>
  <si>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</si>
  <si>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</si>
  <si>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</si>
  <si>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</si>
  <si>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</si>
  <si>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</si>
  <si>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</si>
  <si>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</si>
  <si>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</si>
  <si>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</si>
  <si>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</si>
  <si>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</si>
  <si>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</si>
  <si>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</si>
  <si>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</si>
  <si>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</si>
  <si>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</si>
  <si>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</si>
  <si>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</si>
  <si>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</si>
  <si>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</si>
  <si>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</si>
  <si>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</si>
  <si>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</si>
  <si>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</si>
  <si>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</si>
  <si>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</si>
  <si>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</si>
  <si>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</si>
  <si>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</si>
  <si>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</si>
  <si>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</si>
  <si>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</si>
  <si>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</si>
  <si>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</si>
  <si>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</si>
  <si>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</si>
  <si>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</si>
  <si>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</si>
  <si>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</si>
  <si>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</si>
  <si>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</si>
  <si>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</si>
  <si>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</si>
  <si>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</si>
  <si>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</si>
  <si>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</si>
  <si>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</si>
  <si>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</si>
  <si>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</si>
  <si>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</si>
  <si>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</si>
  <si>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</si>
  <si>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</si>
  <si>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</si>
  <si>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</si>
  <si>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</si>
  <si>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</si>
  <si>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</si>
  <si>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</si>
  <si>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</si>
  <si>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</si>
  <si>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</si>
  <si>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</si>
  <si>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</si>
  <si>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</si>
  <si>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</si>
  <si>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</si>
  <si>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</si>
  <si>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</si>
  <si>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</si>
  <si>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</si>
  <si>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</si>
  <si>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</si>
  <si>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</si>
  <si>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</si>
  <si>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</si>
  <si>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</si>
  <si>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</si>
  <si>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</si>
  <si>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</si>
  <si>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</si>
  <si>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</si>
  <si>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</si>
  <si>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</si>
  <si>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</si>
  <si>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</si>
  <si>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</si>
  <si>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</si>
  <si>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</si>
  <si>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</si>
  <si>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</si>
  <si>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</si>
  <si>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</si>
  <si>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</si>
  <si>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</si>
  <si>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</si>
  <si>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</si>
  <si>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</si>
  <si>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</si>
  <si>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</si>
  <si>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</si>
  <si>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</si>
  <si>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</si>
  <si>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</si>
  <si>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</si>
  <si>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</si>
  <si>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</si>
  <si>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</si>
  <si>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</si>
  <si>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</si>
  <si>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</si>
  <si>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</si>
  <si>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</si>
  <si>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</si>
  <si>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</si>
  <si>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</si>
  <si>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</si>
  <si>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</si>
  <si>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</si>
  <si>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</si>
  <si>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</si>
  <si>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</si>
  <si>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</si>
  <si>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</si>
  <si>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</si>
  <si>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</si>
  <si>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</si>
  <si>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</si>
  <si>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</si>
  <si>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</si>
  <si>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</si>
  <si>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</si>
  <si>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</si>
  <si>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</si>
  <si>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</si>
  <si>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</si>
  <si>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</si>
  <si>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</si>
  <si>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</si>
  <si>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</si>
  <si>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</si>
  <si>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</si>
  <si>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</si>
  <si>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</si>
  <si>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</si>
  <si>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</si>
  <si>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</si>
  <si>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</si>
  <si>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</si>
  <si>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</si>
  <si>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</si>
  <si>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</si>
  <si>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</si>
  <si>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</si>
  <si>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</si>
  <si>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</si>
  <si>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</si>
  <si>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</si>
  <si>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</si>
  <si>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</si>
  <si>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</si>
  <si>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</si>
  <si>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</si>
  <si>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</si>
  <si>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</si>
  <si>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</si>
  <si>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</si>
  <si>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</si>
  <si>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</si>
  <si>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</si>
  <si>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</si>
  <si>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</si>
  <si>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</si>
  <si>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</si>
  <si>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</si>
  <si>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</si>
  <si>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</si>
  <si>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</si>
  <si>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</si>
  <si>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</si>
  <si>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</si>
  <si>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</si>
  <si>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</si>
  <si>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</si>
  <si>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</si>
  <si>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</si>
  <si>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</si>
  <si>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</si>
  <si>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</si>
  <si>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</si>
  <si>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</si>
  <si>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</si>
  <si>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</si>
  <si>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</si>
  <si>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</si>
  <si>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</si>
  <si>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</si>
  <si>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</si>
  <si>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</si>
  <si>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</si>
  <si>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</si>
  <si>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</si>
  <si>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</si>
  <si>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</si>
  <si>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</si>
  <si>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</si>
  <si>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</si>
  <si>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</si>
  <si>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</si>
  <si>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</si>
  <si>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</si>
  <si>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</si>
  <si>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</si>
  <si>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</si>
  <si>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</si>
  <si>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</si>
  <si>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</si>
  <si>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</si>
  <si>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</si>
  <si>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</si>
  <si>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</si>
  <si>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</si>
  <si>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</si>
  <si>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</si>
  <si>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</si>
  <si>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</si>
  <si>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</si>
  <si>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</si>
  <si>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</si>
  <si>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</si>
  <si>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</si>
  <si>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</si>
  <si>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</si>
  <si>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</si>
  <si>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</si>
  <si>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</si>
  <si>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</si>
  <si>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</si>
  <si>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</si>
  <si>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</si>
  <si>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</si>
  <si>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</si>
  <si>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</si>
  <si>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</si>
  <si>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</si>
  <si>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</si>
  <si>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</si>
  <si>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</si>
  <si>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</si>
  <si>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</si>
  <si>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</si>
  <si>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</si>
  <si>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</si>
  <si>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</si>
  <si>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</si>
  <si>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</si>
  <si>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</si>
  <si>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</si>
  <si>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</si>
  <si>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</si>
  <si>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</si>
  <si>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</si>
  <si>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</si>
  <si>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</si>
  <si>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</si>
  <si>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</si>
  <si>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</si>
  <si>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</si>
  <si>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</si>
  <si>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</si>
  <si>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</si>
  <si>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</si>
  <si>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</si>
  <si>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</si>
  <si>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</si>
  <si>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</si>
  <si>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</si>
  <si>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</si>
  <si>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</si>
  <si>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</si>
  <si>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</si>
  <si>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</si>
  <si>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</si>
  <si>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</si>
  <si>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</si>
  <si>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</si>
  <si>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</si>
  <si>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</si>
  <si>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</si>
  <si>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</si>
  <si>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</si>
  <si>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</si>
  <si>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</si>
  <si>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</si>
  <si>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</si>
  <si>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</si>
  <si>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</si>
  <si>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</si>
  <si>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</si>
  <si>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</si>
  <si>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</si>
  <si>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</si>
  <si>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</si>
  <si>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</si>
  <si>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</si>
  <si>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</si>
  <si>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</si>
  <si>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</si>
  <si>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</si>
  <si>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</si>
  <si>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</si>
  <si>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</si>
  <si>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</si>
  <si>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</si>
  <si>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</si>
  <si>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</si>
  <si>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</si>
  <si>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</si>
  <si>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</si>
  <si>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</si>
  <si>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</si>
  <si>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</si>
  <si>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</si>
  <si>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</si>
  <si>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</si>
  <si>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</si>
  <si>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</si>
  <si>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</si>
  <si>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</si>
  <si>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</si>
  <si>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</si>
  <si>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</si>
  <si>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</si>
  <si>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</si>
  <si>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</si>
  <si>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</si>
  <si>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</si>
  <si>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</si>
  <si>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</si>
  <si>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</si>
  <si>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</si>
  <si>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</si>
  <si>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</si>
  <si>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</si>
  <si>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</si>
  <si>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</si>
  <si>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</si>
  <si>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</si>
  <si>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</si>
  <si>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</si>
  <si>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</si>
  <si>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</si>
  <si>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</si>
  <si>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</si>
  <si>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</si>
  <si>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</si>
  <si>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</si>
  <si>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</si>
  <si>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</si>
  <si>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</si>
  <si>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</si>
  <si>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</si>
  <si>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</si>
  <si>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</si>
  <si>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</si>
  <si>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</si>
  <si>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</si>
  <si>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</si>
  <si>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</si>
  <si>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</si>
  <si>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</si>
  <si>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</si>
  <si>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</si>
  <si>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</si>
  <si>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</si>
  <si>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</si>
  <si>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</si>
  <si>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</si>
  <si>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</si>
  <si>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</si>
  <si>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</si>
  <si>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</si>
  <si>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</si>
  <si>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</si>
  <si>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</si>
  <si>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</si>
  <si>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</si>
  <si>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</si>
  <si>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</si>
  <si>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</si>
  <si>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</si>
  <si>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</si>
  <si>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</si>
  <si>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</si>
  <si>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</si>
  <si>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</si>
  <si>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</si>
  <si>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</si>
  <si>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</si>
  <si>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</si>
  <si>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</si>
  <si>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</si>
  <si>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</si>
  <si>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</si>
  <si>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</si>
  <si>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</si>
  <si>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</si>
  <si>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</si>
  <si>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</si>
  <si>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</si>
  <si>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</si>
  <si>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</si>
  <si>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</si>
  <si>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</si>
  <si>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</si>
  <si>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</si>
  <si>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</si>
  <si>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</si>
  <si>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</si>
  <si>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</si>
  <si>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</si>
  <si>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</si>
  <si>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</si>
  <si>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</si>
  <si>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</si>
  <si>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</si>
  <si>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</si>
  <si>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</si>
  <si>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</si>
  <si>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</si>
  <si>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</si>
  <si>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</si>
  <si>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</si>
  <si>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</si>
  <si>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</si>
  <si>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</si>
  <si>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</si>
  <si>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</si>
  <si>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</si>
  <si>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</si>
  <si>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</si>
  <si>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</si>
  <si>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</si>
  <si>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</si>
  <si>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</si>
  <si>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</si>
  <si>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</si>
  <si>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</si>
  <si>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</si>
  <si>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</si>
  <si>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</si>
  <si>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</si>
  <si>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</si>
  <si>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</si>
  <si>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</si>
  <si>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</si>
  <si>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</si>
  <si>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</si>
  <si>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</si>
  <si>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</si>
  <si>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</si>
  <si>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</si>
  <si>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</si>
  <si>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</si>
  <si>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</si>
  <si>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</si>
  <si>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</si>
  <si>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</si>
  <si>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</si>
  <si>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</si>
  <si>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</si>
  <si>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</si>
  <si>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</si>
  <si>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</si>
  <si>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</si>
  <si>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</si>
  <si>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</si>
  <si>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</si>
  <si>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</si>
  <si>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</si>
  <si>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</si>
  <si>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</si>
  <si>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</si>
  <si>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</si>
  <si>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</si>
  <si>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</si>
  <si>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</si>
  <si>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</si>
  <si>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</si>
  <si>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</si>
  <si>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</si>
  <si>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</si>
  <si>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</si>
  <si>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</si>
  <si>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</si>
  <si>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</si>
  <si>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</si>
  <si>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</si>
  <si>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</si>
  <si>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</si>
  <si>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</si>
  <si>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</si>
  <si>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</si>
  <si>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</si>
  <si>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</si>
  <si>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</si>
  <si>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</si>
  <si>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</si>
  <si>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</si>
  <si>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</si>
  <si>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</si>
  <si>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</si>
  <si>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</si>
  <si>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</si>
  <si>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</si>
  <si>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</si>
  <si>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</si>
  <si>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</si>
  <si>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</si>
  <si>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</si>
  <si>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</si>
  <si>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</si>
  <si>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</si>
  <si>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</si>
  <si>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</si>
  <si>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</si>
  <si>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</si>
  <si>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</si>
  <si>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</si>
  <si>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</si>
  <si>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</si>
  <si>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</si>
  <si>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</si>
  <si>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</si>
  <si>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</si>
  <si>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</si>
  <si>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</si>
  <si>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</si>
  <si>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</si>
  <si>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</si>
  <si>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</si>
  <si>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</si>
  <si>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</si>
  <si>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</si>
  <si>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</si>
  <si>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</si>
  <si>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</si>
  <si>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</si>
  <si>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</si>
  <si>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</si>
  <si>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</si>
  <si>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</si>
  <si>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</si>
  <si>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</si>
  <si>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</si>
  <si>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</si>
  <si>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</si>
  <si>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</si>
  <si>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</si>
  <si>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</si>
  <si>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</si>
  <si>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</si>
  <si>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</si>
  <si>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</si>
  <si>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</si>
  <si>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</si>
  <si>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</si>
  <si>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</si>
  <si>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</si>
  <si>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</si>
  <si>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</si>
  <si>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</si>
  <si>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</si>
  <si>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</si>
  <si>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</si>
  <si>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</si>
  <si>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</si>
  <si>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</si>
  <si>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</si>
  <si>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</si>
  <si>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</si>
  <si>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</si>
  <si>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</si>
  <si>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</si>
  <si>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</si>
  <si>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</si>
  <si>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</si>
  <si>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</si>
  <si>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</si>
  <si>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</si>
  <si>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</si>
  <si>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</si>
  <si>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</si>
  <si>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</si>
  <si>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</si>
  <si>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</si>
  <si>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</si>
  <si>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</si>
  <si>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</si>
  <si>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</si>
  <si>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</si>
  <si>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</si>
  <si>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</si>
  <si>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</si>
  <si>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</si>
  <si>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</si>
  <si>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</si>
  <si>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</si>
  <si>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</si>
  <si>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</si>
  <si>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</si>
  <si>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</si>
  <si>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</si>
  <si>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</si>
  <si>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</si>
  <si>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</si>
  <si>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</si>
  <si>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</si>
  <si>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</si>
  <si>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</si>
  <si>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</si>
  <si>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</si>
  <si>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</si>
  <si>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</si>
  <si>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</si>
  <si>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</si>
  <si>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</si>
  <si>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</si>
  <si>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</si>
  <si>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</si>
  <si>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</si>
  <si>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</si>
  <si>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</si>
  <si>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</si>
  <si>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</si>
  <si>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</si>
  <si>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</si>
  <si>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</si>
  <si>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</si>
  <si>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</si>
  <si>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</si>
  <si>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</si>
  <si>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</si>
  <si>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</si>
  <si>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</si>
  <si>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</si>
  <si>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</si>
  <si>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</si>
  <si>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</si>
  <si>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</si>
  <si>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</si>
  <si>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</si>
  <si>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</si>
  <si>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</si>
  <si>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</si>
  <si>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</si>
  <si>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</si>
  <si>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</si>
  <si>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</si>
  <si>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</si>
  <si>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</si>
  <si>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</si>
  <si>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</si>
  <si>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</si>
  <si>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</si>
  <si>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</si>
  <si>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</si>
  <si>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</si>
  <si>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</si>
  <si>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</si>
  <si>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</si>
  <si>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</si>
  <si>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</si>
  <si>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</si>
  <si>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</si>
  <si>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</si>
  <si>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</si>
  <si>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</si>
  <si>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</si>
  <si>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</si>
  <si>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</si>
  <si>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</si>
  <si>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</si>
  <si>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</si>
  <si>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</si>
  <si>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</si>
  <si>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</si>
  <si>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</si>
  <si>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</si>
  <si>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</si>
  <si>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</si>
  <si>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</si>
  <si>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</si>
  <si>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</si>
  <si>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</si>
  <si>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</si>
  <si>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</si>
  <si>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</si>
  <si>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</si>
  <si>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</si>
  <si>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</si>
  <si>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</si>
  <si>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</si>
  <si>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</si>
  <si>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</si>
  <si>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</si>
  <si>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</si>
  <si>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</si>
  <si>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</si>
  <si>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</si>
  <si>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</si>
  <si>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</si>
  <si>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</si>
  <si>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</si>
  <si>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</si>
  <si>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</si>
  <si>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</si>
  <si>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</si>
  <si>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</si>
  <si>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</si>
  <si>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</si>
  <si>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</si>
  <si>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</si>
  <si>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</si>
  <si>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</si>
  <si>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</si>
  <si>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</si>
  <si>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</si>
  <si>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</si>
  <si>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</si>
  <si>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</si>
  <si>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</si>
  <si>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</si>
  <si>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</si>
  <si>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</si>
  <si>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</si>
  <si>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</si>
  <si>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</si>
  <si>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</si>
  <si>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</si>
  <si>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</si>
  <si>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</si>
  <si>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</si>
  <si>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</si>
  <si>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</si>
  <si>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</si>
  <si>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</si>
  <si>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</si>
  <si>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</si>
  <si>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</si>
  <si>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</si>
  <si>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</si>
  <si>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</si>
  <si>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</si>
  <si>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</si>
  <si>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</si>
  <si>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</si>
  <si>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</si>
  <si>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</si>
  <si>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</si>
  <si>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</si>
  <si>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</si>
  <si>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</si>
  <si>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</si>
  <si>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</si>
  <si>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</si>
  <si>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</si>
  <si>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</si>
  <si>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</si>
  <si>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</si>
  <si>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</si>
  <si>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</si>
  <si>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</si>
  <si>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</si>
  <si>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</si>
  <si>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</si>
  <si>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</si>
  <si>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</si>
  <si>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</si>
  <si>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</si>
  <si>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</si>
  <si>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</si>
  <si>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</si>
  <si>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</si>
  <si>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</si>
  <si>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</si>
  <si>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</si>
  <si>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</si>
  <si>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</si>
  <si>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</si>
  <si>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</si>
  <si>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</si>
  <si>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</si>
  <si>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</si>
  <si>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</si>
  <si>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</si>
  <si>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</si>
  <si>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</si>
  <si>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</si>
  <si>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</si>
  <si>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</si>
  <si>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</si>
  <si>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</si>
  <si>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</si>
  <si>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</si>
  <si>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</si>
  <si>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</si>
  <si>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</si>
  <si>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</si>
  <si>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</si>
  <si>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</si>
  <si>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</si>
  <si>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</si>
  <si>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</si>
  <si>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</si>
  <si>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</si>
  <si>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</si>
  <si>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</si>
  <si>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</si>
  <si>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</si>
  <si>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</si>
  <si>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</si>
  <si>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</si>
  <si>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</si>
  <si>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</si>
  <si>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</si>
  <si>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</si>
  <si>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</si>
  <si>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</si>
  <si>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</si>
  <si>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</si>
  <si>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</si>
  <si>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</si>
  <si>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</si>
  <si>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</si>
  <si>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</si>
  <si>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</si>
  <si>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</si>
  <si>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</si>
  <si>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</si>
  <si>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</si>
  <si>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</si>
  <si>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</si>
  <si>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</si>
  <si>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</si>
  <si>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</si>
  <si>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</si>
  <si>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</si>
  <si>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</si>
  <si>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</si>
  <si>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</si>
  <si>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</si>
  <si>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</si>
  <si>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</si>
  <si>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</si>
  <si>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</si>
  <si>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</si>
  <si>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</si>
  <si>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</si>
  <si>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</si>
  <si>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</si>
  <si>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</si>
  <si>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</si>
  <si>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</si>
  <si>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</si>
  <si>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</si>
  <si>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</si>
  <si>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</si>
  <si>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</si>
  <si>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</si>
  <si>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</si>
  <si>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</si>
  <si>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</si>
  <si>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</si>
  <si>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</si>
  <si>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</si>
  <si>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</si>
  <si>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</si>
  <si>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</si>
  <si>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</si>
  <si>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</si>
  <si>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</si>
  <si>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</si>
  <si>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</si>
  <si>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</si>
  <si>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</si>
  <si>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</si>
  <si>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</si>
  <si>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</si>
  <si>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</si>
  <si>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</si>
  <si>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</si>
  <si>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</si>
  <si>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</si>
  <si>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</si>
  <si>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</si>
  <si>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</si>
  <si>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</si>
  <si>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</si>
  <si>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</si>
  <si>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</si>
  <si>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</si>
  <si>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</si>
  <si>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</si>
  <si>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</si>
  <si>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</si>
  <si>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</si>
  <si>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</si>
  <si>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</si>
  <si>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</si>
  <si>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</si>
  <si>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</si>
  <si>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</si>
  <si>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</si>
  <si>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</si>
  <si>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</si>
  <si>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</si>
  <si>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</si>
  <si>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</si>
  <si>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</si>
  <si>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</si>
  <si>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</si>
  <si>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</si>
  <si>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</si>
  <si>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</si>
  <si>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</si>
  <si>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</si>
  <si>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</si>
  <si>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</si>
  <si>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</si>
  <si>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</si>
  <si>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</si>
  <si>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</si>
  <si>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</si>
  <si>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</si>
  <si>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</si>
  <si>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</si>
  <si>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</si>
  <si>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</si>
  <si>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</si>
  <si>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</si>
  <si>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</si>
  <si>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</si>
  <si>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</si>
  <si>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</si>
  <si>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</si>
  <si>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</si>
  <si>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</si>
  <si>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</si>
  <si>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</si>
  <si>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</si>
  <si>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</si>
  <si>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</si>
  <si>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</si>
  <si>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</si>
  <si>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</si>
  <si>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</si>
  <si>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</si>
  <si>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</si>
  <si>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</si>
  <si>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</si>
  <si>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</si>
  <si>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</si>
  <si>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</si>
  <si>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</si>
  <si>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</si>
  <si>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</si>
  <si>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</si>
  <si>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</si>
  <si>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</si>
  <si>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</si>
  <si>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</si>
  <si>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</si>
  <si>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</si>
  <si>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</si>
  <si>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</si>
  <si>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</si>
  <si>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</si>
  <si>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</si>
  <si>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</si>
  <si>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</si>
  <si>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</si>
  <si>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</si>
  <si>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</si>
  <si>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</si>
  <si>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</si>
  <si>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</si>
  <si>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</si>
  <si>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</si>
  <si>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</si>
  <si>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</si>
  <si>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</si>
  <si>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</si>
  <si>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</si>
  <si>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</si>
  <si>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</si>
  <si>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</si>
  <si>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</si>
  <si>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</si>
  <si>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</si>
  <si>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</si>
  <si>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</si>
  <si>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</si>
  <si>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</si>
  <si>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</si>
  <si>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</si>
  <si>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</si>
  <si>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</si>
  <si>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</si>
  <si>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</si>
  <si>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</si>
  <si>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</si>
  <si>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</si>
  <si>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</si>
  <si>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</si>
  <si>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</si>
  <si>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</si>
  <si>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</si>
  <si>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</si>
  <si>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</si>
  <si>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</si>
  <si>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</si>
  <si>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</si>
  <si>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</si>
  <si>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</si>
  <si>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</si>
  <si>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</si>
  <si>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</si>
  <si>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</si>
  <si>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</si>
  <si>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</si>
  <si>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</si>
  <si>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</si>
  <si>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</si>
  <si>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</si>
  <si>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</si>
  <si>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</si>
  <si>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</si>
  <si>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</si>
  <si>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</si>
  <si>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</si>
  <si>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</si>
  <si>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</si>
  <si>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</si>
  <si>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</si>
  <si>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</si>
  <si>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</si>
  <si>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</si>
  <si>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</si>
  <si>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</si>
  <si>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</si>
  <si>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</si>
  <si>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</si>
  <si>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</si>
  <si>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</si>
  <si>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</si>
  <si>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</si>
  <si>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</si>
  <si>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</si>
  <si>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</si>
  <si>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</si>
  <si>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</si>
  <si>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</si>
  <si>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</si>
  <si>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</si>
  <si>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</si>
  <si>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</si>
  <si>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</si>
  <si>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</si>
  <si>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</si>
  <si>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</si>
  <si>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</si>
  <si>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</si>
  <si>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</si>
  <si>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</si>
  <si>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</si>
  <si>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</si>
  <si>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</si>
  <si>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</si>
  <si>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</si>
  <si>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</si>
  <si>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</si>
  <si>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</si>
  <si>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</si>
  <si>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</si>
  <si>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</si>
  <si>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</si>
  <si>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</si>
  <si>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</si>
  <si>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</si>
  <si>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</si>
  <si>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</si>
  <si>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</si>
  <si>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</si>
  <si>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</si>
  <si>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</si>
  <si>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</si>
  <si>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</si>
  <si>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</si>
  <si>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</si>
  <si>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</si>
  <si>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</si>
  <si>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</si>
  <si>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</si>
  <si>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</si>
  <si>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</si>
  <si>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</si>
  <si>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</si>
  <si>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</si>
  <si>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</si>
  <si>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</si>
  <si>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</si>
  <si>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</si>
  <si>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</si>
  <si>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</si>
  <si>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</si>
  <si>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</si>
  <si>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</si>
  <si>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</si>
  <si>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</si>
  <si>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</si>
  <si>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</si>
  <si>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</si>
  <si>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</si>
  <si>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</si>
  <si>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</si>
  <si>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</si>
  <si>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</si>
  <si>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</si>
  <si>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</si>
  <si>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</si>
  <si>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</si>
  <si>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</si>
  <si>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</si>
  <si>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</si>
  <si>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</si>
  <si>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</si>
  <si>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</si>
  <si>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</si>
  <si>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</si>
  <si>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</si>
  <si>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</si>
  <si>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</si>
  <si>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</si>
  <si>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</si>
  <si>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</si>
  <si>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</si>
  <si>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</si>
  <si>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</si>
  <si>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</si>
  <si>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</si>
  <si>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</si>
  <si>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</si>
  <si>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</si>
  <si>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</si>
  <si>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</si>
  <si>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</si>
  <si>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</si>
  <si>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</si>
  <si>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</si>
  <si>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</si>
  <si>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</si>
  <si>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</si>
  <si>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</si>
  <si>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</si>
  <si>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</si>
  <si>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</si>
  <si>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</si>
  <si>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</si>
  <si>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</si>
  <si>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</si>
  <si>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</si>
  <si>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</si>
  <si>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</si>
  <si>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</si>
  <si>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</si>
  <si>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</si>
  <si>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</si>
  <si>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</si>
  <si>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</si>
  <si>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</si>
  <si>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</si>
  <si>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</si>
  <si>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</si>
  <si>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</si>
  <si>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</si>
  <si>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</si>
  <si>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</si>
  <si>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</si>
  <si>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</si>
  <si>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</si>
  <si>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</si>
  <si>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</si>
  <si>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</si>
  <si>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</si>
  <si>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</si>
  <si>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</si>
  <si>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</si>
  <si>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</si>
  <si>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</si>
  <si>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</si>
  <si>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</si>
  <si>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</si>
  <si>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</si>
  <si>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</si>
  <si>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</si>
  <si>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</si>
  <si>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</si>
  <si>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</si>
  <si>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</si>
  <si>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</si>
  <si>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</si>
  <si>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</si>
  <si>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</si>
  <si>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</si>
  <si>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</si>
  <si>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</si>
  <si>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</si>
  <si>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</si>
  <si>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</si>
  <si>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</si>
  <si>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</si>
  <si>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</si>
  <si>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</si>
  <si>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</si>
  <si>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</si>
  <si>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</si>
  <si>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</si>
  <si>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</si>
  <si>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</si>
  <si>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</si>
  <si>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</si>
  <si>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</si>
  <si>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</si>
  <si>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</si>
  <si>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</si>
  <si>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</si>
  <si>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</si>
  <si>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</si>
  <si>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</si>
  <si>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</si>
  <si>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</si>
  <si>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</si>
  <si>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</si>
  <si>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</si>
  <si>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</si>
  <si>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</si>
  <si>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</si>
  <si>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</si>
  <si>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</si>
  <si>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</si>
  <si>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</si>
  <si>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</si>
  <si>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</si>
  <si>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</si>
  <si>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</si>
  <si>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</si>
  <si>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</si>
  <si>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</si>
  <si>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</si>
  <si>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</si>
  <si>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</si>
  <si>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</si>
  <si>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</si>
  <si>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</si>
  <si>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</si>
  <si>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</si>
  <si>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</si>
  <si>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</si>
  <si>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</si>
  <si>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</si>
  <si>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</si>
  <si>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</si>
  <si>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</si>
  <si>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</si>
  <si>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</si>
  <si>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</si>
  <si>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</si>
  <si>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</si>
  <si>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</si>
  <si>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</si>
  <si>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</si>
  <si>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</si>
  <si>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</si>
  <si>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</si>
  <si>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</si>
  <si>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</si>
  <si>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</si>
  <si>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</si>
  <si>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</si>
  <si>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</si>
  <si>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</si>
  <si>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</si>
  <si>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</si>
  <si>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</si>
  <si>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</si>
  <si>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</si>
  <si>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</si>
  <si>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</si>
  <si>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</si>
  <si>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</si>
  <si>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</si>
  <si>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</si>
  <si>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</si>
  <si>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</si>
  <si>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</si>
  <si>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</si>
  <si>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</si>
  <si>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</si>
  <si>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</si>
  <si>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</si>
  <si>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</si>
  <si>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</si>
  <si>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</si>
  <si>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</si>
  <si>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</si>
  <si>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</si>
  <si>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</si>
  <si>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</si>
  <si>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</si>
  <si>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</si>
  <si>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</si>
  <si>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</si>
  <si>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</si>
  <si>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</si>
  <si>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</si>
  <si>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</si>
  <si>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</si>
  <si>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</si>
  <si>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</si>
  <si>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</si>
  <si>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</si>
  <si>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</si>
  <si>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</si>
  <si>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</si>
  <si>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</si>
  <si>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</si>
  <si>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</si>
  <si>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</si>
  <si>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</si>
  <si>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</si>
  <si>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</si>
  <si>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</si>
  <si>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</si>
  <si>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</si>
  <si>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</si>
  <si>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</si>
  <si>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</si>
  <si>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</si>
  <si>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</si>
  <si>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</si>
  <si>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</si>
  <si>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</si>
  <si>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</si>
  <si>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</si>
  <si>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</si>
  <si>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</si>
  <si>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</si>
  <si>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</si>
  <si>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</si>
  <si>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</si>
  <si>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</si>
  <si>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</si>
  <si>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</si>
  <si>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</si>
  <si>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</si>
  <si>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</si>
  <si>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</si>
  <si>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</si>
  <si>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</si>
  <si>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</si>
  <si>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</si>
  <si>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</si>
  <si>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</si>
  <si>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</si>
  <si>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</si>
  <si>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</si>
  <si>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</si>
  <si>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</si>
  <si>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</si>
  <si>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</si>
  <si>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</si>
  <si>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</si>
  <si>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</si>
  <si>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</si>
  <si>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</si>
  <si>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</si>
  <si>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</si>
  <si>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</si>
  <si>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</si>
  <si>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</si>
  <si>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</si>
  <si>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</si>
  <si>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</si>
  <si>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</si>
  <si>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</si>
  <si>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</si>
  <si>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</si>
  <si>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</si>
  <si>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</si>
  <si>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</si>
  <si>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</si>
  <si>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</si>
  <si>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</si>
  <si>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</si>
  <si>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</si>
  <si>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</si>
  <si>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</si>
  <si>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</si>
  <si>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</si>
  <si>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</si>
  <si>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</si>
  <si>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</si>
  <si>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</si>
  <si>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</si>
  <si>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</si>
  <si>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</si>
  <si>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</si>
  <si>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</si>
  <si>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</si>
  <si>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</si>
  <si>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</si>
  <si>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</si>
  <si>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</si>
  <si>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</si>
  <si>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</si>
  <si>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</si>
  <si>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</si>
  <si>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</si>
  <si>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</si>
  <si>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</si>
  <si>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</si>
  <si>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</si>
  <si>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</si>
  <si>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</si>
  <si>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</si>
  <si>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</si>
  <si>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</si>
  <si>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</si>
  <si>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</si>
  <si>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</si>
  <si>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</si>
  <si>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</si>
  <si>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</si>
  <si>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</si>
  <si>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</si>
  <si>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</si>
  <si>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</si>
  <si>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</si>
  <si>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</si>
  <si>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</si>
  <si>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</si>
  <si>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</si>
  <si>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</si>
  <si>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</si>
  <si>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N/A</t>
  </si>
  <si>
    <t>No action required.</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</si>
  <si>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</si>
  <si>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</si>
  <si>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</si>
  <si>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</si>
  <si>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</si>
  <si>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</si>
  <si>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</si>
  <si>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</si>
  <si>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</si>
  <si>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</si>
  <si>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</si>
  <si>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</si>
  <si>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</si>
  <si>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</si>
  <si>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Department of Justice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</si>
</sst>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b/>
      <i/>
      <sz val="12"/>
      <color rgb="FFFF0000"/>
      <name val="Arial"/>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s>
  <borders count="18">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05">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46" fillId="3" borderId="0" xfId="0" applyFont="1" applyFill="1"/>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5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ESKTOP\FR%20Documents\23-24\BLANK%20GASB_87_Annual_Reporting_Submission_Workbook_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ACCTG\FINANCIAL%20REPORTS\REPORTS\GASB%2087\Templates\3016.%203053,%203086,%20308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moorec\Desktop\GASB%2087\3053_Annual_Reporting_Submission_Workbook_V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moorec\Desktop\GASB%2087\3086_Annual_Reporting_Submission_Workbook_V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moorec\Desktop\GASB%2087\3087_Annual_Reporting_Submission_Workbook_V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ACCTG\FINANCIAL%20REPORTS\REPORTS\GASB%2087\Templates\3320,%209731,%2097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Menus"/>
      <sheetName val="qryIndex02a"/>
      <sheetName val="LS-Version Changes"/>
      <sheetName val="0001"/>
      <sheetName val="LS-Department Note Disclosure"/>
      <sheetName val="LS-Lease Liabilities"/>
      <sheetName val="LS-Check Figures  "/>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Menus"/>
      <sheetName val="qryIndex02a"/>
      <sheetName val="LS-Version Changes"/>
      <sheetName val="3016"/>
      <sheetName val="3053"/>
      <sheetName val="3086"/>
      <sheetName val="3087"/>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Menus"/>
      <sheetName val="qryIndex02a"/>
      <sheetName val="LS-Version Changes"/>
      <sheetName val="LS-Fund ####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Menus"/>
      <sheetName val="qryIndex02a"/>
      <sheetName val="LS-Version Changes"/>
      <sheetName val="LS-Fund ####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Menus"/>
      <sheetName val="qryIndex02a"/>
      <sheetName val="LS-Version Changes"/>
      <sheetName val="LS-Fund ####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 Down Menus"/>
      <sheetName val="qryIndex02a"/>
      <sheetName val="LS-Version Changes"/>
      <sheetName val="3320"/>
      <sheetName val="9731"/>
      <sheetName val="9740"/>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19</v>
      </c>
      <c r="B1" s="1" t="s">
        <v>120</v>
      </c>
      <c r="C1" s="1" t="s">
        <v>122</v>
      </c>
      <c r="D1" s="1" t="s">
        <v>125</v>
      </c>
      <c r="E1" s="1" t="s">
        <v>154</v>
      </c>
      <c r="F1" s="111" t="s">
        <v>209</v>
      </c>
      <c r="G1" s="112" t="s">
        <v>1597</v>
      </c>
    </row>
    <row r="2" spans="1:8" ht="15.6" x14ac:dyDescent="0.3">
      <c r="A2" s="1" t="s">
        <v>20</v>
      </c>
      <c r="B2" s="1" t="s">
        <v>121</v>
      </c>
      <c r="C2" s="1" t="s">
        <v>123</v>
      </c>
      <c r="D2" s="1" t="s">
        <v>124</v>
      </c>
      <c r="E2" s="1" t="s">
        <v>131</v>
      </c>
      <c r="F2" s="111" t="s">
        <v>1598</v>
      </c>
      <c r="G2" t="s">
        <v>1599</v>
      </c>
      <c r="H2" t="s">
        <v>1617</v>
      </c>
    </row>
    <row r="3" spans="1:8" ht="15.6" x14ac:dyDescent="0.3">
      <c r="A3" s="1" t="s">
        <v>21</v>
      </c>
      <c r="E3" s="1" t="s">
        <v>130</v>
      </c>
      <c r="F3" s="111" t="s">
        <v>1600</v>
      </c>
      <c r="G3" t="s">
        <v>1601</v>
      </c>
      <c r="H3" t="s">
        <v>1618</v>
      </c>
    </row>
    <row r="4" spans="1:8" ht="15.6" x14ac:dyDescent="0.3">
      <c r="A4" s="1" t="s">
        <v>22</v>
      </c>
      <c r="F4" s="111" t="s">
        <v>1602</v>
      </c>
      <c r="G4" t="s">
        <v>1603</v>
      </c>
      <c r="H4" t="s">
        <v>1619</v>
      </c>
    </row>
    <row r="5" spans="1:8" ht="15.6" x14ac:dyDescent="0.3">
      <c r="A5" s="1" t="s">
        <v>23</v>
      </c>
      <c r="F5" s="111" t="s">
        <v>1604</v>
      </c>
      <c r="G5" t="s">
        <v>1605</v>
      </c>
      <c r="H5" t="s">
        <v>1620</v>
      </c>
    </row>
    <row r="6" spans="1:8" ht="15.6" x14ac:dyDescent="0.3">
      <c r="A6" s="1" t="s">
        <v>24</v>
      </c>
      <c r="F6" s="113" t="s">
        <v>302</v>
      </c>
      <c r="G6" t="s">
        <v>1606</v>
      </c>
      <c r="H6" t="s">
        <v>1621</v>
      </c>
    </row>
    <row r="7" spans="1:8" ht="15.6" x14ac:dyDescent="0.3">
      <c r="A7" s="1" t="s">
        <v>25</v>
      </c>
      <c r="F7" s="111" t="s">
        <v>1607</v>
      </c>
      <c r="G7" t="s">
        <v>1608</v>
      </c>
      <c r="H7" t="s">
        <v>1622</v>
      </c>
    </row>
    <row r="8" spans="1:8" ht="15.6" x14ac:dyDescent="0.3">
      <c r="A8" s="1" t="s">
        <v>26</v>
      </c>
      <c r="F8" s="111" t="s">
        <v>903</v>
      </c>
      <c r="G8" t="s">
        <v>1609</v>
      </c>
      <c r="H8" t="s">
        <v>1623</v>
      </c>
    </row>
    <row r="9" spans="1:8" ht="15.6" x14ac:dyDescent="0.3">
      <c r="A9" s="1" t="s">
        <v>27</v>
      </c>
      <c r="F9" s="111" t="s">
        <v>1610</v>
      </c>
      <c r="G9" t="s">
        <v>1611</v>
      </c>
      <c r="H9" t="s">
        <v>1624</v>
      </c>
    </row>
    <row r="10" spans="1:8" ht="15.6" x14ac:dyDescent="0.3">
      <c r="A10" s="1" t="s">
        <v>28</v>
      </c>
      <c r="F10" t="s">
        <v>1612</v>
      </c>
      <c r="G10" t="s">
        <v>1613</v>
      </c>
      <c r="H10" t="s">
        <v>1625</v>
      </c>
    </row>
    <row r="11" spans="1:8" x14ac:dyDescent="0.25">
      <c r="A11" s="1" t="s">
        <v>29</v>
      </c>
    </row>
    <row r="12" spans="1:8" x14ac:dyDescent="0.25">
      <c r="A12" s="1" t="s">
        <v>30</v>
      </c>
    </row>
    <row r="13" spans="1:8" x14ac:dyDescent="0.25">
      <c r="A13" s="1" t="s">
        <v>31</v>
      </c>
    </row>
    <row r="14" spans="1:8" x14ac:dyDescent="0.25">
      <c r="A14" s="1" t="s">
        <v>32</v>
      </c>
    </row>
    <row r="15" spans="1:8" x14ac:dyDescent="0.25">
      <c r="A15" s="1" t="s">
        <v>33</v>
      </c>
    </row>
    <row r="16" spans="1:8" x14ac:dyDescent="0.25">
      <c r="A16" s="1" t="s">
        <v>34</v>
      </c>
    </row>
    <row r="17" spans="1:1" x14ac:dyDescent="0.25">
      <c r="A17" s="1" t="s">
        <v>35</v>
      </c>
    </row>
    <row r="18" spans="1:1" x14ac:dyDescent="0.25">
      <c r="A18" s="1" t="s">
        <v>36</v>
      </c>
    </row>
    <row r="19" spans="1:1" x14ac:dyDescent="0.25">
      <c r="A19" s="1" t="s">
        <v>37</v>
      </c>
    </row>
    <row r="20" spans="1:1" x14ac:dyDescent="0.25">
      <c r="A20" s="1" t="s">
        <v>38</v>
      </c>
    </row>
    <row r="21" spans="1:1" x14ac:dyDescent="0.25">
      <c r="A21" s="1" t="s">
        <v>39</v>
      </c>
    </row>
    <row r="22" spans="1:1" x14ac:dyDescent="0.25">
      <c r="A22" s="1" t="s">
        <v>40</v>
      </c>
    </row>
    <row r="23" spans="1:1" x14ac:dyDescent="0.25">
      <c r="A23" s="1" t="s">
        <v>41</v>
      </c>
    </row>
    <row r="24" spans="1:1" x14ac:dyDescent="0.25">
      <c r="A24" s="1" t="s">
        <v>42</v>
      </c>
    </row>
    <row r="25" spans="1:1" x14ac:dyDescent="0.25">
      <c r="A25" s="1" t="s">
        <v>43</v>
      </c>
    </row>
    <row r="26" spans="1:1" x14ac:dyDescent="0.25">
      <c r="A26" s="1" t="s">
        <v>44</v>
      </c>
    </row>
    <row r="27" spans="1:1" x14ac:dyDescent="0.25">
      <c r="A27" s="1" t="s">
        <v>45</v>
      </c>
    </row>
    <row r="28" spans="1:1" x14ac:dyDescent="0.25">
      <c r="A28" s="1" t="s">
        <v>46</v>
      </c>
    </row>
    <row r="29" spans="1:1" x14ac:dyDescent="0.25">
      <c r="A29" s="1" t="s">
        <v>47</v>
      </c>
    </row>
    <row r="30" spans="1:1" x14ac:dyDescent="0.25">
      <c r="A30" s="1" t="s">
        <v>48</v>
      </c>
    </row>
    <row r="31" spans="1:1" x14ac:dyDescent="0.25">
      <c r="A31" s="1" t="s">
        <v>49</v>
      </c>
    </row>
    <row r="32" spans="1:1" x14ac:dyDescent="0.25">
      <c r="A32" s="1" t="s">
        <v>50</v>
      </c>
    </row>
    <row r="33" spans="1:1" x14ac:dyDescent="0.25">
      <c r="A33" s="1" t="s">
        <v>51</v>
      </c>
    </row>
    <row r="34" spans="1:1" x14ac:dyDescent="0.25">
      <c r="A34" s="1" t="s">
        <v>52</v>
      </c>
    </row>
    <row r="35" spans="1:1" x14ac:dyDescent="0.25">
      <c r="A35" s="1" t="s">
        <v>53</v>
      </c>
    </row>
    <row r="36" spans="1:1" x14ac:dyDescent="0.25">
      <c r="A36" s="1" t="s">
        <v>54</v>
      </c>
    </row>
    <row r="37" spans="1:1" x14ac:dyDescent="0.25">
      <c r="A37" s="1" t="s">
        <v>55</v>
      </c>
    </row>
    <row r="38" spans="1:1" x14ac:dyDescent="0.25">
      <c r="A38" s="1" t="s">
        <v>56</v>
      </c>
    </row>
    <row r="39" spans="1:1" x14ac:dyDescent="0.25">
      <c r="A39" s="1" t="s">
        <v>57</v>
      </c>
    </row>
    <row r="40" spans="1:1" x14ac:dyDescent="0.25">
      <c r="A40" s="1" t="s">
        <v>58</v>
      </c>
    </row>
    <row r="41" spans="1:1" x14ac:dyDescent="0.25">
      <c r="A41" s="1" t="s">
        <v>59</v>
      </c>
    </row>
    <row r="42" spans="1:1" x14ac:dyDescent="0.25">
      <c r="A42" s="1" t="s">
        <v>60</v>
      </c>
    </row>
    <row r="43" spans="1:1" x14ac:dyDescent="0.25">
      <c r="A43" s="1" t="s">
        <v>61</v>
      </c>
    </row>
    <row r="44" spans="1:1" x14ac:dyDescent="0.25">
      <c r="A44" s="1" t="s">
        <v>62</v>
      </c>
    </row>
    <row r="45" spans="1:1" x14ac:dyDescent="0.25">
      <c r="A45" s="1" t="s">
        <v>63</v>
      </c>
    </row>
    <row r="46" spans="1:1" x14ac:dyDescent="0.25">
      <c r="A46" s="1" t="s">
        <v>64</v>
      </c>
    </row>
    <row r="47" spans="1:1" x14ac:dyDescent="0.25">
      <c r="A47" s="1" t="s">
        <v>65</v>
      </c>
    </row>
    <row r="48" spans="1:1" x14ac:dyDescent="0.25">
      <c r="A48" s="1" t="s">
        <v>66</v>
      </c>
    </row>
    <row r="49" spans="1:1" x14ac:dyDescent="0.25">
      <c r="A49" s="1" t="s">
        <v>67</v>
      </c>
    </row>
    <row r="50" spans="1:1" x14ac:dyDescent="0.25">
      <c r="A50" s="1" t="s">
        <v>68</v>
      </c>
    </row>
    <row r="51" spans="1:1" x14ac:dyDescent="0.25">
      <c r="A51" s="1" t="s">
        <v>69</v>
      </c>
    </row>
    <row r="52" spans="1:1" x14ac:dyDescent="0.25">
      <c r="A52" s="1" t="s">
        <v>70</v>
      </c>
    </row>
    <row r="53" spans="1:1" x14ac:dyDescent="0.25">
      <c r="A53" s="1" t="s">
        <v>71</v>
      </c>
    </row>
    <row r="54" spans="1:1" x14ac:dyDescent="0.25">
      <c r="A54" s="1" t="s">
        <v>72</v>
      </c>
    </row>
    <row r="55" spans="1:1" x14ac:dyDescent="0.25">
      <c r="A55" s="1" t="s">
        <v>73</v>
      </c>
    </row>
    <row r="56" spans="1:1" x14ac:dyDescent="0.25">
      <c r="A56" s="1" t="s">
        <v>74</v>
      </c>
    </row>
    <row r="57" spans="1:1" x14ac:dyDescent="0.25">
      <c r="A57" s="1" t="s">
        <v>75</v>
      </c>
    </row>
    <row r="58" spans="1:1" x14ac:dyDescent="0.25">
      <c r="A58" s="1" t="s">
        <v>76</v>
      </c>
    </row>
    <row r="59" spans="1:1" x14ac:dyDescent="0.25">
      <c r="A59" s="1" t="s">
        <v>77</v>
      </c>
    </row>
    <row r="60" spans="1:1" x14ac:dyDescent="0.25">
      <c r="A60" s="1" t="s">
        <v>78</v>
      </c>
    </row>
    <row r="61" spans="1:1" x14ac:dyDescent="0.25">
      <c r="A61" s="1" t="s">
        <v>79</v>
      </c>
    </row>
    <row r="62" spans="1:1" x14ac:dyDescent="0.25">
      <c r="A62" s="1" t="s">
        <v>80</v>
      </c>
    </row>
    <row r="63" spans="1:1" x14ac:dyDescent="0.25">
      <c r="A63" s="1" t="s">
        <v>81</v>
      </c>
    </row>
    <row r="64" spans="1:1" x14ac:dyDescent="0.25">
      <c r="A64" s="1" t="s">
        <v>82</v>
      </c>
    </row>
    <row r="65" spans="1:1" x14ac:dyDescent="0.25">
      <c r="A65" s="1" t="s">
        <v>83</v>
      </c>
    </row>
    <row r="66" spans="1:1" x14ac:dyDescent="0.25">
      <c r="A66" s="1" t="s">
        <v>84</v>
      </c>
    </row>
    <row r="67" spans="1:1" x14ac:dyDescent="0.25">
      <c r="A67" s="1" t="s">
        <v>85</v>
      </c>
    </row>
    <row r="68" spans="1:1" x14ac:dyDescent="0.25">
      <c r="A68" s="1" t="s">
        <v>86</v>
      </c>
    </row>
    <row r="69" spans="1:1" x14ac:dyDescent="0.25">
      <c r="A69" s="1" t="s">
        <v>87</v>
      </c>
    </row>
    <row r="70" spans="1:1" x14ac:dyDescent="0.25">
      <c r="A70" s="1" t="s">
        <v>88</v>
      </c>
    </row>
    <row r="71" spans="1:1" x14ac:dyDescent="0.25">
      <c r="A71" s="1" t="s">
        <v>89</v>
      </c>
    </row>
    <row r="72" spans="1:1" x14ac:dyDescent="0.25">
      <c r="A72" s="1" t="s">
        <v>90</v>
      </c>
    </row>
    <row r="73" spans="1:1" x14ac:dyDescent="0.25">
      <c r="A73" s="1" t="s">
        <v>91</v>
      </c>
    </row>
    <row r="74" spans="1:1" x14ac:dyDescent="0.25">
      <c r="A74" s="1" t="s">
        <v>92</v>
      </c>
    </row>
    <row r="75" spans="1:1" x14ac:dyDescent="0.25">
      <c r="A75" s="1" t="s">
        <v>93</v>
      </c>
    </row>
    <row r="76" spans="1:1" x14ac:dyDescent="0.25">
      <c r="A76" s="1" t="s">
        <v>94</v>
      </c>
    </row>
    <row r="77" spans="1:1" x14ac:dyDescent="0.25">
      <c r="A77" s="1" t="s">
        <v>95</v>
      </c>
    </row>
    <row r="78" spans="1:1" x14ac:dyDescent="0.25">
      <c r="A78" s="1" t="s">
        <v>96</v>
      </c>
    </row>
    <row r="79" spans="1:1" x14ac:dyDescent="0.25">
      <c r="A79" s="1" t="s">
        <v>97</v>
      </c>
    </row>
    <row r="80" spans="1:1" x14ac:dyDescent="0.25">
      <c r="A80" s="1" t="s">
        <v>98</v>
      </c>
    </row>
    <row r="81" spans="1:1" x14ac:dyDescent="0.25">
      <c r="A81" s="1" t="s">
        <v>99</v>
      </c>
    </row>
    <row r="82" spans="1:1" x14ac:dyDescent="0.25">
      <c r="A82" s="1" t="s">
        <v>100</v>
      </c>
    </row>
    <row r="83" spans="1:1" x14ac:dyDescent="0.25">
      <c r="A83" s="1" t="s">
        <v>101</v>
      </c>
    </row>
    <row r="84" spans="1:1" x14ac:dyDescent="0.25">
      <c r="A84" s="1" t="s">
        <v>102</v>
      </c>
    </row>
    <row r="85" spans="1:1" x14ac:dyDescent="0.25">
      <c r="A85" s="1" t="s">
        <v>103</v>
      </c>
    </row>
    <row r="86" spans="1:1" x14ac:dyDescent="0.25">
      <c r="A86" s="1" t="s">
        <v>104</v>
      </c>
    </row>
    <row r="87" spans="1:1" x14ac:dyDescent="0.25">
      <c r="A87" s="1" t="s">
        <v>105</v>
      </c>
    </row>
    <row r="88" spans="1:1" x14ac:dyDescent="0.25">
      <c r="A88" s="1" t="s">
        <v>106</v>
      </c>
    </row>
    <row r="89" spans="1:1" x14ac:dyDescent="0.25">
      <c r="A89" s="1" t="s">
        <v>107</v>
      </c>
    </row>
    <row r="90" spans="1:1" x14ac:dyDescent="0.25">
      <c r="A90" s="1" t="s">
        <v>108</v>
      </c>
    </row>
    <row r="91" spans="1:1" x14ac:dyDescent="0.25">
      <c r="A91" s="1" t="s">
        <v>109</v>
      </c>
    </row>
    <row r="92" spans="1:1" x14ac:dyDescent="0.25">
      <c r="A92" s="1" t="s">
        <v>110</v>
      </c>
    </row>
    <row r="93" spans="1:1" x14ac:dyDescent="0.25">
      <c r="A93" s="1" t="s">
        <v>111</v>
      </c>
    </row>
    <row r="94" spans="1:1" x14ac:dyDescent="0.25">
      <c r="A94" s="1" t="s">
        <v>112</v>
      </c>
    </row>
    <row r="95" spans="1:1" x14ac:dyDescent="0.25">
      <c r="A95" s="1" t="s">
        <v>113</v>
      </c>
    </row>
    <row r="96" spans="1:1" x14ac:dyDescent="0.25">
      <c r="A96" s="1" t="s">
        <v>114</v>
      </c>
    </row>
    <row r="97" spans="1:1" x14ac:dyDescent="0.25">
      <c r="A97" s="1" t="s">
        <v>115</v>
      </c>
    </row>
    <row r="98" spans="1:1" x14ac:dyDescent="0.25">
      <c r="A98" s="1" t="s">
        <v>116</v>
      </c>
    </row>
    <row r="99" spans="1:1" x14ac:dyDescent="0.25">
      <c r="A99" s="1" t="s">
        <v>117</v>
      </c>
    </row>
    <row r="100" spans="1:1" x14ac:dyDescent="0.25">
      <c r="A100" s="1" t="s">
        <v>118</v>
      </c>
    </row>
    <row r="101" spans="1:1" x14ac:dyDescent="0.25">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195</v>
      </c>
      <c r="B1" s="109" t="s">
        <v>196</v>
      </c>
      <c r="C1" s="109" t="s">
        <v>197</v>
      </c>
      <c r="D1" s="109" t="s">
        <v>198</v>
      </c>
      <c r="E1" s="109" t="s">
        <v>199</v>
      </c>
      <c r="F1" s="109" t="s">
        <v>200</v>
      </c>
      <c r="G1" s="109" t="s">
        <v>201</v>
      </c>
      <c r="H1" s="109" t="s">
        <v>202</v>
      </c>
      <c r="I1" s="109" t="s">
        <v>203</v>
      </c>
      <c r="J1" s="109" t="s">
        <v>204</v>
      </c>
      <c r="K1" s="109" t="s">
        <v>205</v>
      </c>
    </row>
    <row r="2" spans="1:11" x14ac:dyDescent="0.3">
      <c r="A2" s="110" t="s">
        <v>206</v>
      </c>
      <c r="B2" s="110" t="s">
        <v>207</v>
      </c>
      <c r="C2" s="110" t="s">
        <v>208</v>
      </c>
      <c r="D2" s="110" t="s">
        <v>207</v>
      </c>
      <c r="E2" s="110" t="s">
        <v>209</v>
      </c>
      <c r="F2" s="110" t="s">
        <v>210</v>
      </c>
      <c r="G2" s="110" t="s">
        <v>211</v>
      </c>
      <c r="H2" s="110" t="s">
        <v>206</v>
      </c>
      <c r="I2" s="110" t="s">
        <v>206</v>
      </c>
      <c r="J2" s="110" t="s">
        <v>212</v>
      </c>
      <c r="K2" s="110" t="s">
        <v>213</v>
      </c>
    </row>
    <row r="3" spans="1:11" x14ac:dyDescent="0.3">
      <c r="A3" s="110" t="s">
        <v>214</v>
      </c>
      <c r="B3" s="110" t="s">
        <v>215</v>
      </c>
      <c r="C3" s="110" t="s">
        <v>216</v>
      </c>
      <c r="D3" s="110" t="s">
        <v>217</v>
      </c>
      <c r="E3" s="110" t="s">
        <v>209</v>
      </c>
      <c r="F3" s="110" t="s">
        <v>206</v>
      </c>
      <c r="G3" s="110" t="s">
        <v>206</v>
      </c>
      <c r="H3" s="110" t="s">
        <v>206</v>
      </c>
      <c r="I3" s="110" t="s">
        <v>206</v>
      </c>
      <c r="J3" s="110" t="s">
        <v>218</v>
      </c>
      <c r="K3" s="110" t="s">
        <v>213</v>
      </c>
    </row>
    <row r="4" spans="1:11" x14ac:dyDescent="0.3">
      <c r="A4" s="110" t="s">
        <v>219</v>
      </c>
      <c r="B4" s="110" t="s">
        <v>220</v>
      </c>
      <c r="C4" s="110" t="s">
        <v>216</v>
      </c>
      <c r="D4" s="110" t="s">
        <v>217</v>
      </c>
      <c r="E4" s="110" t="s">
        <v>209</v>
      </c>
      <c r="F4" s="110" t="s">
        <v>206</v>
      </c>
      <c r="G4" s="110" t="s">
        <v>206</v>
      </c>
      <c r="H4" s="110" t="s">
        <v>206</v>
      </c>
      <c r="I4" s="110" t="s">
        <v>206</v>
      </c>
      <c r="J4" s="110" t="s">
        <v>221</v>
      </c>
      <c r="K4" s="110" t="s">
        <v>213</v>
      </c>
    </row>
    <row r="5" spans="1:11" x14ac:dyDescent="0.3">
      <c r="A5" s="110" t="s">
        <v>222</v>
      </c>
      <c r="B5" s="110" t="s">
        <v>223</v>
      </c>
      <c r="C5" s="110" t="s">
        <v>216</v>
      </c>
      <c r="D5" s="110" t="s">
        <v>217</v>
      </c>
      <c r="E5" s="110" t="s">
        <v>209</v>
      </c>
      <c r="F5" s="110" t="s">
        <v>206</v>
      </c>
      <c r="G5" s="110" t="s">
        <v>206</v>
      </c>
      <c r="H5" s="110" t="s">
        <v>206</v>
      </c>
      <c r="I5" s="110" t="s">
        <v>206</v>
      </c>
      <c r="J5" s="110" t="s">
        <v>221</v>
      </c>
      <c r="K5" s="110" t="s">
        <v>213</v>
      </c>
    </row>
    <row r="6" spans="1:11" x14ac:dyDescent="0.3">
      <c r="A6" s="110" t="s">
        <v>224</v>
      </c>
      <c r="B6" s="110" t="s">
        <v>225</v>
      </c>
      <c r="C6" s="110" t="s">
        <v>216</v>
      </c>
      <c r="D6" s="110" t="s">
        <v>217</v>
      </c>
      <c r="E6" s="110" t="s">
        <v>209</v>
      </c>
      <c r="F6" s="110" t="s">
        <v>206</v>
      </c>
      <c r="G6" s="110" t="s">
        <v>206</v>
      </c>
      <c r="H6" s="110" t="s">
        <v>206</v>
      </c>
      <c r="I6" s="110" t="s">
        <v>206</v>
      </c>
      <c r="J6" s="110" t="s">
        <v>221</v>
      </c>
      <c r="K6" s="110" t="s">
        <v>213</v>
      </c>
    </row>
    <row r="7" spans="1:11" x14ac:dyDescent="0.3">
      <c r="A7" s="110" t="s">
        <v>226</v>
      </c>
      <c r="B7" s="110" t="s">
        <v>227</v>
      </c>
      <c r="C7" s="110" t="s">
        <v>216</v>
      </c>
      <c r="D7" s="110" t="s">
        <v>217</v>
      </c>
      <c r="E7" s="110" t="s">
        <v>209</v>
      </c>
      <c r="F7" s="110" t="s">
        <v>206</v>
      </c>
      <c r="G7" s="110" t="s">
        <v>206</v>
      </c>
      <c r="H7" s="110" t="s">
        <v>206</v>
      </c>
      <c r="I7" s="110" t="s">
        <v>206</v>
      </c>
      <c r="J7" s="110" t="s">
        <v>228</v>
      </c>
      <c r="K7" s="110" t="s">
        <v>213</v>
      </c>
    </row>
    <row r="8" spans="1:11" x14ac:dyDescent="0.3">
      <c r="A8" s="110" t="s">
        <v>229</v>
      </c>
      <c r="B8" s="110" t="s">
        <v>230</v>
      </c>
      <c r="C8" s="110" t="s">
        <v>216</v>
      </c>
      <c r="D8" s="110" t="s">
        <v>217</v>
      </c>
      <c r="E8" s="110" t="s">
        <v>209</v>
      </c>
      <c r="F8" s="110" t="s">
        <v>206</v>
      </c>
      <c r="G8" s="110" t="s">
        <v>206</v>
      </c>
      <c r="H8" s="110" t="s">
        <v>206</v>
      </c>
      <c r="I8" s="110" t="s">
        <v>206</v>
      </c>
      <c r="J8" s="110" t="s">
        <v>228</v>
      </c>
      <c r="K8" s="110" t="s">
        <v>213</v>
      </c>
    </row>
    <row r="9" spans="1:11" x14ac:dyDescent="0.3">
      <c r="A9" s="110" t="s">
        <v>231</v>
      </c>
      <c r="B9" s="110" t="s">
        <v>232</v>
      </c>
      <c r="C9" s="110" t="s">
        <v>216</v>
      </c>
      <c r="D9" s="110" t="s">
        <v>217</v>
      </c>
      <c r="E9" s="110" t="s">
        <v>209</v>
      </c>
      <c r="F9" s="110" t="s">
        <v>206</v>
      </c>
      <c r="G9" s="110" t="s">
        <v>206</v>
      </c>
      <c r="H9" s="110" t="s">
        <v>206</v>
      </c>
      <c r="I9" s="110" t="s">
        <v>206</v>
      </c>
      <c r="J9" s="110" t="s">
        <v>228</v>
      </c>
      <c r="K9" s="110" t="s">
        <v>213</v>
      </c>
    </row>
    <row r="10" spans="1:11" x14ac:dyDescent="0.3">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3">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3">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3">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3">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3">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3">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3">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3">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3">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3">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3">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3">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3">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3">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3">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3">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3">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3">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3">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3">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3">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3">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3">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3">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3">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3">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3">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3">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3">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3">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3">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3">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3">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3">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3">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3">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3">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3">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3">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3">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3">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3">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3">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3">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3">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3">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3">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3">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3">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3">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3">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3">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3">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3">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3">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3">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3">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3">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3">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3">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3">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3">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3">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3">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3">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3">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3">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3">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3">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3">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3">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3">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3">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3">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3">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3">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3">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3">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3">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3">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3">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3">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3">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3">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3">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3">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3">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3">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3">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3">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3">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3">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3">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3">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3">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3">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3">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3">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3">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3">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3">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3">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3">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3">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3">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3">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3">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3">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3">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3">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3">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3">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3">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3">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3">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3">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3">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3">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3">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3">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3">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3">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3">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3">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3">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3">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3">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3">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3">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3">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3">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3">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3">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3">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3">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3">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3">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3">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3">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3">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3">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3">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3">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3">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3">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3">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3">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3">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3">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3">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3">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3">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3">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3">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3">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3">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3">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3">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3">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3">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3">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3">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3">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3">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3">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3">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3">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3">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3">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3">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3">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3">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3">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3">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3">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3">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3">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3">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3">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3">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3">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3">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3">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3">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3">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3">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3">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3">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3">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3">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3">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3">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3">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3">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3">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3">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3">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3">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3">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3">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3">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3">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3">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3">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3">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3">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3">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3">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3">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3">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3">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3">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3">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3">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3">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3">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3">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3">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3">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3">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3">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3">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3">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3">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3">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3">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3">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3">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3">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3">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3">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3">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3">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3">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3">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3">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3">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3">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3">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3">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3">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3">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3">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3">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3">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3">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3">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3">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3">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3">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3">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3">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3">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3">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3">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3">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3">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3">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3">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3">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3">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3">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3">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3">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3">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3">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3">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3">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3">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3">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3">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3">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3">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3">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3">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3">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3">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3">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3">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3">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3">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3">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3">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3">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3">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3">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3">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3">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3">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3">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3">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3">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3">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3">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3">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3">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3">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3">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3">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3">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3">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3">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3">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3">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3">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3">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3">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3">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3">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3">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3">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3">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3">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3">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3">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3">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3">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3">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3">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3">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3">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3">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3">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3">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3">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3">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3">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3">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3">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3">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3">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3">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3">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3">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3">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3">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3">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3">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3">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3">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3">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3">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3">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3">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3">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3">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3">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3">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3">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3">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3">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3">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3">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3">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3">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3">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3">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3">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3">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3">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3">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3">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3">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3">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3">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3">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3">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3">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3">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3">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3">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3">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3">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3">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3">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3">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3">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3">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3">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3">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3">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3">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3">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3">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3">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3">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3">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3">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3">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3">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3">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3">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3">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3">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3">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3">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3">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3">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3">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3">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3">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3">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3">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3">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3">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3">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3">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3">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3">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3">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3">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3">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3">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3">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3">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3">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3">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3">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3">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3">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3">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3">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3">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3">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3">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3">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3">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3">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3">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3">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3">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3">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3">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3">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3">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3">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3">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3">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3">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3">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3">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3">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3">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3">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3">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3">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3">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3">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3">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3">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3">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3">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3">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3">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3">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3">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3">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3">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3">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3">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3">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3">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3">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3">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3">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3">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3">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3">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3">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3">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3">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3">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3">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3">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3">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3">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3">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3">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3">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3">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3">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3">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3">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3">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3">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3">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3">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3">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3">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3">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3">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3">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3">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3">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3">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3">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3">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3">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3">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3">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3">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3">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3">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3">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3">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3">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3">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3">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3">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3">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3">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3">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3">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3">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3">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3">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3">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3">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3">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3">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3">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3">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3">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3">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3">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3">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3">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3">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3">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3">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3">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3">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3">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3">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3">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3">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3">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3">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3">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3">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3">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3">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3">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3">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3">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3">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3">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3">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3">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3">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3">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3">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3">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3">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3">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3">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3">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3">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3">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3">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3">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3">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3">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3">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3">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3">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3">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3">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3">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3">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3">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3">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3">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3">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3">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3">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3">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3">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3">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3">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3">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3">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3">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3">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3">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3">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3">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3">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3">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3">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3">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3">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3">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3">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3">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3">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3">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3">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3">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3">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3">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3">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3">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3">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3">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3">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3">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3">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3">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3">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3">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3">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3">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3">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3">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3">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3">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3">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3">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3">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3">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3">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3">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3">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3">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3">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3">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3">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3">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3">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3">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3">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3">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3">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3">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3">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3">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3">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3">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3">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3">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3">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3">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3">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K6" sqref="K6"/>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79" t="s">
        <v>1629</v>
      </c>
      <c r="B1" s="179"/>
      <c r="C1" s="179"/>
      <c r="D1" s="179"/>
      <c r="E1" s="179"/>
      <c r="F1" s="179"/>
      <c r="G1" s="179"/>
      <c r="H1" s="179"/>
      <c r="I1" s="179"/>
      <c r="J1" s="179"/>
      <c r="K1" s="179"/>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75" t="s">
        <v>10</v>
      </c>
      <c r="B3" s="175"/>
      <c r="C3" s="175"/>
      <c r="D3" s="175"/>
      <c r="E3" s="175"/>
      <c r="F3" s="180" t="s">
        <v>21</v>
      </c>
      <c r="G3" s="180"/>
      <c r="H3" s="180"/>
      <c r="I3" s="180"/>
    </row>
    <row r="4" spans="1:20" ht="16.5" customHeight="1" x14ac:dyDescent="0.25">
      <c r="A4" s="175" t="s">
        <v>191</v>
      </c>
      <c r="B4" s="175"/>
      <c r="C4" s="175"/>
      <c r="D4" s="175"/>
      <c r="E4" s="175"/>
      <c r="F4" s="181"/>
      <c r="G4" s="181"/>
      <c r="H4" s="181"/>
      <c r="I4" s="181"/>
    </row>
    <row r="5" spans="1:20" ht="16.5" customHeight="1" x14ac:dyDescent="0.25">
      <c r="A5" s="175" t="s">
        <v>1615</v>
      </c>
      <c r="B5" s="175"/>
      <c r="C5" s="175"/>
      <c r="D5" s="175"/>
      <c r="E5" s="175"/>
      <c r="F5" s="181"/>
      <c r="G5" s="181"/>
      <c r="H5" s="181"/>
      <c r="I5" s="181"/>
      <c r="L5" s="12"/>
      <c r="M5" s="12"/>
      <c r="N5" s="12"/>
      <c r="O5" s="12"/>
      <c r="P5" s="12"/>
      <c r="Q5" s="12"/>
    </row>
    <row r="6" spans="1:20" ht="16.5" customHeight="1" x14ac:dyDescent="0.3">
      <c r="A6" s="175" t="s">
        <v>1634</v>
      </c>
      <c r="B6" s="175"/>
      <c r="C6" s="175"/>
      <c r="D6" s="175"/>
      <c r="E6" s="175"/>
      <c r="F6" s="182"/>
      <c r="G6" s="182"/>
      <c r="H6" s="182"/>
      <c r="I6" s="182"/>
      <c r="L6" s="13"/>
      <c r="M6" s="13"/>
      <c r="N6" s="13"/>
      <c r="O6" s="13"/>
      <c r="P6" s="12"/>
      <c r="Q6" s="12"/>
    </row>
    <row r="7" spans="1:20" ht="16.5" customHeight="1" x14ac:dyDescent="0.3">
      <c r="A7" s="175" t="s">
        <v>1</v>
      </c>
      <c r="B7" s="175"/>
      <c r="C7" s="175"/>
      <c r="D7" s="175"/>
      <c r="E7" s="175"/>
      <c r="F7" s="182"/>
      <c r="G7" s="182"/>
      <c r="H7" s="182"/>
      <c r="I7" s="182"/>
      <c r="K7" s="53"/>
      <c r="L7" s="13"/>
      <c r="M7" s="13"/>
      <c r="N7" s="13"/>
      <c r="O7" s="13"/>
      <c r="P7" s="12"/>
      <c r="Q7" s="12"/>
    </row>
    <row r="8" spans="1:20" ht="16.5" customHeight="1" x14ac:dyDescent="0.3">
      <c r="A8" s="175" t="s">
        <v>1616</v>
      </c>
      <c r="B8" s="175"/>
      <c r="C8" s="175"/>
      <c r="D8" s="175"/>
      <c r="E8" s="175"/>
      <c r="F8" s="182"/>
      <c r="G8" s="182"/>
      <c r="H8" s="182"/>
      <c r="I8" s="182"/>
      <c r="K8" s="53"/>
      <c r="L8" s="13"/>
      <c r="M8" s="13"/>
      <c r="N8" s="13"/>
      <c r="O8" s="13"/>
      <c r="P8" s="12"/>
      <c r="Q8" s="12"/>
    </row>
    <row r="9" spans="1:20" ht="16.5" customHeight="1" x14ac:dyDescent="0.3">
      <c r="A9" s="175" t="s">
        <v>1614</v>
      </c>
      <c r="B9" s="175"/>
      <c r="C9" s="175"/>
      <c r="D9" s="175"/>
      <c r="E9" s="175"/>
      <c r="F9" s="183" t="str">
        <f>IFERROR(IF(F7="Proprietary","Proprietary Fund",VLOOKUP(F5,qryIndex02a!$A$2:$K$654,4,FALSE)),"Unidentified")</f>
        <v>Unidentified</v>
      </c>
      <c r="G9" s="183"/>
      <c r="H9" s="183"/>
      <c r="I9" s="18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3">
      <c r="A15" s="159" t="s">
        <v>1637</v>
      </c>
      <c r="B15" s="9" t="s">
        <v>170</v>
      </c>
      <c r="C15" s="9"/>
      <c r="D15" s="9"/>
      <c r="E15" s="140"/>
      <c r="F15" s="141"/>
      <c r="G15" s="141"/>
      <c r="H15" s="142"/>
      <c r="I15" s="142"/>
      <c r="J15" s="171">
        <f>M15</f>
        <v>0</v>
      </c>
      <c r="M15" s="143"/>
      <c r="P15" s="143"/>
      <c r="Q15" s="155"/>
      <c r="S15" s="154">
        <f t="shared" ref="S15:S19" si="0">P15-M15</f>
        <v>0</v>
      </c>
      <c r="T15" s="173" t="s">
        <v>1673</v>
      </c>
    </row>
    <row r="16" spans="1:20" ht="16.5" customHeight="1" x14ac:dyDescent="0.3">
      <c r="A16" s="159" t="s">
        <v>1637</v>
      </c>
      <c r="B16" s="9" t="s">
        <v>171</v>
      </c>
      <c r="C16" s="9"/>
      <c r="D16" s="9"/>
      <c r="E16" s="140"/>
      <c r="F16" s="141"/>
      <c r="G16" s="141"/>
      <c r="H16" s="142"/>
      <c r="I16" s="142"/>
      <c r="J16" s="171">
        <f>M16</f>
        <v>0</v>
      </c>
      <c r="M16" s="143"/>
      <c r="P16" s="143"/>
      <c r="Q16" s="155"/>
      <c r="S16" s="154">
        <f t="shared" si="0"/>
        <v>0</v>
      </c>
      <c r="T16" s="173" t="s">
        <v>1673</v>
      </c>
    </row>
    <row r="17" spans="1:20" ht="16.5" customHeight="1" x14ac:dyDescent="0.3">
      <c r="A17" s="159" t="s">
        <v>1637</v>
      </c>
      <c r="B17" s="9" t="s">
        <v>172</v>
      </c>
      <c r="C17" s="9"/>
      <c r="D17" s="9"/>
      <c r="E17" s="140"/>
      <c r="F17" s="141"/>
      <c r="G17" s="141"/>
      <c r="H17" s="142"/>
      <c r="I17" s="142"/>
      <c r="J17" s="171">
        <f>M17</f>
        <v>0</v>
      </c>
      <c r="M17" s="143"/>
      <c r="P17" s="143"/>
      <c r="Q17" s="155"/>
      <c r="S17" s="154">
        <f t="shared" si="0"/>
        <v>0</v>
      </c>
      <c r="T17" s="173" t="s">
        <v>1673</v>
      </c>
    </row>
    <row r="18" spans="1:20" ht="16.5" customHeight="1" x14ac:dyDescent="0.3">
      <c r="A18" s="54"/>
      <c r="B18" s="9" t="s">
        <v>168</v>
      </c>
      <c r="C18" s="9"/>
      <c r="D18" s="9"/>
      <c r="E18" s="140"/>
      <c r="F18" s="141"/>
      <c r="G18" s="141"/>
      <c r="H18" s="142"/>
      <c r="I18" s="142"/>
      <c r="J18" s="171">
        <f>P18</f>
        <v>0</v>
      </c>
      <c r="M18" s="143"/>
      <c r="P18" s="152">
        <f>IF(SUM($Q$20:$Q$23)&gt;SUM($P$15:$P$17),SUM($Q$20:$Q$23)-SUM($P$15:$P$17),0)</f>
        <v>0</v>
      </c>
      <c r="Q18" s="155"/>
      <c r="S18" s="154">
        <f t="shared" si="0"/>
        <v>0</v>
      </c>
      <c r="T18" s="172" t="s">
        <v>1661</v>
      </c>
    </row>
    <row r="19" spans="1:20"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c r="T19" s="172" t="s">
        <v>1661</v>
      </c>
    </row>
    <row r="20" spans="1:20" ht="16.5" customHeight="1" x14ac:dyDescent="0.3">
      <c r="A20" s="54"/>
      <c r="B20" s="9"/>
      <c r="C20" s="9" t="s">
        <v>177</v>
      </c>
      <c r="D20" s="9"/>
      <c r="E20" s="140"/>
      <c r="F20" s="141"/>
      <c r="G20" s="141"/>
      <c r="H20" s="142"/>
      <c r="I20" s="142"/>
      <c r="J20" s="150"/>
      <c r="K20" s="171">
        <f>N20</f>
        <v>0</v>
      </c>
      <c r="N20" s="143"/>
      <c r="P20" s="155"/>
      <c r="Q20" s="143"/>
      <c r="S20" s="154">
        <f>Q20-N20</f>
        <v>0</v>
      </c>
      <c r="T20" s="172" t="s">
        <v>1661</v>
      </c>
    </row>
    <row r="21" spans="1:20" ht="16.5" customHeight="1" x14ac:dyDescent="0.3">
      <c r="A21" s="54"/>
      <c r="B21" s="9"/>
      <c r="C21" s="9" t="s">
        <v>174</v>
      </c>
      <c r="D21" s="9"/>
      <c r="E21" s="140"/>
      <c r="F21" s="141"/>
      <c r="G21" s="141"/>
      <c r="H21" s="142"/>
      <c r="I21" s="142"/>
      <c r="J21" s="150"/>
      <c r="K21" s="171">
        <f>N21</f>
        <v>0</v>
      </c>
      <c r="N21" s="143"/>
      <c r="P21" s="155"/>
      <c r="Q21" s="143"/>
      <c r="S21" s="154">
        <f>Q21-N21</f>
        <v>0</v>
      </c>
      <c r="T21" s="172" t="s">
        <v>1661</v>
      </c>
    </row>
    <row r="22" spans="1:20" ht="16.5" customHeight="1" x14ac:dyDescent="0.3">
      <c r="A22" s="54"/>
      <c r="B22" s="9"/>
      <c r="C22" s="9" t="s">
        <v>178</v>
      </c>
      <c r="D22" s="9"/>
      <c r="E22" s="140"/>
      <c r="F22" s="141"/>
      <c r="G22" s="141"/>
      <c r="H22" s="142"/>
      <c r="I22" s="142"/>
      <c r="J22" s="150"/>
      <c r="K22" s="171">
        <f>N22</f>
        <v>0</v>
      </c>
      <c r="N22" s="143"/>
      <c r="P22" s="155"/>
      <c r="Q22" s="143"/>
      <c r="S22" s="154">
        <f t="shared" ref="S22:S25" si="1">Q22-N22</f>
        <v>0</v>
      </c>
      <c r="T22" s="172" t="s">
        <v>1661</v>
      </c>
    </row>
    <row r="23" spans="1:20" ht="16.5" customHeight="1" x14ac:dyDescent="0.3">
      <c r="A23" s="165" t="s">
        <v>1645</v>
      </c>
      <c r="B23" s="9"/>
      <c r="C23" s="9" t="s">
        <v>173</v>
      </c>
      <c r="D23" s="9"/>
      <c r="E23" s="140"/>
      <c r="F23" s="141"/>
      <c r="G23" s="141"/>
      <c r="H23" s="142"/>
      <c r="I23" s="142"/>
      <c r="J23" s="150"/>
      <c r="K23" s="171">
        <f>N23</f>
        <v>0</v>
      </c>
      <c r="N23" s="143"/>
      <c r="P23" s="155"/>
      <c r="Q23" s="143"/>
      <c r="S23" s="154">
        <f t="shared" si="1"/>
        <v>0</v>
      </c>
      <c r="T23" s="172" t="s">
        <v>1661</v>
      </c>
    </row>
    <row r="24" spans="1:20" ht="16.5" customHeight="1" x14ac:dyDescent="0.3">
      <c r="A24" s="54"/>
      <c r="B24" s="9"/>
      <c r="C24" s="9" t="s">
        <v>175</v>
      </c>
      <c r="D24" s="9"/>
      <c r="E24" s="140"/>
      <c r="F24" s="141"/>
      <c r="G24" s="141"/>
      <c r="H24" s="142"/>
      <c r="I24" s="142"/>
      <c r="J24" s="150"/>
      <c r="K24" s="171">
        <f>Q24</f>
        <v>0</v>
      </c>
      <c r="N24" s="143"/>
      <c r="P24" s="155"/>
      <c r="Q24" s="152">
        <f>IF(SUM($Q$20:$Q$23)&lt;SUM($P$15:$P$17),-SUM($Q$20:$Q$23)+SUM($P$15:$P$17),0)</f>
        <v>0</v>
      </c>
      <c r="S24" s="154">
        <f t="shared" si="1"/>
        <v>0</v>
      </c>
      <c r="T24" s="172" t="s">
        <v>1661</v>
      </c>
    </row>
    <row r="25" spans="1:20" ht="16.5" customHeight="1" x14ac:dyDescent="0.3">
      <c r="A25" s="54"/>
      <c r="B25" s="9"/>
      <c r="C25" s="9" t="s">
        <v>176</v>
      </c>
      <c r="D25" s="9"/>
      <c r="E25" s="140"/>
      <c r="F25" s="141"/>
      <c r="G25" s="141"/>
      <c r="H25" s="142"/>
      <c r="I25" s="142"/>
      <c r="J25" s="150"/>
      <c r="K25" s="171">
        <f>IF(SUM($K$20:$K$24)&lt;SUM($J$15:$J$18),-SUM($K$20:$K$24)+SUM($J$15:$J$18),0)</f>
        <v>0</v>
      </c>
      <c r="N25" s="143"/>
      <c r="P25" s="155"/>
      <c r="Q25" s="155"/>
      <c r="S25" s="154">
        <f t="shared" si="1"/>
        <v>0</v>
      </c>
      <c r="T25" s="172" t="s">
        <v>1661</v>
      </c>
    </row>
    <row r="26" spans="1:20" ht="16.5" customHeight="1" x14ac:dyDescent="0.3">
      <c r="A26" s="54"/>
      <c r="C26" s="20"/>
      <c r="D26" s="20"/>
      <c r="E26" s="20"/>
      <c r="F26" s="127"/>
      <c r="G26" s="127"/>
      <c r="H26" s="22"/>
      <c r="I26" s="22"/>
      <c r="J26" s="107">
        <f>SUM(J15:J25)</f>
        <v>0</v>
      </c>
      <c r="K26" s="107">
        <f>SUM(K15:K25)</f>
        <v>0</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0XXX - FUNCTIONAL EXPENSE</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row>
    <row r="58" spans="1:16" ht="16.5" customHeight="1" x14ac:dyDescent="0.3">
      <c r="A58" s="54"/>
      <c r="B58" s="9"/>
      <c r="C58" s="9" t="s">
        <v>178</v>
      </c>
      <c r="D58" s="140"/>
      <c r="E58" s="140"/>
      <c r="F58" s="141"/>
      <c r="G58" s="141"/>
      <c r="H58" s="142"/>
      <c r="I58" s="142"/>
      <c r="J58" s="144"/>
      <c r="K58" s="143"/>
    </row>
    <row r="59" spans="1:16" ht="16.5" customHeight="1" x14ac:dyDescent="0.3">
      <c r="A59" s="54"/>
      <c r="C59" s="16"/>
      <c r="D59" s="16"/>
      <c r="E59" s="16"/>
      <c r="F59" s="17"/>
      <c r="G59" s="17"/>
      <c r="H59" s="18"/>
      <c r="I59" s="18"/>
      <c r="J59" s="107">
        <f>SUM(J55:J58)</f>
        <v>0</v>
      </c>
      <c r="K59" s="107">
        <f>SUM(K55:K58)</f>
        <v>0</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c r="K62" s="147"/>
      <c r="L62" s="10" t="str">
        <f>IF($J$62=$K$69,"","&lt;- Accts 0848 must agree")</f>
        <v/>
      </c>
    </row>
    <row r="63" spans="1:16" ht="16.5" customHeight="1" x14ac:dyDescent="0.3">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c r="K63" s="147"/>
    </row>
    <row r="64" spans="1:16" ht="16.5" customHeight="1" x14ac:dyDescent="0.3">
      <c r="A64" s="54"/>
      <c r="B64" s="9"/>
      <c r="C64" s="9" t="str">
        <f>IF($F$7="Proprietary","Cr: Acct 0870 - SERVICES &amp; CHARGES (MG ADJ)",VLOOKUP($F$9,'Drop Down Menus'!$F$2:$G$10,2,FALSE))</f>
        <v>Cr: Acct 0XXX - FUNCTIONAL EXPENSE</v>
      </c>
      <c r="D64" s="140"/>
      <c r="E64" s="140"/>
      <c r="F64" s="141"/>
      <c r="G64" s="141"/>
      <c r="H64" s="142"/>
      <c r="I64" s="142"/>
      <c r="J64" s="147"/>
      <c r="K64" s="143"/>
    </row>
    <row r="65" spans="1:12" ht="16.5" customHeight="1" x14ac:dyDescent="0.3">
      <c r="A65" s="54"/>
      <c r="C65" s="16"/>
      <c r="D65" s="16"/>
      <c r="E65" s="16"/>
      <c r="F65" s="17"/>
      <c r="G65" s="17"/>
      <c r="H65" s="18"/>
      <c r="I65" s="18"/>
      <c r="J65" s="107">
        <f>SUM(J62:J64)</f>
        <v>0</v>
      </c>
      <c r="K65" s="107">
        <f>SUM(K62:K64)</f>
        <v>0</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c r="K68" s="144"/>
    </row>
    <row r="69" spans="1:12" ht="16.5" customHeight="1" x14ac:dyDescent="0.3">
      <c r="A69" s="54"/>
      <c r="B69" s="9"/>
      <c r="C69" s="9" t="s">
        <v>185</v>
      </c>
      <c r="D69" s="140"/>
      <c r="E69" s="140"/>
      <c r="F69" s="141"/>
      <c r="G69" s="141"/>
      <c r="H69" s="142"/>
      <c r="I69" s="142"/>
      <c r="J69" s="144"/>
      <c r="K69" s="143"/>
      <c r="L69" s="10" t="str">
        <f>IF($J$62=$K$69,"","&lt;- Accts 0848 must agree")</f>
        <v/>
      </c>
    </row>
    <row r="70" spans="1:12" ht="16.5" customHeight="1" x14ac:dyDescent="0.3">
      <c r="A70" s="54"/>
      <c r="C70" s="16"/>
      <c r="D70" s="16"/>
      <c r="E70" s="16"/>
      <c r="F70" s="17"/>
      <c r="G70" s="17"/>
      <c r="H70" s="18"/>
      <c r="I70" s="18"/>
      <c r="J70" s="107">
        <f>SUM(J68:J69)</f>
        <v>0</v>
      </c>
      <c r="K70" s="107">
        <f>SUM(K68:K69)</f>
        <v>0</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c r="K75" s="144"/>
    </row>
    <row r="76" spans="1:12" ht="16.5" customHeight="1" x14ac:dyDescent="0.3">
      <c r="A76" s="54"/>
      <c r="B76" s="9"/>
      <c r="C76" s="9" t="s">
        <v>193</v>
      </c>
      <c r="D76" s="140"/>
      <c r="E76" s="140"/>
      <c r="F76" s="141"/>
      <c r="G76" s="141"/>
      <c r="H76" s="142"/>
      <c r="I76" s="142"/>
      <c r="J76" s="144"/>
      <c r="K76" s="143"/>
    </row>
    <row r="77" spans="1:12" ht="16.5" customHeight="1" x14ac:dyDescent="0.25">
      <c r="A77" s="54"/>
      <c r="B77" s="178" t="s">
        <v>1662</v>
      </c>
      <c r="C77" s="178"/>
      <c r="D77" s="178"/>
      <c r="E77" s="178"/>
      <c r="F77" s="178"/>
      <c r="G77" s="178"/>
      <c r="H77" s="178"/>
      <c r="I77" s="178"/>
      <c r="J77" s="107">
        <f>SUM(J75:J76)</f>
        <v>0</v>
      </c>
      <c r="K77" s="107">
        <f>SUM(K75:K76)</f>
        <v>0</v>
      </c>
      <c r="L77" s="25"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row>
    <row r="91" spans="1:16" ht="16.5" customHeight="1" x14ac:dyDescent="0.3">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0XXX - FUNCTIONAL EXPENSE</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0XXX - FUNCTIONAL EXPENSE</v>
      </c>
      <c r="D104" s="25"/>
      <c r="E104" s="25"/>
      <c r="F104" s="25"/>
      <c r="G104" s="25"/>
      <c r="H104" s="25"/>
      <c r="I104" s="25"/>
      <c r="J104" s="25"/>
      <c r="K104" s="143"/>
    </row>
    <row r="105" spans="1:12" ht="16.5" customHeight="1" x14ac:dyDescent="0.3">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0</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0</v>
      </c>
    </row>
    <row r="128" spans="1:12" ht="16.5" customHeight="1" x14ac:dyDescent="0.3">
      <c r="D128" s="140" t="s">
        <v>1656</v>
      </c>
      <c r="H128" s="10"/>
      <c r="K128" s="169">
        <f>-K23-K48+J68+J75+J96-K113</f>
        <v>0</v>
      </c>
    </row>
    <row r="129" spans="4:11" ht="16.5" customHeight="1" x14ac:dyDescent="0.3">
      <c r="D129" s="140" t="s">
        <v>1657</v>
      </c>
      <c r="H129" s="10"/>
      <c r="K129" s="169">
        <f>-K76</f>
        <v>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149" priority="12">
      <formula>$J$62&lt;&gt;$K$69</formula>
    </cfRule>
  </conditionalFormatting>
  <conditionalFormatting sqref="L26:P26">
    <cfRule type="expression" dxfId="148" priority="1">
      <formula>$J$26&lt;&gt;$K$26</formula>
    </cfRule>
  </conditionalFormatting>
  <conditionalFormatting sqref="L36:P36">
    <cfRule type="expression" dxfId="147" priority="2">
      <formula>$J$36&lt;&gt;$K$36</formula>
    </cfRule>
  </conditionalFormatting>
  <conditionalFormatting sqref="L43:P43">
    <cfRule type="expression" dxfId="146" priority="3">
      <formula>$J$43&lt;&gt;$K$43</formula>
    </cfRule>
  </conditionalFormatting>
  <conditionalFormatting sqref="L49:P49">
    <cfRule type="expression" dxfId="145" priority="4">
      <formula>$J$49&lt;&gt;$K$49</formula>
    </cfRule>
  </conditionalFormatting>
  <conditionalFormatting sqref="L59:P59">
    <cfRule type="expression" dxfId="144" priority="5">
      <formula>$J$59&lt;&gt;$K$59</formula>
    </cfRule>
  </conditionalFormatting>
  <conditionalFormatting sqref="L65:P65">
    <cfRule type="expression" dxfId="143" priority="6">
      <formula>$J$65&lt;&gt;$K$65</formula>
    </cfRule>
  </conditionalFormatting>
  <conditionalFormatting sqref="L70:P70">
    <cfRule type="expression" dxfId="142" priority="7">
      <formula>$J$70&lt;&gt;$K$70</formula>
    </cfRule>
  </conditionalFormatting>
  <conditionalFormatting sqref="L77:P77">
    <cfRule type="expression" dxfId="141" priority="8">
      <formula>$J$77&lt;&gt;$K$77</formula>
    </cfRule>
  </conditionalFormatting>
  <conditionalFormatting sqref="L91:P91">
    <cfRule type="expression" dxfId="140" priority="9">
      <formula>$J$91&lt;&gt;$K$91</formula>
    </cfRule>
  </conditionalFormatting>
  <conditionalFormatting sqref="L105:P105">
    <cfRule type="expression" dxfId="139" priority="10">
      <formula>$J$105&lt;&gt;$K$105</formula>
    </cfRule>
  </conditionalFormatting>
  <conditionalFormatting sqref="L114:P114">
    <cfRule type="expression" dxfId="13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1DB05-3E8F-4678-BC78-4F3F8BB78D1A}">
  <sheetPr codeName="Sheet4">
    <tabColor theme="9" tint="0.59999389629810485"/>
    <pageSetUpPr fitToPage="1"/>
  </sheetPr>
  <dimension ref="A1:T193"/>
  <sheetViews>
    <sheetView zoomScale="70" zoomScaleNormal="70" workbookViewId="0">
      <selection activeCell="H19" sqref="H19"/>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79" t="s">
        <v>1629</v>
      </c>
      <c r="B1" s="179"/>
      <c r="C1" s="179"/>
      <c r="D1" s="179"/>
      <c r="E1" s="179"/>
      <c r="F1" s="179"/>
      <c r="G1" s="179"/>
      <c r="H1" s="179"/>
      <c r="I1" s="179"/>
      <c r="J1" s="179"/>
      <c r="K1" s="179"/>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75" t="s">
        <v>10</v>
      </c>
      <c r="B3" s="175"/>
      <c r="C3" s="175"/>
      <c r="D3" s="175"/>
      <c r="E3" s="175"/>
      <c r="F3" s="180" t="s">
        <v>21</v>
      </c>
      <c r="G3" s="180"/>
      <c r="H3" s="180"/>
      <c r="I3" s="180"/>
    </row>
    <row r="4" spans="1:20" ht="16.5" customHeight="1" x14ac:dyDescent="0.25">
      <c r="A4" s="175" t="s">
        <v>191</v>
      </c>
      <c r="B4" s="175"/>
      <c r="C4" s="175"/>
      <c r="D4" s="175"/>
      <c r="E4" s="175"/>
      <c r="F4" s="181" t="s">
        <v>1676</v>
      </c>
      <c r="G4" s="181"/>
      <c r="H4" s="181"/>
      <c r="I4" s="181"/>
    </row>
    <row r="5" spans="1:20" ht="16.5" customHeight="1" x14ac:dyDescent="0.25">
      <c r="A5" s="175" t="s">
        <v>1615</v>
      </c>
      <c r="B5" s="175"/>
      <c r="C5" s="175"/>
      <c r="D5" s="175"/>
      <c r="E5" s="175"/>
      <c r="F5" s="181" t="s">
        <v>316</v>
      </c>
      <c r="G5" s="181"/>
      <c r="H5" s="181"/>
      <c r="I5" s="181"/>
      <c r="L5" s="12"/>
      <c r="M5" s="12"/>
      <c r="N5" s="12"/>
      <c r="O5" s="12"/>
      <c r="P5" s="12"/>
      <c r="Q5" s="12"/>
    </row>
    <row r="6" spans="1:20" ht="16.5" customHeight="1" x14ac:dyDescent="0.3">
      <c r="A6" s="175" t="s">
        <v>1634</v>
      </c>
      <c r="B6" s="175"/>
      <c r="C6" s="175"/>
      <c r="D6" s="175"/>
      <c r="E6" s="175"/>
      <c r="F6" s="182">
        <v>1</v>
      </c>
      <c r="G6" s="182"/>
      <c r="H6" s="182"/>
      <c r="I6" s="182"/>
      <c r="L6" s="13"/>
      <c r="M6" s="13"/>
      <c r="N6" s="13"/>
      <c r="O6" s="13"/>
      <c r="P6" s="12"/>
      <c r="Q6" s="12"/>
    </row>
    <row r="7" spans="1:20" ht="16.5" customHeight="1" x14ac:dyDescent="0.3">
      <c r="A7" s="175" t="s">
        <v>1</v>
      </c>
      <c r="B7" s="175"/>
      <c r="C7" s="175"/>
      <c r="D7" s="175"/>
      <c r="E7" s="175"/>
      <c r="F7" s="182" t="s">
        <v>120</v>
      </c>
      <c r="G7" s="182"/>
      <c r="H7" s="182"/>
      <c r="I7" s="182"/>
      <c r="K7" s="53"/>
      <c r="L7" s="13"/>
      <c r="M7" s="13"/>
      <c r="N7" s="13"/>
      <c r="O7" s="13"/>
      <c r="P7" s="12"/>
      <c r="Q7" s="12"/>
    </row>
    <row r="8" spans="1:20" ht="16.5" customHeight="1" x14ac:dyDescent="0.3">
      <c r="A8" s="175" t="s">
        <v>1616</v>
      </c>
      <c r="B8" s="175"/>
      <c r="C8" s="175"/>
      <c r="D8" s="175"/>
      <c r="E8" s="175"/>
      <c r="F8" s="182" t="s">
        <v>154</v>
      </c>
      <c r="G8" s="182"/>
      <c r="H8" s="182"/>
      <c r="I8" s="182"/>
      <c r="K8" s="53"/>
      <c r="L8" s="13"/>
      <c r="M8" s="13"/>
      <c r="N8" s="13"/>
      <c r="O8" s="13"/>
      <c r="P8" s="12"/>
      <c r="Q8" s="12"/>
    </row>
    <row r="9" spans="1:20" ht="16.5" customHeight="1" x14ac:dyDescent="0.3">
      <c r="A9" s="175" t="s">
        <v>1614</v>
      </c>
      <c r="B9" s="175"/>
      <c r="C9" s="175"/>
      <c r="D9" s="175"/>
      <c r="E9" s="175"/>
      <c r="F9" s="183" t="str">
        <f>IFERROR(IF(F7="Proprietary","Proprietary Fund",VLOOKUP(F5,qryIndex02a!$A$2:$K$654,4,FALSE)),"Unidentified")</f>
        <v>GENERAL GOVERNMENT</v>
      </c>
      <c r="G9" s="183"/>
      <c r="H9" s="183"/>
      <c r="I9" s="18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3">
      <c r="A15" s="159" t="s">
        <v>1637</v>
      </c>
      <c r="B15" s="9" t="s">
        <v>170</v>
      </c>
      <c r="C15" s="9"/>
      <c r="D15" s="9"/>
      <c r="E15" s="140"/>
      <c r="F15" s="141"/>
      <c r="G15" s="141"/>
      <c r="H15" s="142"/>
      <c r="I15" s="142"/>
      <c r="J15" s="171">
        <f>M15</f>
        <v>0</v>
      </c>
      <c r="M15" s="143">
        <v>0</v>
      </c>
      <c r="P15" s="143">
        <v>0</v>
      </c>
      <c r="Q15" s="155"/>
      <c r="S15" s="154">
        <f t="shared" ref="S15:S19" si="0">P15-M15</f>
        <v>0</v>
      </c>
      <c r="T15" s="173" t="s">
        <v>1673</v>
      </c>
    </row>
    <row r="16" spans="1:20" ht="16.5" customHeight="1" x14ac:dyDescent="0.3">
      <c r="A16" s="159" t="s">
        <v>1637</v>
      </c>
      <c r="B16" s="9" t="s">
        <v>171</v>
      </c>
      <c r="C16" s="9"/>
      <c r="D16" s="9"/>
      <c r="E16" s="140"/>
      <c r="F16" s="141"/>
      <c r="G16" s="141"/>
      <c r="H16" s="142"/>
      <c r="I16" s="142"/>
      <c r="J16" s="171">
        <f>M16</f>
        <v>54341.588036000001</v>
      </c>
      <c r="M16" s="143">
        <v>54341.588036000001</v>
      </c>
      <c r="P16" s="143">
        <v>54342</v>
      </c>
      <c r="Q16" s="155"/>
      <c r="S16" s="154">
        <f t="shared" si="0"/>
        <v>0.41196399999898858</v>
      </c>
      <c r="T16" s="173" t="s">
        <v>1673</v>
      </c>
    </row>
    <row r="17" spans="1:20" ht="16.5" customHeight="1" x14ac:dyDescent="0.3">
      <c r="A17" s="159" t="s">
        <v>1637</v>
      </c>
      <c r="B17" s="9" t="s">
        <v>172</v>
      </c>
      <c r="C17" s="9"/>
      <c r="D17" s="9"/>
      <c r="E17" s="140"/>
      <c r="F17" s="141"/>
      <c r="G17" s="141"/>
      <c r="H17" s="142"/>
      <c r="I17" s="142"/>
      <c r="J17" s="171">
        <f>M17</f>
        <v>56311883.542661592</v>
      </c>
      <c r="M17" s="143">
        <v>56311883.542661592</v>
      </c>
      <c r="P17" s="143">
        <v>57141192</v>
      </c>
      <c r="Q17" s="155"/>
      <c r="S17" s="154">
        <f t="shared" si="0"/>
        <v>829308.45733840764</v>
      </c>
      <c r="T17" s="173" t="s">
        <v>1673</v>
      </c>
    </row>
    <row r="18" spans="1:20" ht="16.5" customHeight="1" x14ac:dyDescent="0.3">
      <c r="A18" s="54"/>
      <c r="B18" s="9" t="s">
        <v>168</v>
      </c>
      <c r="C18" s="9"/>
      <c r="D18" s="9"/>
      <c r="E18" s="140"/>
      <c r="F18" s="141"/>
      <c r="G18" s="141"/>
      <c r="H18" s="142"/>
      <c r="I18" s="142"/>
      <c r="J18" s="171">
        <f>P18</f>
        <v>788510</v>
      </c>
      <c r="M18" s="143">
        <v>1039549.4837086904</v>
      </c>
      <c r="P18" s="152">
        <f>IF(SUM($Q$20:$Q$23)&gt;SUM($P$15:$P$17),SUM($Q$20:$Q$23)-SUM($P$15:$P$17),0)</f>
        <v>788510</v>
      </c>
      <c r="Q18" s="155"/>
      <c r="S18" s="154">
        <f t="shared" si="0"/>
        <v>-251039.48370869039</v>
      </c>
      <c r="T18" s="172" t="s">
        <v>1661</v>
      </c>
    </row>
    <row r="19" spans="1:20" ht="16.5" customHeight="1" x14ac:dyDescent="0.3">
      <c r="A19" s="54"/>
      <c r="B19" s="9" t="s">
        <v>169</v>
      </c>
      <c r="C19" s="9"/>
      <c r="D19" s="9"/>
      <c r="E19" s="140"/>
      <c r="F19" s="141"/>
      <c r="G19" s="141"/>
      <c r="H19" s="142"/>
      <c r="I19" s="142"/>
      <c r="J19" s="171">
        <f>IF(SUM($K$20:$K$24)&gt;SUM($J$15:$J$18),SUM($K$20:$K$24)-SUM($J$15:$J$18),0)</f>
        <v>23371.789290398359</v>
      </c>
      <c r="M19" s="143">
        <v>0</v>
      </c>
      <c r="P19" s="155"/>
      <c r="Q19" s="155"/>
      <c r="S19" s="154">
        <f t="shared" si="0"/>
        <v>0</v>
      </c>
      <c r="T19" s="172" t="s">
        <v>1661</v>
      </c>
    </row>
    <row r="20" spans="1:20" ht="16.5" customHeight="1" x14ac:dyDescent="0.3">
      <c r="A20" s="54"/>
      <c r="B20" s="9"/>
      <c r="C20" s="9" t="s">
        <v>177</v>
      </c>
      <c r="D20" s="9"/>
      <c r="E20" s="140"/>
      <c r="F20" s="141"/>
      <c r="G20" s="141"/>
      <c r="H20" s="142"/>
      <c r="I20" s="142"/>
      <c r="J20" s="150"/>
      <c r="K20" s="171">
        <f>N20</f>
        <v>0</v>
      </c>
      <c r="N20" s="143">
        <v>0</v>
      </c>
      <c r="P20" s="155"/>
      <c r="Q20" s="143"/>
      <c r="S20" s="154">
        <f>Q20-N20</f>
        <v>0</v>
      </c>
      <c r="T20" s="172" t="s">
        <v>1661</v>
      </c>
    </row>
    <row r="21" spans="1:20" ht="16.5" customHeight="1" x14ac:dyDescent="0.3">
      <c r="A21" s="54"/>
      <c r="B21" s="9"/>
      <c r="C21" s="9" t="s">
        <v>174</v>
      </c>
      <c r="D21" s="9"/>
      <c r="E21" s="140"/>
      <c r="F21" s="141"/>
      <c r="G21" s="141"/>
      <c r="H21" s="142"/>
      <c r="I21" s="142"/>
      <c r="J21" s="150"/>
      <c r="K21" s="171">
        <f>N21</f>
        <v>21736.546600499998</v>
      </c>
      <c r="N21" s="143">
        <v>21736.546600499998</v>
      </c>
      <c r="P21" s="155"/>
      <c r="Q21" s="143">
        <v>21736</v>
      </c>
      <c r="S21" s="154">
        <f>Q21-N21</f>
        <v>-0.54660049999802141</v>
      </c>
      <c r="T21" s="172" t="s">
        <v>1661</v>
      </c>
    </row>
    <row r="22" spans="1:20" ht="16.5" customHeight="1" x14ac:dyDescent="0.3">
      <c r="A22" s="54"/>
      <c r="B22" s="9"/>
      <c r="C22" s="9" t="s">
        <v>178</v>
      </c>
      <c r="D22" s="9"/>
      <c r="E22" s="140"/>
      <c r="F22" s="141"/>
      <c r="G22" s="141"/>
      <c r="H22" s="142"/>
      <c r="I22" s="142"/>
      <c r="J22" s="150"/>
      <c r="K22" s="171">
        <f>N22</f>
        <v>16828663.347230405</v>
      </c>
      <c r="N22" s="143">
        <v>16828663.347230405</v>
      </c>
      <c r="P22" s="155"/>
      <c r="Q22" s="143">
        <v>17411023</v>
      </c>
      <c r="S22" s="154">
        <f t="shared" ref="S22:S25" si="1">Q22-N22</f>
        <v>582359.65276959538</v>
      </c>
      <c r="T22" s="172" t="s">
        <v>1661</v>
      </c>
    </row>
    <row r="23" spans="1:20" ht="16.5" customHeight="1" x14ac:dyDescent="0.3">
      <c r="A23" s="165" t="s">
        <v>1645</v>
      </c>
      <c r="B23" s="9"/>
      <c r="C23" s="9" t="s">
        <v>173</v>
      </c>
      <c r="D23" s="9"/>
      <c r="E23" s="140"/>
      <c r="F23" s="141"/>
      <c r="G23" s="141"/>
      <c r="H23" s="142"/>
      <c r="I23" s="142"/>
      <c r="J23" s="150"/>
      <c r="K23" s="171">
        <f>N23</f>
        <v>40327707.026157089</v>
      </c>
      <c r="N23" s="143">
        <v>40327707.026157089</v>
      </c>
      <c r="P23" s="155"/>
      <c r="Q23" s="143">
        <v>40551285</v>
      </c>
      <c r="S23" s="154">
        <f t="shared" si="1"/>
        <v>223577.97384291142</v>
      </c>
      <c r="T23" s="172" t="s">
        <v>1661</v>
      </c>
    </row>
    <row r="24" spans="1:20" ht="16.5" customHeight="1" x14ac:dyDescent="0.3">
      <c r="A24" s="54"/>
      <c r="B24" s="9"/>
      <c r="C24" s="9" t="s">
        <v>175</v>
      </c>
      <c r="D24" s="9"/>
      <c r="E24" s="140"/>
      <c r="F24" s="141"/>
      <c r="G24" s="141"/>
      <c r="H24" s="142"/>
      <c r="I24" s="142"/>
      <c r="J24" s="150"/>
      <c r="K24" s="171">
        <f>Q24</f>
        <v>0</v>
      </c>
      <c r="N24" s="143">
        <v>227664.00851511458</v>
      </c>
      <c r="P24" s="155"/>
      <c r="Q24" s="152">
        <f>IF(SUM($Q$20:$Q$23)&lt;SUM($P$15:$P$17),-SUM($Q$20:$Q$23)+SUM($P$15:$P$17),0)</f>
        <v>0</v>
      </c>
      <c r="S24" s="154">
        <f t="shared" si="1"/>
        <v>-227664.00851511458</v>
      </c>
      <c r="T24" s="172" t="s">
        <v>1661</v>
      </c>
    </row>
    <row r="25" spans="1:20" ht="16.5" customHeight="1" x14ac:dyDescent="0.3">
      <c r="A25" s="54"/>
      <c r="B25" s="9"/>
      <c r="C25" s="9" t="s">
        <v>176</v>
      </c>
      <c r="D25" s="9"/>
      <c r="E25" s="140"/>
      <c r="F25" s="141"/>
      <c r="G25" s="141"/>
      <c r="H25" s="142"/>
      <c r="I25" s="142"/>
      <c r="J25" s="150"/>
      <c r="K25" s="171">
        <f>IF(SUM($K$20:$K$24)&lt;SUM($J$15:$J$18),-SUM($K$20:$K$24)+SUM($J$15:$J$18),0)</f>
        <v>0</v>
      </c>
      <c r="N25" s="143">
        <v>0</v>
      </c>
      <c r="P25" s="155"/>
      <c r="Q25" s="155"/>
      <c r="S25" s="154">
        <f t="shared" si="1"/>
        <v>0</v>
      </c>
      <c r="T25" s="172" t="s">
        <v>1661</v>
      </c>
    </row>
    <row r="26" spans="1:20" ht="16.5" customHeight="1" x14ac:dyDescent="0.3">
      <c r="A26" s="54"/>
      <c r="C26" s="20"/>
      <c r="D26" s="20"/>
      <c r="E26" s="20"/>
      <c r="F26" s="127"/>
      <c r="G26" s="127"/>
      <c r="H26" s="22"/>
      <c r="I26" s="22"/>
      <c r="J26" s="107">
        <f>SUM(J15:J25)</f>
        <v>57178106.919987991</v>
      </c>
      <c r="K26" s="107">
        <f>SUM(K15:K25)</f>
        <v>57178106.919987991</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v>117572</v>
      </c>
      <c r="K33" s="144"/>
    </row>
    <row r="34" spans="1:12" ht="16.5" customHeight="1" x14ac:dyDescent="0.3">
      <c r="A34" s="54"/>
      <c r="B34" s="9"/>
      <c r="C34" s="9" t="s">
        <v>1663</v>
      </c>
      <c r="D34" s="140"/>
      <c r="E34" s="140"/>
      <c r="F34" s="141"/>
      <c r="G34" s="141"/>
      <c r="H34" s="142"/>
      <c r="I34" s="142"/>
      <c r="J34" s="144"/>
      <c r="K34" s="143">
        <v>117572</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117572</v>
      </c>
      <c r="K36" s="107">
        <f>SUM(K33:K35)</f>
        <v>117572</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v>0</v>
      </c>
      <c r="K39" s="144"/>
    </row>
    <row r="40" spans="1:12" ht="16.5" customHeight="1" x14ac:dyDescent="0.3">
      <c r="A40" s="159" t="s">
        <v>1637</v>
      </c>
      <c r="B40" s="9" t="s">
        <v>171</v>
      </c>
      <c r="C40" s="9"/>
      <c r="D40" s="140"/>
      <c r="E40" s="140"/>
      <c r="F40" s="141"/>
      <c r="G40" s="141"/>
      <c r="H40" s="142"/>
      <c r="I40" s="142"/>
      <c r="J40" s="143">
        <v>0</v>
      </c>
      <c r="K40" s="144"/>
    </row>
    <row r="41" spans="1:12" ht="16.5" customHeight="1" x14ac:dyDescent="0.3">
      <c r="A41" s="159" t="s">
        <v>1637</v>
      </c>
      <c r="B41" s="9" t="s">
        <v>172</v>
      </c>
      <c r="C41" s="9"/>
      <c r="D41" s="140"/>
      <c r="E41" s="140"/>
      <c r="F41" s="141"/>
      <c r="G41" s="141"/>
      <c r="H41" s="142"/>
      <c r="I41" s="142"/>
      <c r="J41" s="143">
        <v>117572</v>
      </c>
      <c r="K41" s="144"/>
    </row>
    <row r="42" spans="1:12" ht="16.5" customHeight="1" x14ac:dyDescent="0.3">
      <c r="A42" s="54"/>
      <c r="B42" s="9"/>
      <c r="C42" s="9" t="s">
        <v>180</v>
      </c>
      <c r="D42" s="140"/>
      <c r="E42" s="140"/>
      <c r="F42" s="141"/>
      <c r="G42" s="141"/>
      <c r="H42" s="142"/>
      <c r="I42" s="142"/>
      <c r="J42" s="144"/>
      <c r="K42" s="143">
        <v>117572</v>
      </c>
    </row>
    <row r="43" spans="1:12" ht="16.5" customHeight="1" x14ac:dyDescent="0.3">
      <c r="A43" s="54"/>
      <c r="B43" s="130" t="s">
        <v>1639</v>
      </c>
      <c r="C43" s="16"/>
      <c r="D43" s="16"/>
      <c r="E43" s="16"/>
      <c r="F43" s="17"/>
      <c r="G43" s="17"/>
      <c r="H43" s="18"/>
      <c r="I43" s="18"/>
      <c r="J43" s="107">
        <f>SUM(J39:J42)</f>
        <v>117572</v>
      </c>
      <c r="K43" s="107">
        <f>SUM(K39:K42)</f>
        <v>117572</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v>117572</v>
      </c>
      <c r="K47" s="144"/>
    </row>
    <row r="48" spans="1:12" ht="16.5" customHeight="1" x14ac:dyDescent="0.3">
      <c r="A48" s="165" t="s">
        <v>1645</v>
      </c>
      <c r="B48" s="9"/>
      <c r="C48" s="9" t="s">
        <v>173</v>
      </c>
      <c r="D48" s="140"/>
      <c r="E48" s="140"/>
      <c r="F48" s="141"/>
      <c r="G48" s="141"/>
      <c r="H48" s="142"/>
      <c r="I48" s="142"/>
      <c r="J48" s="144"/>
      <c r="K48" s="143">
        <v>117572</v>
      </c>
    </row>
    <row r="49" spans="1:16" ht="16.5" customHeight="1" x14ac:dyDescent="0.3">
      <c r="A49" s="54"/>
      <c r="C49" s="16"/>
      <c r="D49" s="16"/>
      <c r="E49" s="16"/>
      <c r="F49" s="17"/>
      <c r="G49" s="17"/>
      <c r="H49" s="18"/>
      <c r="I49" s="18"/>
      <c r="J49" s="107">
        <f>SUM(J47:J48)</f>
        <v>117572</v>
      </c>
      <c r="K49" s="107">
        <f>SUM(K47:K48)</f>
        <v>117572</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8544992.2618370913</v>
      </c>
      <c r="K55" s="144"/>
    </row>
    <row r="56" spans="1:16" ht="16.5" customHeight="1" x14ac:dyDescent="0.3">
      <c r="A56" s="54"/>
      <c r="B56" s="25"/>
      <c r="C56" s="9" t="s">
        <v>177</v>
      </c>
      <c r="D56" s="140"/>
      <c r="E56" s="140"/>
      <c r="F56" s="141"/>
      <c r="G56" s="141"/>
      <c r="H56" s="142"/>
      <c r="I56" s="142"/>
      <c r="J56" s="145"/>
      <c r="K56" s="143">
        <v>0</v>
      </c>
    </row>
    <row r="57" spans="1:16" ht="16.5" customHeight="1" x14ac:dyDescent="0.3">
      <c r="A57" s="54"/>
      <c r="B57" s="25"/>
      <c r="C57" s="9" t="s">
        <v>174</v>
      </c>
      <c r="D57" s="140"/>
      <c r="E57" s="140"/>
      <c r="F57" s="141"/>
      <c r="G57" s="141"/>
      <c r="H57" s="142"/>
      <c r="I57" s="142"/>
      <c r="J57" s="145"/>
      <c r="K57" s="143">
        <v>10868.4062211</v>
      </c>
    </row>
    <row r="58" spans="1:16" ht="16.5" customHeight="1" x14ac:dyDescent="0.3">
      <c r="A58" s="54"/>
      <c r="B58" s="9"/>
      <c r="C58" s="9" t="s">
        <v>178</v>
      </c>
      <c r="D58" s="140"/>
      <c r="E58" s="140"/>
      <c r="F58" s="141"/>
      <c r="G58" s="141"/>
      <c r="H58" s="142"/>
      <c r="I58" s="142"/>
      <c r="J58" s="144"/>
      <c r="K58" s="143">
        <v>8534123.8556159902</v>
      </c>
    </row>
    <row r="59" spans="1:16" ht="16.5" customHeight="1" x14ac:dyDescent="0.3">
      <c r="A59" s="54"/>
      <c r="C59" s="16"/>
      <c r="D59" s="16"/>
      <c r="E59" s="16"/>
      <c r="F59" s="17"/>
      <c r="G59" s="17"/>
      <c r="H59" s="18"/>
      <c r="I59" s="18"/>
      <c r="J59" s="107">
        <f>SUM(J55:J58)</f>
        <v>8544992.2618370913</v>
      </c>
      <c r="K59" s="107">
        <f>SUM(K55:K58)</f>
        <v>8544992.2618370894</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8225414</v>
      </c>
      <c r="K62" s="147"/>
      <c r="L62" s="10" t="str">
        <f>IF($J$62=$K$69,"","&lt;- Accts 0848 must agree")</f>
        <v/>
      </c>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502504</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8727918</v>
      </c>
    </row>
    <row r="65" spans="1:12" ht="16.5" customHeight="1" x14ac:dyDescent="0.3">
      <c r="A65" s="54"/>
      <c r="C65" s="16"/>
      <c r="D65" s="16"/>
      <c r="E65" s="16"/>
      <c r="F65" s="17"/>
      <c r="G65" s="17"/>
      <c r="H65" s="18"/>
      <c r="I65" s="18"/>
      <c r="J65" s="107">
        <f>SUM(J62:J64)</f>
        <v>8727918</v>
      </c>
      <c r="K65" s="107">
        <f>SUM(K62:K64)</f>
        <v>8727918</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8225414</v>
      </c>
      <c r="K68" s="144"/>
    </row>
    <row r="69" spans="1:12" ht="16.5" customHeight="1" x14ac:dyDescent="0.3">
      <c r="A69" s="54"/>
      <c r="B69" s="9"/>
      <c r="C69" s="9" t="s">
        <v>185</v>
      </c>
      <c r="D69" s="140"/>
      <c r="E69" s="140"/>
      <c r="F69" s="141"/>
      <c r="G69" s="141"/>
      <c r="H69" s="142"/>
      <c r="I69" s="142"/>
      <c r="J69" s="144"/>
      <c r="K69" s="143">
        <v>8225414</v>
      </c>
      <c r="L69" s="10" t="str">
        <f>IF($J$62=$K$69,"","&lt;- Accts 0848 must agree")</f>
        <v/>
      </c>
    </row>
    <row r="70" spans="1:12" ht="16.5" customHeight="1" x14ac:dyDescent="0.3">
      <c r="A70" s="54"/>
      <c r="C70" s="16"/>
      <c r="D70" s="16"/>
      <c r="E70" s="16"/>
      <c r="F70" s="17"/>
      <c r="G70" s="17"/>
      <c r="H70" s="18"/>
      <c r="I70" s="18"/>
      <c r="J70" s="107">
        <f>SUM(J68:J69)</f>
        <v>8225414</v>
      </c>
      <c r="K70" s="107">
        <f>SUM(K68:K69)</f>
        <v>8225414</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6914823.8552376637</v>
      </c>
      <c r="K75" s="144"/>
    </row>
    <row r="76" spans="1:12" ht="16.5" customHeight="1" x14ac:dyDescent="0.3">
      <c r="A76" s="54"/>
      <c r="B76" s="9"/>
      <c r="C76" s="9" t="s">
        <v>193</v>
      </c>
      <c r="D76" s="140"/>
      <c r="E76" s="140"/>
      <c r="F76" s="141"/>
      <c r="G76" s="141"/>
      <c r="H76" s="142"/>
      <c r="I76" s="142"/>
      <c r="J76" s="144"/>
      <c r="K76" s="143">
        <v>6914823.8552376637</v>
      </c>
    </row>
    <row r="77" spans="1:12" ht="16.5" customHeight="1" x14ac:dyDescent="0.25">
      <c r="A77" s="54"/>
      <c r="B77" s="178" t="s">
        <v>1662</v>
      </c>
      <c r="C77" s="178"/>
      <c r="D77" s="178"/>
      <c r="E77" s="178"/>
      <c r="F77" s="178"/>
      <c r="G77" s="178"/>
      <c r="H77" s="178"/>
      <c r="I77" s="178"/>
      <c r="J77" s="107">
        <f>SUM(J75:J76)</f>
        <v>6914823.8552376637</v>
      </c>
      <c r="K77" s="107">
        <f>SUM(K75:K76)</f>
        <v>6914823.8552376637</v>
      </c>
      <c r="L77" s="25"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v>0</v>
      </c>
      <c r="K85" s="144"/>
      <c r="L85" s="8"/>
    </row>
    <row r="86" spans="1:16" ht="16.5" customHeight="1" x14ac:dyDescent="0.25">
      <c r="A86" s="54"/>
      <c r="B86" s="9" t="s">
        <v>162</v>
      </c>
      <c r="C86" s="25"/>
      <c r="D86" s="25"/>
      <c r="E86" s="25"/>
      <c r="F86" s="25"/>
      <c r="G86" s="25"/>
      <c r="H86" s="25"/>
      <c r="I86" s="25"/>
      <c r="J86" s="143">
        <v>0</v>
      </c>
      <c r="K86" s="148"/>
    </row>
    <row r="87" spans="1:16" ht="16.5" customHeight="1" x14ac:dyDescent="0.25">
      <c r="A87" s="54"/>
      <c r="B87" s="9" t="s">
        <v>187</v>
      </c>
      <c r="C87" s="25"/>
      <c r="D87" s="25"/>
      <c r="E87" s="25"/>
      <c r="F87" s="25"/>
      <c r="G87" s="25"/>
      <c r="H87" s="25"/>
      <c r="I87" s="25"/>
      <c r="J87" s="143">
        <v>4989181.9843901228</v>
      </c>
      <c r="K87" s="148"/>
    </row>
    <row r="88" spans="1:16" ht="16.5" customHeight="1" x14ac:dyDescent="0.25">
      <c r="A88" s="159" t="s">
        <v>1637</v>
      </c>
      <c r="B88" s="25"/>
      <c r="C88" s="9" t="s">
        <v>188</v>
      </c>
      <c r="D88" s="25"/>
      <c r="E88" s="25"/>
      <c r="F88" s="25"/>
      <c r="G88" s="25"/>
      <c r="H88" s="25"/>
      <c r="I88" s="25"/>
      <c r="J88" s="148"/>
      <c r="K88" s="143">
        <v>0</v>
      </c>
    </row>
    <row r="89" spans="1:16" ht="16.5" customHeight="1" x14ac:dyDescent="0.25">
      <c r="A89" s="159" t="s">
        <v>1637</v>
      </c>
      <c r="B89" s="25"/>
      <c r="C89" s="9" t="s">
        <v>163</v>
      </c>
      <c r="D89" s="25"/>
      <c r="E89" s="25"/>
      <c r="F89" s="25"/>
      <c r="G89" s="25"/>
      <c r="H89" s="25"/>
      <c r="I89" s="25"/>
      <c r="J89" s="148"/>
      <c r="K89" s="143">
        <v>0</v>
      </c>
    </row>
    <row r="90" spans="1:16" ht="16.5" customHeight="1" x14ac:dyDescent="0.25">
      <c r="A90" s="159" t="s">
        <v>1637</v>
      </c>
      <c r="B90" s="25"/>
      <c r="C90" s="9" t="s">
        <v>189</v>
      </c>
      <c r="D90" s="25"/>
      <c r="E90" s="25"/>
      <c r="F90" s="25"/>
      <c r="G90" s="25"/>
      <c r="H90" s="25"/>
      <c r="I90" s="25"/>
      <c r="J90" s="148"/>
      <c r="K90" s="143">
        <v>4989181.9843901228</v>
      </c>
    </row>
    <row r="91" spans="1:16" ht="16.5" customHeight="1" x14ac:dyDescent="0.3">
      <c r="B91" s="130" t="s">
        <v>1640</v>
      </c>
      <c r="H91" s="10"/>
      <c r="J91" s="108">
        <f>SUM(J85:J90)</f>
        <v>4989181.9843901228</v>
      </c>
      <c r="K91" s="108">
        <f>SUM(K85:K90)</f>
        <v>4989181.9843901228</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v>0</v>
      </c>
      <c r="K110" s="25"/>
    </row>
    <row r="111" spans="1:12" ht="16.5" customHeight="1" x14ac:dyDescent="0.25">
      <c r="A111" s="159" t="s">
        <v>1637</v>
      </c>
      <c r="B111" s="9" t="s">
        <v>171</v>
      </c>
      <c r="C111" s="9"/>
      <c r="D111" s="7"/>
      <c r="E111" s="25"/>
      <c r="F111" s="25"/>
      <c r="G111" s="25"/>
      <c r="H111" s="25"/>
      <c r="I111" s="25"/>
      <c r="J111" s="143">
        <v>0</v>
      </c>
      <c r="K111" s="25"/>
    </row>
    <row r="112" spans="1:12" ht="16.5" customHeight="1" x14ac:dyDescent="0.25">
      <c r="A112" s="159" t="s">
        <v>1637</v>
      </c>
      <c r="B112" s="9" t="s">
        <v>172</v>
      </c>
      <c r="C112" s="9"/>
      <c r="D112" s="7"/>
      <c r="E112" s="25"/>
      <c r="F112" s="25"/>
      <c r="G112" s="25"/>
      <c r="H112" s="25"/>
      <c r="I112" s="25"/>
      <c r="J112" s="143">
        <v>2498265.1459890418</v>
      </c>
      <c r="K112" s="25"/>
    </row>
    <row r="113" spans="1:12" ht="16.5" customHeight="1" x14ac:dyDescent="0.25">
      <c r="A113" s="165" t="s">
        <v>1645</v>
      </c>
      <c r="B113" s="9"/>
      <c r="C113" s="9" t="s">
        <v>173</v>
      </c>
      <c r="D113" s="7"/>
      <c r="E113" s="25"/>
      <c r="F113" s="25"/>
      <c r="G113" s="25"/>
      <c r="H113" s="25"/>
      <c r="I113" s="25"/>
      <c r="J113" s="25"/>
      <c r="K113" s="143">
        <v>2498265.1459890418</v>
      </c>
    </row>
    <row r="114" spans="1:12" ht="16.5" customHeight="1" x14ac:dyDescent="0.3">
      <c r="A114" s="6"/>
      <c r="B114" s="130" t="s">
        <v>1639</v>
      </c>
      <c r="C114" s="114"/>
      <c r="D114" s="114"/>
      <c r="H114" s="10"/>
      <c r="J114" s="108">
        <f>SUM(J110:J113)</f>
        <v>2498265.1459890418</v>
      </c>
      <c r="K114" s="108">
        <f>SUM(K110:K113)</f>
        <v>2498265.1459890418</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54341.588036000001</v>
      </c>
    </row>
    <row r="124" spans="1:12" ht="16.5" customHeight="1" x14ac:dyDescent="0.3">
      <c r="D124" s="140" t="s">
        <v>1652</v>
      </c>
      <c r="H124" s="10"/>
      <c r="K124" s="169">
        <f>J17+J41-K90-K103+J112</f>
        <v>53938538.704260513</v>
      </c>
    </row>
    <row r="125" spans="1:12" ht="16.5" customHeight="1" x14ac:dyDescent="0.3">
      <c r="D125" s="140" t="s">
        <v>1653</v>
      </c>
      <c r="H125" s="10"/>
      <c r="K125" s="169">
        <f>-K20-K56+J85+J97</f>
        <v>0</v>
      </c>
    </row>
    <row r="126" spans="1:12" ht="16.5" customHeight="1" x14ac:dyDescent="0.3">
      <c r="D126" s="140" t="s">
        <v>1654</v>
      </c>
      <c r="H126" s="10"/>
      <c r="K126" s="169">
        <f>-K21-K57+J86+J98</f>
        <v>-32604.952821599996</v>
      </c>
    </row>
    <row r="127" spans="1:12" ht="16.5" customHeight="1" x14ac:dyDescent="0.3">
      <c r="D127" s="140" t="s">
        <v>1655</v>
      </c>
      <c r="H127" s="10"/>
      <c r="K127" s="169">
        <f>-K22-K58+J87+J99</f>
        <v>-20373605.218456268</v>
      </c>
    </row>
    <row r="128" spans="1:12" ht="16.5" customHeight="1" x14ac:dyDescent="0.3">
      <c r="D128" s="140" t="s">
        <v>1656</v>
      </c>
      <c r="H128" s="10"/>
      <c r="K128" s="169">
        <f>-K23-K48+J68+J75+J96-K113</f>
        <v>-27803306.316908468</v>
      </c>
    </row>
    <row r="129" spans="4:11" ht="16.5" customHeight="1" x14ac:dyDescent="0.3">
      <c r="D129" s="140" t="s">
        <v>1657</v>
      </c>
      <c r="H129" s="10"/>
      <c r="K129" s="169">
        <f>-K76</f>
        <v>-6914823.8552376637</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137" priority="12">
      <formula>$J$62&lt;&gt;$K$69</formula>
    </cfRule>
  </conditionalFormatting>
  <conditionalFormatting sqref="L26:P26">
    <cfRule type="expression" dxfId="136" priority="1">
      <formula>$J$26&lt;&gt;$K$26</formula>
    </cfRule>
  </conditionalFormatting>
  <conditionalFormatting sqref="L36:P36">
    <cfRule type="expression" dxfId="135" priority="2">
      <formula>$J$36&lt;&gt;$K$36</formula>
    </cfRule>
  </conditionalFormatting>
  <conditionalFormatting sqref="L43:P43">
    <cfRule type="expression" dxfId="134" priority="3">
      <formula>$J$43&lt;&gt;$K$43</formula>
    </cfRule>
  </conditionalFormatting>
  <conditionalFormatting sqref="L49:P49">
    <cfRule type="expression" dxfId="133" priority="4">
      <formula>$J$49&lt;&gt;$K$49</formula>
    </cfRule>
  </conditionalFormatting>
  <conditionalFormatting sqref="L59:P59">
    <cfRule type="expression" dxfId="132" priority="5">
      <formula>$J$59&lt;&gt;$K$59</formula>
    </cfRule>
  </conditionalFormatting>
  <conditionalFormatting sqref="L65:P65">
    <cfRule type="expression" dxfId="131" priority="6">
      <formula>$J$65&lt;&gt;$K$65</formula>
    </cfRule>
  </conditionalFormatting>
  <conditionalFormatting sqref="L70:P70">
    <cfRule type="expression" dxfId="130" priority="7">
      <formula>$J$70&lt;&gt;$K$70</formula>
    </cfRule>
  </conditionalFormatting>
  <conditionalFormatting sqref="L77:P77">
    <cfRule type="expression" dxfId="129" priority="8">
      <formula>$J$77&lt;&gt;$K$77</formula>
    </cfRule>
  </conditionalFormatting>
  <conditionalFormatting sqref="L91:P91">
    <cfRule type="expression" dxfId="128" priority="9">
      <formula>$J$91&lt;&gt;$K$91</formula>
    </cfRule>
  </conditionalFormatting>
  <conditionalFormatting sqref="L105:P105">
    <cfRule type="expression" dxfId="127" priority="10">
      <formula>$J$105&lt;&gt;$K$105</formula>
    </cfRule>
  </conditionalFormatting>
  <conditionalFormatting sqref="L114:P114">
    <cfRule type="expression" dxfId="126" priority="11">
      <formula>$J$114&lt;&gt;$K$114</formula>
    </cfRule>
  </conditionalFormatting>
  <dataValidations count="3">
    <dataValidation type="textLength" operator="equal" allowBlank="1" showInputMessage="1" showErrorMessage="1" errorTitle="4-Digit Org Code" error="Enter the Org Code/BU as 4 digits." sqref="F5" xr:uid="{DE1503CA-B245-44BF-A8FA-78FBD0AC500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A79178E-93E2-4D22-86A1-FB93AEBD267A}">
      <formula1>0</formula1>
    </dataValidation>
    <dataValidation operator="lessThan" allowBlank="1" showInputMessage="1" showErrorMessage="1" sqref="A3:A8" xr:uid="{AB2B9502-D72B-459A-B730-7DE1F1966F02}"/>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FC9302AC-E7BE-47B4-9EC1-34C935B5916D}">
          <x14:formula1>
            <xm:f>'Drop Down Menus'!$E$1:$E$3</xm:f>
          </x14:formula1>
          <xm:sqref>F8</xm:sqref>
        </x14:dataValidation>
        <x14:dataValidation type="list" allowBlank="1" showInputMessage="1" showErrorMessage="1" xr:uid="{55421060-BEB5-4EFA-9835-E32CA34FFA53}">
          <x14:formula1>
            <xm:f>'Drop Down Menus'!$B$1:$B$2</xm:f>
          </x14:formula1>
          <xm:sqref>F7</xm:sqref>
        </x14:dataValidation>
        <x14:dataValidation type="list" allowBlank="1" showInputMessage="1" showErrorMessage="1" xr:uid="{6F2DF13B-0B70-457E-8F5C-094670409D0C}">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ADDA-8E47-48A6-A7C5-38F789755287}">
  <sheetPr codeName="Sheet8">
    <tabColor theme="9" tint="0.59999389629810485"/>
    <pageSetUpPr fitToPage="1"/>
  </sheetPr>
  <dimension ref="A1:T193"/>
  <sheetViews>
    <sheetView zoomScale="70" zoomScaleNormal="70" workbookViewId="0">
      <selection activeCell="H12" sqref="H12"/>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79" t="s">
        <v>1629</v>
      </c>
      <c r="B1" s="179"/>
      <c r="C1" s="179"/>
      <c r="D1" s="179"/>
      <c r="E1" s="179"/>
      <c r="F1" s="179"/>
      <c r="G1" s="179"/>
      <c r="H1" s="179"/>
      <c r="I1" s="179"/>
      <c r="J1" s="179"/>
      <c r="K1" s="179"/>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75" t="s">
        <v>10</v>
      </c>
      <c r="B3" s="175"/>
      <c r="C3" s="175"/>
      <c r="D3" s="175"/>
      <c r="E3" s="175"/>
      <c r="F3" s="180" t="s">
        <v>21</v>
      </c>
      <c r="G3" s="180"/>
      <c r="H3" s="180"/>
      <c r="I3" s="180"/>
    </row>
    <row r="4" spans="1:20" ht="16.5" customHeight="1" x14ac:dyDescent="0.25">
      <c r="A4" s="175" t="s">
        <v>191</v>
      </c>
      <c r="B4" s="175"/>
      <c r="C4" s="175"/>
      <c r="D4" s="175"/>
      <c r="E4" s="175"/>
      <c r="F4" s="181" t="s">
        <v>1676</v>
      </c>
      <c r="G4" s="181"/>
      <c r="H4" s="181"/>
      <c r="I4" s="181"/>
    </row>
    <row r="5" spans="1:20" ht="16.5" customHeight="1" x14ac:dyDescent="0.25">
      <c r="A5" s="175" t="s">
        <v>1615</v>
      </c>
      <c r="B5" s="175"/>
      <c r="C5" s="175"/>
      <c r="D5" s="175"/>
      <c r="E5" s="175"/>
      <c r="F5" s="181" t="s">
        <v>316</v>
      </c>
      <c r="G5" s="181"/>
      <c r="H5" s="181"/>
      <c r="I5" s="181"/>
      <c r="L5" s="12"/>
      <c r="M5" s="12"/>
      <c r="N5" s="12"/>
      <c r="O5" s="12"/>
      <c r="P5" s="12"/>
      <c r="Q5" s="12"/>
    </row>
    <row r="6" spans="1:20" ht="16.5" customHeight="1" x14ac:dyDescent="0.3">
      <c r="A6" s="175" t="s">
        <v>1634</v>
      </c>
      <c r="B6" s="175"/>
      <c r="C6" s="175"/>
      <c r="D6" s="175"/>
      <c r="E6" s="175"/>
      <c r="F6" s="182">
        <v>12</v>
      </c>
      <c r="G6" s="182"/>
      <c r="H6" s="182"/>
      <c r="I6" s="182"/>
      <c r="L6" s="13"/>
      <c r="M6" s="13"/>
      <c r="N6" s="13"/>
      <c r="O6" s="13"/>
      <c r="P6" s="12"/>
      <c r="Q6" s="12"/>
    </row>
    <row r="7" spans="1:20" ht="16.5" customHeight="1" x14ac:dyDescent="0.3">
      <c r="A7" s="175" t="s">
        <v>1</v>
      </c>
      <c r="B7" s="175"/>
      <c r="C7" s="175"/>
      <c r="D7" s="175"/>
      <c r="E7" s="175"/>
      <c r="F7" s="182" t="s">
        <v>120</v>
      </c>
      <c r="G7" s="182"/>
      <c r="H7" s="182"/>
      <c r="I7" s="182"/>
      <c r="K7" s="53"/>
      <c r="L7" s="13"/>
      <c r="M7" s="13"/>
      <c r="N7" s="13"/>
      <c r="O7" s="13"/>
      <c r="P7" s="12"/>
      <c r="Q7" s="12"/>
    </row>
    <row r="8" spans="1:20" ht="16.5" customHeight="1" x14ac:dyDescent="0.3">
      <c r="A8" s="175" t="s">
        <v>1616</v>
      </c>
      <c r="B8" s="175"/>
      <c r="C8" s="175"/>
      <c r="D8" s="175"/>
      <c r="E8" s="175"/>
      <c r="F8" s="182" t="s">
        <v>154</v>
      </c>
      <c r="G8" s="182"/>
      <c r="H8" s="182"/>
      <c r="I8" s="182"/>
      <c r="K8" s="53"/>
      <c r="L8" s="13"/>
      <c r="M8" s="13"/>
      <c r="N8" s="13"/>
      <c r="O8" s="13"/>
      <c r="P8" s="12"/>
      <c r="Q8" s="12"/>
    </row>
    <row r="9" spans="1:20" ht="16.5" customHeight="1" x14ac:dyDescent="0.3">
      <c r="A9" s="175" t="s">
        <v>1614</v>
      </c>
      <c r="B9" s="175"/>
      <c r="C9" s="175"/>
      <c r="D9" s="175"/>
      <c r="E9" s="175"/>
      <c r="F9" s="183" t="str">
        <f>IFERROR(IF(F7="Proprietary","Proprietary Fund",VLOOKUP(F5,qryIndex02a!$A$2:$K$654,4,FALSE)),"Unidentified")</f>
        <v>GENERAL GOVERNMENT</v>
      </c>
      <c r="G9" s="183"/>
      <c r="H9" s="183"/>
      <c r="I9" s="18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3">
      <c r="A15" s="159" t="s">
        <v>1637</v>
      </c>
      <c r="B15" s="9" t="s">
        <v>170</v>
      </c>
      <c r="C15" s="9"/>
      <c r="D15" s="9"/>
      <c r="E15" s="140"/>
      <c r="F15" s="141"/>
      <c r="G15" s="141"/>
      <c r="H15" s="142"/>
      <c r="I15" s="142"/>
      <c r="J15" s="171">
        <f>M15</f>
        <v>0</v>
      </c>
      <c r="M15" s="143">
        <v>0</v>
      </c>
      <c r="P15" s="143">
        <v>0</v>
      </c>
      <c r="Q15" s="155"/>
      <c r="S15" s="154">
        <f t="shared" ref="S15:S19" si="0">P15-M15</f>
        <v>0</v>
      </c>
      <c r="T15" s="173" t="s">
        <v>1673</v>
      </c>
    </row>
    <row r="16" spans="1:20" ht="16.5" customHeight="1" x14ac:dyDescent="0.3">
      <c r="A16" s="159" t="s">
        <v>1637</v>
      </c>
      <c r="B16" s="9" t="s">
        <v>171</v>
      </c>
      <c r="C16" s="9"/>
      <c r="D16" s="9"/>
      <c r="E16" s="140"/>
      <c r="F16" s="141"/>
      <c r="G16" s="141"/>
      <c r="H16" s="142"/>
      <c r="I16" s="142"/>
      <c r="J16" s="171">
        <f>M16</f>
        <v>0</v>
      </c>
      <c r="M16" s="143">
        <v>0</v>
      </c>
      <c r="P16" s="143">
        <v>0</v>
      </c>
      <c r="Q16" s="155"/>
      <c r="S16" s="154">
        <f t="shared" si="0"/>
        <v>0</v>
      </c>
      <c r="T16" s="173" t="s">
        <v>1673</v>
      </c>
    </row>
    <row r="17" spans="1:20" ht="16.5" customHeight="1" x14ac:dyDescent="0.3">
      <c r="A17" s="159" t="s">
        <v>1637</v>
      </c>
      <c r="B17" s="9" t="s">
        <v>172</v>
      </c>
      <c r="C17" s="9"/>
      <c r="D17" s="9"/>
      <c r="E17" s="140"/>
      <c r="F17" s="141"/>
      <c r="G17" s="141"/>
      <c r="H17" s="142"/>
      <c r="I17" s="142"/>
      <c r="J17" s="171">
        <f>M17</f>
        <v>33272.218427019769</v>
      </c>
      <c r="M17" s="143">
        <v>33272.218427019769</v>
      </c>
      <c r="P17" s="143">
        <v>33418</v>
      </c>
      <c r="Q17" s="155"/>
      <c r="S17" s="154">
        <f t="shared" si="0"/>
        <v>145.78157298023143</v>
      </c>
      <c r="T17" s="173" t="s">
        <v>1673</v>
      </c>
    </row>
    <row r="18" spans="1:20" ht="16.5" customHeight="1" x14ac:dyDescent="0.3">
      <c r="A18" s="54"/>
      <c r="B18" s="9" t="s">
        <v>168</v>
      </c>
      <c r="C18" s="9"/>
      <c r="D18" s="9"/>
      <c r="E18" s="140"/>
      <c r="F18" s="141"/>
      <c r="G18" s="141"/>
      <c r="H18" s="142"/>
      <c r="I18" s="142"/>
      <c r="J18" s="171">
        <f>P18</f>
        <v>271</v>
      </c>
      <c r="M18" s="143">
        <v>539.09893732386013</v>
      </c>
      <c r="P18" s="152">
        <f>IF(SUM($Q$20:$Q$23)&gt;SUM($P$15:$P$17),SUM($Q$20:$Q$23)-SUM($P$15:$P$17),0)</f>
        <v>271</v>
      </c>
      <c r="Q18" s="155"/>
      <c r="S18" s="154">
        <f t="shared" si="0"/>
        <v>-268.09893732386013</v>
      </c>
      <c r="T18" s="172" t="s">
        <v>1661</v>
      </c>
    </row>
    <row r="19" spans="1:20" ht="16.5" customHeight="1" x14ac:dyDescent="0.3">
      <c r="A19" s="54"/>
      <c r="B19" s="9" t="s">
        <v>169</v>
      </c>
      <c r="C19" s="9"/>
      <c r="D19" s="9"/>
      <c r="E19" s="140"/>
      <c r="F19" s="141"/>
      <c r="G19" s="141"/>
      <c r="H19" s="142"/>
      <c r="I19" s="142"/>
      <c r="J19" s="171">
        <f>IF(SUM($K$20:$K$24)&gt;SUM($J$15:$J$18),SUM($K$20:$K$24)-SUM($J$15:$J$18),0)</f>
        <v>12.406175887525023</v>
      </c>
      <c r="M19" s="143">
        <v>0</v>
      </c>
      <c r="P19" s="155"/>
      <c r="Q19" s="155"/>
      <c r="S19" s="154">
        <f t="shared" si="0"/>
        <v>0</v>
      </c>
      <c r="T19" s="172" t="s">
        <v>1661</v>
      </c>
    </row>
    <row r="20" spans="1:20" ht="16.5" customHeight="1" x14ac:dyDescent="0.3">
      <c r="A20" s="54"/>
      <c r="B20" s="9"/>
      <c r="C20" s="9" t="s">
        <v>177</v>
      </c>
      <c r="D20" s="9"/>
      <c r="E20" s="140"/>
      <c r="F20" s="141"/>
      <c r="G20" s="141"/>
      <c r="H20" s="142"/>
      <c r="I20" s="142"/>
      <c r="J20" s="150"/>
      <c r="K20" s="171">
        <f>N20</f>
        <v>0</v>
      </c>
      <c r="N20" s="143">
        <v>0</v>
      </c>
      <c r="P20" s="155"/>
      <c r="Q20" s="143">
        <v>0</v>
      </c>
      <c r="S20" s="154">
        <f>Q20-N20</f>
        <v>0</v>
      </c>
      <c r="T20" s="172" t="s">
        <v>1661</v>
      </c>
    </row>
    <row r="21" spans="1:20" ht="16.5" customHeight="1" x14ac:dyDescent="0.3">
      <c r="A21" s="54"/>
      <c r="B21" s="9"/>
      <c r="C21" s="9" t="s">
        <v>174</v>
      </c>
      <c r="D21" s="9"/>
      <c r="E21" s="140"/>
      <c r="F21" s="141"/>
      <c r="G21" s="141"/>
      <c r="H21" s="142"/>
      <c r="I21" s="142"/>
      <c r="J21" s="150"/>
      <c r="K21" s="171">
        <f>N21</f>
        <v>0</v>
      </c>
      <c r="N21" s="143">
        <v>0</v>
      </c>
      <c r="P21" s="155"/>
      <c r="Q21" s="143">
        <v>0</v>
      </c>
      <c r="S21" s="154">
        <f>Q21-N21</f>
        <v>0</v>
      </c>
      <c r="T21" s="172" t="s">
        <v>1661</v>
      </c>
    </row>
    <row r="22" spans="1:20" ht="16.5" customHeight="1" x14ac:dyDescent="0.3">
      <c r="A22" s="54"/>
      <c r="B22" s="9"/>
      <c r="C22" s="9" t="s">
        <v>178</v>
      </c>
      <c r="D22" s="9"/>
      <c r="E22" s="140"/>
      <c r="F22" s="141"/>
      <c r="G22" s="141"/>
      <c r="H22" s="142"/>
      <c r="I22" s="142"/>
      <c r="J22" s="150"/>
      <c r="K22" s="171">
        <f>N22</f>
        <v>10644.367805545124</v>
      </c>
      <c r="N22" s="143">
        <v>10644.367805545124</v>
      </c>
      <c r="P22" s="155"/>
      <c r="Q22" s="143">
        <v>10660</v>
      </c>
      <c r="S22" s="154">
        <f t="shared" ref="S22:S25" si="1">Q22-N22</f>
        <v>15.632194454876299</v>
      </c>
      <c r="T22" s="172" t="s">
        <v>1661</v>
      </c>
    </row>
    <row r="23" spans="1:20" ht="16.5" customHeight="1" x14ac:dyDescent="0.3">
      <c r="A23" s="165" t="s">
        <v>1645</v>
      </c>
      <c r="B23" s="9"/>
      <c r="C23" s="9" t="s">
        <v>173</v>
      </c>
      <c r="D23" s="9"/>
      <c r="E23" s="140"/>
      <c r="F23" s="141"/>
      <c r="G23" s="141"/>
      <c r="H23" s="142"/>
      <c r="I23" s="142"/>
      <c r="J23" s="150"/>
      <c r="K23" s="171">
        <f>N23</f>
        <v>22911.25679736217</v>
      </c>
      <c r="N23" s="143">
        <v>22911.25679736217</v>
      </c>
      <c r="P23" s="155"/>
      <c r="Q23" s="143">
        <v>23029</v>
      </c>
      <c r="S23" s="154">
        <f t="shared" si="1"/>
        <v>117.74320263783011</v>
      </c>
      <c r="T23" s="172" t="s">
        <v>1661</v>
      </c>
    </row>
    <row r="24" spans="1:20" ht="16.5" customHeight="1" x14ac:dyDescent="0.3">
      <c r="A24" s="54"/>
      <c r="B24" s="9"/>
      <c r="C24" s="9" t="s">
        <v>175</v>
      </c>
      <c r="D24" s="9"/>
      <c r="E24" s="140"/>
      <c r="F24" s="141"/>
      <c r="G24" s="141"/>
      <c r="H24" s="142"/>
      <c r="I24" s="142"/>
      <c r="J24" s="150"/>
      <c r="K24" s="171">
        <f>Q24</f>
        <v>0</v>
      </c>
      <c r="N24" s="143">
        <v>255.6923356235294</v>
      </c>
      <c r="P24" s="155"/>
      <c r="Q24" s="152">
        <f>IF(SUM($Q$20:$Q$23)&lt;SUM($P$15:$P$17),-SUM($Q$20:$Q$23)+SUM($P$15:$P$17),0)</f>
        <v>0</v>
      </c>
      <c r="S24" s="154">
        <f t="shared" si="1"/>
        <v>-255.6923356235294</v>
      </c>
      <c r="T24" s="172" t="s">
        <v>1661</v>
      </c>
    </row>
    <row r="25" spans="1:20" ht="16.5" customHeight="1" x14ac:dyDescent="0.3">
      <c r="A25" s="54"/>
      <c r="B25" s="9"/>
      <c r="C25" s="9" t="s">
        <v>176</v>
      </c>
      <c r="D25" s="9"/>
      <c r="E25" s="140"/>
      <c r="F25" s="141"/>
      <c r="G25" s="141"/>
      <c r="H25" s="142"/>
      <c r="I25" s="142"/>
      <c r="J25" s="150"/>
      <c r="K25" s="171">
        <f>IF(SUM($K$20:$K$24)&lt;SUM($J$15:$J$18),-SUM($K$20:$K$24)+SUM($J$15:$J$18),0)</f>
        <v>0</v>
      </c>
      <c r="N25" s="143">
        <v>0</v>
      </c>
      <c r="P25" s="155"/>
      <c r="Q25" s="155"/>
      <c r="S25" s="154">
        <f t="shared" si="1"/>
        <v>0</v>
      </c>
      <c r="T25" s="172" t="s">
        <v>1661</v>
      </c>
    </row>
    <row r="26" spans="1:20" ht="16.5" customHeight="1" x14ac:dyDescent="0.3">
      <c r="A26" s="54"/>
      <c r="C26" s="20"/>
      <c r="D26" s="20"/>
      <c r="E26" s="20"/>
      <c r="F26" s="127"/>
      <c r="G26" s="127"/>
      <c r="H26" s="22"/>
      <c r="I26" s="22"/>
      <c r="J26" s="107">
        <f>SUM(J15:J25)</f>
        <v>33555.624602907294</v>
      </c>
      <c r="K26" s="107">
        <f>SUM(K15:K25)</f>
        <v>33555.624602907294</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5455.3237833576313</v>
      </c>
      <c r="K55" s="144"/>
    </row>
    <row r="56" spans="1:16" ht="16.5" customHeight="1" x14ac:dyDescent="0.3">
      <c r="A56" s="54"/>
      <c r="B56" s="25"/>
      <c r="C56" s="9" t="s">
        <v>177</v>
      </c>
      <c r="D56" s="140"/>
      <c r="E56" s="140"/>
      <c r="F56" s="141"/>
      <c r="G56" s="141"/>
      <c r="H56" s="142"/>
      <c r="I56" s="142"/>
      <c r="J56" s="145"/>
      <c r="K56" s="143">
        <v>0</v>
      </c>
    </row>
    <row r="57" spans="1:16" ht="16.5" customHeight="1" x14ac:dyDescent="0.3">
      <c r="A57" s="54"/>
      <c r="B57" s="25"/>
      <c r="C57" s="9" t="s">
        <v>174</v>
      </c>
      <c r="D57" s="140"/>
      <c r="E57" s="140"/>
      <c r="F57" s="141"/>
      <c r="G57" s="141"/>
      <c r="H57" s="142"/>
      <c r="I57" s="142"/>
      <c r="J57" s="145"/>
      <c r="K57" s="143">
        <v>0</v>
      </c>
    </row>
    <row r="58" spans="1:16" ht="16.5" customHeight="1" x14ac:dyDescent="0.3">
      <c r="A58" s="54"/>
      <c r="B58" s="9"/>
      <c r="C58" s="9" t="s">
        <v>178</v>
      </c>
      <c r="D58" s="140"/>
      <c r="E58" s="140"/>
      <c r="F58" s="141"/>
      <c r="G58" s="141"/>
      <c r="H58" s="142"/>
      <c r="I58" s="142"/>
      <c r="J58" s="144"/>
      <c r="K58" s="143">
        <v>5455.3237833576313</v>
      </c>
    </row>
    <row r="59" spans="1:16" ht="16.5" customHeight="1" x14ac:dyDescent="0.3">
      <c r="A59" s="54"/>
      <c r="C59" s="16"/>
      <c r="D59" s="16"/>
      <c r="E59" s="16"/>
      <c r="F59" s="17"/>
      <c r="G59" s="17"/>
      <c r="H59" s="18"/>
      <c r="I59" s="18"/>
      <c r="J59" s="107">
        <f>SUM(J55:J58)</f>
        <v>5455.3237833576313</v>
      </c>
      <c r="K59" s="107">
        <f>SUM(K55:K58)</f>
        <v>5455.3237833576313</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5414</v>
      </c>
      <c r="K62" s="147"/>
      <c r="L62" s="10" t="str">
        <f>IF($J$62=$K$69,"","&lt;- Accts 0848 must agree")</f>
        <v/>
      </c>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177</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5591</v>
      </c>
    </row>
    <row r="65" spans="1:12" ht="16.5" customHeight="1" x14ac:dyDescent="0.3">
      <c r="A65" s="54"/>
      <c r="C65" s="16"/>
      <c r="D65" s="16"/>
      <c r="E65" s="16"/>
      <c r="F65" s="17"/>
      <c r="G65" s="17"/>
      <c r="H65" s="18"/>
      <c r="I65" s="18"/>
      <c r="J65" s="107">
        <f>SUM(J62:J64)</f>
        <v>5591</v>
      </c>
      <c r="K65" s="107">
        <f>SUM(K62:K64)</f>
        <v>5591</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5414</v>
      </c>
      <c r="K68" s="144"/>
    </row>
    <row r="69" spans="1:12" ht="16.5" customHeight="1" x14ac:dyDescent="0.3">
      <c r="A69" s="54"/>
      <c r="B69" s="9"/>
      <c r="C69" s="9" t="s">
        <v>185</v>
      </c>
      <c r="D69" s="140"/>
      <c r="E69" s="140"/>
      <c r="F69" s="141"/>
      <c r="G69" s="141"/>
      <c r="H69" s="142"/>
      <c r="I69" s="142"/>
      <c r="J69" s="144"/>
      <c r="K69" s="143">
        <v>5414</v>
      </c>
      <c r="L69" s="10" t="str">
        <f>IF($J$62=$K$69,"","&lt;- Accts 0848 must agree")</f>
        <v/>
      </c>
    </row>
    <row r="70" spans="1:12" ht="16.5" customHeight="1" x14ac:dyDescent="0.3">
      <c r="A70" s="54"/>
      <c r="C70" s="16"/>
      <c r="D70" s="16"/>
      <c r="E70" s="16"/>
      <c r="F70" s="17"/>
      <c r="G70" s="17"/>
      <c r="H70" s="18"/>
      <c r="I70" s="18"/>
      <c r="J70" s="107">
        <f>SUM(J68:J69)</f>
        <v>5414</v>
      </c>
      <c r="K70" s="107">
        <f>SUM(K68:K69)</f>
        <v>5414</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5314.8611666510769</v>
      </c>
      <c r="K75" s="144"/>
    </row>
    <row r="76" spans="1:12" ht="16.5" customHeight="1" x14ac:dyDescent="0.3">
      <c r="A76" s="54"/>
      <c r="B76" s="9"/>
      <c r="C76" s="9" t="s">
        <v>193</v>
      </c>
      <c r="D76" s="140"/>
      <c r="E76" s="140"/>
      <c r="F76" s="141"/>
      <c r="G76" s="141"/>
      <c r="H76" s="142"/>
      <c r="I76" s="142"/>
      <c r="J76" s="144"/>
      <c r="K76" s="143">
        <v>5314.8611666510769</v>
      </c>
    </row>
    <row r="77" spans="1:12" ht="16.5" customHeight="1" x14ac:dyDescent="0.25">
      <c r="A77" s="54"/>
      <c r="B77" s="178" t="s">
        <v>1662</v>
      </c>
      <c r="C77" s="178"/>
      <c r="D77" s="178"/>
      <c r="E77" s="178"/>
      <c r="F77" s="178"/>
      <c r="G77" s="178"/>
      <c r="H77" s="178"/>
      <c r="I77" s="178"/>
      <c r="J77" s="107">
        <f>SUM(J75:J76)</f>
        <v>5314.8611666510769</v>
      </c>
      <c r="K77" s="107">
        <f>SUM(K75:K76)</f>
        <v>5314.8611666510769</v>
      </c>
      <c r="L77" s="25"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v>499.68833570544001</v>
      </c>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v>499.68833570544001</v>
      </c>
    </row>
    <row r="91" spans="1:16" ht="16.5" customHeight="1" x14ac:dyDescent="0.3">
      <c r="B91" s="130" t="s">
        <v>1640</v>
      </c>
      <c r="H91" s="10"/>
      <c r="J91" s="108">
        <f>SUM(J85:J90)</f>
        <v>499.68833570544001</v>
      </c>
      <c r="K91" s="108">
        <f>SUM(K85:K90)</f>
        <v>499.68833570544001</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32772.530091314329</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-15600.003253197316</v>
      </c>
    </row>
    <row r="128" spans="1:12" ht="16.5" customHeight="1" x14ac:dyDescent="0.3">
      <c r="D128" s="140" t="s">
        <v>1656</v>
      </c>
      <c r="H128" s="10"/>
      <c r="K128" s="169">
        <f>-K23-K48+J68+J75+J96-K113</f>
        <v>-12182.395630711093</v>
      </c>
    </row>
    <row r="129" spans="4:11" ht="16.5" customHeight="1" x14ac:dyDescent="0.3">
      <c r="D129" s="140" t="s">
        <v>1657</v>
      </c>
      <c r="H129" s="10"/>
      <c r="K129" s="169">
        <f>-K76</f>
        <v>-5314.8611666510769</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125" priority="12">
      <formula>$J$62&lt;&gt;$K$69</formula>
    </cfRule>
  </conditionalFormatting>
  <conditionalFormatting sqref="L26:P26">
    <cfRule type="expression" dxfId="124" priority="1">
      <formula>$J$26&lt;&gt;$K$26</formula>
    </cfRule>
  </conditionalFormatting>
  <conditionalFormatting sqref="L36:P36">
    <cfRule type="expression" dxfId="123" priority="2">
      <formula>$J$36&lt;&gt;$K$36</formula>
    </cfRule>
  </conditionalFormatting>
  <conditionalFormatting sqref="L43:P43">
    <cfRule type="expression" dxfId="122" priority="3">
      <formula>$J$43&lt;&gt;$K$43</formula>
    </cfRule>
  </conditionalFormatting>
  <conditionalFormatting sqref="L49:P49">
    <cfRule type="expression" dxfId="121" priority="4">
      <formula>$J$49&lt;&gt;$K$49</formula>
    </cfRule>
  </conditionalFormatting>
  <conditionalFormatting sqref="L59:P59">
    <cfRule type="expression" dxfId="120" priority="5">
      <formula>$J$59&lt;&gt;$K$59</formula>
    </cfRule>
  </conditionalFormatting>
  <conditionalFormatting sqref="L65:P65">
    <cfRule type="expression" dxfId="119" priority="6">
      <formula>$J$65&lt;&gt;$K$65</formula>
    </cfRule>
  </conditionalFormatting>
  <conditionalFormatting sqref="L70:P70">
    <cfRule type="expression" dxfId="118" priority="7">
      <formula>$J$70&lt;&gt;$K$70</formula>
    </cfRule>
  </conditionalFormatting>
  <conditionalFormatting sqref="L77:P77">
    <cfRule type="expression" dxfId="117" priority="8">
      <formula>$J$77&lt;&gt;$K$77</formula>
    </cfRule>
  </conditionalFormatting>
  <conditionalFormatting sqref="L91:P91">
    <cfRule type="expression" dxfId="116" priority="9">
      <formula>$J$91&lt;&gt;$K$91</formula>
    </cfRule>
  </conditionalFormatting>
  <conditionalFormatting sqref="L105:P105">
    <cfRule type="expression" dxfId="115" priority="10">
      <formula>$J$105&lt;&gt;$K$105</formula>
    </cfRule>
  </conditionalFormatting>
  <conditionalFormatting sqref="L114:P114">
    <cfRule type="expression" dxfId="114" priority="11">
      <formula>$J$114&lt;&gt;$K$114</formula>
    </cfRule>
  </conditionalFormatting>
  <dataValidations count="3">
    <dataValidation type="textLength" operator="equal" allowBlank="1" showInputMessage="1" showErrorMessage="1" errorTitle="4-Digit Org Code" error="Enter the Org Code/BU as 4 digits." sqref="F5" xr:uid="{137AE04D-A7A8-487F-9D85-AA8985294E03}">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6575C0D-F0C1-44EB-8E1A-247050B7672C}">
      <formula1>0</formula1>
    </dataValidation>
    <dataValidation operator="lessThan" allowBlank="1" showInputMessage="1" showErrorMessage="1" sqref="A3:A8" xr:uid="{559B27CD-10F9-4607-BFB8-184E6CAA74A9}"/>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15EF64E8-E033-469C-A019-88A3F8E9FE5A}">
          <x14:formula1>
            <xm:f>'Drop Down Menus'!$E$1:$E$3</xm:f>
          </x14:formula1>
          <xm:sqref>F8</xm:sqref>
        </x14:dataValidation>
        <x14:dataValidation type="list" allowBlank="1" showInputMessage="1" showErrorMessage="1" xr:uid="{E59781BA-0F69-4549-94B5-FA96213DA185}">
          <x14:formula1>
            <xm:f>'Drop Down Menus'!$B$1:$B$2</xm:f>
          </x14:formula1>
          <xm:sqref>F7</xm:sqref>
        </x14:dataValidation>
        <x14:dataValidation type="list" allowBlank="1" showInputMessage="1" showErrorMessage="1" xr:uid="{773317F2-CC01-4256-9B47-F31C5286014D}">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D7F46-BC9B-4004-AC13-B3D8BC40DC19}">
  <sheetPr codeName="Sheet9">
    <tabColor theme="9" tint="0.59999389629810485"/>
    <pageSetUpPr fitToPage="1"/>
  </sheetPr>
  <dimension ref="A1:T193"/>
  <sheetViews>
    <sheetView zoomScale="70" zoomScaleNormal="70" workbookViewId="0">
      <selection activeCell="P6" sqref="P6"/>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79" t="s">
        <v>1629</v>
      </c>
      <c r="B1" s="179"/>
      <c r="C1" s="179"/>
      <c r="D1" s="179"/>
      <c r="E1" s="179"/>
      <c r="F1" s="179"/>
      <c r="G1" s="179"/>
      <c r="H1" s="179"/>
      <c r="I1" s="179"/>
      <c r="J1" s="179"/>
      <c r="K1" s="179"/>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75" t="s">
        <v>10</v>
      </c>
      <c r="B3" s="175"/>
      <c r="C3" s="175"/>
      <c r="D3" s="175"/>
      <c r="E3" s="175"/>
      <c r="F3" s="180" t="s">
        <v>21</v>
      </c>
      <c r="G3" s="180"/>
      <c r="H3" s="180"/>
      <c r="I3" s="180"/>
    </row>
    <row r="4" spans="1:20" ht="16.5" customHeight="1" x14ac:dyDescent="0.25">
      <c r="A4" s="175" t="s">
        <v>191</v>
      </c>
      <c r="B4" s="175"/>
      <c r="C4" s="175"/>
      <c r="D4" s="175"/>
      <c r="E4" s="175"/>
      <c r="F4" s="181" t="s">
        <v>1676</v>
      </c>
      <c r="G4" s="181"/>
      <c r="H4" s="181"/>
      <c r="I4" s="181"/>
    </row>
    <row r="5" spans="1:20" ht="16.5" customHeight="1" x14ac:dyDescent="0.25">
      <c r="A5" s="175" t="s">
        <v>1615</v>
      </c>
      <c r="B5" s="175"/>
      <c r="C5" s="175"/>
      <c r="D5" s="175"/>
      <c r="E5" s="175"/>
      <c r="F5" s="181" t="s">
        <v>316</v>
      </c>
      <c r="G5" s="181"/>
      <c r="H5" s="181"/>
      <c r="I5" s="181"/>
      <c r="L5" s="12"/>
      <c r="M5" s="12"/>
      <c r="N5" s="12"/>
      <c r="O5" s="12"/>
      <c r="P5" s="12"/>
      <c r="Q5" s="12"/>
    </row>
    <row r="6" spans="1:20" ht="16.5" customHeight="1" x14ac:dyDescent="0.3">
      <c r="A6" s="175" t="s">
        <v>1634</v>
      </c>
      <c r="B6" s="175"/>
      <c r="C6" s="175"/>
      <c r="D6" s="175"/>
      <c r="E6" s="175"/>
      <c r="F6" s="182">
        <v>17</v>
      </c>
      <c r="G6" s="182"/>
      <c r="H6" s="182"/>
      <c r="I6" s="182"/>
      <c r="L6" s="13"/>
      <c r="M6" s="13"/>
      <c r="N6" s="13"/>
      <c r="O6" s="13"/>
      <c r="P6" s="12"/>
      <c r="Q6" s="12"/>
    </row>
    <row r="7" spans="1:20" ht="16.5" customHeight="1" x14ac:dyDescent="0.3">
      <c r="A7" s="175" t="s">
        <v>1</v>
      </c>
      <c r="B7" s="175"/>
      <c r="C7" s="175"/>
      <c r="D7" s="175"/>
      <c r="E7" s="175"/>
      <c r="F7" s="182" t="s">
        <v>120</v>
      </c>
      <c r="G7" s="182"/>
      <c r="H7" s="182"/>
      <c r="I7" s="182"/>
      <c r="K7" s="53"/>
      <c r="L7" s="13"/>
      <c r="M7" s="13"/>
      <c r="N7" s="13"/>
      <c r="O7" s="13"/>
      <c r="P7" s="12"/>
      <c r="Q7" s="12"/>
    </row>
    <row r="8" spans="1:20" ht="16.5" customHeight="1" x14ac:dyDescent="0.3">
      <c r="A8" s="175" t="s">
        <v>1616</v>
      </c>
      <c r="B8" s="175"/>
      <c r="C8" s="175"/>
      <c r="D8" s="175"/>
      <c r="E8" s="175"/>
      <c r="F8" s="182" t="s">
        <v>154</v>
      </c>
      <c r="G8" s="182"/>
      <c r="H8" s="182"/>
      <c r="I8" s="182"/>
      <c r="K8" s="53"/>
      <c r="L8" s="13"/>
      <c r="M8" s="13"/>
      <c r="N8" s="13"/>
      <c r="O8" s="13"/>
      <c r="P8" s="12"/>
      <c r="Q8" s="12"/>
    </row>
    <row r="9" spans="1:20" ht="16.5" customHeight="1" x14ac:dyDescent="0.3">
      <c r="A9" s="175" t="s">
        <v>1614</v>
      </c>
      <c r="B9" s="175"/>
      <c r="C9" s="175"/>
      <c r="D9" s="175"/>
      <c r="E9" s="175"/>
      <c r="F9" s="183" t="str">
        <f>IFERROR(IF(F7="Proprietary","Proprietary Fund",VLOOKUP(F5,qryIndex02a!$A$2:$K$654,4,FALSE)),"Unidentified")</f>
        <v>GENERAL GOVERNMENT</v>
      </c>
      <c r="G9" s="183"/>
      <c r="H9" s="183"/>
      <c r="I9" s="18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3">
      <c r="A15" s="159" t="s">
        <v>1637</v>
      </c>
      <c r="B15" s="9" t="s">
        <v>170</v>
      </c>
      <c r="C15" s="9"/>
      <c r="D15" s="9"/>
      <c r="E15" s="140"/>
      <c r="F15" s="141"/>
      <c r="G15" s="141"/>
      <c r="H15" s="142"/>
      <c r="I15" s="142"/>
      <c r="J15" s="171">
        <f>M15</f>
        <v>0</v>
      </c>
      <c r="M15" s="143">
        <v>0</v>
      </c>
      <c r="P15" s="143">
        <v>0</v>
      </c>
      <c r="Q15" s="155"/>
      <c r="S15" s="154">
        <f t="shared" ref="S15:S19" si="0">P15-M15</f>
        <v>0</v>
      </c>
      <c r="T15" s="173" t="s">
        <v>1673</v>
      </c>
    </row>
    <row r="16" spans="1:20" ht="16.5" customHeight="1" x14ac:dyDescent="0.3">
      <c r="A16" s="159" t="s">
        <v>1637</v>
      </c>
      <c r="B16" s="9" t="s">
        <v>171</v>
      </c>
      <c r="C16" s="9"/>
      <c r="D16" s="9"/>
      <c r="E16" s="140"/>
      <c r="F16" s="141"/>
      <c r="G16" s="141"/>
      <c r="H16" s="142"/>
      <c r="I16" s="142"/>
      <c r="J16" s="171">
        <f>M16</f>
        <v>0</v>
      </c>
      <c r="M16" s="143">
        <v>0</v>
      </c>
      <c r="P16" s="143">
        <v>0</v>
      </c>
      <c r="Q16" s="155"/>
      <c r="S16" s="154">
        <f t="shared" si="0"/>
        <v>0</v>
      </c>
      <c r="T16" s="173" t="s">
        <v>1673</v>
      </c>
    </row>
    <row r="17" spans="1:20" ht="16.5" customHeight="1" x14ac:dyDescent="0.3">
      <c r="A17" s="159" t="s">
        <v>1637</v>
      </c>
      <c r="B17" s="9" t="s">
        <v>172</v>
      </c>
      <c r="C17" s="9"/>
      <c r="D17" s="9"/>
      <c r="E17" s="140"/>
      <c r="F17" s="141"/>
      <c r="G17" s="141"/>
      <c r="H17" s="142"/>
      <c r="I17" s="142"/>
      <c r="J17" s="171">
        <f>M17</f>
        <v>9284225.2326319646</v>
      </c>
      <c r="M17" s="143">
        <v>9284225.2326319646</v>
      </c>
      <c r="P17" s="143">
        <v>9284225</v>
      </c>
      <c r="Q17" s="155"/>
      <c r="S17" s="154">
        <f t="shared" si="0"/>
        <v>-0.23263196460902691</v>
      </c>
      <c r="T17" s="173" t="s">
        <v>1673</v>
      </c>
    </row>
    <row r="18" spans="1:20" ht="16.5" customHeight="1" x14ac:dyDescent="0.3">
      <c r="A18" s="54"/>
      <c r="B18" s="9" t="s">
        <v>168</v>
      </c>
      <c r="C18" s="9"/>
      <c r="D18" s="9"/>
      <c r="E18" s="140"/>
      <c r="F18" s="141"/>
      <c r="G18" s="141"/>
      <c r="H18" s="142"/>
      <c r="I18" s="142"/>
      <c r="J18" s="171">
        <f>P18</f>
        <v>246109</v>
      </c>
      <c r="M18" s="143">
        <v>246109.0995235483</v>
      </c>
      <c r="P18" s="152">
        <f>IF(SUM($Q$20:$Q$23)&gt;SUM($P$15:$P$17),SUM($Q$20:$Q$23)-SUM($P$15:$P$17),0)</f>
        <v>246109</v>
      </c>
      <c r="Q18" s="155"/>
      <c r="S18" s="154">
        <f t="shared" si="0"/>
        <v>-9.952354829874821E-2</v>
      </c>
      <c r="T18" s="172" t="s">
        <v>1661</v>
      </c>
    </row>
    <row r="19" spans="1:20"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c r="T19" s="172" t="s">
        <v>1661</v>
      </c>
    </row>
    <row r="20" spans="1:20" ht="16.5" customHeight="1" x14ac:dyDescent="0.3">
      <c r="A20" s="54"/>
      <c r="B20" s="9"/>
      <c r="C20" s="9" t="s">
        <v>177</v>
      </c>
      <c r="D20" s="9"/>
      <c r="E20" s="140"/>
      <c r="F20" s="141"/>
      <c r="G20" s="141"/>
      <c r="H20" s="142"/>
      <c r="I20" s="142"/>
      <c r="J20" s="150"/>
      <c r="K20" s="171">
        <f>N20</f>
        <v>0</v>
      </c>
      <c r="N20" s="143">
        <v>0</v>
      </c>
      <c r="P20" s="155"/>
      <c r="Q20" s="143">
        <v>0</v>
      </c>
      <c r="S20" s="154">
        <f>Q20-N20</f>
        <v>0</v>
      </c>
      <c r="T20" s="172" t="s">
        <v>1661</v>
      </c>
    </row>
    <row r="21" spans="1:20" ht="16.5" customHeight="1" x14ac:dyDescent="0.3">
      <c r="A21" s="54"/>
      <c r="B21" s="9"/>
      <c r="C21" s="9" t="s">
        <v>174</v>
      </c>
      <c r="D21" s="9"/>
      <c r="E21" s="140"/>
      <c r="F21" s="141"/>
      <c r="G21" s="141"/>
      <c r="H21" s="142"/>
      <c r="I21" s="142"/>
      <c r="J21" s="150"/>
      <c r="K21" s="171">
        <f>N21</f>
        <v>0</v>
      </c>
      <c r="N21" s="143">
        <v>0</v>
      </c>
      <c r="P21" s="155"/>
      <c r="Q21" s="143">
        <v>0</v>
      </c>
      <c r="S21" s="154">
        <f>Q21-N21</f>
        <v>0</v>
      </c>
      <c r="T21" s="172" t="s">
        <v>1661</v>
      </c>
    </row>
    <row r="22" spans="1:20" ht="16.5" customHeight="1" x14ac:dyDescent="0.3">
      <c r="A22" s="54"/>
      <c r="B22" s="9"/>
      <c r="C22" s="9" t="s">
        <v>178</v>
      </c>
      <c r="D22" s="9"/>
      <c r="E22" s="140"/>
      <c r="F22" s="141"/>
      <c r="G22" s="141"/>
      <c r="H22" s="142"/>
      <c r="I22" s="142"/>
      <c r="J22" s="150"/>
      <c r="K22" s="171">
        <f>N22</f>
        <v>1848937.7123647041</v>
      </c>
      <c r="N22" s="143">
        <v>1848937.7123647041</v>
      </c>
      <c r="P22" s="155"/>
      <c r="Q22" s="143">
        <v>1848938</v>
      </c>
      <c r="S22" s="154">
        <f t="shared" ref="S22:S25" si="1">Q22-N22</f>
        <v>0.28763529588468373</v>
      </c>
      <c r="T22" s="172" t="s">
        <v>1661</v>
      </c>
    </row>
    <row r="23" spans="1:20" ht="16.5" customHeight="1" x14ac:dyDescent="0.3">
      <c r="A23" s="165" t="s">
        <v>1645</v>
      </c>
      <c r="B23" s="9"/>
      <c r="C23" s="9" t="s">
        <v>173</v>
      </c>
      <c r="D23" s="9"/>
      <c r="E23" s="140"/>
      <c r="F23" s="141"/>
      <c r="G23" s="141"/>
      <c r="H23" s="142"/>
      <c r="I23" s="142"/>
      <c r="J23" s="150"/>
      <c r="K23" s="171">
        <f>N23</f>
        <v>7681396.3172024097</v>
      </c>
      <c r="N23" s="143">
        <v>7681396.3172024097</v>
      </c>
      <c r="P23" s="155"/>
      <c r="Q23" s="143">
        <v>7681396</v>
      </c>
      <c r="S23" s="154">
        <f t="shared" si="1"/>
        <v>-0.31720240972936153</v>
      </c>
      <c r="T23" s="172" t="s">
        <v>1661</v>
      </c>
    </row>
    <row r="24" spans="1:20" ht="16.5" customHeight="1" x14ac:dyDescent="0.3">
      <c r="A24" s="54"/>
      <c r="B24" s="9"/>
      <c r="C24" s="9" t="s">
        <v>175</v>
      </c>
      <c r="D24" s="9"/>
      <c r="E24" s="140"/>
      <c r="F24" s="141"/>
      <c r="G24" s="141"/>
      <c r="H24" s="142"/>
      <c r="I24" s="142"/>
      <c r="J24" s="150"/>
      <c r="K24" s="171">
        <f>Q24</f>
        <v>0</v>
      </c>
      <c r="N24" s="143">
        <v>0</v>
      </c>
      <c r="P24" s="155"/>
      <c r="Q24" s="152">
        <f>IF(SUM($Q$20:$Q$23)&lt;SUM($P$15:$P$17),-SUM($Q$20:$Q$23)+SUM($P$15:$P$17),0)</f>
        <v>0</v>
      </c>
      <c r="S24" s="154">
        <f t="shared" si="1"/>
        <v>0</v>
      </c>
      <c r="T24" s="172" t="s">
        <v>1661</v>
      </c>
    </row>
    <row r="25" spans="1:20" ht="16.5" customHeight="1" x14ac:dyDescent="0.3">
      <c r="A25" s="54"/>
      <c r="B25" s="9"/>
      <c r="C25" s="9" t="s">
        <v>176</v>
      </c>
      <c r="D25" s="9"/>
      <c r="E25" s="140"/>
      <c r="F25" s="141"/>
      <c r="G25" s="141"/>
      <c r="H25" s="142"/>
      <c r="I25" s="142"/>
      <c r="J25" s="150"/>
      <c r="K25" s="171">
        <f>IF(SUM($K$20:$K$24)&lt;SUM($J$15:$J$18),-SUM($K$20:$K$24)+SUM($J$15:$J$18),0)</f>
        <v>0.20306485146284103</v>
      </c>
      <c r="N25" s="143">
        <v>0</v>
      </c>
      <c r="P25" s="155"/>
      <c r="Q25" s="155"/>
      <c r="S25" s="154">
        <f t="shared" si="1"/>
        <v>0</v>
      </c>
      <c r="T25" s="172" t="s">
        <v>1661</v>
      </c>
    </row>
    <row r="26" spans="1:20" ht="16.5" customHeight="1" x14ac:dyDescent="0.3">
      <c r="A26" s="54"/>
      <c r="C26" s="20"/>
      <c r="D26" s="20"/>
      <c r="E26" s="20"/>
      <c r="F26" s="127"/>
      <c r="G26" s="127"/>
      <c r="H26" s="22"/>
      <c r="I26" s="22"/>
      <c r="J26" s="107">
        <f>SUM(J15:J25)</f>
        <v>9530334.2326319646</v>
      </c>
      <c r="K26" s="107">
        <f>SUM(K15:K25)</f>
        <v>9530334.2326319646</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924468.70979008416</v>
      </c>
      <c r="K55" s="144"/>
    </row>
    <row r="56" spans="1:16" ht="16.5" customHeight="1" x14ac:dyDescent="0.3">
      <c r="A56" s="54"/>
      <c r="B56" s="25"/>
      <c r="C56" s="9" t="s">
        <v>177</v>
      </c>
      <c r="D56" s="140"/>
      <c r="E56" s="140"/>
      <c r="F56" s="141"/>
      <c r="G56" s="141"/>
      <c r="H56" s="142"/>
      <c r="I56" s="142"/>
      <c r="J56" s="145"/>
      <c r="K56" s="143">
        <v>0</v>
      </c>
    </row>
    <row r="57" spans="1:16" ht="16.5" customHeight="1" x14ac:dyDescent="0.3">
      <c r="A57" s="54"/>
      <c r="B57" s="25"/>
      <c r="C57" s="9" t="s">
        <v>174</v>
      </c>
      <c r="D57" s="140"/>
      <c r="E57" s="140"/>
      <c r="F57" s="141"/>
      <c r="G57" s="141"/>
      <c r="H57" s="142"/>
      <c r="I57" s="142"/>
      <c r="J57" s="145"/>
      <c r="K57" s="143">
        <v>0</v>
      </c>
    </row>
    <row r="58" spans="1:16" ht="16.5" customHeight="1" x14ac:dyDescent="0.3">
      <c r="A58" s="54"/>
      <c r="B58" s="9"/>
      <c r="C58" s="9" t="s">
        <v>178</v>
      </c>
      <c r="D58" s="140"/>
      <c r="E58" s="140"/>
      <c r="F58" s="141"/>
      <c r="G58" s="141"/>
      <c r="H58" s="142"/>
      <c r="I58" s="142"/>
      <c r="J58" s="144"/>
      <c r="K58" s="143">
        <v>924468.70979008416</v>
      </c>
    </row>
    <row r="59" spans="1:16" ht="16.5" customHeight="1" x14ac:dyDescent="0.3">
      <c r="A59" s="54"/>
      <c r="C59" s="16"/>
      <c r="D59" s="16"/>
      <c r="E59" s="16"/>
      <c r="F59" s="17"/>
      <c r="G59" s="17"/>
      <c r="H59" s="18"/>
      <c r="I59" s="18"/>
      <c r="J59" s="107">
        <f>SUM(J55:J58)</f>
        <v>924468.70979008416</v>
      </c>
      <c r="K59" s="107">
        <f>SUM(K55:K58)</f>
        <v>924468.70979008416</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843781.70381455822</v>
      </c>
      <c r="K62" s="147"/>
      <c r="L62" s="10" t="str">
        <f>IF($J$62=$K$69,"","&lt;- Accts 0848 must agree")</f>
        <v/>
      </c>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107923.59182597231</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951705.29564053053</v>
      </c>
    </row>
    <row r="65" spans="1:12" ht="16.5" customHeight="1" x14ac:dyDescent="0.3">
      <c r="A65" s="54"/>
      <c r="C65" s="16"/>
      <c r="D65" s="16"/>
      <c r="E65" s="16"/>
      <c r="F65" s="17"/>
      <c r="G65" s="17"/>
      <c r="H65" s="18"/>
      <c r="I65" s="18"/>
      <c r="J65" s="107">
        <f>SUM(J62:J64)</f>
        <v>951705.29564053053</v>
      </c>
      <c r="K65" s="107">
        <f>SUM(K62:K64)</f>
        <v>951705.29564053053</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843781.70381455822</v>
      </c>
      <c r="K68" s="144"/>
    </row>
    <row r="69" spans="1:12" ht="16.5" customHeight="1" x14ac:dyDescent="0.3">
      <c r="A69" s="54"/>
      <c r="B69" s="9"/>
      <c r="C69" s="9" t="s">
        <v>185</v>
      </c>
      <c r="D69" s="140"/>
      <c r="E69" s="140"/>
      <c r="F69" s="141"/>
      <c r="G69" s="141"/>
      <c r="H69" s="142"/>
      <c r="I69" s="142"/>
      <c r="J69" s="144"/>
      <c r="K69" s="143">
        <v>843781.70381455822</v>
      </c>
      <c r="L69" s="10" t="str">
        <f>IF($J$62=$K$69,"","&lt;- Accts 0848 must agree")</f>
        <v/>
      </c>
    </row>
    <row r="70" spans="1:12" ht="16.5" customHeight="1" x14ac:dyDescent="0.3">
      <c r="A70" s="54"/>
      <c r="C70" s="16"/>
      <c r="D70" s="16"/>
      <c r="E70" s="16"/>
      <c r="F70" s="17"/>
      <c r="G70" s="17"/>
      <c r="H70" s="18"/>
      <c r="I70" s="18"/>
      <c r="J70" s="107">
        <f>SUM(J68:J69)</f>
        <v>843781.70381455822</v>
      </c>
      <c r="K70" s="107">
        <f>SUM(K68:K69)</f>
        <v>843781.70381455822</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873444.15490790643</v>
      </c>
      <c r="K75" s="144"/>
    </row>
    <row r="76" spans="1:12" ht="16.5" customHeight="1" x14ac:dyDescent="0.3">
      <c r="A76" s="54"/>
      <c r="B76" s="9"/>
      <c r="C76" s="9" t="s">
        <v>193</v>
      </c>
      <c r="D76" s="140"/>
      <c r="E76" s="140"/>
      <c r="F76" s="141"/>
      <c r="G76" s="141"/>
      <c r="H76" s="142"/>
      <c r="I76" s="142"/>
      <c r="J76" s="144"/>
      <c r="K76" s="143">
        <v>873444.15490790643</v>
      </c>
    </row>
    <row r="77" spans="1:12" ht="16.5" customHeight="1" x14ac:dyDescent="0.25">
      <c r="A77" s="54"/>
      <c r="B77" s="178" t="s">
        <v>1662</v>
      </c>
      <c r="C77" s="178"/>
      <c r="D77" s="178"/>
      <c r="E77" s="178"/>
      <c r="F77" s="178"/>
      <c r="G77" s="178"/>
      <c r="H77" s="178"/>
      <c r="I77" s="178"/>
      <c r="J77" s="107">
        <f>SUM(J75:J76)</f>
        <v>873444.15490790643</v>
      </c>
      <c r="K77" s="107">
        <f>SUM(K75:K76)</f>
        <v>873444.15490790643</v>
      </c>
      <c r="L77" s="25"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row>
    <row r="91" spans="1:16" ht="16.5" customHeight="1" x14ac:dyDescent="0.3">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9284225.2326319646</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-2773406.4221547884</v>
      </c>
    </row>
    <row r="128" spans="1:12" ht="16.5" customHeight="1" x14ac:dyDescent="0.3">
      <c r="D128" s="140" t="s">
        <v>1656</v>
      </c>
      <c r="H128" s="10"/>
      <c r="K128" s="169">
        <f>-K23-K48+J68+J75+J96-K113</f>
        <v>-5964170.4584799446</v>
      </c>
    </row>
    <row r="129" spans="4:11" ht="16.5" customHeight="1" x14ac:dyDescent="0.3">
      <c r="D129" s="140" t="s">
        <v>1657</v>
      </c>
      <c r="H129" s="10"/>
      <c r="K129" s="169">
        <f>-K76</f>
        <v>-873444.15490790643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113" priority="12">
      <formula>$J$62&lt;&gt;$K$69</formula>
    </cfRule>
  </conditionalFormatting>
  <conditionalFormatting sqref="L26:P26">
    <cfRule type="expression" dxfId="112" priority="1">
      <formula>$J$26&lt;&gt;$K$26</formula>
    </cfRule>
  </conditionalFormatting>
  <conditionalFormatting sqref="L36:P36">
    <cfRule type="expression" dxfId="111" priority="2">
      <formula>$J$36&lt;&gt;$K$36</formula>
    </cfRule>
  </conditionalFormatting>
  <conditionalFormatting sqref="L43:P43">
    <cfRule type="expression" dxfId="110" priority="3">
      <formula>$J$43&lt;&gt;$K$43</formula>
    </cfRule>
  </conditionalFormatting>
  <conditionalFormatting sqref="L49:P49">
    <cfRule type="expression" dxfId="109" priority="4">
      <formula>$J$49&lt;&gt;$K$49</formula>
    </cfRule>
  </conditionalFormatting>
  <conditionalFormatting sqref="L59:P59">
    <cfRule type="expression" dxfId="108" priority="5">
      <formula>$J$59&lt;&gt;$K$59</formula>
    </cfRule>
  </conditionalFormatting>
  <conditionalFormatting sqref="L65:P65">
    <cfRule type="expression" dxfId="107" priority="6">
      <formula>$J$65&lt;&gt;$K$65</formula>
    </cfRule>
  </conditionalFormatting>
  <conditionalFormatting sqref="L70:P70">
    <cfRule type="expression" dxfId="106" priority="7">
      <formula>$J$70&lt;&gt;$K$70</formula>
    </cfRule>
  </conditionalFormatting>
  <conditionalFormatting sqref="L77:P77">
    <cfRule type="expression" dxfId="105" priority="8">
      <formula>$J$77&lt;&gt;$K$77</formula>
    </cfRule>
  </conditionalFormatting>
  <conditionalFormatting sqref="L91:P91">
    <cfRule type="expression" dxfId="104" priority="9">
      <formula>$J$91&lt;&gt;$K$91</formula>
    </cfRule>
  </conditionalFormatting>
  <conditionalFormatting sqref="L105:P105">
    <cfRule type="expression" dxfId="103" priority="10">
      <formula>$J$105&lt;&gt;$K$105</formula>
    </cfRule>
  </conditionalFormatting>
  <conditionalFormatting sqref="L114:P114">
    <cfRule type="expression" dxfId="102" priority="11">
      <formula>$J$114&lt;&gt;$K$114</formula>
    </cfRule>
  </conditionalFormatting>
  <dataValidations count="3">
    <dataValidation type="textLength" operator="equal" allowBlank="1" showInputMessage="1" showErrorMessage="1" errorTitle="4-Digit Org Code" error="Enter the Org Code/BU as 4 digits." sqref="F5" xr:uid="{C3C971FF-D8A6-48C2-A3D3-AAF979FCA0F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53AD89A-1660-4372-B6BB-5808B33B19E9}">
      <formula1>0</formula1>
    </dataValidation>
    <dataValidation operator="lessThan" allowBlank="1" showInputMessage="1" showErrorMessage="1" sqref="A3:A8" xr:uid="{8AE6D491-5E59-4C04-8A62-7A26332298C9}"/>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E72E33E1-D738-422A-9428-9963F697DE27}">
          <x14:formula1>
            <xm:f>'Drop Down Menus'!$E$1:$E$3</xm:f>
          </x14:formula1>
          <xm:sqref>F8</xm:sqref>
        </x14:dataValidation>
        <x14:dataValidation type="list" allowBlank="1" showInputMessage="1" showErrorMessage="1" xr:uid="{CF6B473E-79E3-4A41-9DE4-DCF4A01A5DD6}">
          <x14:formula1>
            <xm:f>'Drop Down Menus'!$B$1:$B$2</xm:f>
          </x14:formula1>
          <xm:sqref>F7</xm:sqref>
        </x14:dataValidation>
        <x14:dataValidation type="list" allowBlank="1" showInputMessage="1" showErrorMessage="1" xr:uid="{161B5E39-191C-4F42-95D6-0F177D90B1D4}">
          <x14:formula1>
            <xm:f>'Drop Down Menus'!$A$1:$A$101</xm:f>
          </x14:formula1>
          <xm:sqref>F3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4B333-D04A-44DB-80E1-B7B9EE988165}">
  <sheetPr codeName="Sheet10">
    <tabColor theme="9" tint="0.59999389629810485"/>
    <pageSetUpPr fitToPage="1"/>
  </sheetPr>
  <dimension ref="A1:T193"/>
  <sheetViews>
    <sheetView zoomScale="70" zoomScaleNormal="70" workbookViewId="0">
      <selection activeCell="Q6" sqref="Q6"/>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79" t="s">
        <v>1629</v>
      </c>
      <c r="B1" s="179"/>
      <c r="C1" s="179"/>
      <c r="D1" s="179"/>
      <c r="E1" s="179"/>
      <c r="F1" s="179"/>
      <c r="G1" s="179"/>
      <c r="H1" s="179"/>
      <c r="I1" s="179"/>
      <c r="J1" s="179"/>
      <c r="K1" s="179"/>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75" t="s">
        <v>10</v>
      </c>
      <c r="B3" s="175"/>
      <c r="C3" s="175"/>
      <c r="D3" s="175"/>
      <c r="E3" s="175"/>
      <c r="F3" s="180" t="s">
        <v>21</v>
      </c>
      <c r="G3" s="180"/>
      <c r="H3" s="180"/>
      <c r="I3" s="180"/>
    </row>
    <row r="4" spans="1:20" ht="16.5" customHeight="1" x14ac:dyDescent="0.25">
      <c r="A4" s="175" t="s">
        <v>191</v>
      </c>
      <c r="B4" s="175"/>
      <c r="C4" s="175"/>
      <c r="D4" s="175"/>
      <c r="E4" s="175"/>
      <c r="F4" s="181" t="s">
        <v>1676</v>
      </c>
      <c r="G4" s="181"/>
      <c r="H4" s="181"/>
      <c r="I4" s="181"/>
    </row>
    <row r="5" spans="1:20" ht="16.5" customHeight="1" x14ac:dyDescent="0.25">
      <c r="A5" s="175" t="s">
        <v>1615</v>
      </c>
      <c r="B5" s="175"/>
      <c r="C5" s="175"/>
      <c r="D5" s="175"/>
      <c r="E5" s="175"/>
      <c r="F5" s="181" t="s">
        <v>316</v>
      </c>
      <c r="G5" s="181"/>
      <c r="H5" s="181"/>
      <c r="I5" s="181"/>
      <c r="L5" s="12"/>
      <c r="M5" s="12"/>
      <c r="N5" s="12"/>
      <c r="O5" s="12"/>
      <c r="P5" s="12"/>
      <c r="Q5" s="12"/>
    </row>
    <row r="6" spans="1:20" ht="16.5" customHeight="1" x14ac:dyDescent="0.3">
      <c r="A6" s="175" t="s">
        <v>1634</v>
      </c>
      <c r="B6" s="175"/>
      <c r="C6" s="175"/>
      <c r="D6" s="175"/>
      <c r="E6" s="175"/>
      <c r="F6" s="182">
        <v>44</v>
      </c>
      <c r="G6" s="182"/>
      <c r="H6" s="182"/>
      <c r="I6" s="182"/>
      <c r="L6" s="13"/>
      <c r="M6" s="13"/>
      <c r="N6" s="13"/>
      <c r="O6" s="13"/>
      <c r="P6" s="12"/>
      <c r="Q6" s="12"/>
    </row>
    <row r="7" spans="1:20" ht="16.5" customHeight="1" x14ac:dyDescent="0.3">
      <c r="A7" s="175" t="s">
        <v>1</v>
      </c>
      <c r="B7" s="175"/>
      <c r="C7" s="175"/>
      <c r="D7" s="175"/>
      <c r="E7" s="175"/>
      <c r="F7" s="182" t="s">
        <v>120</v>
      </c>
      <c r="G7" s="182"/>
      <c r="H7" s="182"/>
      <c r="I7" s="182"/>
      <c r="K7" s="53"/>
      <c r="L7" s="13"/>
      <c r="M7" s="13"/>
      <c r="N7" s="13"/>
      <c r="O7" s="13"/>
      <c r="P7" s="12"/>
      <c r="Q7" s="12"/>
    </row>
    <row r="8" spans="1:20" ht="16.5" customHeight="1" x14ac:dyDescent="0.3">
      <c r="A8" s="175" t="s">
        <v>1616</v>
      </c>
      <c r="B8" s="175"/>
      <c r="C8" s="175"/>
      <c r="D8" s="175"/>
      <c r="E8" s="175"/>
      <c r="F8" s="182" t="s">
        <v>154</v>
      </c>
      <c r="G8" s="182"/>
      <c r="H8" s="182"/>
      <c r="I8" s="182"/>
      <c r="K8" s="53"/>
      <c r="L8" s="13"/>
      <c r="M8" s="13"/>
      <c r="N8" s="13"/>
      <c r="O8" s="13"/>
      <c r="P8" s="12"/>
      <c r="Q8" s="12"/>
    </row>
    <row r="9" spans="1:20" ht="16.5" customHeight="1" x14ac:dyDescent="0.3">
      <c r="A9" s="175" t="s">
        <v>1614</v>
      </c>
      <c r="B9" s="175"/>
      <c r="C9" s="175"/>
      <c r="D9" s="175"/>
      <c r="E9" s="175"/>
      <c r="F9" s="183" t="str">
        <f>IFERROR(IF(F7="Proprietary","Proprietary Fund",VLOOKUP(F5,qryIndex02a!$A$2:$K$654,4,FALSE)),"Unidentified")</f>
        <v>GENERAL GOVERNMENT</v>
      </c>
      <c r="G9" s="183"/>
      <c r="H9" s="183"/>
      <c r="I9" s="18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3">
      <c r="A15" s="159" t="s">
        <v>1637</v>
      </c>
      <c r="B15" s="9" t="s">
        <v>170</v>
      </c>
      <c r="C15" s="9"/>
      <c r="D15" s="9"/>
      <c r="E15" s="140"/>
      <c r="F15" s="141"/>
      <c r="G15" s="141"/>
      <c r="H15" s="142"/>
      <c r="I15" s="142"/>
      <c r="J15" s="171">
        <f>M15</f>
        <v>0</v>
      </c>
      <c r="M15" s="143">
        <v>0</v>
      </c>
      <c r="P15" s="143">
        <v>0</v>
      </c>
      <c r="Q15" s="155"/>
      <c r="S15" s="154">
        <f t="shared" ref="S15:S19" si="0">P15-M15</f>
        <v>0</v>
      </c>
      <c r="T15" s="173" t="s">
        <v>1673</v>
      </c>
    </row>
    <row r="16" spans="1:20" ht="16.5" customHeight="1" x14ac:dyDescent="0.3">
      <c r="A16" s="159" t="s">
        <v>1637</v>
      </c>
      <c r="B16" s="9" t="s">
        <v>171</v>
      </c>
      <c r="C16" s="9"/>
      <c r="D16" s="9"/>
      <c r="E16" s="140"/>
      <c r="F16" s="141"/>
      <c r="G16" s="141"/>
      <c r="H16" s="142"/>
      <c r="I16" s="142"/>
      <c r="J16" s="171">
        <f>M16</f>
        <v>0</v>
      </c>
      <c r="M16" s="143">
        <v>0</v>
      </c>
      <c r="P16" s="143">
        <v>0</v>
      </c>
      <c r="Q16" s="155"/>
      <c r="S16" s="154">
        <f t="shared" si="0"/>
        <v>0</v>
      </c>
      <c r="T16" s="173" t="s">
        <v>1673</v>
      </c>
    </row>
    <row r="17" spans="1:20" ht="16.5" customHeight="1" x14ac:dyDescent="0.3">
      <c r="A17" s="159" t="s">
        <v>1637</v>
      </c>
      <c r="B17" s="9" t="s">
        <v>172</v>
      </c>
      <c r="C17" s="9"/>
      <c r="D17" s="9"/>
      <c r="E17" s="140"/>
      <c r="F17" s="141"/>
      <c r="G17" s="141"/>
      <c r="H17" s="142"/>
      <c r="I17" s="142"/>
      <c r="J17" s="171">
        <f>M17</f>
        <v>4099348.1525256773</v>
      </c>
      <c r="M17" s="143">
        <v>4099348.1525256773</v>
      </c>
      <c r="P17" s="143">
        <v>4099348</v>
      </c>
      <c r="Q17" s="155"/>
      <c r="S17" s="154">
        <f t="shared" si="0"/>
        <v>-0.15252567734569311</v>
      </c>
      <c r="T17" s="173" t="s">
        <v>1673</v>
      </c>
    </row>
    <row r="18" spans="1:20" ht="16.5" customHeight="1" x14ac:dyDescent="0.3">
      <c r="A18" s="54"/>
      <c r="B18" s="9" t="s">
        <v>168</v>
      </c>
      <c r="C18" s="9"/>
      <c r="D18" s="9"/>
      <c r="E18" s="140"/>
      <c r="F18" s="141"/>
      <c r="G18" s="141"/>
      <c r="H18" s="142"/>
      <c r="I18" s="142"/>
      <c r="J18" s="171">
        <f>P18</f>
        <v>108667</v>
      </c>
      <c r="M18" s="143">
        <v>108666.78232940807</v>
      </c>
      <c r="P18" s="152">
        <f>IF(SUM($Q$20:$Q$23)&gt;SUM($P$15:$P$17),SUM($Q$20:$Q$23)-SUM($P$15:$P$17),0)</f>
        <v>108667</v>
      </c>
      <c r="Q18" s="155"/>
      <c r="S18" s="154">
        <f t="shared" si="0"/>
        <v>0.21767059192643501</v>
      </c>
      <c r="T18" s="172" t="s">
        <v>1661</v>
      </c>
    </row>
    <row r="19" spans="1:20"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c r="T19" s="172" t="s">
        <v>1661</v>
      </c>
    </row>
    <row r="20" spans="1:20" ht="16.5" customHeight="1" x14ac:dyDescent="0.3">
      <c r="A20" s="54"/>
      <c r="B20" s="9"/>
      <c r="C20" s="9" t="s">
        <v>177</v>
      </c>
      <c r="D20" s="9"/>
      <c r="E20" s="140"/>
      <c r="F20" s="141"/>
      <c r="G20" s="141"/>
      <c r="H20" s="142"/>
      <c r="I20" s="142"/>
      <c r="J20" s="150"/>
      <c r="K20" s="171">
        <f>N20</f>
        <v>0</v>
      </c>
      <c r="N20" s="143">
        <v>0</v>
      </c>
      <c r="P20" s="155"/>
      <c r="Q20" s="143">
        <v>0</v>
      </c>
      <c r="S20" s="154">
        <f>Q20-N20</f>
        <v>0</v>
      </c>
      <c r="T20" s="172" t="s">
        <v>1661</v>
      </c>
    </row>
    <row r="21" spans="1:20" ht="16.5" customHeight="1" x14ac:dyDescent="0.3">
      <c r="A21" s="54"/>
      <c r="B21" s="9"/>
      <c r="C21" s="9" t="s">
        <v>174</v>
      </c>
      <c r="D21" s="9"/>
      <c r="E21" s="140"/>
      <c r="F21" s="141"/>
      <c r="G21" s="141"/>
      <c r="H21" s="142"/>
      <c r="I21" s="142"/>
      <c r="J21" s="150"/>
      <c r="K21" s="171">
        <f>N21</f>
        <v>0</v>
      </c>
      <c r="N21" s="143">
        <v>0</v>
      </c>
      <c r="P21" s="155"/>
      <c r="Q21" s="143">
        <v>0</v>
      </c>
      <c r="S21" s="154">
        <f>Q21-N21</f>
        <v>0</v>
      </c>
      <c r="T21" s="172" t="s">
        <v>1661</v>
      </c>
    </row>
    <row r="22" spans="1:20" ht="16.5" customHeight="1" x14ac:dyDescent="0.3">
      <c r="A22" s="54"/>
      <c r="B22" s="9"/>
      <c r="C22" s="9" t="s">
        <v>178</v>
      </c>
      <c r="D22" s="9"/>
      <c r="E22" s="140"/>
      <c r="F22" s="141"/>
      <c r="G22" s="141"/>
      <c r="H22" s="142"/>
      <c r="I22" s="142"/>
      <c r="J22" s="150"/>
      <c r="K22" s="171">
        <f>N22</f>
        <v>816378.23355224892</v>
      </c>
      <c r="N22" s="143">
        <v>816378.23355224892</v>
      </c>
      <c r="P22" s="155"/>
      <c r="Q22" s="143">
        <v>816378</v>
      </c>
      <c r="S22" s="154">
        <f t="shared" ref="S22:S25" si="1">Q22-N22</f>
        <v>-0.2335522489156574</v>
      </c>
      <c r="T22" s="172" t="s">
        <v>1661</v>
      </c>
    </row>
    <row r="23" spans="1:20" ht="16.5" customHeight="1" x14ac:dyDescent="0.3">
      <c r="A23" s="165" t="s">
        <v>1645</v>
      </c>
      <c r="B23" s="9"/>
      <c r="C23" s="9" t="s">
        <v>173</v>
      </c>
      <c r="D23" s="9"/>
      <c r="E23" s="140"/>
      <c r="F23" s="141"/>
      <c r="G23" s="141"/>
      <c r="H23" s="142"/>
      <c r="I23" s="142"/>
      <c r="J23" s="150"/>
      <c r="K23" s="171">
        <f>N23</f>
        <v>3391636.5676982366</v>
      </c>
      <c r="N23" s="143">
        <v>3391636.5676982366</v>
      </c>
      <c r="P23" s="155"/>
      <c r="Q23" s="143">
        <v>3391637</v>
      </c>
      <c r="S23" s="154">
        <f t="shared" si="1"/>
        <v>0.43230176344513893</v>
      </c>
      <c r="T23" s="172" t="s">
        <v>1661</v>
      </c>
    </row>
    <row r="24" spans="1:20" ht="16.5" customHeight="1" x14ac:dyDescent="0.3">
      <c r="A24" s="54"/>
      <c r="B24" s="9"/>
      <c r="C24" s="9" t="s">
        <v>175</v>
      </c>
      <c r="D24" s="9"/>
      <c r="E24" s="140"/>
      <c r="F24" s="141"/>
      <c r="G24" s="141"/>
      <c r="H24" s="142"/>
      <c r="I24" s="142"/>
      <c r="J24" s="150"/>
      <c r="K24" s="171">
        <f>Q24</f>
        <v>0</v>
      </c>
      <c r="N24" s="143"/>
      <c r="P24" s="155"/>
      <c r="Q24" s="152">
        <f>IF(SUM($Q$20:$Q$23)&lt;SUM($P$15:$P$17),-SUM($Q$20:$Q$23)+SUM($P$15:$P$17),0)</f>
        <v>0</v>
      </c>
      <c r="S24" s="154">
        <f t="shared" si="1"/>
        <v>0</v>
      </c>
      <c r="T24" s="172" t="s">
        <v>1661</v>
      </c>
    </row>
    <row r="25" spans="1:20" ht="16.5" customHeight="1" x14ac:dyDescent="0.3">
      <c r="A25" s="54"/>
      <c r="B25" s="9"/>
      <c r="C25" s="9" t="s">
        <v>176</v>
      </c>
      <c r="D25" s="9"/>
      <c r="E25" s="140"/>
      <c r="F25" s="141"/>
      <c r="G25" s="141"/>
      <c r="H25" s="142"/>
      <c r="I25" s="142"/>
      <c r="J25" s="150"/>
      <c r="K25" s="171">
        <f>IF(SUM($K$20:$K$24)&lt;SUM($J$15:$J$18),-SUM($K$20:$K$24)+SUM($J$15:$J$18),0)</f>
        <v>0.351275191642344</v>
      </c>
      <c r="N25" s="143"/>
      <c r="P25" s="155"/>
      <c r="Q25" s="155"/>
      <c r="S25" s="154">
        <f t="shared" si="1"/>
        <v>0</v>
      </c>
      <c r="T25" s="172" t="s">
        <v>1661</v>
      </c>
    </row>
    <row r="26" spans="1:20" ht="16.5" customHeight="1" x14ac:dyDescent="0.3">
      <c r="A26" s="54"/>
      <c r="C26" s="20"/>
      <c r="D26" s="20"/>
      <c r="E26" s="20"/>
      <c r="F26" s="127"/>
      <c r="G26" s="127"/>
      <c r="H26" s="22"/>
      <c r="I26" s="22"/>
      <c r="J26" s="107">
        <f>SUM(J15:J25)</f>
        <v>4208015.1525256773</v>
      </c>
      <c r="K26" s="107">
        <f>SUM(K15:K25)</f>
        <v>4208015.1525256773</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408189.05213821901</v>
      </c>
      <c r="K55" s="144"/>
    </row>
    <row r="56" spans="1:16" ht="16.5" customHeight="1" x14ac:dyDescent="0.3">
      <c r="A56" s="54"/>
      <c r="B56" s="25"/>
      <c r="C56" s="9" t="s">
        <v>177</v>
      </c>
      <c r="D56" s="140"/>
      <c r="E56" s="140"/>
      <c r="F56" s="141"/>
      <c r="G56" s="141"/>
      <c r="H56" s="142"/>
      <c r="I56" s="142"/>
      <c r="J56" s="145"/>
      <c r="K56" s="143">
        <v>0</v>
      </c>
    </row>
    <row r="57" spans="1:16" ht="16.5" customHeight="1" x14ac:dyDescent="0.3">
      <c r="A57" s="54"/>
      <c r="B57" s="25"/>
      <c r="C57" s="9" t="s">
        <v>174</v>
      </c>
      <c r="D57" s="140"/>
      <c r="E57" s="140"/>
      <c r="F57" s="141"/>
      <c r="G57" s="141"/>
      <c r="H57" s="142"/>
      <c r="I57" s="142"/>
      <c r="J57" s="145"/>
      <c r="K57" s="143">
        <v>0</v>
      </c>
    </row>
    <row r="58" spans="1:16" ht="16.5" customHeight="1" x14ac:dyDescent="0.3">
      <c r="A58" s="54"/>
      <c r="B58" s="9"/>
      <c r="C58" s="9" t="s">
        <v>178</v>
      </c>
      <c r="D58" s="140"/>
      <c r="E58" s="140"/>
      <c r="F58" s="141"/>
      <c r="G58" s="141"/>
      <c r="H58" s="142"/>
      <c r="I58" s="142"/>
      <c r="J58" s="144"/>
      <c r="K58" s="143">
        <v>408189.05213821901</v>
      </c>
    </row>
    <row r="59" spans="1:16" ht="16.5" customHeight="1" x14ac:dyDescent="0.3">
      <c r="A59" s="54"/>
      <c r="C59" s="16"/>
      <c r="D59" s="16"/>
      <c r="E59" s="16"/>
      <c r="F59" s="17"/>
      <c r="G59" s="17"/>
      <c r="H59" s="18"/>
      <c r="I59" s="18"/>
      <c r="J59" s="107">
        <f>SUM(J55:J58)</f>
        <v>408189.05213821901</v>
      </c>
      <c r="K59" s="107">
        <f>SUM(K55:K58)</f>
        <v>408189.05213821901</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372562.58675303654</v>
      </c>
      <c r="K62" s="147"/>
      <c r="L62" s="10" t="str">
        <f>IF($J$62=$K$69,"","&lt;- Accts 0848 must agree")</f>
        <v/>
      </c>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47652.482105964074</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420215.06885900063</v>
      </c>
    </row>
    <row r="65" spans="1:12" ht="16.5" customHeight="1" x14ac:dyDescent="0.3">
      <c r="A65" s="54"/>
      <c r="C65" s="16"/>
      <c r="D65" s="16"/>
      <c r="E65" s="16"/>
      <c r="F65" s="17"/>
      <c r="G65" s="17"/>
      <c r="H65" s="18"/>
      <c r="I65" s="18"/>
      <c r="J65" s="107">
        <f>SUM(J62:J64)</f>
        <v>420215.06885900063</v>
      </c>
      <c r="K65" s="107">
        <f>SUM(K62:K64)</f>
        <v>420215.06885900063</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372562.58675303654</v>
      </c>
      <c r="K68" s="144"/>
    </row>
    <row r="69" spans="1:12" ht="16.5" customHeight="1" x14ac:dyDescent="0.3">
      <c r="A69" s="54"/>
      <c r="B69" s="9"/>
      <c r="C69" s="9" t="s">
        <v>185</v>
      </c>
      <c r="D69" s="140"/>
      <c r="E69" s="140"/>
      <c r="F69" s="141"/>
      <c r="G69" s="141"/>
      <c r="H69" s="142"/>
      <c r="I69" s="142"/>
      <c r="J69" s="144"/>
      <c r="K69" s="143">
        <v>372562.58675303654</v>
      </c>
      <c r="L69" s="10" t="str">
        <f>IF($J$62=$K$69,"","&lt;- Accts 0848 must agree")</f>
        <v/>
      </c>
    </row>
    <row r="70" spans="1:12" ht="16.5" customHeight="1" x14ac:dyDescent="0.3">
      <c r="A70" s="54"/>
      <c r="C70" s="16"/>
      <c r="D70" s="16"/>
      <c r="E70" s="16"/>
      <c r="F70" s="17"/>
      <c r="G70" s="17"/>
      <c r="H70" s="18"/>
      <c r="I70" s="18"/>
      <c r="J70" s="107">
        <f>SUM(J68:J69)</f>
        <v>372562.58675303654</v>
      </c>
      <c r="K70" s="107">
        <f>SUM(K68:K69)</f>
        <v>372562.58675303654</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385659.71775127156</v>
      </c>
      <c r="K75" s="144"/>
    </row>
    <row r="76" spans="1:12" ht="16.5" customHeight="1" x14ac:dyDescent="0.3">
      <c r="A76" s="54"/>
      <c r="B76" s="9"/>
      <c r="C76" s="9" t="s">
        <v>193</v>
      </c>
      <c r="D76" s="140"/>
      <c r="E76" s="140"/>
      <c r="F76" s="141"/>
      <c r="G76" s="141"/>
      <c r="H76" s="142"/>
      <c r="I76" s="142"/>
      <c r="J76" s="144"/>
      <c r="K76" s="143">
        <v>385659.71775127156</v>
      </c>
    </row>
    <row r="77" spans="1:12" ht="16.5" customHeight="1" x14ac:dyDescent="0.25">
      <c r="A77" s="54"/>
      <c r="B77" s="178" t="s">
        <v>1662</v>
      </c>
      <c r="C77" s="178"/>
      <c r="D77" s="178"/>
      <c r="E77" s="178"/>
      <c r="F77" s="178"/>
      <c r="G77" s="178"/>
      <c r="H77" s="178"/>
      <c r="I77" s="178"/>
      <c r="J77" s="107">
        <f>SUM(J75:J76)</f>
        <v>385659.71775127156</v>
      </c>
      <c r="K77" s="107">
        <f>SUM(K75:K76)</f>
        <v>385659.71775127156</v>
      </c>
      <c r="L77" s="25"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row>
    <row r="91" spans="1:16" ht="16.5" customHeight="1" x14ac:dyDescent="0.3">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4099348.1525256773</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-1224567.2856904678</v>
      </c>
    </row>
    <row r="128" spans="1:12" ht="16.5" customHeight="1" x14ac:dyDescent="0.3">
      <c r="D128" s="140" t="s">
        <v>1656</v>
      </c>
      <c r="H128" s="10"/>
      <c r="K128" s="169">
        <f>-K23-K48+J68+J75+J96-K113</f>
        <v>-2633414.2631939286</v>
      </c>
    </row>
    <row r="129" spans="4:11" ht="16.5" customHeight="1" x14ac:dyDescent="0.3">
      <c r="D129" s="140" t="s">
        <v>1657</v>
      </c>
      <c r="H129" s="10"/>
      <c r="K129" s="169">
        <f>-K76</f>
        <v>-385659.71775127156</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101" priority="12">
      <formula>$J$62&lt;&gt;$K$69</formula>
    </cfRule>
  </conditionalFormatting>
  <conditionalFormatting sqref="L26:P26">
    <cfRule type="expression" dxfId="100" priority="1">
      <formula>$J$26&lt;&gt;$K$26</formula>
    </cfRule>
  </conditionalFormatting>
  <conditionalFormatting sqref="L36:P36">
    <cfRule type="expression" dxfId="99" priority="2">
      <formula>$J$36&lt;&gt;$K$36</formula>
    </cfRule>
  </conditionalFormatting>
  <conditionalFormatting sqref="L43:P43">
    <cfRule type="expression" dxfId="98" priority="3">
      <formula>$J$43&lt;&gt;$K$43</formula>
    </cfRule>
  </conditionalFormatting>
  <conditionalFormatting sqref="L49:P49">
    <cfRule type="expression" dxfId="97" priority="4">
      <formula>$J$49&lt;&gt;$K$49</formula>
    </cfRule>
  </conditionalFormatting>
  <conditionalFormatting sqref="L59:P59">
    <cfRule type="expression" dxfId="96" priority="5">
      <formula>$J$59&lt;&gt;$K$59</formula>
    </cfRule>
  </conditionalFormatting>
  <conditionalFormatting sqref="L65:P65">
    <cfRule type="expression" dxfId="95" priority="6">
      <formula>$J$65&lt;&gt;$K$65</formula>
    </cfRule>
  </conditionalFormatting>
  <conditionalFormatting sqref="L70:P70">
    <cfRule type="expression" dxfId="94" priority="7">
      <formula>$J$70&lt;&gt;$K$70</formula>
    </cfRule>
  </conditionalFormatting>
  <conditionalFormatting sqref="L77:P77">
    <cfRule type="expression" dxfId="93" priority="8">
      <formula>$J$77&lt;&gt;$K$77</formula>
    </cfRule>
  </conditionalFormatting>
  <conditionalFormatting sqref="L91:P91">
    <cfRule type="expression" dxfId="92" priority="9">
      <formula>$J$91&lt;&gt;$K$91</formula>
    </cfRule>
  </conditionalFormatting>
  <conditionalFormatting sqref="L105:P105">
    <cfRule type="expression" dxfId="91" priority="10">
      <formula>$J$105&lt;&gt;$K$105</formula>
    </cfRule>
  </conditionalFormatting>
  <conditionalFormatting sqref="L114:P114">
    <cfRule type="expression" dxfId="90" priority="11">
      <formula>$J$114&lt;&gt;$K$114</formula>
    </cfRule>
  </conditionalFormatting>
  <dataValidations count="3">
    <dataValidation type="textLength" operator="equal" allowBlank="1" showInputMessage="1" showErrorMessage="1" errorTitle="4-Digit Org Code" error="Enter the Org Code/BU as 4 digits." sqref="F5" xr:uid="{DA7AEEAF-4847-4BA9-8213-24901AC7A4AA}">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A2D0BCB9-0D91-48A2-8341-559F2974C386}">
      <formula1>0</formula1>
    </dataValidation>
    <dataValidation operator="lessThan" allowBlank="1" showInputMessage="1" showErrorMessage="1" sqref="A3:A8" xr:uid="{D9E329B7-B5BF-49AA-B49A-FF017834B9CC}"/>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8D2B3D9E-C514-4E46-96E5-FFBE3D89A411}">
          <x14:formula1>
            <xm:f>'Drop Down Menus'!$E$1:$E$3</xm:f>
          </x14:formula1>
          <xm:sqref>F8</xm:sqref>
        </x14:dataValidation>
        <x14:dataValidation type="list" allowBlank="1" showInputMessage="1" showErrorMessage="1" xr:uid="{4DF2514C-A8A2-4089-A92F-B51BCDF6C368}">
          <x14:formula1>
            <xm:f>'Drop Down Menus'!$B$1:$B$2</xm:f>
          </x14:formula1>
          <xm:sqref>F7</xm:sqref>
        </x14:dataValidation>
        <x14:dataValidation type="list" allowBlank="1" showInputMessage="1" showErrorMessage="1" xr:uid="{DAD1DF49-5E61-4BCA-99F6-99E83830016A}">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4E635-B784-49E8-87CA-FA5F37D631B4}">
  <sheetPr codeName="Sheet11">
    <tabColor theme="9" tint="0.59999389629810485"/>
    <pageSetUpPr fitToPage="1"/>
  </sheetPr>
  <dimension ref="A1:T193"/>
  <sheetViews>
    <sheetView zoomScale="70" zoomScaleNormal="70" workbookViewId="0">
      <selection activeCell="P6" sqref="P6"/>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79" t="s">
        <v>1629</v>
      </c>
      <c r="B1" s="179"/>
      <c r="C1" s="179"/>
      <c r="D1" s="179"/>
      <c r="E1" s="179"/>
      <c r="F1" s="179"/>
      <c r="G1" s="179"/>
      <c r="H1" s="179"/>
      <c r="I1" s="179"/>
      <c r="J1" s="179"/>
      <c r="K1" s="179"/>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75" t="s">
        <v>10</v>
      </c>
      <c r="B3" s="175"/>
      <c r="C3" s="175"/>
      <c r="D3" s="175"/>
      <c r="E3" s="175"/>
      <c r="F3" s="180" t="s">
        <v>21</v>
      </c>
      <c r="G3" s="180"/>
      <c r="H3" s="180"/>
      <c r="I3" s="180"/>
    </row>
    <row r="4" spans="1:20" ht="16.5" customHeight="1" x14ac:dyDescent="0.25">
      <c r="A4" s="175" t="s">
        <v>191</v>
      </c>
      <c r="B4" s="175"/>
      <c r="C4" s="175"/>
      <c r="D4" s="175"/>
      <c r="E4" s="175"/>
      <c r="F4" s="181" t="s">
        <v>1676</v>
      </c>
      <c r="G4" s="181"/>
      <c r="H4" s="181"/>
      <c r="I4" s="181"/>
    </row>
    <row r="5" spans="1:20" ht="16.5" customHeight="1" x14ac:dyDescent="0.25">
      <c r="A5" s="175" t="s">
        <v>1615</v>
      </c>
      <c r="B5" s="175"/>
      <c r="C5" s="175"/>
      <c r="D5" s="175"/>
      <c r="E5" s="175"/>
      <c r="F5" s="181" t="s">
        <v>316</v>
      </c>
      <c r="G5" s="181"/>
      <c r="H5" s="181"/>
      <c r="I5" s="181"/>
      <c r="L5" s="12"/>
      <c r="M5" s="12"/>
      <c r="N5" s="12"/>
      <c r="O5" s="12"/>
      <c r="P5" s="12"/>
      <c r="Q5" s="12"/>
    </row>
    <row r="6" spans="1:20" ht="16.5" customHeight="1" x14ac:dyDescent="0.3">
      <c r="A6" s="175" t="s">
        <v>1634</v>
      </c>
      <c r="B6" s="175"/>
      <c r="C6" s="175"/>
      <c r="D6" s="175"/>
      <c r="E6" s="175"/>
      <c r="F6" s="182">
        <v>142</v>
      </c>
      <c r="G6" s="182"/>
      <c r="H6" s="182"/>
      <c r="I6" s="182"/>
      <c r="L6" s="13"/>
      <c r="M6" s="13"/>
      <c r="N6" s="13"/>
      <c r="O6" s="13"/>
      <c r="P6" s="12"/>
      <c r="Q6" s="12"/>
    </row>
    <row r="7" spans="1:20" ht="16.5" customHeight="1" x14ac:dyDescent="0.3">
      <c r="A7" s="175" t="s">
        <v>1</v>
      </c>
      <c r="B7" s="175"/>
      <c r="C7" s="175"/>
      <c r="D7" s="175"/>
      <c r="E7" s="175"/>
      <c r="F7" s="182" t="s">
        <v>120</v>
      </c>
      <c r="G7" s="182"/>
      <c r="H7" s="182"/>
      <c r="I7" s="182"/>
      <c r="K7" s="53"/>
      <c r="L7" s="13"/>
      <c r="M7" s="13"/>
      <c r="N7" s="13"/>
      <c r="O7" s="13"/>
      <c r="P7" s="12"/>
      <c r="Q7" s="12"/>
    </row>
    <row r="8" spans="1:20" ht="16.5" customHeight="1" x14ac:dyDescent="0.3">
      <c r="A8" s="175" t="s">
        <v>1616</v>
      </c>
      <c r="B8" s="175"/>
      <c r="C8" s="175"/>
      <c r="D8" s="175"/>
      <c r="E8" s="175"/>
      <c r="F8" s="182" t="s">
        <v>154</v>
      </c>
      <c r="G8" s="182"/>
      <c r="H8" s="182"/>
      <c r="I8" s="182"/>
      <c r="K8" s="53"/>
      <c r="L8" s="13"/>
      <c r="M8" s="13"/>
      <c r="N8" s="13"/>
      <c r="O8" s="13"/>
      <c r="P8" s="12"/>
      <c r="Q8" s="12"/>
    </row>
    <row r="9" spans="1:20" ht="16.5" customHeight="1" x14ac:dyDescent="0.3">
      <c r="A9" s="175" t="s">
        <v>1614</v>
      </c>
      <c r="B9" s="175"/>
      <c r="C9" s="175"/>
      <c r="D9" s="175"/>
      <c r="E9" s="175"/>
      <c r="F9" s="183" t="str">
        <f>IFERROR(IF(F7="Proprietary","Proprietary Fund",VLOOKUP(F5,qryIndex02a!$A$2:$K$654,4,FALSE)),"Unidentified")</f>
        <v>GENERAL GOVERNMENT</v>
      </c>
      <c r="G9" s="183"/>
      <c r="H9" s="183"/>
      <c r="I9" s="18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3">
      <c r="A15" s="159" t="s">
        <v>1637</v>
      </c>
      <c r="B15" s="9" t="s">
        <v>170</v>
      </c>
      <c r="C15" s="9"/>
      <c r="D15" s="9"/>
      <c r="E15" s="140"/>
      <c r="F15" s="141"/>
      <c r="G15" s="141"/>
      <c r="H15" s="142"/>
      <c r="I15" s="142"/>
      <c r="J15" s="171">
        <f>M15</f>
        <v>0</v>
      </c>
      <c r="M15" s="143">
        <v>0</v>
      </c>
      <c r="P15" s="143">
        <v>0</v>
      </c>
      <c r="Q15" s="155"/>
      <c r="S15" s="154">
        <f t="shared" ref="S15:S19" si="0">P15-M15</f>
        <v>0</v>
      </c>
      <c r="T15" s="173" t="s">
        <v>1673</v>
      </c>
    </row>
    <row r="16" spans="1:20" ht="16.5" customHeight="1" x14ac:dyDescent="0.3">
      <c r="A16" s="159" t="s">
        <v>1637</v>
      </c>
      <c r="B16" s="9" t="s">
        <v>171</v>
      </c>
      <c r="C16" s="9"/>
      <c r="D16" s="9"/>
      <c r="E16" s="140"/>
      <c r="F16" s="141"/>
      <c r="G16" s="141"/>
      <c r="H16" s="142"/>
      <c r="I16" s="142"/>
      <c r="J16" s="171">
        <f>M16</f>
        <v>0</v>
      </c>
      <c r="M16" s="143">
        <v>0</v>
      </c>
      <c r="P16" s="143">
        <v>0</v>
      </c>
      <c r="Q16" s="155"/>
      <c r="S16" s="154">
        <f t="shared" si="0"/>
        <v>0</v>
      </c>
      <c r="T16" s="173" t="s">
        <v>1673</v>
      </c>
    </row>
    <row r="17" spans="1:20" ht="16.5" customHeight="1" x14ac:dyDescent="0.3">
      <c r="A17" s="159" t="s">
        <v>1637</v>
      </c>
      <c r="B17" s="9" t="s">
        <v>172</v>
      </c>
      <c r="C17" s="9"/>
      <c r="D17" s="9"/>
      <c r="E17" s="140"/>
      <c r="F17" s="141"/>
      <c r="G17" s="141"/>
      <c r="H17" s="142"/>
      <c r="I17" s="142"/>
      <c r="J17" s="171">
        <f>M17</f>
        <v>409242.61382895673</v>
      </c>
      <c r="M17" s="143">
        <v>409242.61382895673</v>
      </c>
      <c r="P17" s="143">
        <v>409243</v>
      </c>
      <c r="Q17" s="155"/>
      <c r="S17" s="154">
        <f t="shared" si="0"/>
        <v>0.3861710432684049</v>
      </c>
      <c r="T17" s="173" t="s">
        <v>1673</v>
      </c>
    </row>
    <row r="18" spans="1:20" ht="16.5" customHeight="1" x14ac:dyDescent="0.3">
      <c r="A18" s="54"/>
      <c r="B18" s="9" t="s">
        <v>168</v>
      </c>
      <c r="C18" s="9"/>
      <c r="D18" s="9"/>
      <c r="E18" s="140"/>
      <c r="F18" s="141"/>
      <c r="G18" s="141"/>
      <c r="H18" s="142"/>
      <c r="I18" s="142"/>
      <c r="J18" s="171">
        <f>P18</f>
        <v>10848</v>
      </c>
      <c r="M18" s="143">
        <v>10848.329144590918</v>
      </c>
      <c r="P18" s="152">
        <f>IF(SUM($Q$20:$Q$23)&gt;SUM($P$15:$P$17),SUM($Q$20:$Q$23)-SUM($P$15:$P$17),0)</f>
        <v>10848</v>
      </c>
      <c r="Q18" s="155"/>
      <c r="S18" s="154">
        <f t="shared" si="0"/>
        <v>-0.32914459091807657</v>
      </c>
      <c r="T18" s="172" t="s">
        <v>1661</v>
      </c>
    </row>
    <row r="19" spans="1:20" ht="16.5" customHeight="1" x14ac:dyDescent="0.3">
      <c r="A19" s="54"/>
      <c r="B19" s="9" t="s">
        <v>169</v>
      </c>
      <c r="C19" s="9"/>
      <c r="D19" s="9"/>
      <c r="E19" s="140"/>
      <c r="F19" s="141"/>
      <c r="G19" s="141"/>
      <c r="H19" s="142"/>
      <c r="I19" s="142"/>
      <c r="J19" s="171">
        <f>IF(SUM($K$20:$K$24)&gt;SUM($J$15:$J$18),SUM($K$20:$K$24)-SUM($J$15:$J$18),0)</f>
        <v>0.31580669095274061</v>
      </c>
      <c r="M19" s="143"/>
      <c r="P19" s="155"/>
      <c r="Q19" s="155"/>
      <c r="S19" s="154">
        <f t="shared" si="0"/>
        <v>0</v>
      </c>
      <c r="T19" s="172" t="s">
        <v>1661</v>
      </c>
    </row>
    <row r="20" spans="1:20" ht="16.5" customHeight="1" x14ac:dyDescent="0.3">
      <c r="A20" s="54"/>
      <c r="B20" s="9"/>
      <c r="C20" s="9" t="s">
        <v>177</v>
      </c>
      <c r="D20" s="9"/>
      <c r="E20" s="140"/>
      <c r="F20" s="141"/>
      <c r="G20" s="141"/>
      <c r="H20" s="142"/>
      <c r="I20" s="142"/>
      <c r="J20" s="150"/>
      <c r="K20" s="171">
        <f>N20</f>
        <v>0</v>
      </c>
      <c r="N20" s="143">
        <v>0</v>
      </c>
      <c r="P20" s="155"/>
      <c r="Q20" s="143">
        <v>0</v>
      </c>
      <c r="S20" s="154">
        <f>Q20-N20</f>
        <v>0</v>
      </c>
      <c r="T20" s="172" t="s">
        <v>1661</v>
      </c>
    </row>
    <row r="21" spans="1:20" ht="16.5" customHeight="1" x14ac:dyDescent="0.3">
      <c r="A21" s="54"/>
      <c r="B21" s="9"/>
      <c r="C21" s="9" t="s">
        <v>174</v>
      </c>
      <c r="D21" s="9"/>
      <c r="E21" s="140"/>
      <c r="F21" s="141"/>
      <c r="G21" s="141"/>
      <c r="H21" s="142"/>
      <c r="I21" s="142"/>
      <c r="J21" s="150"/>
      <c r="K21" s="171">
        <f>N21</f>
        <v>0</v>
      </c>
      <c r="N21" s="143">
        <v>0</v>
      </c>
      <c r="P21" s="155"/>
      <c r="Q21" s="143">
        <v>0</v>
      </c>
      <c r="S21" s="154">
        <f>Q21-N21</f>
        <v>0</v>
      </c>
      <c r="T21" s="172" t="s">
        <v>1661</v>
      </c>
    </row>
    <row r="22" spans="1:20" ht="16.5" customHeight="1" x14ac:dyDescent="0.3">
      <c r="A22" s="54"/>
      <c r="B22" s="9"/>
      <c r="C22" s="9" t="s">
        <v>178</v>
      </c>
      <c r="D22" s="9"/>
      <c r="E22" s="140"/>
      <c r="F22" s="141"/>
      <c r="G22" s="141"/>
      <c r="H22" s="142"/>
      <c r="I22" s="142"/>
      <c r="J22" s="150"/>
      <c r="K22" s="171">
        <f>N22</f>
        <v>81499.97261543796</v>
      </c>
      <c r="N22" s="143">
        <v>81499.97261543796</v>
      </c>
      <c r="P22" s="155"/>
      <c r="Q22" s="143">
        <v>81500</v>
      </c>
      <c r="S22" s="154">
        <f t="shared" ref="S22:S25" si="1">Q22-N22</f>
        <v>2.7384562039515004E-2</v>
      </c>
      <c r="T22" s="172" t="s">
        <v>1661</v>
      </c>
    </row>
    <row r="23" spans="1:20" ht="16.5" customHeight="1" x14ac:dyDescent="0.3">
      <c r="A23" s="165" t="s">
        <v>1645</v>
      </c>
      <c r="B23" s="9"/>
      <c r="C23" s="9" t="s">
        <v>173</v>
      </c>
      <c r="D23" s="9"/>
      <c r="E23" s="140"/>
      <c r="F23" s="141"/>
      <c r="G23" s="141"/>
      <c r="H23" s="142"/>
      <c r="I23" s="142"/>
      <c r="J23" s="150"/>
      <c r="K23" s="171">
        <f>N23</f>
        <v>338590.95702020975</v>
      </c>
      <c r="N23" s="143">
        <v>338590.95702020975</v>
      </c>
      <c r="P23" s="155"/>
      <c r="Q23" s="143">
        <v>338591</v>
      </c>
      <c r="S23" s="154">
        <f t="shared" si="1"/>
        <v>4.2979790247045457E-2</v>
      </c>
      <c r="T23" s="172" t="s">
        <v>1661</v>
      </c>
    </row>
    <row r="24" spans="1:20" ht="16.5" customHeight="1" x14ac:dyDescent="0.3">
      <c r="A24" s="54"/>
      <c r="B24" s="9"/>
      <c r="C24" s="9" t="s">
        <v>175</v>
      </c>
      <c r="D24" s="9"/>
      <c r="E24" s="140"/>
      <c r="F24" s="141"/>
      <c r="G24" s="141"/>
      <c r="H24" s="142"/>
      <c r="I24" s="142"/>
      <c r="J24" s="150"/>
      <c r="K24" s="171">
        <f>Q24</f>
        <v>0</v>
      </c>
      <c r="N24" s="143"/>
      <c r="P24" s="155"/>
      <c r="Q24" s="152">
        <f>IF(SUM($Q$20:$Q$23)&lt;SUM($P$15:$P$17),-SUM($Q$20:$Q$23)+SUM($P$15:$P$17),0)</f>
        <v>0</v>
      </c>
      <c r="S24" s="154">
        <f t="shared" si="1"/>
        <v>0</v>
      </c>
      <c r="T24" s="172" t="s">
        <v>1661</v>
      </c>
    </row>
    <row r="25" spans="1:20" ht="16.5" customHeight="1" x14ac:dyDescent="0.3">
      <c r="A25" s="54"/>
      <c r="B25" s="9"/>
      <c r="C25" s="9" t="s">
        <v>176</v>
      </c>
      <c r="D25" s="9"/>
      <c r="E25" s="140"/>
      <c r="F25" s="141"/>
      <c r="G25" s="141"/>
      <c r="H25" s="142"/>
      <c r="I25" s="142"/>
      <c r="J25" s="150"/>
      <c r="K25" s="171">
        <f>IF(SUM($K$20:$K$24)&lt;SUM($J$15:$J$18),-SUM($K$20:$K$24)+SUM($J$15:$J$18),0)</f>
        <v>0</v>
      </c>
      <c r="N25" s="143"/>
      <c r="P25" s="155"/>
      <c r="Q25" s="155"/>
      <c r="S25" s="154">
        <f t="shared" si="1"/>
        <v>0</v>
      </c>
      <c r="T25" s="172" t="s">
        <v>1661</v>
      </c>
    </row>
    <row r="26" spans="1:20" ht="16.5" customHeight="1" x14ac:dyDescent="0.3">
      <c r="A26" s="54"/>
      <c r="C26" s="20"/>
      <c r="D26" s="20"/>
      <c r="E26" s="20"/>
      <c r="F26" s="127"/>
      <c r="G26" s="127"/>
      <c r="H26" s="22"/>
      <c r="I26" s="22"/>
      <c r="J26" s="107">
        <f>SUM(J15:J25)</f>
        <v>420090.92963564768</v>
      </c>
      <c r="K26" s="107">
        <f>SUM(K15:K25)</f>
        <v>420090.92963564768</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40749.979854842961</v>
      </c>
      <c r="K55" s="144"/>
    </row>
    <row r="56" spans="1:16" ht="16.5" customHeight="1" x14ac:dyDescent="0.3">
      <c r="A56" s="54"/>
      <c r="B56" s="25"/>
      <c r="C56" s="9" t="s">
        <v>177</v>
      </c>
      <c r="D56" s="140"/>
      <c r="E56" s="140"/>
      <c r="F56" s="141"/>
      <c r="G56" s="141"/>
      <c r="H56" s="142"/>
      <c r="I56" s="142"/>
      <c r="J56" s="145"/>
      <c r="K56" s="143">
        <v>0</v>
      </c>
    </row>
    <row r="57" spans="1:16" ht="16.5" customHeight="1" x14ac:dyDescent="0.3">
      <c r="A57" s="54"/>
      <c r="B57" s="25"/>
      <c r="C57" s="9" t="s">
        <v>174</v>
      </c>
      <c r="D57" s="140"/>
      <c r="E57" s="140"/>
      <c r="F57" s="141"/>
      <c r="G57" s="141"/>
      <c r="H57" s="142"/>
      <c r="I57" s="142"/>
      <c r="J57" s="145"/>
      <c r="K57" s="143">
        <v>0</v>
      </c>
    </row>
    <row r="58" spans="1:16" ht="16.5" customHeight="1" x14ac:dyDescent="0.3">
      <c r="A58" s="54"/>
      <c r="B58" s="9"/>
      <c r="C58" s="9" t="s">
        <v>178</v>
      </c>
      <c r="D58" s="140"/>
      <c r="E58" s="140"/>
      <c r="F58" s="141"/>
      <c r="G58" s="141"/>
      <c r="H58" s="142"/>
      <c r="I58" s="142"/>
      <c r="J58" s="144"/>
      <c r="K58" s="143">
        <v>40749.979854842961</v>
      </c>
    </row>
    <row r="59" spans="1:16" ht="16.5" customHeight="1" x14ac:dyDescent="0.3">
      <c r="A59" s="54"/>
      <c r="C59" s="16"/>
      <c r="D59" s="16"/>
      <c r="E59" s="16"/>
      <c r="F59" s="17"/>
      <c r="G59" s="17"/>
      <c r="H59" s="18"/>
      <c r="I59" s="18"/>
      <c r="J59" s="107">
        <f>SUM(J55:J58)</f>
        <v>40749.979854842961</v>
      </c>
      <c r="K59" s="107">
        <f>SUM(K55:K58)</f>
        <v>40749.979854842961</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37193.349075206439</v>
      </c>
      <c r="K62" s="147"/>
      <c r="L62" s="10" t="str">
        <f>IF($J$62=$K$69,"","&lt;- Accts 0848 must agree")</f>
        <v/>
      </c>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4757.2017810849202</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41950.550856291353</v>
      </c>
    </row>
    <row r="65" spans="1:12" ht="16.5" customHeight="1" x14ac:dyDescent="0.3">
      <c r="A65" s="54"/>
      <c r="C65" s="16"/>
      <c r="D65" s="16"/>
      <c r="E65" s="16"/>
      <c r="F65" s="17"/>
      <c r="G65" s="17"/>
      <c r="H65" s="18"/>
      <c r="I65" s="18"/>
      <c r="J65" s="107">
        <f>SUM(J62:J64)</f>
        <v>41950.55085629136</v>
      </c>
      <c r="K65" s="107">
        <f>SUM(K62:K64)</f>
        <v>41950.550856291353</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37193.349075206439</v>
      </c>
      <c r="K68" s="144"/>
    </row>
    <row r="69" spans="1:12" ht="16.5" customHeight="1" x14ac:dyDescent="0.3">
      <c r="A69" s="54"/>
      <c r="B69" s="9"/>
      <c r="C69" s="9" t="s">
        <v>185</v>
      </c>
      <c r="D69" s="140"/>
      <c r="E69" s="140"/>
      <c r="F69" s="141"/>
      <c r="G69" s="141"/>
      <c r="H69" s="142"/>
      <c r="I69" s="142"/>
      <c r="J69" s="144"/>
      <c r="K69" s="143">
        <v>37193.349075206439</v>
      </c>
      <c r="L69" s="10" t="str">
        <f>IF($J$62=$K$69,"","&lt;- Accts 0848 must agree")</f>
        <v/>
      </c>
    </row>
    <row r="70" spans="1:12" ht="16.5" customHeight="1" x14ac:dyDescent="0.3">
      <c r="A70" s="54"/>
      <c r="C70" s="16"/>
      <c r="D70" s="16"/>
      <c r="E70" s="16"/>
      <c r="F70" s="17"/>
      <c r="G70" s="17"/>
      <c r="H70" s="18"/>
      <c r="I70" s="18"/>
      <c r="J70" s="107">
        <f>SUM(J68:J69)</f>
        <v>37193.349075206439</v>
      </c>
      <c r="K70" s="107">
        <f>SUM(K68:K69)</f>
        <v>37193.349075206439</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38500.850639833399</v>
      </c>
      <c r="K75" s="144"/>
    </row>
    <row r="76" spans="1:12" ht="16.5" customHeight="1" x14ac:dyDescent="0.3">
      <c r="A76" s="54"/>
      <c r="B76" s="9"/>
      <c r="C76" s="9" t="s">
        <v>193</v>
      </c>
      <c r="D76" s="140"/>
      <c r="E76" s="140"/>
      <c r="F76" s="141"/>
      <c r="G76" s="141"/>
      <c r="H76" s="142"/>
      <c r="I76" s="142"/>
      <c r="J76" s="144"/>
      <c r="K76" s="143">
        <v>38500.850639833399</v>
      </c>
    </row>
    <row r="77" spans="1:12" ht="16.5" customHeight="1" x14ac:dyDescent="0.25">
      <c r="A77" s="54"/>
      <c r="B77" s="178" t="s">
        <v>1662</v>
      </c>
      <c r="C77" s="178"/>
      <c r="D77" s="178"/>
      <c r="E77" s="178"/>
      <c r="F77" s="178"/>
      <c r="G77" s="178"/>
      <c r="H77" s="178"/>
      <c r="I77" s="178"/>
      <c r="J77" s="107">
        <f>SUM(J75:J76)</f>
        <v>38500.850639833399</v>
      </c>
      <c r="K77" s="107">
        <f>SUM(K75:K76)</f>
        <v>38500.850639833399</v>
      </c>
      <c r="L77" s="25"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row>
    <row r="91" spans="1:16" ht="16.5" customHeight="1" x14ac:dyDescent="0.3">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409242.61382895673</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-122249.95247028093</v>
      </c>
    </row>
    <row r="128" spans="1:12" ht="16.5" customHeight="1" x14ac:dyDescent="0.3">
      <c r="D128" s="140" t="s">
        <v>1656</v>
      </c>
      <c r="H128" s="10"/>
      <c r="K128" s="169">
        <f>-K23-K48+J68+J75+J96-K113</f>
        <v>-262896.75730516994</v>
      </c>
    </row>
    <row r="129" spans="4:11" ht="16.5" customHeight="1" x14ac:dyDescent="0.3">
      <c r="D129" s="140" t="s">
        <v>1657</v>
      </c>
      <c r="H129" s="10"/>
      <c r="K129" s="169">
        <f>-K76</f>
        <v>-38500.850639833399</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89" priority="12">
      <formula>$J$62&lt;&gt;$K$69</formula>
    </cfRule>
  </conditionalFormatting>
  <conditionalFormatting sqref="L26:P26">
    <cfRule type="expression" dxfId="88" priority="1">
      <formula>$J$26&lt;&gt;$K$26</formula>
    </cfRule>
  </conditionalFormatting>
  <conditionalFormatting sqref="L36:P36">
    <cfRule type="expression" dxfId="87" priority="2">
      <formula>$J$36&lt;&gt;$K$36</formula>
    </cfRule>
  </conditionalFormatting>
  <conditionalFormatting sqref="L43:P43">
    <cfRule type="expression" dxfId="86" priority="3">
      <formula>$J$43&lt;&gt;$K$43</formula>
    </cfRule>
  </conditionalFormatting>
  <conditionalFormatting sqref="L49:P49">
    <cfRule type="expression" dxfId="85" priority="4">
      <formula>$J$49&lt;&gt;$K$49</formula>
    </cfRule>
  </conditionalFormatting>
  <conditionalFormatting sqref="L59:P59">
    <cfRule type="expression" dxfId="84" priority="5">
      <formula>$J$59&lt;&gt;$K$59</formula>
    </cfRule>
  </conditionalFormatting>
  <conditionalFormatting sqref="L65:P65">
    <cfRule type="expression" dxfId="83" priority="6">
      <formula>$J$65&lt;&gt;$K$65</formula>
    </cfRule>
  </conditionalFormatting>
  <conditionalFormatting sqref="L70:P70">
    <cfRule type="expression" dxfId="82" priority="7">
      <formula>$J$70&lt;&gt;$K$70</formula>
    </cfRule>
  </conditionalFormatting>
  <conditionalFormatting sqref="L77:P77">
    <cfRule type="expression" dxfId="81" priority="8">
      <formula>$J$77&lt;&gt;$K$77</formula>
    </cfRule>
  </conditionalFormatting>
  <conditionalFormatting sqref="L91:P91">
    <cfRule type="expression" dxfId="80" priority="9">
      <formula>$J$91&lt;&gt;$K$91</formula>
    </cfRule>
  </conditionalFormatting>
  <conditionalFormatting sqref="L105:P105">
    <cfRule type="expression" dxfId="79" priority="10">
      <formula>$J$105&lt;&gt;$K$105</formula>
    </cfRule>
  </conditionalFormatting>
  <conditionalFormatting sqref="L114:P114">
    <cfRule type="expression" dxfId="78" priority="11">
      <formula>$J$114&lt;&gt;$K$114</formula>
    </cfRule>
  </conditionalFormatting>
  <dataValidations count="3">
    <dataValidation type="textLength" operator="equal" allowBlank="1" showInputMessage="1" showErrorMessage="1" errorTitle="4-Digit Org Code" error="Enter the Org Code/BU as 4 digits." sqref="F5" xr:uid="{78C97343-EC6F-45DC-A2F2-6B56F647FF5F}">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3C22B8E-2305-41D1-8986-A30AB03FC31F}">
      <formula1>0</formula1>
    </dataValidation>
    <dataValidation operator="lessThan" allowBlank="1" showInputMessage="1" showErrorMessage="1" sqref="A3:A8" xr:uid="{A4BDF058-D20C-450E-B3AD-25F93E244C4B}"/>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B4E22A0-7DD0-459F-98EF-F4781DAB2D68}">
          <x14:formula1>
            <xm:f>'Drop Down Menus'!$E$1:$E$3</xm:f>
          </x14:formula1>
          <xm:sqref>F8</xm:sqref>
        </x14:dataValidation>
        <x14:dataValidation type="list" allowBlank="1" showInputMessage="1" showErrorMessage="1" xr:uid="{91EDC1A8-A241-4AF4-A9B5-DFBDC46907C9}">
          <x14:formula1>
            <xm:f>'Drop Down Menus'!$B$1:$B$2</xm:f>
          </x14:formula1>
          <xm:sqref>F7</xm:sqref>
        </x14:dataValidation>
        <x14:dataValidation type="list" allowBlank="1" showInputMessage="1" showErrorMessage="1" xr:uid="{BB2C390F-5A10-4297-A265-42BEB15E492C}">
          <x14:formula1>
            <xm:f>'Drop Down Menus'!$A$1:$A$101</xm:f>
          </x14:formula1>
          <xm:sqref>F3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B1302-FF22-40D6-B0D0-3DC97F1B93D8}">
  <sheetPr codeName="Sheet12">
    <tabColor theme="9" tint="0.59999389629810485"/>
    <pageSetUpPr fitToPage="1"/>
  </sheetPr>
  <dimension ref="A1:T193"/>
  <sheetViews>
    <sheetView zoomScale="70" zoomScaleNormal="70" workbookViewId="0">
      <selection activeCell="N3" sqref="N3"/>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79" t="s">
        <v>1629</v>
      </c>
      <c r="B1" s="179"/>
      <c r="C1" s="179"/>
      <c r="D1" s="179"/>
      <c r="E1" s="179"/>
      <c r="F1" s="179"/>
      <c r="G1" s="179"/>
      <c r="H1" s="179"/>
      <c r="I1" s="179"/>
      <c r="J1" s="179"/>
      <c r="K1" s="179"/>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75" t="s">
        <v>10</v>
      </c>
      <c r="B3" s="175"/>
      <c r="C3" s="175"/>
      <c r="D3" s="175"/>
      <c r="E3" s="175"/>
      <c r="F3" s="180" t="s">
        <v>21</v>
      </c>
      <c r="G3" s="180"/>
      <c r="H3" s="180"/>
      <c r="I3" s="180"/>
    </row>
    <row r="4" spans="1:20" ht="16.5" customHeight="1" x14ac:dyDescent="0.25">
      <c r="A4" s="175" t="s">
        <v>191</v>
      </c>
      <c r="B4" s="175"/>
      <c r="C4" s="175"/>
      <c r="D4" s="175"/>
      <c r="E4" s="175"/>
      <c r="F4" s="181" t="s">
        <v>1676</v>
      </c>
      <c r="G4" s="181"/>
      <c r="H4" s="181"/>
      <c r="I4" s="181"/>
    </row>
    <row r="5" spans="1:20" ht="16.5" customHeight="1" x14ac:dyDescent="0.25">
      <c r="A5" s="175" t="s">
        <v>1615</v>
      </c>
      <c r="B5" s="175"/>
      <c r="C5" s="175"/>
      <c r="D5" s="175"/>
      <c r="E5" s="175"/>
      <c r="F5" s="181" t="s">
        <v>316</v>
      </c>
      <c r="G5" s="181"/>
      <c r="H5" s="181"/>
      <c r="I5" s="181"/>
      <c r="L5" s="12"/>
      <c r="M5" s="12"/>
      <c r="N5" s="12"/>
      <c r="O5" s="12"/>
      <c r="P5" s="12"/>
      <c r="Q5" s="12"/>
    </row>
    <row r="6" spans="1:20" ht="16.5" customHeight="1" x14ac:dyDescent="0.3">
      <c r="A6" s="175" t="s">
        <v>1634</v>
      </c>
      <c r="B6" s="175"/>
      <c r="C6" s="175"/>
      <c r="D6" s="175"/>
      <c r="E6" s="175"/>
      <c r="F6" s="182">
        <v>256</v>
      </c>
      <c r="G6" s="182"/>
      <c r="H6" s="182"/>
      <c r="I6" s="182"/>
      <c r="L6" s="13"/>
      <c r="M6" s="13"/>
      <c r="N6" s="13"/>
      <c r="O6" s="13"/>
      <c r="P6" s="12"/>
      <c r="Q6" s="12"/>
    </row>
    <row r="7" spans="1:20" ht="16.5" customHeight="1" x14ac:dyDescent="0.3">
      <c r="A7" s="175" t="s">
        <v>1</v>
      </c>
      <c r="B7" s="175"/>
      <c r="C7" s="175"/>
      <c r="D7" s="175"/>
      <c r="E7" s="175"/>
      <c r="F7" s="182" t="s">
        <v>120</v>
      </c>
      <c r="G7" s="182"/>
      <c r="H7" s="182"/>
      <c r="I7" s="182"/>
      <c r="K7" s="53"/>
      <c r="L7" s="13"/>
      <c r="M7" s="13"/>
      <c r="N7" s="13"/>
      <c r="O7" s="13"/>
      <c r="P7" s="12"/>
      <c r="Q7" s="12"/>
    </row>
    <row r="8" spans="1:20" ht="16.5" customHeight="1" x14ac:dyDescent="0.3">
      <c r="A8" s="175" t="s">
        <v>1616</v>
      </c>
      <c r="B8" s="175"/>
      <c r="C8" s="175"/>
      <c r="D8" s="175"/>
      <c r="E8" s="175"/>
      <c r="F8" s="182" t="s">
        <v>154</v>
      </c>
      <c r="G8" s="182"/>
      <c r="H8" s="182"/>
      <c r="I8" s="182"/>
      <c r="K8" s="53"/>
      <c r="L8" s="13"/>
      <c r="M8" s="13"/>
      <c r="N8" s="13"/>
      <c r="O8" s="13"/>
      <c r="P8" s="12"/>
      <c r="Q8" s="12"/>
    </row>
    <row r="9" spans="1:20" ht="16.5" customHeight="1" x14ac:dyDescent="0.3">
      <c r="A9" s="175" t="s">
        <v>1614</v>
      </c>
      <c r="B9" s="175"/>
      <c r="C9" s="175"/>
      <c r="D9" s="175"/>
      <c r="E9" s="175"/>
      <c r="F9" s="183" t="str">
        <f>IFERROR(IF(F7="Proprietary","Proprietary Fund",VLOOKUP(F5,qryIndex02a!$A$2:$K$654,4,FALSE)),"Unidentified")</f>
        <v>GENERAL GOVERNMENT</v>
      </c>
      <c r="G9" s="183"/>
      <c r="H9" s="183"/>
      <c r="I9" s="18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3">
      <c r="A15" s="159" t="s">
        <v>1637</v>
      </c>
      <c r="B15" s="9" t="s">
        <v>170</v>
      </c>
      <c r="C15" s="9"/>
      <c r="D15" s="9"/>
      <c r="E15" s="140"/>
      <c r="F15" s="141"/>
      <c r="G15" s="141"/>
      <c r="H15" s="142"/>
      <c r="I15" s="142"/>
      <c r="J15" s="171">
        <f>M15</f>
        <v>0</v>
      </c>
      <c r="M15" s="143">
        <v>0</v>
      </c>
      <c r="P15" s="143">
        <v>0</v>
      </c>
      <c r="Q15" s="155"/>
      <c r="S15" s="154">
        <f t="shared" ref="S15:S19" si="0">P15-M15</f>
        <v>0</v>
      </c>
      <c r="T15" s="173" t="s">
        <v>1673</v>
      </c>
    </row>
    <row r="16" spans="1:20" ht="16.5" customHeight="1" x14ac:dyDescent="0.3">
      <c r="A16" s="159" t="s">
        <v>1637</v>
      </c>
      <c r="B16" s="9" t="s">
        <v>171</v>
      </c>
      <c r="C16" s="9"/>
      <c r="D16" s="9"/>
      <c r="E16" s="140"/>
      <c r="F16" s="141"/>
      <c r="G16" s="141"/>
      <c r="H16" s="142"/>
      <c r="I16" s="142"/>
      <c r="J16" s="171">
        <f>M16</f>
        <v>0</v>
      </c>
      <c r="M16" s="143">
        <v>0</v>
      </c>
      <c r="P16" s="143">
        <v>0</v>
      </c>
      <c r="Q16" s="155"/>
      <c r="S16" s="154">
        <f t="shared" si="0"/>
        <v>0</v>
      </c>
      <c r="T16" s="173" t="s">
        <v>1673</v>
      </c>
    </row>
    <row r="17" spans="1:20" ht="16.5" customHeight="1" x14ac:dyDescent="0.3">
      <c r="A17" s="159" t="s">
        <v>1637</v>
      </c>
      <c r="B17" s="9" t="s">
        <v>172</v>
      </c>
      <c r="C17" s="9"/>
      <c r="D17" s="9"/>
      <c r="E17" s="140"/>
      <c r="F17" s="141"/>
      <c r="G17" s="141"/>
      <c r="H17" s="142"/>
      <c r="I17" s="142"/>
      <c r="J17" s="171">
        <f>M17</f>
        <v>69364.350991019775</v>
      </c>
      <c r="M17" s="143">
        <v>69364.350991019775</v>
      </c>
      <c r="P17" s="143">
        <v>69364</v>
      </c>
      <c r="Q17" s="155"/>
      <c r="S17" s="154">
        <f t="shared" si="0"/>
        <v>-0.35099101977539249</v>
      </c>
      <c r="T17" s="173" t="s">
        <v>1673</v>
      </c>
    </row>
    <row r="18" spans="1:20" ht="16.5" customHeight="1" x14ac:dyDescent="0.3">
      <c r="A18" s="54"/>
      <c r="B18" s="9" t="s">
        <v>168</v>
      </c>
      <c r="C18" s="9"/>
      <c r="D18" s="9"/>
      <c r="E18" s="140"/>
      <c r="F18" s="141"/>
      <c r="G18" s="141"/>
      <c r="H18" s="142"/>
      <c r="I18" s="142"/>
      <c r="J18" s="171">
        <f>P18</f>
        <v>1840</v>
      </c>
      <c r="M18" s="143">
        <v>1838.73156172836</v>
      </c>
      <c r="P18" s="152">
        <f>IF(SUM($Q$20:$Q$23)&gt;SUM($P$15:$P$17),SUM($Q$20:$Q$23)-SUM($P$15:$P$17),0)</f>
        <v>1840</v>
      </c>
      <c r="Q18" s="155"/>
      <c r="S18" s="154">
        <f t="shared" si="0"/>
        <v>1.2684382716399796</v>
      </c>
      <c r="T18" s="172" t="s">
        <v>1661</v>
      </c>
    </row>
    <row r="19" spans="1:20"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c r="T19" s="172" t="s">
        <v>1661</v>
      </c>
    </row>
    <row r="20" spans="1:20" ht="16.5" customHeight="1" x14ac:dyDescent="0.3">
      <c r="A20" s="54"/>
      <c r="B20" s="9"/>
      <c r="C20" s="9" t="s">
        <v>177</v>
      </c>
      <c r="D20" s="9"/>
      <c r="E20" s="140"/>
      <c r="F20" s="141"/>
      <c r="G20" s="141"/>
      <c r="H20" s="142"/>
      <c r="I20" s="142"/>
      <c r="J20" s="150"/>
      <c r="K20" s="171">
        <f>N20</f>
        <v>0</v>
      </c>
      <c r="N20" s="143">
        <v>0</v>
      </c>
      <c r="P20" s="155"/>
      <c r="Q20" s="143">
        <v>0</v>
      </c>
      <c r="S20" s="154">
        <f>Q20-N20</f>
        <v>0</v>
      </c>
      <c r="T20" s="172" t="s">
        <v>1661</v>
      </c>
    </row>
    <row r="21" spans="1:20" ht="16.5" customHeight="1" x14ac:dyDescent="0.3">
      <c r="A21" s="54"/>
      <c r="B21" s="9"/>
      <c r="C21" s="9" t="s">
        <v>174</v>
      </c>
      <c r="D21" s="9"/>
      <c r="E21" s="140"/>
      <c r="F21" s="141"/>
      <c r="G21" s="141"/>
      <c r="H21" s="142"/>
      <c r="I21" s="142"/>
      <c r="J21" s="150"/>
      <c r="K21" s="171">
        <f>N21</f>
        <v>0</v>
      </c>
      <c r="N21" s="143">
        <v>0</v>
      </c>
      <c r="P21" s="155"/>
      <c r="Q21" s="143">
        <v>0</v>
      </c>
      <c r="S21" s="154">
        <f>Q21-N21</f>
        <v>0</v>
      </c>
      <c r="T21" s="172" t="s">
        <v>1661</v>
      </c>
    </row>
    <row r="22" spans="1:20" ht="16.5" customHeight="1" x14ac:dyDescent="0.3">
      <c r="A22" s="54"/>
      <c r="B22" s="9"/>
      <c r="C22" s="9" t="s">
        <v>178</v>
      </c>
      <c r="D22" s="9"/>
      <c r="E22" s="140"/>
      <c r="F22" s="141"/>
      <c r="G22" s="141"/>
      <c r="H22" s="142"/>
      <c r="I22" s="142"/>
      <c r="J22" s="150"/>
      <c r="K22" s="171">
        <f>N22</f>
        <v>13813.792882816679</v>
      </c>
      <c r="N22" s="143">
        <v>13813.792882816679</v>
      </c>
      <c r="P22" s="155"/>
      <c r="Q22" s="143">
        <v>13814</v>
      </c>
      <c r="S22" s="154">
        <f t="shared" ref="S22:S25" si="1">Q22-N22</f>
        <v>0.20711718332131568</v>
      </c>
      <c r="T22" s="172" t="s">
        <v>1661</v>
      </c>
    </row>
    <row r="23" spans="1:20" ht="16.5" customHeight="1" x14ac:dyDescent="0.3">
      <c r="A23" s="165" t="s">
        <v>1645</v>
      </c>
      <c r="B23" s="9"/>
      <c r="C23" s="9" t="s">
        <v>173</v>
      </c>
      <c r="D23" s="9"/>
      <c r="E23" s="140"/>
      <c r="F23" s="141"/>
      <c r="G23" s="141"/>
      <c r="H23" s="142"/>
      <c r="I23" s="142"/>
      <c r="J23" s="150"/>
      <c r="K23" s="171">
        <f>N23</f>
        <v>57389.287409231438</v>
      </c>
      <c r="N23" s="143">
        <v>57389.287409231438</v>
      </c>
      <c r="P23" s="155"/>
      <c r="Q23" s="143">
        <v>57390</v>
      </c>
      <c r="S23" s="154">
        <f t="shared" si="1"/>
        <v>0.71259076856222237</v>
      </c>
      <c r="T23" s="172" t="s">
        <v>1661</v>
      </c>
    </row>
    <row r="24" spans="1:20" ht="16.5" customHeight="1" x14ac:dyDescent="0.3">
      <c r="A24" s="54"/>
      <c r="B24" s="9"/>
      <c r="C24" s="9" t="s">
        <v>175</v>
      </c>
      <c r="D24" s="9"/>
      <c r="E24" s="140"/>
      <c r="F24" s="141"/>
      <c r="G24" s="141"/>
      <c r="H24" s="142"/>
      <c r="I24" s="142"/>
      <c r="J24" s="150"/>
      <c r="K24" s="171">
        <f>Q24</f>
        <v>0</v>
      </c>
      <c r="N24" s="143"/>
      <c r="P24" s="155"/>
      <c r="Q24" s="152">
        <f>IF(SUM($Q$20:$Q$23)&lt;SUM($P$15:$P$17),-SUM($Q$20:$Q$23)+SUM($P$15:$P$17),0)</f>
        <v>0</v>
      </c>
      <c r="S24" s="154">
        <f t="shared" si="1"/>
        <v>0</v>
      </c>
      <c r="T24" s="172" t="s">
        <v>1661</v>
      </c>
    </row>
    <row r="25" spans="1:20" ht="16.5" customHeight="1" x14ac:dyDescent="0.3">
      <c r="A25" s="54"/>
      <c r="B25" s="9"/>
      <c r="C25" s="9" t="s">
        <v>176</v>
      </c>
      <c r="D25" s="9"/>
      <c r="E25" s="140"/>
      <c r="F25" s="141"/>
      <c r="G25" s="141"/>
      <c r="H25" s="142"/>
      <c r="I25" s="142"/>
      <c r="J25" s="150"/>
      <c r="K25" s="171">
        <f>IF(SUM($K$20:$K$24)&lt;SUM($J$15:$J$18),-SUM($K$20:$K$24)+SUM($J$15:$J$18),0)</f>
        <v>1.2706989716534736</v>
      </c>
      <c r="N25" s="143"/>
      <c r="P25" s="155"/>
      <c r="Q25" s="155"/>
      <c r="S25" s="154">
        <f t="shared" si="1"/>
        <v>0</v>
      </c>
      <c r="T25" s="172" t="s">
        <v>1661</v>
      </c>
    </row>
    <row r="26" spans="1:20" ht="16.5" customHeight="1" x14ac:dyDescent="0.3">
      <c r="A26" s="54"/>
      <c r="C26" s="20"/>
      <c r="D26" s="20"/>
      <c r="E26" s="20"/>
      <c r="F26" s="127"/>
      <c r="G26" s="127"/>
      <c r="H26" s="22"/>
      <c r="I26" s="22"/>
      <c r="J26" s="107">
        <f>SUM(J15:J25)</f>
        <v>71204.350991019775</v>
      </c>
      <c r="K26" s="107">
        <f>SUM(K15:K25)</f>
        <v>71204.350991019775</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6906.8953476816805</v>
      </c>
      <c r="K55" s="144"/>
    </row>
    <row r="56" spans="1:16" ht="16.5" customHeight="1" x14ac:dyDescent="0.3">
      <c r="A56" s="54"/>
      <c r="B56" s="25"/>
      <c r="C56" s="9" t="s">
        <v>177</v>
      </c>
      <c r="D56" s="140"/>
      <c r="E56" s="140"/>
      <c r="F56" s="141"/>
      <c r="G56" s="141"/>
      <c r="H56" s="142"/>
      <c r="I56" s="142"/>
      <c r="J56" s="145"/>
      <c r="K56" s="143">
        <v>0</v>
      </c>
    </row>
    <row r="57" spans="1:16" ht="16.5" customHeight="1" x14ac:dyDescent="0.3">
      <c r="A57" s="54"/>
      <c r="B57" s="25"/>
      <c r="C57" s="9" t="s">
        <v>174</v>
      </c>
      <c r="D57" s="140"/>
      <c r="E57" s="140"/>
      <c r="F57" s="141"/>
      <c r="G57" s="141"/>
      <c r="H57" s="142"/>
      <c r="I57" s="142"/>
      <c r="J57" s="145"/>
      <c r="K57" s="143">
        <v>0</v>
      </c>
    </row>
    <row r="58" spans="1:16" ht="16.5" customHeight="1" x14ac:dyDescent="0.3">
      <c r="A58" s="54"/>
      <c r="B58" s="9"/>
      <c r="C58" s="9" t="s">
        <v>178</v>
      </c>
      <c r="D58" s="140"/>
      <c r="E58" s="140"/>
      <c r="F58" s="141"/>
      <c r="G58" s="141"/>
      <c r="H58" s="142"/>
      <c r="I58" s="142"/>
      <c r="J58" s="144"/>
      <c r="K58" s="143">
        <v>6906.8953476816805</v>
      </c>
    </row>
    <row r="59" spans="1:16" ht="16.5" customHeight="1" x14ac:dyDescent="0.3">
      <c r="A59" s="54"/>
      <c r="C59" s="16"/>
      <c r="D59" s="16"/>
      <c r="E59" s="16"/>
      <c r="F59" s="17"/>
      <c r="G59" s="17"/>
      <c r="H59" s="18"/>
      <c r="I59" s="18"/>
      <c r="J59" s="107">
        <f>SUM(J55:J58)</f>
        <v>6906.8953476816805</v>
      </c>
      <c r="K59" s="107">
        <f>SUM(K55:K58)</f>
        <v>6906.8953476816805</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6304.0661764085207</v>
      </c>
      <c r="K62" s="147"/>
      <c r="L62" s="10" t="str">
        <f>IF($J$62=$K$69,"","&lt;- Accts 0848 must agree")</f>
        <v/>
      </c>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806.31929063035989</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7110.3854670388801</v>
      </c>
    </row>
    <row r="65" spans="1:12" ht="16.5" customHeight="1" x14ac:dyDescent="0.3">
      <c r="A65" s="54"/>
      <c r="C65" s="16"/>
      <c r="D65" s="16"/>
      <c r="E65" s="16"/>
      <c r="F65" s="17"/>
      <c r="G65" s="17"/>
      <c r="H65" s="18"/>
      <c r="I65" s="18"/>
      <c r="J65" s="107">
        <f>SUM(J62:J64)</f>
        <v>7110.385467038881</v>
      </c>
      <c r="K65" s="107">
        <f>SUM(K62:K64)</f>
        <v>7110.3854670388801</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6304.0661764085207</v>
      </c>
      <c r="K68" s="144"/>
    </row>
    <row r="69" spans="1:12" ht="16.5" customHeight="1" x14ac:dyDescent="0.3">
      <c r="A69" s="54"/>
      <c r="B69" s="9"/>
      <c r="C69" s="9" t="s">
        <v>185</v>
      </c>
      <c r="D69" s="140"/>
      <c r="E69" s="140"/>
      <c r="F69" s="141"/>
      <c r="G69" s="141"/>
      <c r="H69" s="142"/>
      <c r="I69" s="142"/>
      <c r="J69" s="144"/>
      <c r="K69" s="143">
        <v>6304.0661764085207</v>
      </c>
      <c r="L69" s="10" t="str">
        <f>IF($J$62=$K$69,"","&lt;- Accts 0848 must agree")</f>
        <v/>
      </c>
    </row>
    <row r="70" spans="1:12" ht="16.5" customHeight="1" x14ac:dyDescent="0.3">
      <c r="A70" s="54"/>
      <c r="C70" s="16"/>
      <c r="D70" s="16"/>
      <c r="E70" s="16"/>
      <c r="F70" s="17"/>
      <c r="G70" s="17"/>
      <c r="H70" s="18"/>
      <c r="I70" s="18"/>
      <c r="J70" s="107">
        <f>SUM(J68:J69)</f>
        <v>6304.0661764085207</v>
      </c>
      <c r="K70" s="107">
        <f>SUM(K68:K69)</f>
        <v>6304.0661764085207</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6525.6804325622006</v>
      </c>
      <c r="K75" s="144"/>
    </row>
    <row r="76" spans="1:12" ht="16.5" customHeight="1" x14ac:dyDescent="0.3">
      <c r="A76" s="54"/>
      <c r="B76" s="9"/>
      <c r="C76" s="9" t="s">
        <v>193</v>
      </c>
      <c r="D76" s="140"/>
      <c r="E76" s="140"/>
      <c r="F76" s="141"/>
      <c r="G76" s="141"/>
      <c r="H76" s="142"/>
      <c r="I76" s="142"/>
      <c r="J76" s="144"/>
      <c r="K76" s="143">
        <v>6525.6804325622006</v>
      </c>
    </row>
    <row r="77" spans="1:12" ht="16.5" customHeight="1" x14ac:dyDescent="0.25">
      <c r="A77" s="54"/>
      <c r="B77" s="178" t="s">
        <v>1662</v>
      </c>
      <c r="C77" s="178"/>
      <c r="D77" s="178"/>
      <c r="E77" s="178"/>
      <c r="F77" s="178"/>
      <c r="G77" s="178"/>
      <c r="H77" s="178"/>
      <c r="I77" s="178"/>
      <c r="J77" s="107">
        <f>SUM(J75:J76)</f>
        <v>6525.6804325622006</v>
      </c>
      <c r="K77" s="107">
        <f>SUM(K75:K76)</f>
        <v>6525.6804325622006</v>
      </c>
      <c r="L77" s="25"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row>
    <row r="91" spans="1:16" ht="16.5" customHeight="1" x14ac:dyDescent="0.3">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69364.350991019775</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-20720.688230498359</v>
      </c>
    </row>
    <row r="128" spans="1:12" ht="16.5" customHeight="1" x14ac:dyDescent="0.3">
      <c r="D128" s="140" t="s">
        <v>1656</v>
      </c>
      <c r="H128" s="10"/>
      <c r="K128" s="169">
        <f>-K23-K48+J68+J75+J96-K113</f>
        <v>-44559.540800260715</v>
      </c>
    </row>
    <row r="129" spans="4:11" ht="16.5" customHeight="1" x14ac:dyDescent="0.3">
      <c r="D129" s="140" t="s">
        <v>1657</v>
      </c>
      <c r="H129" s="10"/>
      <c r="K129" s="169">
        <f>-K76</f>
        <v>-6525.6804325622006</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77" priority="12">
      <formula>$J$62&lt;&gt;$K$69</formula>
    </cfRule>
  </conditionalFormatting>
  <conditionalFormatting sqref="L26:P26">
    <cfRule type="expression" dxfId="76" priority="1">
      <formula>$J$26&lt;&gt;$K$26</formula>
    </cfRule>
  </conditionalFormatting>
  <conditionalFormatting sqref="L36:P36">
    <cfRule type="expression" dxfId="75" priority="2">
      <formula>$J$36&lt;&gt;$K$36</formula>
    </cfRule>
  </conditionalFormatting>
  <conditionalFormatting sqref="L43:P43">
    <cfRule type="expression" dxfId="74" priority="3">
      <formula>$J$43&lt;&gt;$K$43</formula>
    </cfRule>
  </conditionalFormatting>
  <conditionalFormatting sqref="L49:P49">
    <cfRule type="expression" dxfId="73" priority="4">
      <formula>$J$49&lt;&gt;$K$49</formula>
    </cfRule>
  </conditionalFormatting>
  <conditionalFormatting sqref="L59:P59">
    <cfRule type="expression" dxfId="72" priority="5">
      <formula>$J$59&lt;&gt;$K$59</formula>
    </cfRule>
  </conditionalFormatting>
  <conditionalFormatting sqref="L65:P65">
    <cfRule type="expression" dxfId="71" priority="6">
      <formula>$J$65&lt;&gt;$K$65</formula>
    </cfRule>
  </conditionalFormatting>
  <conditionalFormatting sqref="L70:P70">
    <cfRule type="expression" dxfId="70" priority="7">
      <formula>$J$70&lt;&gt;$K$70</formula>
    </cfRule>
  </conditionalFormatting>
  <conditionalFormatting sqref="L77:P77">
    <cfRule type="expression" dxfId="69" priority="8">
      <formula>$J$77&lt;&gt;$K$77</formula>
    </cfRule>
  </conditionalFormatting>
  <conditionalFormatting sqref="L91:P91">
    <cfRule type="expression" dxfId="68" priority="9">
      <formula>$J$91&lt;&gt;$K$91</formula>
    </cfRule>
  </conditionalFormatting>
  <conditionalFormatting sqref="L105:P105">
    <cfRule type="expression" dxfId="67" priority="10">
      <formula>$J$105&lt;&gt;$K$105</formula>
    </cfRule>
  </conditionalFormatting>
  <conditionalFormatting sqref="L114:P114">
    <cfRule type="expression" dxfId="66" priority="11">
      <formula>$J$114&lt;&gt;$K$114</formula>
    </cfRule>
  </conditionalFormatting>
  <dataValidations count="3">
    <dataValidation type="textLength" operator="equal" allowBlank="1" showInputMessage="1" showErrorMessage="1" errorTitle="4-Digit Org Code" error="Enter the Org Code/BU as 4 digits." sqref="F5" xr:uid="{FB264112-28BF-4A3B-A8A1-B9C21A7C828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3ED172E-2FD1-4978-8A94-66430CB09F60}">
      <formula1>0</formula1>
    </dataValidation>
    <dataValidation operator="lessThan" allowBlank="1" showInputMessage="1" showErrorMessage="1" sqref="A3:A8" xr:uid="{3DF5986E-2EDD-48B6-A470-00D428907E3D}"/>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5411063F-F167-4225-B9D9-5DB716D1EA89}">
          <x14:formula1>
            <xm:f>'Drop Down Menus'!$E$1:$E$3</xm:f>
          </x14:formula1>
          <xm:sqref>F8</xm:sqref>
        </x14:dataValidation>
        <x14:dataValidation type="list" allowBlank="1" showInputMessage="1" showErrorMessage="1" xr:uid="{56CB0A65-E0D6-411D-AC3A-5561FDE54C9F}">
          <x14:formula1>
            <xm:f>'Drop Down Menus'!$B$1:$B$2</xm:f>
          </x14:formula1>
          <xm:sqref>F7</xm:sqref>
        </x14:dataValidation>
        <x14:dataValidation type="list" allowBlank="1" showInputMessage="1" showErrorMessage="1" xr:uid="{4EDCF57F-086D-4CC2-BB02-EF071711A260}">
          <x14:formula1>
            <xm:f>'Drop Down Menus'!$A$1:$A$101</xm:f>
          </x14:formula1>
          <xm:sqref>F3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7443-88F2-4524-AF8D-2ADAA9787E49}">
  <sheetPr codeName="Sheet13">
    <tabColor theme="9" tint="0.59999389629810485"/>
    <pageSetUpPr fitToPage="1"/>
  </sheetPr>
  <dimension ref="A1:T193"/>
  <sheetViews>
    <sheetView zoomScale="70" zoomScaleNormal="70" workbookViewId="0">
      <selection activeCell="P23" sqref="P23"/>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79" t="s">
        <v>1629</v>
      </c>
      <c r="B1" s="179"/>
      <c r="C1" s="179"/>
      <c r="D1" s="179"/>
      <c r="E1" s="179"/>
      <c r="F1" s="179"/>
      <c r="G1" s="179"/>
      <c r="H1" s="179"/>
      <c r="I1" s="179"/>
      <c r="J1" s="179"/>
      <c r="K1" s="179"/>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75" t="s">
        <v>10</v>
      </c>
      <c r="B3" s="175"/>
      <c r="C3" s="175"/>
      <c r="D3" s="175"/>
      <c r="E3" s="175"/>
      <c r="F3" s="180" t="s">
        <v>21</v>
      </c>
      <c r="G3" s="180"/>
      <c r="H3" s="180"/>
      <c r="I3" s="180"/>
    </row>
    <row r="4" spans="1:20" ht="16.5" customHeight="1" x14ac:dyDescent="0.25">
      <c r="A4" s="175" t="s">
        <v>191</v>
      </c>
      <c r="B4" s="175"/>
      <c r="C4" s="175"/>
      <c r="D4" s="175"/>
      <c r="E4" s="175"/>
      <c r="F4" s="181" t="s">
        <v>1676</v>
      </c>
      <c r="G4" s="181"/>
      <c r="H4" s="181"/>
      <c r="I4" s="181"/>
    </row>
    <row r="5" spans="1:20" ht="16.5" customHeight="1" x14ac:dyDescent="0.25">
      <c r="A5" s="175" t="s">
        <v>1615</v>
      </c>
      <c r="B5" s="175"/>
      <c r="C5" s="175"/>
      <c r="D5" s="175"/>
      <c r="E5" s="175"/>
      <c r="F5" s="181" t="s">
        <v>316</v>
      </c>
      <c r="G5" s="181"/>
      <c r="H5" s="181"/>
      <c r="I5" s="181"/>
      <c r="L5" s="12"/>
      <c r="M5" s="12"/>
      <c r="N5" s="12"/>
      <c r="O5" s="12"/>
      <c r="P5" s="12"/>
      <c r="Q5" s="12"/>
    </row>
    <row r="6" spans="1:20" ht="16.5" customHeight="1" x14ac:dyDescent="0.3">
      <c r="A6" s="175" t="s">
        <v>1634</v>
      </c>
      <c r="B6" s="175"/>
      <c r="C6" s="175"/>
      <c r="D6" s="175"/>
      <c r="E6" s="175"/>
      <c r="F6" s="182">
        <v>367</v>
      </c>
      <c r="G6" s="182"/>
      <c r="H6" s="182"/>
      <c r="I6" s="182"/>
      <c r="L6" s="13"/>
      <c r="M6" s="13"/>
      <c r="N6" s="13"/>
      <c r="O6" s="13"/>
      <c r="P6" s="12"/>
      <c r="Q6" s="12"/>
    </row>
    <row r="7" spans="1:20" ht="16.5" customHeight="1" x14ac:dyDescent="0.3">
      <c r="A7" s="175" t="s">
        <v>1</v>
      </c>
      <c r="B7" s="175"/>
      <c r="C7" s="175"/>
      <c r="D7" s="175"/>
      <c r="E7" s="175"/>
      <c r="F7" s="182" t="s">
        <v>120</v>
      </c>
      <c r="G7" s="182"/>
      <c r="H7" s="182"/>
      <c r="I7" s="182"/>
      <c r="K7" s="53"/>
      <c r="L7" s="13"/>
      <c r="M7" s="13"/>
      <c r="N7" s="13"/>
      <c r="O7" s="13"/>
      <c r="P7" s="12"/>
      <c r="Q7" s="12"/>
    </row>
    <row r="8" spans="1:20" ht="16.5" customHeight="1" x14ac:dyDescent="0.3">
      <c r="A8" s="175" t="s">
        <v>1616</v>
      </c>
      <c r="B8" s="175"/>
      <c r="C8" s="175"/>
      <c r="D8" s="175"/>
      <c r="E8" s="175"/>
      <c r="F8" s="182" t="s">
        <v>154</v>
      </c>
      <c r="G8" s="182"/>
      <c r="H8" s="182"/>
      <c r="I8" s="182"/>
      <c r="K8" s="53"/>
      <c r="L8" s="13"/>
      <c r="M8" s="13"/>
      <c r="N8" s="13"/>
      <c r="O8" s="13"/>
      <c r="P8" s="12"/>
      <c r="Q8" s="12"/>
    </row>
    <row r="9" spans="1:20" ht="16.5" customHeight="1" x14ac:dyDescent="0.3">
      <c r="A9" s="175" t="s">
        <v>1614</v>
      </c>
      <c r="B9" s="175"/>
      <c r="C9" s="175"/>
      <c r="D9" s="175"/>
      <c r="E9" s="175"/>
      <c r="F9" s="183" t="str">
        <f>IFERROR(IF(F7="Proprietary","Proprietary Fund",VLOOKUP(F5,qryIndex02a!$A$2:$K$654,4,FALSE)),"Unidentified")</f>
        <v>GENERAL GOVERNMENT</v>
      </c>
      <c r="G9" s="183"/>
      <c r="H9" s="183"/>
      <c r="I9" s="18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3">
      <c r="A15" s="159" t="s">
        <v>1637</v>
      </c>
      <c r="B15" s="9" t="s">
        <v>170</v>
      </c>
      <c r="C15" s="9"/>
      <c r="D15" s="9"/>
      <c r="E15" s="140"/>
      <c r="F15" s="141"/>
      <c r="G15" s="141"/>
      <c r="H15" s="142"/>
      <c r="I15" s="142"/>
      <c r="J15" s="171">
        <f>M15</f>
        <v>0</v>
      </c>
      <c r="M15" s="143">
        <v>0</v>
      </c>
      <c r="P15" s="143">
        <v>0</v>
      </c>
      <c r="Q15" s="155"/>
      <c r="S15" s="154">
        <f t="shared" ref="S15:S19" si="0">P15-M15</f>
        <v>0</v>
      </c>
      <c r="T15" s="173" t="s">
        <v>1673</v>
      </c>
    </row>
    <row r="16" spans="1:20" ht="16.5" customHeight="1" x14ac:dyDescent="0.3">
      <c r="A16" s="159" t="s">
        <v>1637</v>
      </c>
      <c r="B16" s="9" t="s">
        <v>171</v>
      </c>
      <c r="C16" s="9"/>
      <c r="D16" s="9"/>
      <c r="E16" s="140"/>
      <c r="F16" s="141"/>
      <c r="G16" s="141"/>
      <c r="H16" s="142"/>
      <c r="I16" s="142"/>
      <c r="J16" s="171">
        <f>M16</f>
        <v>56597.330051999998</v>
      </c>
      <c r="M16" s="143">
        <v>56597.330051999998</v>
      </c>
      <c r="P16" s="143">
        <v>56597</v>
      </c>
      <c r="Q16" s="155"/>
      <c r="S16" s="154">
        <f t="shared" si="0"/>
        <v>-0.33005199999752222</v>
      </c>
      <c r="T16" s="173" t="s">
        <v>1673</v>
      </c>
    </row>
    <row r="17" spans="1:20" ht="16.5" customHeight="1" x14ac:dyDescent="0.3">
      <c r="A17" s="159" t="s">
        <v>1637</v>
      </c>
      <c r="B17" s="9" t="s">
        <v>172</v>
      </c>
      <c r="C17" s="9"/>
      <c r="D17" s="9"/>
      <c r="E17" s="140"/>
      <c r="F17" s="141"/>
      <c r="G17" s="141"/>
      <c r="H17" s="142"/>
      <c r="I17" s="142"/>
      <c r="J17" s="171">
        <f>M17</f>
        <v>4852660.4100413425</v>
      </c>
      <c r="M17" s="143">
        <v>4852660.4100413425</v>
      </c>
      <c r="P17" s="143">
        <v>4890682</v>
      </c>
      <c r="Q17" s="155"/>
      <c r="S17" s="154">
        <f t="shared" si="0"/>
        <v>38021.589958657511</v>
      </c>
      <c r="T17" s="173" t="s">
        <v>1673</v>
      </c>
    </row>
    <row r="18" spans="1:20" ht="16.5" customHeight="1" x14ac:dyDescent="0.3">
      <c r="A18" s="54"/>
      <c r="B18" s="9" t="s">
        <v>168</v>
      </c>
      <c r="C18" s="9"/>
      <c r="D18" s="9"/>
      <c r="E18" s="140"/>
      <c r="F18" s="141"/>
      <c r="G18" s="141"/>
      <c r="H18" s="142"/>
      <c r="I18" s="142"/>
      <c r="J18" s="171">
        <f>P18</f>
        <v>29157</v>
      </c>
      <c r="M18" s="143">
        <v>82493.477893425457</v>
      </c>
      <c r="P18" s="152">
        <f>IF(SUM($Q$20:$Q$23)&gt;SUM($P$15:$P$17),SUM($Q$20:$Q$23)-SUM($P$15:$P$17),0)</f>
        <v>29157</v>
      </c>
      <c r="Q18" s="155"/>
      <c r="S18" s="154">
        <f t="shared" si="0"/>
        <v>-53336.477893425457</v>
      </c>
      <c r="T18" s="172" t="s">
        <v>1661</v>
      </c>
    </row>
    <row r="19" spans="1:20" ht="16.5" customHeight="1" x14ac:dyDescent="0.3">
      <c r="A19" s="54"/>
      <c r="B19" s="9" t="s">
        <v>169</v>
      </c>
      <c r="C19" s="9"/>
      <c r="D19" s="9"/>
      <c r="E19" s="140"/>
      <c r="F19" s="141"/>
      <c r="G19" s="141"/>
      <c r="H19" s="142"/>
      <c r="I19" s="142"/>
      <c r="J19" s="171">
        <f>IF(SUM($K$20:$K$24)&gt;SUM($J$15:$J$18),SUM($K$20:$K$24)-SUM($J$15:$J$18),0)</f>
        <v>3207.9360097143799</v>
      </c>
      <c r="M19" s="143"/>
      <c r="P19" s="155"/>
      <c r="Q19" s="155"/>
      <c r="S19" s="154">
        <f t="shared" si="0"/>
        <v>0</v>
      </c>
      <c r="T19" s="172" t="s">
        <v>1661</v>
      </c>
    </row>
    <row r="20" spans="1:20" ht="16.5" customHeight="1" x14ac:dyDescent="0.3">
      <c r="A20" s="54"/>
      <c r="B20" s="9"/>
      <c r="C20" s="9" t="s">
        <v>177</v>
      </c>
      <c r="D20" s="9"/>
      <c r="E20" s="140"/>
      <c r="F20" s="141"/>
      <c r="G20" s="141"/>
      <c r="H20" s="142"/>
      <c r="I20" s="142"/>
      <c r="J20" s="150"/>
      <c r="K20" s="171">
        <f>N20</f>
        <v>0</v>
      </c>
      <c r="N20" s="143">
        <v>0</v>
      </c>
      <c r="P20" s="155"/>
      <c r="Q20" s="143">
        <v>0</v>
      </c>
      <c r="S20" s="154">
        <f>Q20-N20</f>
        <v>0</v>
      </c>
      <c r="T20" s="172" t="s">
        <v>1661</v>
      </c>
    </row>
    <row r="21" spans="1:20" ht="16.5" customHeight="1" x14ac:dyDescent="0.3">
      <c r="A21" s="54"/>
      <c r="B21" s="9"/>
      <c r="C21" s="9" t="s">
        <v>174</v>
      </c>
      <c r="D21" s="9"/>
      <c r="E21" s="140"/>
      <c r="F21" s="141"/>
      <c r="G21" s="141"/>
      <c r="H21" s="142"/>
      <c r="I21" s="142"/>
      <c r="J21" s="150"/>
      <c r="K21" s="171">
        <f>N21</f>
        <v>22638.839728499999</v>
      </c>
      <c r="N21" s="143">
        <v>22638.839728499999</v>
      </c>
      <c r="P21" s="155"/>
      <c r="Q21" s="143">
        <v>22640</v>
      </c>
      <c r="S21" s="154">
        <f>Q21-N21</f>
        <v>1.1602715000008175</v>
      </c>
      <c r="T21" s="172" t="s">
        <v>1661</v>
      </c>
    </row>
    <row r="22" spans="1:20" ht="16.5" customHeight="1" x14ac:dyDescent="0.3">
      <c r="A22" s="54"/>
      <c r="B22" s="9"/>
      <c r="C22" s="9" t="s">
        <v>178</v>
      </c>
      <c r="D22" s="9"/>
      <c r="E22" s="140"/>
      <c r="F22" s="141"/>
      <c r="G22" s="141"/>
      <c r="H22" s="142"/>
      <c r="I22" s="142"/>
      <c r="J22" s="150"/>
      <c r="K22" s="171">
        <f>N22</f>
        <v>1773889.2241831589</v>
      </c>
      <c r="N22" s="143">
        <v>1773889.2241831589</v>
      </c>
      <c r="P22" s="155"/>
      <c r="Q22" s="143">
        <v>1778008</v>
      </c>
      <c r="S22" s="154">
        <f t="shared" ref="S22:S25" si="1">Q22-N22</f>
        <v>4118.775816841051</v>
      </c>
      <c r="T22" s="172" t="s">
        <v>1661</v>
      </c>
    </row>
    <row r="23" spans="1:20" ht="16.5" customHeight="1" x14ac:dyDescent="0.3">
      <c r="A23" s="165" t="s">
        <v>1645</v>
      </c>
      <c r="B23" s="9"/>
      <c r="C23" s="9" t="s">
        <v>173</v>
      </c>
      <c r="D23" s="9"/>
      <c r="E23" s="140"/>
      <c r="F23" s="141"/>
      <c r="G23" s="141"/>
      <c r="H23" s="142"/>
      <c r="I23" s="142"/>
      <c r="J23" s="150"/>
      <c r="K23" s="171">
        <f>N23</f>
        <v>3145094.6121913972</v>
      </c>
      <c r="N23" s="143">
        <v>3145094.6121913972</v>
      </c>
      <c r="P23" s="155"/>
      <c r="Q23" s="143">
        <v>3175788</v>
      </c>
      <c r="S23" s="154">
        <f t="shared" si="1"/>
        <v>30693.387808602769</v>
      </c>
      <c r="T23" s="172" t="s">
        <v>1661</v>
      </c>
    </row>
    <row r="24" spans="1:20" ht="16.5" customHeight="1" x14ac:dyDescent="0.3">
      <c r="A24" s="54"/>
      <c r="B24" s="9"/>
      <c r="C24" s="9" t="s">
        <v>175</v>
      </c>
      <c r="D24" s="9"/>
      <c r="E24" s="140"/>
      <c r="F24" s="141"/>
      <c r="G24" s="141"/>
      <c r="H24" s="142"/>
      <c r="I24" s="142"/>
      <c r="J24" s="150"/>
      <c r="K24" s="171">
        <f>Q24</f>
        <v>0</v>
      </c>
      <c r="N24" s="143">
        <v>50127.748606811139</v>
      </c>
      <c r="P24" s="155"/>
      <c r="Q24" s="152">
        <f>IF(SUM($Q$20:$Q$23)&lt;SUM($P$15:$P$17),-SUM($Q$20:$Q$23)+SUM($P$15:$P$17),0)</f>
        <v>0</v>
      </c>
      <c r="S24" s="154">
        <f t="shared" si="1"/>
        <v>-50127.748606811139</v>
      </c>
      <c r="T24" s="172" t="s">
        <v>1661</v>
      </c>
    </row>
    <row r="25" spans="1:20" ht="16.5" customHeight="1" x14ac:dyDescent="0.3">
      <c r="A25" s="54"/>
      <c r="B25" s="9"/>
      <c r="C25" s="9" t="s">
        <v>176</v>
      </c>
      <c r="D25" s="9"/>
      <c r="E25" s="140"/>
      <c r="F25" s="141"/>
      <c r="G25" s="141"/>
      <c r="H25" s="142"/>
      <c r="I25" s="142"/>
      <c r="J25" s="150"/>
      <c r="K25" s="171">
        <f>IF(SUM($K$20:$K$24)&lt;SUM($J$15:$J$18),-SUM($K$20:$K$24)+SUM($J$15:$J$18),0)</f>
        <v>0</v>
      </c>
      <c r="N25" s="143"/>
      <c r="P25" s="155"/>
      <c r="Q25" s="155"/>
      <c r="S25" s="154">
        <f t="shared" si="1"/>
        <v>0</v>
      </c>
      <c r="T25" s="172" t="s">
        <v>1661</v>
      </c>
    </row>
    <row r="26" spans="1:20" ht="16.5" customHeight="1" x14ac:dyDescent="0.3">
      <c r="A26" s="54"/>
      <c r="C26" s="20"/>
      <c r="D26" s="20"/>
      <c r="E26" s="20"/>
      <c r="F26" s="127"/>
      <c r="G26" s="127"/>
      <c r="H26" s="22"/>
      <c r="I26" s="22"/>
      <c r="J26" s="107">
        <f>SUM(J15:J25)</f>
        <v>4941622.6761030564</v>
      </c>
      <c r="K26" s="107">
        <f>SUM(K15:K25)</f>
        <v>4941622.6761030564</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930258</v>
      </c>
      <c r="K55" s="144"/>
    </row>
    <row r="56" spans="1:16" ht="16.5" customHeight="1" x14ac:dyDescent="0.3">
      <c r="A56" s="54"/>
      <c r="B56" s="25"/>
      <c r="C56" s="9" t="s">
        <v>177</v>
      </c>
      <c r="D56" s="140"/>
      <c r="E56" s="140"/>
      <c r="F56" s="141"/>
      <c r="G56" s="141"/>
      <c r="H56" s="142"/>
      <c r="I56" s="142"/>
      <c r="J56" s="145"/>
      <c r="K56" s="143">
        <v>0</v>
      </c>
    </row>
    <row r="57" spans="1:16" ht="16.5" customHeight="1" x14ac:dyDescent="0.3">
      <c r="A57" s="54"/>
      <c r="B57" s="25"/>
      <c r="C57" s="9" t="s">
        <v>174</v>
      </c>
      <c r="D57" s="140"/>
      <c r="E57" s="140"/>
      <c r="F57" s="141"/>
      <c r="G57" s="141"/>
      <c r="H57" s="142"/>
      <c r="I57" s="142"/>
      <c r="J57" s="145"/>
      <c r="K57" s="143">
        <v>11320</v>
      </c>
    </row>
    <row r="58" spans="1:16" ht="16.5" customHeight="1" x14ac:dyDescent="0.3">
      <c r="A58" s="54"/>
      <c r="B58" s="9"/>
      <c r="C58" s="9" t="s">
        <v>178</v>
      </c>
      <c r="D58" s="140"/>
      <c r="E58" s="140"/>
      <c r="F58" s="141"/>
      <c r="G58" s="141"/>
      <c r="H58" s="142"/>
      <c r="I58" s="142"/>
      <c r="J58" s="144"/>
      <c r="K58" s="143">
        <v>918938</v>
      </c>
    </row>
    <row r="59" spans="1:16" ht="16.5" customHeight="1" x14ac:dyDescent="0.3">
      <c r="A59" s="54"/>
      <c r="C59" s="16"/>
      <c r="D59" s="16"/>
      <c r="E59" s="16"/>
      <c r="F59" s="17"/>
      <c r="G59" s="17"/>
      <c r="H59" s="18"/>
      <c r="I59" s="18"/>
      <c r="J59" s="107">
        <f>SUM(J55:J58)</f>
        <v>930258</v>
      </c>
      <c r="K59" s="107">
        <f>SUM(K55:K58)</f>
        <v>930258</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925344</v>
      </c>
      <c r="K62" s="147"/>
      <c r="L62" s="10" t="str">
        <f>IF($J$62=$K$69,"","&lt;- Accts 0848 must agree")</f>
        <v/>
      </c>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22874</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948218</v>
      </c>
    </row>
    <row r="65" spans="1:12" ht="16.5" customHeight="1" x14ac:dyDescent="0.3">
      <c r="A65" s="54"/>
      <c r="C65" s="16"/>
      <c r="D65" s="16"/>
      <c r="E65" s="16"/>
      <c r="F65" s="17"/>
      <c r="G65" s="17"/>
      <c r="H65" s="18"/>
      <c r="I65" s="18"/>
      <c r="J65" s="107">
        <f>SUM(J62:J64)</f>
        <v>948218</v>
      </c>
      <c r="K65" s="107">
        <f>SUM(K62:K64)</f>
        <v>948218</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925344</v>
      </c>
      <c r="K68" s="144"/>
    </row>
    <row r="69" spans="1:12" ht="16.5" customHeight="1" x14ac:dyDescent="0.3">
      <c r="A69" s="54"/>
      <c r="B69" s="9"/>
      <c r="C69" s="9" t="s">
        <v>185</v>
      </c>
      <c r="D69" s="140"/>
      <c r="E69" s="140"/>
      <c r="F69" s="141"/>
      <c r="G69" s="141"/>
      <c r="H69" s="142"/>
      <c r="I69" s="142"/>
      <c r="J69" s="144"/>
      <c r="K69" s="143">
        <v>925344</v>
      </c>
      <c r="L69" s="10" t="str">
        <f>IF($J$62=$K$69,"","&lt;- Accts 0848 must agree")</f>
        <v/>
      </c>
    </row>
    <row r="70" spans="1:12" ht="16.5" customHeight="1" x14ac:dyDescent="0.3">
      <c r="A70" s="54"/>
      <c r="C70" s="16"/>
      <c r="D70" s="16"/>
      <c r="E70" s="16"/>
      <c r="F70" s="17"/>
      <c r="G70" s="17"/>
      <c r="H70" s="18"/>
      <c r="I70" s="18"/>
      <c r="J70" s="107">
        <f>SUM(J68:J69)</f>
        <v>925344</v>
      </c>
      <c r="K70" s="107">
        <f>SUM(K68:K69)</f>
        <v>925344</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862768.40412801446</v>
      </c>
      <c r="K75" s="144"/>
    </row>
    <row r="76" spans="1:12" ht="16.5" customHeight="1" x14ac:dyDescent="0.3">
      <c r="A76" s="54"/>
      <c r="B76" s="9"/>
      <c r="C76" s="9" t="s">
        <v>193</v>
      </c>
      <c r="D76" s="140"/>
      <c r="E76" s="140"/>
      <c r="F76" s="141"/>
      <c r="G76" s="141"/>
      <c r="H76" s="142"/>
      <c r="I76" s="142"/>
      <c r="J76" s="144"/>
      <c r="K76" s="143">
        <v>862768.40412801446</v>
      </c>
    </row>
    <row r="77" spans="1:12" ht="16.5" customHeight="1" x14ac:dyDescent="0.25">
      <c r="A77" s="54"/>
      <c r="B77" s="178" t="s">
        <v>1662</v>
      </c>
      <c r="C77" s="178"/>
      <c r="D77" s="178"/>
      <c r="E77" s="178"/>
      <c r="F77" s="178"/>
      <c r="G77" s="178"/>
      <c r="H77" s="178"/>
      <c r="I77" s="178"/>
      <c r="J77" s="107">
        <f>SUM(J75:J76)</f>
        <v>862768.40412801446</v>
      </c>
      <c r="K77" s="107">
        <f>SUM(K75:K76)</f>
        <v>862768.40412801446</v>
      </c>
      <c r="L77" s="25"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v>0</v>
      </c>
      <c r="K85" s="144"/>
      <c r="L85" s="8"/>
    </row>
    <row r="86" spans="1:16" ht="16.5" customHeight="1" x14ac:dyDescent="0.25">
      <c r="A86" s="54"/>
      <c r="B86" s="9" t="s">
        <v>162</v>
      </c>
      <c r="C86" s="25"/>
      <c r="D86" s="25"/>
      <c r="E86" s="25"/>
      <c r="F86" s="25"/>
      <c r="G86" s="25"/>
      <c r="H86" s="25"/>
      <c r="I86" s="25"/>
      <c r="J86" s="143">
        <v>0</v>
      </c>
      <c r="K86" s="148"/>
    </row>
    <row r="87" spans="1:16" ht="16.5" customHeight="1" x14ac:dyDescent="0.25">
      <c r="A87" s="54"/>
      <c r="B87" s="9" t="s">
        <v>187</v>
      </c>
      <c r="C87" s="25"/>
      <c r="D87" s="25"/>
      <c r="E87" s="25"/>
      <c r="F87" s="25"/>
      <c r="G87" s="25"/>
      <c r="H87" s="25"/>
      <c r="I87" s="25"/>
      <c r="J87" s="143">
        <v>215272.96038019264</v>
      </c>
      <c r="K87" s="148"/>
    </row>
    <row r="88" spans="1:16" ht="16.5" customHeight="1" x14ac:dyDescent="0.25">
      <c r="A88" s="159" t="s">
        <v>1637</v>
      </c>
      <c r="B88" s="25"/>
      <c r="C88" s="9" t="s">
        <v>188</v>
      </c>
      <c r="D88" s="25"/>
      <c r="E88" s="25"/>
      <c r="F88" s="25"/>
      <c r="G88" s="25"/>
      <c r="H88" s="25"/>
      <c r="I88" s="25"/>
      <c r="J88" s="148"/>
      <c r="K88" s="143">
        <v>0</v>
      </c>
    </row>
    <row r="89" spans="1:16" ht="16.5" customHeight="1" x14ac:dyDescent="0.25">
      <c r="A89" s="159" t="s">
        <v>1637</v>
      </c>
      <c r="B89" s="25"/>
      <c r="C89" s="9" t="s">
        <v>163</v>
      </c>
      <c r="D89" s="25"/>
      <c r="E89" s="25"/>
      <c r="F89" s="25"/>
      <c r="G89" s="25"/>
      <c r="H89" s="25"/>
      <c r="I89" s="25"/>
      <c r="J89" s="148"/>
      <c r="K89" s="143">
        <v>0</v>
      </c>
    </row>
    <row r="90" spans="1:16" ht="16.5" customHeight="1" x14ac:dyDescent="0.25">
      <c r="A90" s="159" t="s">
        <v>1637</v>
      </c>
      <c r="B90" s="25"/>
      <c r="C90" s="9" t="s">
        <v>189</v>
      </c>
      <c r="D90" s="25"/>
      <c r="E90" s="25"/>
      <c r="F90" s="25"/>
      <c r="G90" s="25"/>
      <c r="H90" s="25"/>
      <c r="I90" s="25"/>
      <c r="J90" s="148"/>
      <c r="K90" s="143">
        <v>215272.96038019264</v>
      </c>
    </row>
    <row r="91" spans="1:16" ht="16.5" customHeight="1" x14ac:dyDescent="0.3">
      <c r="B91" s="130" t="s">
        <v>1640</v>
      </c>
      <c r="H91" s="10"/>
      <c r="J91" s="108">
        <f>SUM(J85:J90)</f>
        <v>215272.96038019264</v>
      </c>
      <c r="K91" s="108">
        <f>SUM(K85:K90)</f>
        <v>215272.96038019264</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v>0</v>
      </c>
      <c r="K110" s="25"/>
    </row>
    <row r="111" spans="1:12" ht="16.5" customHeight="1" x14ac:dyDescent="0.25">
      <c r="A111" s="159" t="s">
        <v>1637</v>
      </c>
      <c r="B111" s="9" t="s">
        <v>171</v>
      </c>
      <c r="C111" s="9"/>
      <c r="D111" s="7"/>
      <c r="E111" s="25"/>
      <c r="F111" s="25"/>
      <c r="G111" s="25"/>
      <c r="H111" s="25"/>
      <c r="I111" s="25"/>
      <c r="J111" s="143">
        <v>0</v>
      </c>
      <c r="K111" s="25"/>
    </row>
    <row r="112" spans="1:12" ht="16.5" customHeight="1" x14ac:dyDescent="0.25">
      <c r="A112" s="159" t="s">
        <v>1637</v>
      </c>
      <c r="B112" s="9" t="s">
        <v>172</v>
      </c>
      <c r="C112" s="9"/>
      <c r="D112" s="7"/>
      <c r="E112" s="25"/>
      <c r="F112" s="25"/>
      <c r="G112" s="25"/>
      <c r="H112" s="25"/>
      <c r="I112" s="25"/>
      <c r="J112" s="143">
        <v>360213.84099889279</v>
      </c>
      <c r="K112" s="25"/>
    </row>
    <row r="113" spans="1:12" ht="16.5" customHeight="1" x14ac:dyDescent="0.25">
      <c r="A113" s="165" t="s">
        <v>1645</v>
      </c>
      <c r="B113" s="9"/>
      <c r="C113" s="9" t="s">
        <v>173</v>
      </c>
      <c r="D113" s="7"/>
      <c r="E113" s="25"/>
      <c r="F113" s="25"/>
      <c r="G113" s="25"/>
      <c r="H113" s="25"/>
      <c r="I113" s="25"/>
      <c r="J113" s="25"/>
      <c r="K113" s="143">
        <v>360213.84099889279</v>
      </c>
    </row>
    <row r="114" spans="1:12" ht="16.5" customHeight="1" x14ac:dyDescent="0.3">
      <c r="A114" s="6"/>
      <c r="B114" s="130" t="s">
        <v>1639</v>
      </c>
      <c r="C114" s="114"/>
      <c r="D114" s="114"/>
      <c r="H114" s="10"/>
      <c r="J114" s="108">
        <f>SUM(J110:J113)</f>
        <v>360213.84099889279</v>
      </c>
      <c r="K114" s="108">
        <f>SUM(K110:K113)</f>
        <v>360213.84099889279</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56597.330051999998</v>
      </c>
    </row>
    <row r="124" spans="1:12" ht="16.5" customHeight="1" x14ac:dyDescent="0.3">
      <c r="D124" s="140" t="s">
        <v>1652</v>
      </c>
      <c r="H124" s="10"/>
      <c r="K124" s="169">
        <f>J17+J41-K90-K103+J112</f>
        <v>4997601.2906600423</v>
      </c>
    </row>
    <row r="125" spans="1:12" ht="16.5" customHeight="1" x14ac:dyDescent="0.3">
      <c r="D125" s="140" t="s">
        <v>1653</v>
      </c>
      <c r="H125" s="10"/>
      <c r="K125" s="169">
        <f>-K20-K56+J85+J97</f>
        <v>0</v>
      </c>
    </row>
    <row r="126" spans="1:12" ht="16.5" customHeight="1" x14ac:dyDescent="0.3">
      <c r="D126" s="140" t="s">
        <v>1654</v>
      </c>
      <c r="H126" s="10"/>
      <c r="K126" s="169">
        <f>-K21-K57+J86+J98</f>
        <v>-33958.839728499996</v>
      </c>
    </row>
    <row r="127" spans="1:12" ht="16.5" customHeight="1" x14ac:dyDescent="0.3">
      <c r="D127" s="140" t="s">
        <v>1655</v>
      </c>
      <c r="H127" s="10"/>
      <c r="K127" s="169">
        <f>-K22-K58+J87+J99</f>
        <v>-2477554.2638029661</v>
      </c>
    </row>
    <row r="128" spans="1:12" ht="16.5" customHeight="1" x14ac:dyDescent="0.3">
      <c r="D128" s="140" t="s">
        <v>1656</v>
      </c>
      <c r="H128" s="10"/>
      <c r="K128" s="169">
        <f>-K23-K48+J68+J75+J96-K113</f>
        <v>-1717196.0490622753</v>
      </c>
    </row>
    <row r="129" spans="4:11" ht="16.5" customHeight="1" x14ac:dyDescent="0.3">
      <c r="D129" s="140" t="s">
        <v>1657</v>
      </c>
      <c r="H129" s="10"/>
      <c r="K129" s="169">
        <f>-K76</f>
        <v>-862768.40412801446</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65" priority="12">
      <formula>$J$62&lt;&gt;$K$69</formula>
    </cfRule>
  </conditionalFormatting>
  <conditionalFormatting sqref="L26:P26">
    <cfRule type="expression" dxfId="64" priority="1">
      <formula>$J$26&lt;&gt;$K$26</formula>
    </cfRule>
  </conditionalFormatting>
  <conditionalFormatting sqref="L36:P36">
    <cfRule type="expression" dxfId="63" priority="2">
      <formula>$J$36&lt;&gt;$K$36</formula>
    </cfRule>
  </conditionalFormatting>
  <conditionalFormatting sqref="L43:P43">
    <cfRule type="expression" dxfId="62" priority="3">
      <formula>$J$43&lt;&gt;$K$43</formula>
    </cfRule>
  </conditionalFormatting>
  <conditionalFormatting sqref="L49:P49">
    <cfRule type="expression" dxfId="61" priority="4">
      <formula>$J$49&lt;&gt;$K$49</formula>
    </cfRule>
  </conditionalFormatting>
  <conditionalFormatting sqref="L59:P59">
    <cfRule type="expression" dxfId="60" priority="5">
      <formula>$J$59&lt;&gt;$K$59</formula>
    </cfRule>
  </conditionalFormatting>
  <conditionalFormatting sqref="L65:P65">
    <cfRule type="expression" dxfId="59" priority="6">
      <formula>$J$65&lt;&gt;$K$65</formula>
    </cfRule>
  </conditionalFormatting>
  <conditionalFormatting sqref="L70:P70">
    <cfRule type="expression" dxfId="58" priority="7">
      <formula>$J$70&lt;&gt;$K$70</formula>
    </cfRule>
  </conditionalFormatting>
  <conditionalFormatting sqref="L77:P77">
    <cfRule type="expression" dxfId="57" priority="8">
      <formula>$J$77&lt;&gt;$K$77</formula>
    </cfRule>
  </conditionalFormatting>
  <conditionalFormatting sqref="L91:P91">
    <cfRule type="expression" dxfId="56" priority="9">
      <formula>$J$91&lt;&gt;$K$91</formula>
    </cfRule>
  </conditionalFormatting>
  <conditionalFormatting sqref="L105:P105">
    <cfRule type="expression" dxfId="55" priority="10">
      <formula>$J$105&lt;&gt;$K$105</formula>
    </cfRule>
  </conditionalFormatting>
  <conditionalFormatting sqref="L114:P114">
    <cfRule type="expression" dxfId="54" priority="11">
      <formula>$J$114&lt;&gt;$K$114</formula>
    </cfRule>
  </conditionalFormatting>
  <dataValidations count="3">
    <dataValidation type="textLength" operator="equal" allowBlank="1" showInputMessage="1" showErrorMessage="1" errorTitle="4-Digit Org Code" error="Enter the Org Code/BU as 4 digits." sqref="F5" xr:uid="{3405ED55-F0D4-492F-A86B-B26C7F0FCE6A}">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CCDFC74-6075-4CAF-B7C1-48CA48FCDF53}">
      <formula1>0</formula1>
    </dataValidation>
    <dataValidation operator="lessThan" allowBlank="1" showInputMessage="1" showErrorMessage="1" sqref="A3:A8" xr:uid="{0C99E6C7-6AC2-48B7-93DD-48CEA2569F84}"/>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99313C92-CA1A-41DE-A875-9CD6ACAA7491}">
          <x14:formula1>
            <xm:f>'Drop Down Menus'!$E$1:$E$3</xm:f>
          </x14:formula1>
          <xm:sqref>F8</xm:sqref>
        </x14:dataValidation>
        <x14:dataValidation type="list" allowBlank="1" showInputMessage="1" showErrorMessage="1" xr:uid="{905D5CC2-006F-41FF-909B-A12514966130}">
          <x14:formula1>
            <xm:f>'Drop Down Menus'!$B$1:$B$2</xm:f>
          </x14:formula1>
          <xm:sqref>F7</xm:sqref>
        </x14:dataValidation>
        <x14:dataValidation type="list" allowBlank="1" showInputMessage="1" showErrorMessage="1" xr:uid="{19E3CCD7-EA72-4039-B069-189261A7925F}">
          <x14:formula1>
            <xm:f>'Drop Down Menus'!$A$1:$A$101</xm:f>
          </x14:formula1>
          <xm:sqref>F3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B789F-B6E8-433E-B610-776B2FBC137A}">
  <sheetPr codeName="Sheet14">
    <tabColor theme="9" tint="0.59999389629810485"/>
    <pageSetUpPr fitToPage="1"/>
  </sheetPr>
  <dimension ref="A1:T193"/>
  <sheetViews>
    <sheetView zoomScale="70" zoomScaleNormal="70" workbookViewId="0">
      <selection activeCell="N7" sqref="N7"/>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79" t="s">
        <v>1629</v>
      </c>
      <c r="B1" s="179"/>
      <c r="C1" s="179"/>
      <c r="D1" s="179"/>
      <c r="E1" s="179"/>
      <c r="F1" s="179"/>
      <c r="G1" s="179"/>
      <c r="H1" s="179"/>
      <c r="I1" s="179"/>
      <c r="J1" s="179"/>
      <c r="K1" s="179"/>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75" t="s">
        <v>10</v>
      </c>
      <c r="B3" s="175"/>
      <c r="C3" s="175"/>
      <c r="D3" s="175"/>
      <c r="E3" s="175"/>
      <c r="F3" s="180" t="s">
        <v>21</v>
      </c>
      <c r="G3" s="180"/>
      <c r="H3" s="180"/>
      <c r="I3" s="180"/>
    </row>
    <row r="4" spans="1:20" ht="16.5" customHeight="1" x14ac:dyDescent="0.25">
      <c r="A4" s="175" t="s">
        <v>191</v>
      </c>
      <c r="B4" s="175"/>
      <c r="C4" s="175"/>
      <c r="D4" s="175"/>
      <c r="E4" s="175"/>
      <c r="F4" s="181" t="s">
        <v>1676</v>
      </c>
      <c r="G4" s="181"/>
      <c r="H4" s="181"/>
      <c r="I4" s="181"/>
    </row>
    <row r="5" spans="1:20" ht="16.5" customHeight="1" x14ac:dyDescent="0.25">
      <c r="A5" s="175" t="s">
        <v>1615</v>
      </c>
      <c r="B5" s="175"/>
      <c r="C5" s="175"/>
      <c r="D5" s="175"/>
      <c r="E5" s="175"/>
      <c r="F5" s="181" t="s">
        <v>316</v>
      </c>
      <c r="G5" s="181"/>
      <c r="H5" s="181"/>
      <c r="I5" s="181"/>
      <c r="L5" s="12"/>
      <c r="M5" s="12"/>
      <c r="N5" s="12"/>
      <c r="O5" s="12"/>
      <c r="P5" s="12"/>
      <c r="Q5" s="12"/>
    </row>
    <row r="6" spans="1:20" ht="16.5" customHeight="1" x14ac:dyDescent="0.3">
      <c r="A6" s="175" t="s">
        <v>1634</v>
      </c>
      <c r="B6" s="175"/>
      <c r="C6" s="175"/>
      <c r="D6" s="175"/>
      <c r="E6" s="175"/>
      <c r="F6" s="182">
        <v>378</v>
      </c>
      <c r="G6" s="182"/>
      <c r="H6" s="182"/>
      <c r="I6" s="182"/>
      <c r="L6" s="13"/>
      <c r="M6" s="13"/>
      <c r="N6" s="13"/>
      <c r="O6" s="13"/>
      <c r="P6" s="12"/>
      <c r="Q6" s="12"/>
    </row>
    <row r="7" spans="1:20" ht="16.5" customHeight="1" x14ac:dyDescent="0.3">
      <c r="A7" s="175" t="s">
        <v>1</v>
      </c>
      <c r="B7" s="175"/>
      <c r="C7" s="175"/>
      <c r="D7" s="175"/>
      <c r="E7" s="175"/>
      <c r="F7" s="182" t="s">
        <v>120</v>
      </c>
      <c r="G7" s="182"/>
      <c r="H7" s="182"/>
      <c r="I7" s="182"/>
      <c r="K7" s="53"/>
      <c r="L7" s="13"/>
      <c r="M7" s="13"/>
      <c r="N7" s="13"/>
      <c r="O7" s="13"/>
      <c r="P7" s="12"/>
      <c r="Q7" s="12"/>
    </row>
    <row r="8" spans="1:20" ht="16.5" customHeight="1" x14ac:dyDescent="0.3">
      <c r="A8" s="175" t="s">
        <v>1616</v>
      </c>
      <c r="B8" s="175"/>
      <c r="C8" s="175"/>
      <c r="D8" s="175"/>
      <c r="E8" s="175"/>
      <c r="F8" s="182" t="s">
        <v>154</v>
      </c>
      <c r="G8" s="182"/>
      <c r="H8" s="182"/>
      <c r="I8" s="182"/>
      <c r="K8" s="53"/>
      <c r="L8" s="13"/>
      <c r="M8" s="13"/>
      <c r="N8" s="13"/>
      <c r="O8" s="13"/>
      <c r="P8" s="12"/>
      <c r="Q8" s="12"/>
    </row>
    <row r="9" spans="1:20" ht="16.5" customHeight="1" x14ac:dyDescent="0.3">
      <c r="A9" s="175" t="s">
        <v>1614</v>
      </c>
      <c r="B9" s="175"/>
      <c r="C9" s="175"/>
      <c r="D9" s="175"/>
      <c r="E9" s="175"/>
      <c r="F9" s="183" t="str">
        <f>IFERROR(IF(F7="Proprietary","Proprietary Fund",VLOOKUP(F5,qryIndex02a!$A$2:$K$654,4,FALSE)),"Unidentified")</f>
        <v>GENERAL GOVERNMENT</v>
      </c>
      <c r="G9" s="183"/>
      <c r="H9" s="183"/>
      <c r="I9" s="18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3">
      <c r="A15" s="159" t="s">
        <v>1637</v>
      </c>
      <c r="B15" s="9" t="s">
        <v>170</v>
      </c>
      <c r="C15" s="9"/>
      <c r="D15" s="9"/>
      <c r="E15" s="140"/>
      <c r="F15" s="141"/>
      <c r="G15" s="141"/>
      <c r="H15" s="142"/>
      <c r="I15" s="142"/>
      <c r="J15" s="171">
        <f>M15</f>
        <v>0</v>
      </c>
      <c r="M15" s="143">
        <v>0</v>
      </c>
      <c r="P15" s="143">
        <v>0</v>
      </c>
      <c r="Q15" s="155"/>
      <c r="S15" s="154">
        <f t="shared" ref="S15:S19" si="0">P15-M15</f>
        <v>0</v>
      </c>
      <c r="T15" s="173" t="s">
        <v>1673</v>
      </c>
    </row>
    <row r="16" spans="1:20" ht="16.5" customHeight="1" x14ac:dyDescent="0.3">
      <c r="A16" s="159" t="s">
        <v>1637</v>
      </c>
      <c r="B16" s="9" t="s">
        <v>171</v>
      </c>
      <c r="C16" s="9"/>
      <c r="D16" s="9"/>
      <c r="E16" s="140"/>
      <c r="F16" s="141"/>
      <c r="G16" s="141"/>
      <c r="H16" s="142"/>
      <c r="I16" s="142"/>
      <c r="J16" s="171">
        <f>M16</f>
        <v>0</v>
      </c>
      <c r="M16" s="143">
        <v>0</v>
      </c>
      <c r="P16" s="143">
        <v>0</v>
      </c>
      <c r="Q16" s="155"/>
      <c r="S16" s="154">
        <f t="shared" si="0"/>
        <v>0</v>
      </c>
      <c r="T16" s="173" t="s">
        <v>1673</v>
      </c>
    </row>
    <row r="17" spans="1:20" ht="16.5" customHeight="1" x14ac:dyDescent="0.3">
      <c r="A17" s="159" t="s">
        <v>1637</v>
      </c>
      <c r="B17" s="9" t="s">
        <v>172</v>
      </c>
      <c r="C17" s="9"/>
      <c r="D17" s="9"/>
      <c r="E17" s="140"/>
      <c r="F17" s="141"/>
      <c r="G17" s="141"/>
      <c r="H17" s="142"/>
      <c r="I17" s="142"/>
      <c r="J17" s="171">
        <f>M17</f>
        <v>2654035.9391567772</v>
      </c>
      <c r="M17" s="143">
        <v>2654035.9391567772</v>
      </c>
      <c r="P17" s="143">
        <v>2654036</v>
      </c>
      <c r="Q17" s="155"/>
      <c r="S17" s="154">
        <f t="shared" si="0"/>
        <v>6.084322277456522E-2</v>
      </c>
      <c r="T17" s="173" t="s">
        <v>1673</v>
      </c>
    </row>
    <row r="18" spans="1:20" ht="16.5" customHeight="1" x14ac:dyDescent="0.3">
      <c r="A18" s="54"/>
      <c r="B18" s="9" t="s">
        <v>168</v>
      </c>
      <c r="C18" s="9"/>
      <c r="D18" s="9"/>
      <c r="E18" s="140"/>
      <c r="F18" s="141"/>
      <c r="G18" s="141"/>
      <c r="H18" s="142"/>
      <c r="I18" s="142"/>
      <c r="J18" s="171">
        <f>P18</f>
        <v>561</v>
      </c>
      <c r="M18" s="143">
        <v>26913.548185132146</v>
      </c>
      <c r="P18" s="152">
        <f>IF(SUM($Q$20:$Q$23)&gt;SUM($P$15:$P$17),SUM($Q$20:$Q$23)-SUM($P$15:$P$17),0)</f>
        <v>561</v>
      </c>
      <c r="Q18" s="155"/>
      <c r="S18" s="154">
        <f t="shared" si="0"/>
        <v>-26352.548185132146</v>
      </c>
      <c r="T18" s="172" t="s">
        <v>1661</v>
      </c>
    </row>
    <row r="19" spans="1:20"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c r="T19" s="172" t="s">
        <v>1661</v>
      </c>
    </row>
    <row r="20" spans="1:20" ht="16.5" customHeight="1" x14ac:dyDescent="0.3">
      <c r="A20" s="54"/>
      <c r="B20" s="9"/>
      <c r="C20" s="9" t="s">
        <v>177</v>
      </c>
      <c r="D20" s="9"/>
      <c r="E20" s="140"/>
      <c r="F20" s="141"/>
      <c r="G20" s="141"/>
      <c r="H20" s="142"/>
      <c r="I20" s="142"/>
      <c r="J20" s="150"/>
      <c r="K20" s="171">
        <f>N20</f>
        <v>0</v>
      </c>
      <c r="N20" s="143">
        <v>0</v>
      </c>
      <c r="P20" s="155"/>
      <c r="Q20" s="143">
        <v>0</v>
      </c>
      <c r="S20" s="154">
        <f>Q20-N20</f>
        <v>0</v>
      </c>
      <c r="T20" s="172" t="s">
        <v>1661</v>
      </c>
    </row>
    <row r="21" spans="1:20" ht="16.5" customHeight="1" x14ac:dyDescent="0.3">
      <c r="A21" s="54"/>
      <c r="B21" s="9"/>
      <c r="C21" s="9" t="s">
        <v>174</v>
      </c>
      <c r="D21" s="9"/>
      <c r="E21" s="140"/>
      <c r="F21" s="141"/>
      <c r="G21" s="141"/>
      <c r="H21" s="142"/>
      <c r="I21" s="142"/>
      <c r="J21" s="150"/>
      <c r="K21" s="171">
        <f>N21</f>
        <v>0</v>
      </c>
      <c r="N21" s="143">
        <v>0</v>
      </c>
      <c r="P21" s="155"/>
      <c r="Q21" s="143">
        <v>0</v>
      </c>
      <c r="S21" s="154">
        <f>Q21-N21</f>
        <v>0</v>
      </c>
      <c r="T21" s="172" t="s">
        <v>1661</v>
      </c>
    </row>
    <row r="22" spans="1:20" ht="16.5" customHeight="1" x14ac:dyDescent="0.3">
      <c r="A22" s="54"/>
      <c r="B22" s="9"/>
      <c r="C22" s="9" t="s">
        <v>178</v>
      </c>
      <c r="D22" s="9"/>
      <c r="E22" s="140"/>
      <c r="F22" s="141"/>
      <c r="G22" s="141"/>
      <c r="H22" s="142"/>
      <c r="I22" s="142"/>
      <c r="J22" s="150"/>
      <c r="K22" s="171">
        <f>N22</f>
        <v>1013281.4795500067</v>
      </c>
      <c r="N22" s="143">
        <v>1013281.4795500067</v>
      </c>
      <c r="P22" s="155"/>
      <c r="Q22" s="143">
        <v>1013282</v>
      </c>
      <c r="S22" s="154">
        <f t="shared" ref="S22:S25" si="1">Q22-N22</f>
        <v>0.52044999331701547</v>
      </c>
      <c r="T22" s="172" t="s">
        <v>1661</v>
      </c>
    </row>
    <row r="23" spans="1:20" ht="16.5" customHeight="1" x14ac:dyDescent="0.3">
      <c r="A23" s="165" t="s">
        <v>1645</v>
      </c>
      <c r="B23" s="9"/>
      <c r="C23" s="9" t="s">
        <v>173</v>
      </c>
      <c r="D23" s="9"/>
      <c r="E23" s="140"/>
      <c r="F23" s="141"/>
      <c r="G23" s="141"/>
      <c r="H23" s="142"/>
      <c r="I23" s="142"/>
      <c r="J23" s="150"/>
      <c r="K23" s="171">
        <f>N23</f>
        <v>1641314.7900024285</v>
      </c>
      <c r="N23" s="143">
        <v>1641314.7900024285</v>
      </c>
      <c r="P23" s="155"/>
      <c r="Q23" s="143">
        <v>1641315</v>
      </c>
      <c r="S23" s="154">
        <f t="shared" si="1"/>
        <v>0.20999757153913379</v>
      </c>
      <c r="T23" s="172" t="s">
        <v>1661</v>
      </c>
    </row>
    <row r="24" spans="1:20" ht="16.5" customHeight="1" x14ac:dyDescent="0.3">
      <c r="A24" s="54"/>
      <c r="B24" s="9"/>
      <c r="C24" s="9" t="s">
        <v>175</v>
      </c>
      <c r="D24" s="9"/>
      <c r="E24" s="140"/>
      <c r="F24" s="141"/>
      <c r="G24" s="141"/>
      <c r="H24" s="142"/>
      <c r="I24" s="142"/>
      <c r="J24" s="150"/>
      <c r="K24" s="171">
        <f>Q24</f>
        <v>0</v>
      </c>
      <c r="N24" s="143">
        <v>26353.047789473683</v>
      </c>
      <c r="P24" s="155"/>
      <c r="Q24" s="152">
        <f>IF(SUM($Q$20:$Q$23)&lt;SUM($P$15:$P$17),-SUM($Q$20:$Q$23)+SUM($P$15:$P$17),0)</f>
        <v>0</v>
      </c>
      <c r="S24" s="154">
        <f t="shared" si="1"/>
        <v>-26353.047789473683</v>
      </c>
      <c r="T24" s="172" t="s">
        <v>1661</v>
      </c>
    </row>
    <row r="25" spans="1:20" ht="16.5" customHeight="1" x14ac:dyDescent="0.3">
      <c r="A25" s="54"/>
      <c r="B25" s="9"/>
      <c r="C25" s="9" t="s">
        <v>176</v>
      </c>
      <c r="D25" s="9"/>
      <c r="E25" s="140"/>
      <c r="F25" s="141"/>
      <c r="G25" s="141"/>
      <c r="H25" s="142"/>
      <c r="I25" s="142"/>
      <c r="J25" s="150"/>
      <c r="K25" s="171">
        <f>IF(SUM($K$20:$K$24)&lt;SUM($J$15:$J$18),-SUM($K$20:$K$24)+SUM($J$15:$J$18),0)</f>
        <v>0.66960434196516871</v>
      </c>
      <c r="N25" s="143"/>
      <c r="P25" s="155"/>
      <c r="Q25" s="155"/>
      <c r="S25" s="154">
        <f t="shared" si="1"/>
        <v>0</v>
      </c>
      <c r="T25" s="172" t="s">
        <v>1661</v>
      </c>
    </row>
    <row r="26" spans="1:20" ht="16.5" customHeight="1" x14ac:dyDescent="0.3">
      <c r="A26" s="54"/>
      <c r="C26" s="20"/>
      <c r="D26" s="20"/>
      <c r="E26" s="20"/>
      <c r="F26" s="127"/>
      <c r="G26" s="127"/>
      <c r="H26" s="22"/>
      <c r="I26" s="22"/>
      <c r="J26" s="107">
        <f>SUM(J15:J25)</f>
        <v>2654596.9391567772</v>
      </c>
      <c r="K26" s="107">
        <f>SUM(K15:K25)</f>
        <v>2654596.9391567772</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509752.7597750033</v>
      </c>
      <c r="K55" s="144"/>
    </row>
    <row r="56" spans="1:16" ht="16.5" customHeight="1" x14ac:dyDescent="0.3">
      <c r="A56" s="54"/>
      <c r="B56" s="25"/>
      <c r="C56" s="9" t="s">
        <v>177</v>
      </c>
      <c r="D56" s="140"/>
      <c r="E56" s="140"/>
      <c r="F56" s="141"/>
      <c r="G56" s="141"/>
      <c r="H56" s="142"/>
      <c r="I56" s="142"/>
      <c r="J56" s="145"/>
      <c r="K56" s="143">
        <v>0</v>
      </c>
    </row>
    <row r="57" spans="1:16" ht="16.5" customHeight="1" x14ac:dyDescent="0.3">
      <c r="A57" s="54"/>
      <c r="B57" s="25"/>
      <c r="C57" s="9" t="s">
        <v>174</v>
      </c>
      <c r="D57" s="140"/>
      <c r="E57" s="140"/>
      <c r="F57" s="141"/>
      <c r="G57" s="141"/>
      <c r="H57" s="142"/>
      <c r="I57" s="142"/>
      <c r="J57" s="145"/>
      <c r="K57" s="143">
        <v>0</v>
      </c>
    </row>
    <row r="58" spans="1:16" ht="16.5" customHeight="1" x14ac:dyDescent="0.3">
      <c r="A58" s="54"/>
      <c r="B58" s="9"/>
      <c r="C58" s="9" t="s">
        <v>178</v>
      </c>
      <c r="D58" s="140"/>
      <c r="E58" s="140"/>
      <c r="F58" s="141"/>
      <c r="G58" s="141"/>
      <c r="H58" s="142"/>
      <c r="I58" s="142"/>
      <c r="J58" s="144"/>
      <c r="K58" s="143">
        <v>509752.7597750033</v>
      </c>
    </row>
    <row r="59" spans="1:16" ht="16.5" customHeight="1" x14ac:dyDescent="0.3">
      <c r="A59" s="54"/>
      <c r="C59" s="16"/>
      <c r="D59" s="16"/>
      <c r="E59" s="16"/>
      <c r="F59" s="17"/>
      <c r="G59" s="17"/>
      <c r="H59" s="18"/>
      <c r="I59" s="18"/>
      <c r="J59" s="107">
        <f>SUM(J55:J58)</f>
        <v>509752.7597750033</v>
      </c>
      <c r="K59" s="107">
        <f>SUM(K55:K58)</f>
        <v>509752.7597750033</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518200</v>
      </c>
      <c r="K62" s="147"/>
      <c r="L62" s="10" t="str">
        <f>IF($J$62=$K$69,"","&lt;- Accts 0848 must agree")</f>
        <v/>
      </c>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14849</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533049</v>
      </c>
    </row>
    <row r="65" spans="1:12" ht="16.5" customHeight="1" x14ac:dyDescent="0.3">
      <c r="A65" s="54"/>
      <c r="C65" s="16"/>
      <c r="D65" s="16"/>
      <c r="E65" s="16"/>
      <c r="F65" s="17"/>
      <c r="G65" s="17"/>
      <c r="H65" s="18"/>
      <c r="I65" s="18"/>
      <c r="J65" s="107">
        <f>SUM(J62:J64)</f>
        <v>533049</v>
      </c>
      <c r="K65" s="107">
        <f>SUM(K62:K64)</f>
        <v>533049</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518200</v>
      </c>
      <c r="K68" s="144"/>
    </row>
    <row r="69" spans="1:12" ht="16.5" customHeight="1" x14ac:dyDescent="0.3">
      <c r="A69" s="54"/>
      <c r="B69" s="9"/>
      <c r="C69" s="9" t="s">
        <v>185</v>
      </c>
      <c r="D69" s="140"/>
      <c r="E69" s="140"/>
      <c r="F69" s="141"/>
      <c r="G69" s="141"/>
      <c r="H69" s="142"/>
      <c r="I69" s="142"/>
      <c r="J69" s="144"/>
      <c r="K69" s="143">
        <v>518200</v>
      </c>
      <c r="L69" s="10" t="str">
        <f>IF($J$62=$K$69,"","&lt;- Accts 0848 must agree")</f>
        <v/>
      </c>
    </row>
    <row r="70" spans="1:12" ht="16.5" customHeight="1" x14ac:dyDescent="0.3">
      <c r="A70" s="54"/>
      <c r="C70" s="16"/>
      <c r="D70" s="16"/>
      <c r="E70" s="16"/>
      <c r="F70" s="17"/>
      <c r="G70" s="17"/>
      <c r="H70" s="18"/>
      <c r="I70" s="18"/>
      <c r="J70" s="107">
        <f>SUM(J68:J69)</f>
        <v>518200</v>
      </c>
      <c r="K70" s="107">
        <f>SUM(K68:K69)</f>
        <v>518200</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463864.54876689712</v>
      </c>
      <c r="K75" s="144"/>
    </row>
    <row r="76" spans="1:12" ht="16.5" customHeight="1" x14ac:dyDescent="0.3">
      <c r="A76" s="54"/>
      <c r="B76" s="9"/>
      <c r="C76" s="9" t="s">
        <v>193</v>
      </c>
      <c r="D76" s="140"/>
      <c r="E76" s="140"/>
      <c r="F76" s="141"/>
      <c r="G76" s="141"/>
      <c r="H76" s="142"/>
      <c r="I76" s="142"/>
      <c r="J76" s="144"/>
      <c r="K76" s="143">
        <v>463864.54876689712</v>
      </c>
    </row>
    <row r="77" spans="1:12" ht="16.5" customHeight="1" x14ac:dyDescent="0.25">
      <c r="A77" s="54"/>
      <c r="B77" s="178" t="s">
        <v>1662</v>
      </c>
      <c r="C77" s="178"/>
      <c r="D77" s="178"/>
      <c r="E77" s="178"/>
      <c r="F77" s="178"/>
      <c r="G77" s="178"/>
      <c r="H77" s="178"/>
      <c r="I77" s="178"/>
      <c r="J77" s="107">
        <f>SUM(J75:J76)</f>
        <v>463864.54876689712</v>
      </c>
      <c r="K77" s="107">
        <f>SUM(K75:K76)</f>
        <v>463864.54876689712</v>
      </c>
      <c r="L77" s="25"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row>
    <row r="91" spans="1:16" ht="16.5" customHeight="1" x14ac:dyDescent="0.3">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v>0</v>
      </c>
      <c r="K110" s="25"/>
    </row>
    <row r="111" spans="1:12" ht="16.5" customHeight="1" x14ac:dyDescent="0.25">
      <c r="A111" s="159" t="s">
        <v>1637</v>
      </c>
      <c r="B111" s="9" t="s">
        <v>171</v>
      </c>
      <c r="C111" s="9"/>
      <c r="D111" s="7"/>
      <c r="E111" s="25"/>
      <c r="F111" s="25"/>
      <c r="G111" s="25"/>
      <c r="H111" s="25"/>
      <c r="I111" s="25"/>
      <c r="J111" s="143">
        <v>0</v>
      </c>
      <c r="K111" s="25"/>
    </row>
    <row r="112" spans="1:12" ht="16.5" customHeight="1" x14ac:dyDescent="0.25">
      <c r="A112" s="159" t="s">
        <v>1637</v>
      </c>
      <c r="B112" s="9" t="s">
        <v>172</v>
      </c>
      <c r="C112" s="9"/>
      <c r="D112" s="7"/>
      <c r="E112" s="25"/>
      <c r="F112" s="25"/>
      <c r="G112" s="25"/>
      <c r="H112" s="25"/>
      <c r="I112" s="25"/>
      <c r="J112" s="143">
        <v>150603</v>
      </c>
      <c r="K112" s="25"/>
    </row>
    <row r="113" spans="1:12" ht="16.5" customHeight="1" x14ac:dyDescent="0.25">
      <c r="A113" s="165" t="s">
        <v>1645</v>
      </c>
      <c r="B113" s="9"/>
      <c r="C113" s="9" t="s">
        <v>173</v>
      </c>
      <c r="D113" s="7"/>
      <c r="E113" s="25"/>
      <c r="F113" s="25"/>
      <c r="G113" s="25"/>
      <c r="H113" s="25"/>
      <c r="I113" s="25"/>
      <c r="J113" s="25"/>
      <c r="K113" s="143">
        <v>150603</v>
      </c>
    </row>
    <row r="114" spans="1:12" ht="16.5" customHeight="1" x14ac:dyDescent="0.3">
      <c r="A114" s="6"/>
      <c r="B114" s="130" t="s">
        <v>1639</v>
      </c>
      <c r="C114" s="114"/>
      <c r="D114" s="114"/>
      <c r="H114" s="10"/>
      <c r="J114" s="108">
        <f>SUM(J110:J113)</f>
        <v>150603</v>
      </c>
      <c r="K114" s="108">
        <f>SUM(K110:K113)</f>
        <v>150603</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2804638.9391567772</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-1523034.23932501</v>
      </c>
    </row>
    <row r="128" spans="1:12" ht="16.5" customHeight="1" x14ac:dyDescent="0.3">
      <c r="D128" s="140" t="s">
        <v>1656</v>
      </c>
      <c r="H128" s="10"/>
      <c r="K128" s="169">
        <f>-K23-K48+J68+J75+J96-K113</f>
        <v>-809853.2412355314</v>
      </c>
    </row>
    <row r="129" spans="4:11" ht="16.5" customHeight="1" x14ac:dyDescent="0.3">
      <c r="D129" s="140" t="s">
        <v>1657</v>
      </c>
      <c r="H129" s="10"/>
      <c r="K129" s="169">
        <f>-K76</f>
        <v>-463864.54876689712</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53" priority="12">
      <formula>$J$62&lt;&gt;$K$69</formula>
    </cfRule>
  </conditionalFormatting>
  <conditionalFormatting sqref="L26:P26">
    <cfRule type="expression" dxfId="52" priority="1">
      <formula>$J$26&lt;&gt;$K$26</formula>
    </cfRule>
  </conditionalFormatting>
  <conditionalFormatting sqref="L36:P36">
    <cfRule type="expression" dxfId="51" priority="2">
      <formula>$J$36&lt;&gt;$K$36</formula>
    </cfRule>
  </conditionalFormatting>
  <conditionalFormatting sqref="L43:P43">
    <cfRule type="expression" dxfId="50" priority="3">
      <formula>$J$43&lt;&gt;$K$43</formula>
    </cfRule>
  </conditionalFormatting>
  <conditionalFormatting sqref="L49:P49">
    <cfRule type="expression" dxfId="49" priority="4">
      <formula>$J$49&lt;&gt;$K$49</formula>
    </cfRule>
  </conditionalFormatting>
  <conditionalFormatting sqref="L59:P59">
    <cfRule type="expression" dxfId="48" priority="5">
      <formula>$J$59&lt;&gt;$K$59</formula>
    </cfRule>
  </conditionalFormatting>
  <conditionalFormatting sqref="L65:P65">
    <cfRule type="expression" dxfId="47" priority="6">
      <formula>$J$65&lt;&gt;$K$65</formula>
    </cfRule>
  </conditionalFormatting>
  <conditionalFormatting sqref="L70:P70">
    <cfRule type="expression" dxfId="46" priority="7">
      <formula>$J$70&lt;&gt;$K$70</formula>
    </cfRule>
  </conditionalFormatting>
  <conditionalFormatting sqref="L77:P77">
    <cfRule type="expression" dxfId="45" priority="8">
      <formula>$J$77&lt;&gt;$K$77</formula>
    </cfRule>
  </conditionalFormatting>
  <conditionalFormatting sqref="L91:P91">
    <cfRule type="expression" dxfId="44" priority="9">
      <formula>$J$91&lt;&gt;$K$91</formula>
    </cfRule>
  </conditionalFormatting>
  <conditionalFormatting sqref="L105:P105">
    <cfRule type="expression" dxfId="43" priority="10">
      <formula>$J$105&lt;&gt;$K$105</formula>
    </cfRule>
  </conditionalFormatting>
  <conditionalFormatting sqref="L114:P114">
    <cfRule type="expression" dxfId="42" priority="11">
      <formula>$J$114&lt;&gt;$K$114</formula>
    </cfRule>
  </conditionalFormatting>
  <dataValidations count="3">
    <dataValidation type="textLength" operator="equal" allowBlank="1" showInputMessage="1" showErrorMessage="1" errorTitle="4-Digit Org Code" error="Enter the Org Code/BU as 4 digits." sqref="F5" xr:uid="{DB3C2755-D4AC-47BF-ABD0-5EB76A8BD17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104FD54-5896-486F-B945-EB48E93CCEDD}">
      <formula1>0</formula1>
    </dataValidation>
    <dataValidation operator="lessThan" allowBlank="1" showInputMessage="1" showErrorMessage="1" sqref="A3:A8" xr:uid="{70B24C65-0885-4846-A0A9-EC1F47B6FEDC}"/>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5C3EBD4B-4CFC-49AA-BBA5-605416DE7C85}">
          <x14:formula1>
            <xm:f>'Drop Down Menus'!$E$1:$E$3</xm:f>
          </x14:formula1>
          <xm:sqref>F8</xm:sqref>
        </x14:dataValidation>
        <x14:dataValidation type="list" allowBlank="1" showInputMessage="1" showErrorMessage="1" xr:uid="{422FAF9F-F2A5-495F-8742-7C84B2339FDB}">
          <x14:formula1>
            <xm:f>'Drop Down Menus'!$B$1:$B$2</xm:f>
          </x14:formula1>
          <xm:sqref>F7</xm:sqref>
        </x14:dataValidation>
        <x14:dataValidation type="list" allowBlank="1" showInputMessage="1" showErrorMessage="1" xr:uid="{97DECC6B-1087-450F-B6BC-6C7DEBFFD40C}">
          <x14:formula1>
            <xm:f>'Drop Down Menus'!$A$1:$A$101</xm:f>
          </x14:formula1>
          <xm:sqref>F3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8E7DC-A196-4724-BD2C-E560FB6CAE85}">
  <sheetPr codeName="Sheet15">
    <tabColor theme="9" tint="0.59999389629810485"/>
    <pageSetUpPr fitToPage="1"/>
  </sheetPr>
  <dimension ref="A1:T193"/>
  <sheetViews>
    <sheetView zoomScale="70" zoomScaleNormal="70" workbookViewId="0">
      <selection activeCell="P3" sqref="P3"/>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79" t="s">
        <v>1629</v>
      </c>
      <c r="B1" s="179"/>
      <c r="C1" s="179"/>
      <c r="D1" s="179"/>
      <c r="E1" s="179"/>
      <c r="F1" s="179"/>
      <c r="G1" s="179"/>
      <c r="H1" s="179"/>
      <c r="I1" s="179"/>
      <c r="J1" s="179"/>
      <c r="K1" s="179"/>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75" t="s">
        <v>10</v>
      </c>
      <c r="B3" s="175"/>
      <c r="C3" s="175"/>
      <c r="D3" s="175"/>
      <c r="E3" s="175"/>
      <c r="F3" s="180" t="s">
        <v>21</v>
      </c>
      <c r="G3" s="180"/>
      <c r="H3" s="180"/>
      <c r="I3" s="180"/>
    </row>
    <row r="4" spans="1:20" ht="16.5" customHeight="1" x14ac:dyDescent="0.25">
      <c r="A4" s="175" t="s">
        <v>191</v>
      </c>
      <c r="B4" s="175"/>
      <c r="C4" s="175"/>
      <c r="D4" s="175"/>
      <c r="E4" s="175"/>
      <c r="F4" s="181" t="s">
        <v>1676</v>
      </c>
      <c r="G4" s="181"/>
      <c r="H4" s="181"/>
      <c r="I4" s="181"/>
    </row>
    <row r="5" spans="1:20" ht="16.5" customHeight="1" x14ac:dyDescent="0.25">
      <c r="A5" s="175" t="s">
        <v>1615</v>
      </c>
      <c r="B5" s="175"/>
      <c r="C5" s="175"/>
      <c r="D5" s="175"/>
      <c r="E5" s="175"/>
      <c r="F5" s="181" t="s">
        <v>316</v>
      </c>
      <c r="G5" s="181"/>
      <c r="H5" s="181"/>
      <c r="I5" s="181"/>
      <c r="L5" s="12"/>
      <c r="M5" s="12"/>
      <c r="N5" s="12"/>
      <c r="O5" s="12"/>
      <c r="P5" s="12"/>
      <c r="Q5" s="12"/>
    </row>
    <row r="6" spans="1:20" ht="16.5" customHeight="1" x14ac:dyDescent="0.3">
      <c r="A6" s="175" t="s">
        <v>1634</v>
      </c>
      <c r="B6" s="175"/>
      <c r="C6" s="175"/>
      <c r="D6" s="175"/>
      <c r="E6" s="175"/>
      <c r="F6" s="182">
        <v>460</v>
      </c>
      <c r="G6" s="182"/>
      <c r="H6" s="182"/>
      <c r="I6" s="182"/>
      <c r="L6" s="13"/>
      <c r="M6" s="13"/>
      <c r="N6" s="13"/>
      <c r="O6" s="13"/>
      <c r="P6" s="12"/>
      <c r="Q6" s="12"/>
    </row>
    <row r="7" spans="1:20" ht="16.5" customHeight="1" x14ac:dyDescent="0.3">
      <c r="A7" s="175" t="s">
        <v>1</v>
      </c>
      <c r="B7" s="175"/>
      <c r="C7" s="175"/>
      <c r="D7" s="175"/>
      <c r="E7" s="175"/>
      <c r="F7" s="182" t="s">
        <v>120</v>
      </c>
      <c r="G7" s="182"/>
      <c r="H7" s="182"/>
      <c r="I7" s="182"/>
      <c r="K7" s="53"/>
      <c r="L7" s="13"/>
      <c r="M7" s="13"/>
      <c r="N7" s="13"/>
      <c r="O7" s="13"/>
      <c r="P7" s="12"/>
      <c r="Q7" s="12"/>
    </row>
    <row r="8" spans="1:20" ht="16.5" customHeight="1" x14ac:dyDescent="0.3">
      <c r="A8" s="175" t="s">
        <v>1616</v>
      </c>
      <c r="B8" s="175"/>
      <c r="C8" s="175"/>
      <c r="D8" s="175"/>
      <c r="E8" s="175"/>
      <c r="F8" s="182" t="s">
        <v>154</v>
      </c>
      <c r="G8" s="182"/>
      <c r="H8" s="182"/>
      <c r="I8" s="182"/>
      <c r="K8" s="53"/>
      <c r="L8" s="13"/>
      <c r="M8" s="13"/>
      <c r="N8" s="13"/>
      <c r="O8" s="13"/>
      <c r="P8" s="12"/>
      <c r="Q8" s="12"/>
    </row>
    <row r="9" spans="1:20" ht="16.5" customHeight="1" x14ac:dyDescent="0.3">
      <c r="A9" s="175" t="s">
        <v>1614</v>
      </c>
      <c r="B9" s="175"/>
      <c r="C9" s="175"/>
      <c r="D9" s="175"/>
      <c r="E9" s="175"/>
      <c r="F9" s="183" t="str">
        <f>IFERROR(IF(F7="Proprietary","Proprietary Fund",VLOOKUP(F5,qryIndex02a!$A$2:$K$654,4,FALSE)),"Unidentified")</f>
        <v>GENERAL GOVERNMENT</v>
      </c>
      <c r="G9" s="183"/>
      <c r="H9" s="183"/>
      <c r="I9" s="18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3">
      <c r="A15" s="159" t="s">
        <v>1637</v>
      </c>
      <c r="B15" s="9" t="s">
        <v>170</v>
      </c>
      <c r="C15" s="9"/>
      <c r="D15" s="9"/>
      <c r="E15" s="140"/>
      <c r="F15" s="141"/>
      <c r="G15" s="141"/>
      <c r="H15" s="142"/>
      <c r="I15" s="142"/>
      <c r="J15" s="171">
        <f>M15</f>
        <v>0</v>
      </c>
      <c r="M15" s="143">
        <v>0</v>
      </c>
      <c r="P15" s="143">
        <v>0</v>
      </c>
      <c r="Q15" s="155"/>
      <c r="S15" s="154">
        <f t="shared" ref="S15:S19" si="0">P15-M15</f>
        <v>0</v>
      </c>
      <c r="T15" s="173" t="s">
        <v>1673</v>
      </c>
    </row>
    <row r="16" spans="1:20" ht="16.5" customHeight="1" x14ac:dyDescent="0.3">
      <c r="A16" s="159" t="s">
        <v>1637</v>
      </c>
      <c r="B16" s="9" t="s">
        <v>171</v>
      </c>
      <c r="C16" s="9"/>
      <c r="D16" s="9"/>
      <c r="E16" s="140"/>
      <c r="F16" s="141"/>
      <c r="G16" s="141"/>
      <c r="H16" s="142"/>
      <c r="I16" s="142"/>
      <c r="J16" s="171">
        <f>M16</f>
        <v>93098.478683999987</v>
      </c>
      <c r="M16" s="143">
        <v>93098.478683999987</v>
      </c>
      <c r="P16" s="143">
        <v>93098</v>
      </c>
      <c r="Q16" s="155"/>
      <c r="S16" s="154">
        <f t="shared" si="0"/>
        <v>-0.47868399998696987</v>
      </c>
      <c r="T16" s="173" t="s">
        <v>1673</v>
      </c>
    </row>
    <row r="17" spans="1:20" ht="16.5" customHeight="1" x14ac:dyDescent="0.3">
      <c r="A17" s="159" t="s">
        <v>1637</v>
      </c>
      <c r="B17" s="9" t="s">
        <v>172</v>
      </c>
      <c r="C17" s="9"/>
      <c r="D17" s="9"/>
      <c r="E17" s="140"/>
      <c r="F17" s="141"/>
      <c r="G17" s="141"/>
      <c r="H17" s="142"/>
      <c r="I17" s="142"/>
      <c r="J17" s="171">
        <f>M17</f>
        <v>687570.26699823025</v>
      </c>
      <c r="M17" s="143">
        <v>687570.26699823025</v>
      </c>
      <c r="P17" s="143">
        <v>687570</v>
      </c>
      <c r="Q17" s="155"/>
      <c r="S17" s="154">
        <f t="shared" si="0"/>
        <v>-0.26699823024682701</v>
      </c>
      <c r="T17" s="173" t="s">
        <v>1673</v>
      </c>
    </row>
    <row r="18" spans="1:20" ht="16.5" customHeight="1" x14ac:dyDescent="0.3">
      <c r="A18" s="54"/>
      <c r="B18" s="9" t="s">
        <v>168</v>
      </c>
      <c r="C18" s="9"/>
      <c r="D18" s="9"/>
      <c r="E18" s="140"/>
      <c r="F18" s="141"/>
      <c r="G18" s="141"/>
      <c r="H18" s="142"/>
      <c r="I18" s="142"/>
      <c r="J18" s="171">
        <f>P18</f>
        <v>0</v>
      </c>
      <c r="M18" s="143">
        <v>34280.994206743097</v>
      </c>
      <c r="P18" s="152">
        <f>IF(SUM($Q$20:$Q$23)&gt;SUM($P$15:$P$17),SUM($Q$20:$Q$23)-SUM($P$15:$P$17),0)</f>
        <v>0</v>
      </c>
      <c r="Q18" s="155"/>
      <c r="S18" s="154">
        <f t="shared" si="0"/>
        <v>-34280.994206743097</v>
      </c>
      <c r="T18" s="172" t="s">
        <v>1661</v>
      </c>
    </row>
    <row r="19" spans="1:20"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c r="T19" s="172" t="s">
        <v>1661</v>
      </c>
    </row>
    <row r="20" spans="1:20" ht="16.5" customHeight="1" x14ac:dyDescent="0.3">
      <c r="A20" s="54"/>
      <c r="B20" s="9"/>
      <c r="C20" s="9" t="s">
        <v>177</v>
      </c>
      <c r="D20" s="9"/>
      <c r="E20" s="140"/>
      <c r="F20" s="141"/>
      <c r="G20" s="141"/>
      <c r="H20" s="142"/>
      <c r="I20" s="142"/>
      <c r="J20" s="150"/>
      <c r="K20" s="171">
        <f>N20</f>
        <v>0</v>
      </c>
      <c r="N20" s="143">
        <v>0</v>
      </c>
      <c r="P20" s="155"/>
      <c r="Q20" s="143">
        <v>0</v>
      </c>
      <c r="S20" s="154">
        <f>Q20-N20</f>
        <v>0</v>
      </c>
      <c r="T20" s="172" t="s">
        <v>1661</v>
      </c>
    </row>
    <row r="21" spans="1:20" ht="16.5" customHeight="1" x14ac:dyDescent="0.3">
      <c r="A21" s="54"/>
      <c r="B21" s="9"/>
      <c r="C21" s="9" t="s">
        <v>174</v>
      </c>
      <c r="D21" s="9"/>
      <c r="E21" s="140"/>
      <c r="F21" s="141"/>
      <c r="G21" s="141"/>
      <c r="H21" s="142"/>
      <c r="I21" s="142"/>
      <c r="J21" s="150"/>
      <c r="K21" s="171">
        <f>N21</f>
        <v>37239.239659500003</v>
      </c>
      <c r="N21" s="143">
        <v>37239.239659500003</v>
      </c>
      <c r="P21" s="155"/>
      <c r="Q21" s="143">
        <v>37240</v>
      </c>
      <c r="S21" s="154">
        <f>Q21-N21</f>
        <v>0.76034049999725539</v>
      </c>
      <c r="T21" s="172" t="s">
        <v>1661</v>
      </c>
    </row>
    <row r="22" spans="1:20" ht="16.5" customHeight="1" x14ac:dyDescent="0.3">
      <c r="A22" s="54"/>
      <c r="B22" s="9"/>
      <c r="C22" s="9" t="s">
        <v>178</v>
      </c>
      <c r="D22" s="9"/>
      <c r="E22" s="140"/>
      <c r="F22" s="141"/>
      <c r="G22" s="141"/>
      <c r="H22" s="142"/>
      <c r="I22" s="142"/>
      <c r="J22" s="150"/>
      <c r="K22" s="171">
        <f>N22</f>
        <v>208813.97750971271</v>
      </c>
      <c r="N22" s="143">
        <v>208813.97750971271</v>
      </c>
      <c r="P22" s="155"/>
      <c r="Q22" s="143">
        <v>208814</v>
      </c>
      <c r="S22" s="154">
        <f t="shared" ref="S22:S25" si="1">Q22-N22</f>
        <v>2.2490287286927924E-2</v>
      </c>
      <c r="T22" s="172" t="s">
        <v>1661</v>
      </c>
    </row>
    <row r="23" spans="1:20" ht="16.5" customHeight="1" x14ac:dyDescent="0.3">
      <c r="A23" s="165" t="s">
        <v>1645</v>
      </c>
      <c r="B23" s="9"/>
      <c r="C23" s="9" t="s">
        <v>173</v>
      </c>
      <c r="D23" s="9"/>
      <c r="E23" s="140"/>
      <c r="F23" s="141"/>
      <c r="G23" s="141"/>
      <c r="H23" s="142"/>
      <c r="I23" s="142"/>
      <c r="J23" s="150"/>
      <c r="K23" s="171">
        <f>N23</f>
        <v>532293.1098003604</v>
      </c>
      <c r="N23" s="143">
        <v>532293.1098003604</v>
      </c>
      <c r="P23" s="155"/>
      <c r="Q23" s="143">
        <v>532293</v>
      </c>
      <c r="S23" s="154">
        <f t="shared" si="1"/>
        <v>-0.10980036039836705</v>
      </c>
      <c r="T23" s="172" t="s">
        <v>1661</v>
      </c>
    </row>
    <row r="24" spans="1:20" ht="16.5" customHeight="1" x14ac:dyDescent="0.3">
      <c r="A24" s="54"/>
      <c r="B24" s="9"/>
      <c r="C24" s="9" t="s">
        <v>175</v>
      </c>
      <c r="D24" s="9"/>
      <c r="E24" s="140"/>
      <c r="F24" s="141"/>
      <c r="G24" s="141"/>
      <c r="H24" s="142"/>
      <c r="I24" s="142"/>
      <c r="J24" s="150"/>
      <c r="K24" s="171">
        <f>Q24</f>
        <v>2321</v>
      </c>
      <c r="N24" s="143">
        <v>36602.945042500309</v>
      </c>
      <c r="P24" s="155"/>
      <c r="Q24" s="152">
        <f>IF(SUM($Q$20:$Q$23)&lt;SUM($P$15:$P$17),-SUM($Q$20:$Q$23)+SUM($P$15:$P$17),0)</f>
        <v>2321</v>
      </c>
      <c r="S24" s="154">
        <f t="shared" si="1"/>
        <v>-34281.945042500309</v>
      </c>
      <c r="T24" s="172" t="s">
        <v>1661</v>
      </c>
    </row>
    <row r="25" spans="1:20" ht="16.5" customHeight="1" x14ac:dyDescent="0.3">
      <c r="A25" s="54"/>
      <c r="B25" s="9"/>
      <c r="C25" s="9" t="s">
        <v>176</v>
      </c>
      <c r="D25" s="9"/>
      <c r="E25" s="140"/>
      <c r="F25" s="141"/>
      <c r="G25" s="141"/>
      <c r="H25" s="142"/>
      <c r="I25" s="142"/>
      <c r="J25" s="150"/>
      <c r="K25" s="171">
        <f>IF(SUM($K$20:$K$24)&lt;SUM($J$15:$J$18),-SUM($K$20:$K$24)+SUM($J$15:$J$18),0)</f>
        <v>1.4187126571778208</v>
      </c>
      <c r="N25" s="143"/>
      <c r="P25" s="155"/>
      <c r="Q25" s="155"/>
      <c r="S25" s="154">
        <f t="shared" si="1"/>
        <v>0</v>
      </c>
      <c r="T25" s="172" t="s">
        <v>1661</v>
      </c>
    </row>
    <row r="26" spans="1:20" ht="16.5" customHeight="1" x14ac:dyDescent="0.3">
      <c r="A26" s="54"/>
      <c r="C26" s="20"/>
      <c r="D26" s="20"/>
      <c r="E26" s="20"/>
      <c r="F26" s="127"/>
      <c r="G26" s="127"/>
      <c r="H26" s="22"/>
      <c r="I26" s="22"/>
      <c r="J26" s="107">
        <f>SUM(J15:J25)</f>
        <v>780668.74568223022</v>
      </c>
      <c r="K26" s="107">
        <f>SUM(K15:K25)</f>
        <v>780668.74568223022</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118469.63292839927</v>
      </c>
      <c r="K55" s="144"/>
    </row>
    <row r="56" spans="1:16" ht="16.5" customHeight="1" x14ac:dyDescent="0.3">
      <c r="A56" s="54"/>
      <c r="B56" s="25"/>
      <c r="C56" s="9" t="s">
        <v>177</v>
      </c>
      <c r="D56" s="140"/>
      <c r="E56" s="140"/>
      <c r="F56" s="141"/>
      <c r="G56" s="141"/>
      <c r="H56" s="142"/>
      <c r="I56" s="142"/>
      <c r="J56" s="145"/>
      <c r="K56" s="143">
        <v>0</v>
      </c>
    </row>
    <row r="57" spans="1:16" ht="16.5" customHeight="1" x14ac:dyDescent="0.3">
      <c r="A57" s="54"/>
      <c r="B57" s="25"/>
      <c r="C57" s="9" t="s">
        <v>174</v>
      </c>
      <c r="D57" s="140"/>
      <c r="E57" s="140"/>
      <c r="F57" s="141"/>
      <c r="G57" s="141"/>
      <c r="H57" s="142"/>
      <c r="I57" s="142"/>
      <c r="J57" s="145"/>
      <c r="K57" s="143">
        <v>18619.847550899998</v>
      </c>
    </row>
    <row r="58" spans="1:16" ht="16.5" customHeight="1" x14ac:dyDescent="0.3">
      <c r="A58" s="54"/>
      <c r="B58" s="9"/>
      <c r="C58" s="9" t="s">
        <v>178</v>
      </c>
      <c r="D58" s="140"/>
      <c r="E58" s="140"/>
      <c r="F58" s="141"/>
      <c r="G58" s="141"/>
      <c r="H58" s="142"/>
      <c r="I58" s="142"/>
      <c r="J58" s="144"/>
      <c r="K58" s="143">
        <v>99849.785377499269</v>
      </c>
    </row>
    <row r="59" spans="1:16" ht="16.5" customHeight="1" x14ac:dyDescent="0.3">
      <c r="A59" s="54"/>
      <c r="C59" s="16"/>
      <c r="D59" s="16"/>
      <c r="E59" s="16"/>
      <c r="F59" s="17"/>
      <c r="G59" s="17"/>
      <c r="H59" s="18"/>
      <c r="I59" s="18"/>
      <c r="J59" s="107">
        <f>SUM(J55:J58)</f>
        <v>118469.63292839927</v>
      </c>
      <c r="K59" s="107">
        <f>SUM(K55:K58)</f>
        <v>118469.63292839927</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120714</v>
      </c>
      <c r="K62" s="147"/>
      <c r="L62" s="10" t="str">
        <f>IF($J$62=$K$69,"","&lt;- Accts 0848 must agree")</f>
        <v/>
      </c>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4762</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125476</v>
      </c>
    </row>
    <row r="65" spans="1:12" ht="16.5" customHeight="1" x14ac:dyDescent="0.3">
      <c r="A65" s="54"/>
      <c r="C65" s="16"/>
      <c r="D65" s="16"/>
      <c r="E65" s="16"/>
      <c r="F65" s="17"/>
      <c r="G65" s="17"/>
      <c r="H65" s="18"/>
      <c r="I65" s="18"/>
      <c r="J65" s="107">
        <f>SUM(J62:J64)</f>
        <v>125476</v>
      </c>
      <c r="K65" s="107">
        <f>SUM(K62:K64)</f>
        <v>125476</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120714</v>
      </c>
      <c r="K68" s="144"/>
    </row>
    <row r="69" spans="1:12" ht="16.5" customHeight="1" x14ac:dyDescent="0.3">
      <c r="A69" s="54"/>
      <c r="B69" s="9"/>
      <c r="C69" s="9" t="s">
        <v>185</v>
      </c>
      <c r="D69" s="140"/>
      <c r="E69" s="140"/>
      <c r="F69" s="141"/>
      <c r="G69" s="141"/>
      <c r="H69" s="142"/>
      <c r="I69" s="142"/>
      <c r="J69" s="144"/>
      <c r="K69" s="143">
        <v>120714</v>
      </c>
      <c r="L69" s="10" t="str">
        <f>IF($J$62=$K$69,"","&lt;- Accts 0848 must agree")</f>
        <v/>
      </c>
    </row>
    <row r="70" spans="1:12" ht="16.5" customHeight="1" x14ac:dyDescent="0.3">
      <c r="A70" s="54"/>
      <c r="C70" s="16"/>
      <c r="D70" s="16"/>
      <c r="E70" s="16"/>
      <c r="F70" s="17"/>
      <c r="G70" s="17"/>
      <c r="H70" s="18"/>
      <c r="I70" s="18"/>
      <c r="J70" s="107">
        <f>SUM(J68:J69)</f>
        <v>120714</v>
      </c>
      <c r="K70" s="107">
        <f>SUM(K68:K69)</f>
        <v>120714</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87085.00757214507</v>
      </c>
      <c r="K75" s="144"/>
    </row>
    <row r="76" spans="1:12" ht="16.5" customHeight="1" x14ac:dyDescent="0.3">
      <c r="A76" s="54"/>
      <c r="B76" s="9"/>
      <c r="C76" s="9" t="s">
        <v>193</v>
      </c>
      <c r="D76" s="140"/>
      <c r="E76" s="140"/>
      <c r="F76" s="141"/>
      <c r="G76" s="141"/>
      <c r="H76" s="142"/>
      <c r="I76" s="142"/>
      <c r="J76" s="144"/>
      <c r="K76" s="143">
        <v>87085.00757214507</v>
      </c>
    </row>
    <row r="77" spans="1:12" ht="16.5" customHeight="1" x14ac:dyDescent="0.25">
      <c r="A77" s="54"/>
      <c r="B77" s="178" t="s">
        <v>1662</v>
      </c>
      <c r="C77" s="178"/>
      <c r="D77" s="178"/>
      <c r="E77" s="178"/>
      <c r="F77" s="178"/>
      <c r="G77" s="178"/>
      <c r="H77" s="178"/>
      <c r="I77" s="178"/>
      <c r="J77" s="107">
        <f>SUM(J75:J76)</f>
        <v>87085.00757214507</v>
      </c>
      <c r="K77" s="107">
        <f>SUM(K75:K76)</f>
        <v>87085.00757214507</v>
      </c>
      <c r="L77" s="25"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v>0</v>
      </c>
      <c r="K85" s="144"/>
      <c r="L85" s="8"/>
    </row>
    <row r="86" spans="1:16" ht="16.5" customHeight="1" x14ac:dyDescent="0.25">
      <c r="A86" s="54"/>
      <c r="B86" s="9" t="s">
        <v>162</v>
      </c>
      <c r="C86" s="25"/>
      <c r="D86" s="25"/>
      <c r="E86" s="25"/>
      <c r="F86" s="25"/>
      <c r="G86" s="25"/>
      <c r="H86" s="25"/>
      <c r="I86" s="25"/>
      <c r="J86" s="143">
        <v>0</v>
      </c>
      <c r="K86" s="148"/>
    </row>
    <row r="87" spans="1:16" ht="16.5" customHeight="1" x14ac:dyDescent="0.25">
      <c r="A87" s="54"/>
      <c r="B87" s="9" t="s">
        <v>187</v>
      </c>
      <c r="C87" s="25"/>
      <c r="D87" s="25"/>
      <c r="E87" s="25"/>
      <c r="F87" s="25"/>
      <c r="G87" s="25"/>
      <c r="H87" s="25"/>
      <c r="I87" s="25"/>
      <c r="J87" s="143">
        <v>50129.301273269157</v>
      </c>
      <c r="K87" s="148"/>
    </row>
    <row r="88" spans="1:16" ht="16.5" customHeight="1" x14ac:dyDescent="0.25">
      <c r="A88" s="159" t="s">
        <v>1637</v>
      </c>
      <c r="B88" s="25"/>
      <c r="C88" s="9" t="s">
        <v>188</v>
      </c>
      <c r="D88" s="25"/>
      <c r="E88" s="25"/>
      <c r="F88" s="25"/>
      <c r="G88" s="25"/>
      <c r="H88" s="25"/>
      <c r="I88" s="25"/>
      <c r="J88" s="148"/>
      <c r="K88" s="143">
        <v>0</v>
      </c>
    </row>
    <row r="89" spans="1:16" ht="16.5" customHeight="1" x14ac:dyDescent="0.25">
      <c r="A89" s="159" t="s">
        <v>1637</v>
      </c>
      <c r="B89" s="25"/>
      <c r="C89" s="9" t="s">
        <v>163</v>
      </c>
      <c r="D89" s="25"/>
      <c r="E89" s="25"/>
      <c r="F89" s="25"/>
      <c r="G89" s="25"/>
      <c r="H89" s="25"/>
      <c r="I89" s="25"/>
      <c r="J89" s="148"/>
      <c r="K89" s="143">
        <v>0</v>
      </c>
    </row>
    <row r="90" spans="1:16" ht="16.5" customHeight="1" x14ac:dyDescent="0.25">
      <c r="A90" s="159" t="s">
        <v>1637</v>
      </c>
      <c r="B90" s="25"/>
      <c r="C90" s="9" t="s">
        <v>189</v>
      </c>
      <c r="D90" s="25"/>
      <c r="E90" s="25"/>
      <c r="F90" s="25"/>
      <c r="G90" s="25"/>
      <c r="H90" s="25"/>
      <c r="I90" s="25"/>
      <c r="J90" s="148"/>
      <c r="K90" s="143">
        <v>50129.301273269157</v>
      </c>
    </row>
    <row r="91" spans="1:16" ht="16.5" customHeight="1" x14ac:dyDescent="0.3">
      <c r="B91" s="130" t="s">
        <v>1640</v>
      </c>
      <c r="H91" s="10"/>
      <c r="J91" s="108">
        <f>SUM(J85:J90)</f>
        <v>50129.301273269157</v>
      </c>
      <c r="K91" s="108">
        <f>SUM(K85:K90)</f>
        <v>50129.301273269157</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93098.478683999987</v>
      </c>
    </row>
    <row r="124" spans="1:12" ht="16.5" customHeight="1" x14ac:dyDescent="0.3">
      <c r="D124" s="140" t="s">
        <v>1652</v>
      </c>
      <c r="H124" s="10"/>
      <c r="K124" s="169">
        <f>J17+J41-K90-K103+J112</f>
        <v>637440.96572496113</v>
      </c>
    </row>
    <row r="125" spans="1:12" ht="16.5" customHeight="1" x14ac:dyDescent="0.3">
      <c r="D125" s="140" t="s">
        <v>1653</v>
      </c>
      <c r="H125" s="10"/>
      <c r="K125" s="169">
        <f>-K20-K56+J85+J97</f>
        <v>0</v>
      </c>
    </row>
    <row r="126" spans="1:12" ht="16.5" customHeight="1" x14ac:dyDescent="0.3">
      <c r="D126" s="140" t="s">
        <v>1654</v>
      </c>
      <c r="H126" s="10"/>
      <c r="K126" s="169">
        <f>-K21-K57+J86+J98</f>
        <v>-55859.087210400001</v>
      </c>
    </row>
    <row r="127" spans="1:12" ht="16.5" customHeight="1" x14ac:dyDescent="0.3">
      <c r="D127" s="140" t="s">
        <v>1655</v>
      </c>
      <c r="H127" s="10"/>
      <c r="K127" s="169">
        <f>-K22-K58+J87+J99</f>
        <v>-258534.46161394281</v>
      </c>
    </row>
    <row r="128" spans="1:12" ht="16.5" customHeight="1" x14ac:dyDescent="0.3">
      <c r="D128" s="140" t="s">
        <v>1656</v>
      </c>
      <c r="H128" s="10"/>
      <c r="K128" s="169">
        <f>-K23-K48+J68+J75+J96-K113</f>
        <v>-324494.10222821531</v>
      </c>
    </row>
    <row r="129" spans="4:11" ht="16.5" customHeight="1" x14ac:dyDescent="0.3">
      <c r="D129" s="140" t="s">
        <v>1657</v>
      </c>
      <c r="H129" s="10"/>
      <c r="K129" s="169">
        <f>-K76</f>
        <v>-87085.00757214507</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type="textLength" operator="equal" allowBlank="1" showInputMessage="1" showErrorMessage="1" errorTitle="4-Digit Org Code" error="Enter the Org Code/BU as 4 digits." sqref="F5" xr:uid="{357AA125-29D3-4BFE-BED1-AF0A3B17235E}">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71C9F6C6-7C34-4E36-B5A0-05C181F85D1F}">
      <formula1>0</formula1>
    </dataValidation>
    <dataValidation operator="lessThan" allowBlank="1" showInputMessage="1" showErrorMessage="1" sqref="A3:A8" xr:uid="{3E4F73EE-AED6-44F9-9360-AA2140D2627B}"/>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862D4B1F-2B07-42A6-AD7D-C27DC5459A3F}">
          <x14:formula1>
            <xm:f>'Drop Down Menus'!$E$1:$E$3</xm:f>
          </x14:formula1>
          <xm:sqref>F8</xm:sqref>
        </x14:dataValidation>
        <x14:dataValidation type="list" allowBlank="1" showInputMessage="1" showErrorMessage="1" xr:uid="{96034C1B-D172-40FF-BF86-F739351AE96A}">
          <x14:formula1>
            <xm:f>'Drop Down Menus'!$B$1:$B$2</xm:f>
          </x14:formula1>
          <xm:sqref>F7</xm:sqref>
        </x14:dataValidation>
        <x14:dataValidation type="list" allowBlank="1" showInputMessage="1" showErrorMessage="1" xr:uid="{C0A1C099-AE6A-4EE5-85F2-4B045B47FB18}">
          <x14:formula1>
            <xm:f>'Drop Down Menus'!$A$1:$A$101</xm:f>
          </x14:formula1>
          <xm:sqref>F3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6F2F8-9DD3-4009-A67D-C81BDACF02CC}">
  <sheetPr codeName="Sheet16">
    <tabColor theme="9" tint="0.59999389629810485"/>
    <pageSetUpPr fitToPage="1"/>
  </sheetPr>
  <dimension ref="A1:T193"/>
  <sheetViews>
    <sheetView zoomScale="70" zoomScaleNormal="70" workbookViewId="0">
      <selection activeCell="M20" sqref="M20"/>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20" ht="45" customHeight="1" x14ac:dyDescent="0.3">
      <c r="A1" s="179" t="s">
        <v>1629</v>
      </c>
      <c r="B1" s="179"/>
      <c r="C1" s="179"/>
      <c r="D1" s="179"/>
      <c r="E1" s="179"/>
      <c r="F1" s="179"/>
      <c r="G1" s="179"/>
      <c r="H1" s="179"/>
      <c r="I1" s="179"/>
      <c r="J1" s="179"/>
      <c r="K1" s="179"/>
      <c r="L1" s="104"/>
      <c r="M1" s="104"/>
      <c r="N1" s="104"/>
      <c r="O1" s="104"/>
    </row>
    <row r="2" spans="1:20" ht="16.5" customHeight="1" x14ac:dyDescent="0.3">
      <c r="A2" s="106" t="s">
        <v>0</v>
      </c>
      <c r="B2" s="103"/>
      <c r="C2" s="103"/>
      <c r="D2" s="103"/>
      <c r="E2" s="103"/>
      <c r="F2" s="103"/>
      <c r="G2" s="103"/>
      <c r="H2" s="103"/>
      <c r="I2" s="103"/>
      <c r="J2" s="103"/>
      <c r="K2" s="103"/>
      <c r="L2" s="103"/>
      <c r="M2" s="103"/>
      <c r="N2" s="103"/>
      <c r="O2" s="103"/>
    </row>
    <row r="3" spans="1:20" ht="16.5" customHeight="1" x14ac:dyDescent="0.3">
      <c r="A3" s="175" t="s">
        <v>10</v>
      </c>
      <c r="B3" s="175"/>
      <c r="C3" s="175"/>
      <c r="D3" s="175"/>
      <c r="E3" s="175"/>
      <c r="F3" s="180" t="s">
        <v>21</v>
      </c>
      <c r="G3" s="180"/>
      <c r="H3" s="180"/>
      <c r="I3" s="180"/>
    </row>
    <row r="4" spans="1:20" ht="16.5" customHeight="1" x14ac:dyDescent="0.25">
      <c r="A4" s="175" t="s">
        <v>191</v>
      </c>
      <c r="B4" s="175"/>
      <c r="C4" s="175"/>
      <c r="D4" s="175"/>
      <c r="E4" s="175"/>
      <c r="F4" s="181" t="s">
        <v>1676</v>
      </c>
      <c r="G4" s="181"/>
      <c r="H4" s="181"/>
      <c r="I4" s="181"/>
    </row>
    <row r="5" spans="1:20" ht="16.5" customHeight="1" x14ac:dyDescent="0.25">
      <c r="A5" s="175" t="s">
        <v>1615</v>
      </c>
      <c r="B5" s="175"/>
      <c r="C5" s="175"/>
      <c r="D5" s="175"/>
      <c r="E5" s="175"/>
      <c r="F5" s="181" t="s">
        <v>316</v>
      </c>
      <c r="G5" s="181"/>
      <c r="H5" s="181"/>
      <c r="I5" s="181"/>
      <c r="L5" s="12"/>
      <c r="M5" s="12"/>
      <c r="N5" s="12"/>
      <c r="O5" s="12"/>
      <c r="P5" s="12"/>
      <c r="Q5" s="12"/>
    </row>
    <row r="6" spans="1:20" ht="16.5" customHeight="1" x14ac:dyDescent="0.3">
      <c r="A6" s="175" t="s">
        <v>1634</v>
      </c>
      <c r="B6" s="175"/>
      <c r="C6" s="175"/>
      <c r="D6" s="175"/>
      <c r="E6" s="175"/>
      <c r="F6" s="182">
        <v>566</v>
      </c>
      <c r="G6" s="182"/>
      <c r="H6" s="182"/>
      <c r="I6" s="182"/>
      <c r="L6" s="13"/>
      <c r="M6" s="13"/>
      <c r="N6" s="13"/>
      <c r="O6" s="13"/>
      <c r="P6" s="12"/>
      <c r="Q6" s="12"/>
    </row>
    <row r="7" spans="1:20" ht="16.5" customHeight="1" x14ac:dyDescent="0.3">
      <c r="A7" s="175" t="s">
        <v>1</v>
      </c>
      <c r="B7" s="175"/>
      <c r="C7" s="175"/>
      <c r="D7" s="175"/>
      <c r="E7" s="175"/>
      <c r="F7" s="182" t="s">
        <v>120</v>
      </c>
      <c r="G7" s="182"/>
      <c r="H7" s="182"/>
      <c r="I7" s="182"/>
      <c r="K7" s="53"/>
      <c r="L7" s="13"/>
      <c r="M7" s="13"/>
      <c r="N7" s="13"/>
      <c r="O7" s="13"/>
      <c r="P7" s="12"/>
      <c r="Q7" s="12"/>
    </row>
    <row r="8" spans="1:20" ht="16.5" customHeight="1" x14ac:dyDescent="0.3">
      <c r="A8" s="175" t="s">
        <v>1616</v>
      </c>
      <c r="B8" s="175"/>
      <c r="C8" s="175"/>
      <c r="D8" s="175"/>
      <c r="E8" s="175"/>
      <c r="F8" s="182" t="s">
        <v>154</v>
      </c>
      <c r="G8" s="182"/>
      <c r="H8" s="182"/>
      <c r="I8" s="182"/>
      <c r="K8" s="53"/>
      <c r="L8" s="13"/>
      <c r="M8" s="13"/>
      <c r="N8" s="13"/>
      <c r="O8" s="13"/>
      <c r="P8" s="12"/>
      <c r="Q8" s="12"/>
    </row>
    <row r="9" spans="1:20" ht="16.5" customHeight="1" x14ac:dyDescent="0.3">
      <c r="A9" s="175" t="s">
        <v>1614</v>
      </c>
      <c r="B9" s="175"/>
      <c r="C9" s="175"/>
      <c r="D9" s="175"/>
      <c r="E9" s="175"/>
      <c r="F9" s="183" t="str">
        <f>IFERROR(IF(F7="Proprietary","Proprietary Fund",VLOOKUP(F5,qryIndex02a!$A$2:$K$654,4,FALSE)),"Unidentified")</f>
        <v>GENERAL GOVERNMENT</v>
      </c>
      <c r="G9" s="183"/>
      <c r="H9" s="183"/>
      <c r="I9" s="183"/>
      <c r="K9" s="12"/>
      <c r="L9" s="12"/>
      <c r="M9" s="12"/>
      <c r="N9" s="12"/>
      <c r="O9" s="12"/>
      <c r="P9" s="12"/>
    </row>
    <row r="10" spans="1:20" ht="16.5" customHeight="1" x14ac:dyDescent="0.3">
      <c r="A10" s="11"/>
      <c r="B10" s="11"/>
      <c r="C10" s="11"/>
      <c r="D10" s="11"/>
      <c r="E10" s="13"/>
      <c r="F10" s="12"/>
      <c r="G10" s="12"/>
      <c r="H10" s="14"/>
      <c r="I10" s="12"/>
      <c r="J10" s="12"/>
      <c r="K10" s="12"/>
      <c r="L10" s="12"/>
      <c r="M10" s="12"/>
      <c r="N10" s="12"/>
      <c r="O10" s="12"/>
      <c r="P10" s="12"/>
    </row>
    <row r="11" spans="1:20" ht="16.5" customHeight="1" x14ac:dyDescent="0.3">
      <c r="A11" s="11"/>
      <c r="B11" s="11"/>
      <c r="C11" s="11"/>
      <c r="D11" s="11"/>
      <c r="E11" s="13"/>
      <c r="F11" s="12"/>
      <c r="G11" s="12"/>
      <c r="H11" s="14"/>
      <c r="I11" s="12"/>
      <c r="J11" s="12"/>
      <c r="K11" s="12"/>
      <c r="L11" s="12"/>
      <c r="M11" s="12"/>
      <c r="N11" s="12"/>
      <c r="O11" s="12"/>
      <c r="P11" s="12"/>
    </row>
    <row r="12" spans="1:20" s="126" customFormat="1" ht="21" customHeight="1" x14ac:dyDescent="0.4">
      <c r="A12" s="120" t="s">
        <v>164</v>
      </c>
      <c r="B12" s="121"/>
      <c r="C12" s="122"/>
      <c r="D12" s="122"/>
      <c r="E12" s="122"/>
      <c r="F12" s="123"/>
      <c r="G12" s="123"/>
      <c r="H12" s="124"/>
      <c r="I12" s="124"/>
      <c r="J12" s="123"/>
      <c r="K12" s="123"/>
      <c r="L12" s="12"/>
      <c r="M12" s="12"/>
      <c r="N12" s="125"/>
      <c r="O12" s="125"/>
      <c r="P12" s="125"/>
    </row>
    <row r="13" spans="1:20" s="135" customFormat="1" ht="16.5" customHeight="1" x14ac:dyDescent="0.35">
      <c r="A13" s="132" t="s">
        <v>2</v>
      </c>
      <c r="B13" s="151"/>
      <c r="D13" s="138"/>
      <c r="E13" s="138"/>
      <c r="F13" s="139"/>
      <c r="G13" s="139"/>
      <c r="H13" s="130"/>
      <c r="I13" s="130"/>
      <c r="J13" s="134"/>
      <c r="K13" s="134"/>
    </row>
    <row r="14" spans="1:20"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20" ht="16.5" customHeight="1" x14ac:dyDescent="0.3">
      <c r="A15" s="159" t="s">
        <v>1637</v>
      </c>
      <c r="B15" s="9" t="s">
        <v>170</v>
      </c>
      <c r="C15" s="9"/>
      <c r="D15" s="9"/>
      <c r="E15" s="140"/>
      <c r="F15" s="141"/>
      <c r="G15" s="141"/>
      <c r="H15" s="142"/>
      <c r="I15" s="142"/>
      <c r="J15" s="171">
        <f>M15</f>
        <v>0</v>
      </c>
      <c r="M15" s="143">
        <v>0</v>
      </c>
      <c r="P15" s="143">
        <v>0</v>
      </c>
      <c r="Q15" s="155"/>
      <c r="S15" s="154">
        <f t="shared" ref="S15:S19" si="0">P15-M15</f>
        <v>0</v>
      </c>
      <c r="T15" s="173" t="s">
        <v>1673</v>
      </c>
    </row>
    <row r="16" spans="1:20" ht="16.5" customHeight="1" x14ac:dyDescent="0.3">
      <c r="A16" s="159" t="s">
        <v>1637</v>
      </c>
      <c r="B16" s="9" t="s">
        <v>171</v>
      </c>
      <c r="C16" s="9"/>
      <c r="D16" s="9"/>
      <c r="E16" s="140"/>
      <c r="F16" s="141"/>
      <c r="G16" s="141"/>
      <c r="H16" s="142"/>
      <c r="I16" s="142"/>
      <c r="J16" s="171">
        <f>M16</f>
        <v>0</v>
      </c>
      <c r="M16" s="143">
        <v>0</v>
      </c>
      <c r="P16" s="143">
        <v>0</v>
      </c>
      <c r="Q16" s="155"/>
      <c r="S16" s="154">
        <f t="shared" si="0"/>
        <v>0</v>
      </c>
      <c r="T16" s="173" t="s">
        <v>1673</v>
      </c>
    </row>
    <row r="17" spans="1:20" ht="16.5" customHeight="1" x14ac:dyDescent="0.3">
      <c r="A17" s="159" t="s">
        <v>1637</v>
      </c>
      <c r="B17" s="9" t="s">
        <v>172</v>
      </c>
      <c r="C17" s="9"/>
      <c r="D17" s="9"/>
      <c r="E17" s="140"/>
      <c r="F17" s="141"/>
      <c r="G17" s="141"/>
      <c r="H17" s="142"/>
      <c r="I17" s="142"/>
      <c r="J17" s="171">
        <f>M17</f>
        <v>27746.354050152244</v>
      </c>
      <c r="M17" s="143">
        <v>27746.354050152244</v>
      </c>
      <c r="P17" s="143">
        <v>27746</v>
      </c>
      <c r="Q17" s="155"/>
      <c r="S17" s="154">
        <f t="shared" si="0"/>
        <v>-0.35405015224387171</v>
      </c>
      <c r="T17" s="173" t="s">
        <v>1673</v>
      </c>
    </row>
    <row r="18" spans="1:20" ht="16.5" customHeight="1" x14ac:dyDescent="0.3">
      <c r="A18" s="54"/>
      <c r="B18" s="9" t="s">
        <v>168</v>
      </c>
      <c r="C18" s="9"/>
      <c r="D18" s="9"/>
      <c r="E18" s="140"/>
      <c r="F18" s="141"/>
      <c r="G18" s="141"/>
      <c r="H18" s="142"/>
      <c r="I18" s="142"/>
      <c r="J18" s="171">
        <f>P18</f>
        <v>736</v>
      </c>
      <c r="M18" s="143">
        <v>735.50889161364012</v>
      </c>
      <c r="P18" s="152">
        <f>IF(SUM($Q$20:$Q$23)&gt;SUM($P$15:$P$17),SUM($Q$20:$Q$23)-SUM($P$15:$P$17),0)</f>
        <v>736</v>
      </c>
      <c r="Q18" s="155"/>
      <c r="S18" s="154">
        <f t="shared" si="0"/>
        <v>0.4911083863598833</v>
      </c>
      <c r="T18" s="172" t="s">
        <v>1661</v>
      </c>
    </row>
    <row r="19" spans="1:20"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c r="T19" s="172" t="s">
        <v>1661</v>
      </c>
    </row>
    <row r="20" spans="1:20" ht="16.5" customHeight="1" x14ac:dyDescent="0.3">
      <c r="A20" s="54"/>
      <c r="B20" s="9"/>
      <c r="C20" s="9" t="s">
        <v>177</v>
      </c>
      <c r="D20" s="9"/>
      <c r="E20" s="140"/>
      <c r="F20" s="141"/>
      <c r="G20" s="141"/>
      <c r="H20" s="142"/>
      <c r="I20" s="142"/>
      <c r="J20" s="150"/>
      <c r="K20" s="171">
        <f>N20</f>
        <v>0</v>
      </c>
      <c r="N20" s="143">
        <v>0</v>
      </c>
      <c r="P20" s="155"/>
      <c r="Q20" s="143">
        <v>0</v>
      </c>
      <c r="S20" s="154">
        <f>Q20-N20</f>
        <v>0</v>
      </c>
      <c r="T20" s="172" t="s">
        <v>1661</v>
      </c>
    </row>
    <row r="21" spans="1:20" ht="16.5" customHeight="1" x14ac:dyDescent="0.3">
      <c r="A21" s="54"/>
      <c r="B21" s="9"/>
      <c r="C21" s="9" t="s">
        <v>174</v>
      </c>
      <c r="D21" s="9"/>
      <c r="E21" s="140"/>
      <c r="F21" s="141"/>
      <c r="G21" s="141"/>
      <c r="H21" s="142"/>
      <c r="I21" s="142"/>
      <c r="J21" s="150"/>
      <c r="K21" s="171">
        <f>N21</f>
        <v>0</v>
      </c>
      <c r="N21" s="143">
        <v>0</v>
      </c>
      <c r="P21" s="155"/>
      <c r="Q21" s="143">
        <v>0</v>
      </c>
      <c r="S21" s="154">
        <f>Q21-N21</f>
        <v>0</v>
      </c>
      <c r="T21" s="172" t="s">
        <v>1661</v>
      </c>
    </row>
    <row r="22" spans="1:20" ht="16.5" customHeight="1" x14ac:dyDescent="0.3">
      <c r="A22" s="54"/>
      <c r="B22" s="9"/>
      <c r="C22" s="9" t="s">
        <v>178</v>
      </c>
      <c r="D22" s="9"/>
      <c r="E22" s="140"/>
      <c r="F22" s="141"/>
      <c r="G22" s="141"/>
      <c r="H22" s="142"/>
      <c r="I22" s="142"/>
      <c r="J22" s="150"/>
      <c r="K22" s="171">
        <f>N22</f>
        <v>5525.6393612293205</v>
      </c>
      <c r="N22" s="143">
        <v>5525.6393612293205</v>
      </c>
      <c r="P22" s="155"/>
      <c r="Q22" s="143">
        <v>5526</v>
      </c>
      <c r="S22" s="154">
        <f t="shared" ref="S22:S25" si="1">Q22-N22</f>
        <v>0.36063877067954309</v>
      </c>
      <c r="T22" s="172" t="s">
        <v>1661</v>
      </c>
    </row>
    <row r="23" spans="1:20" ht="16.5" customHeight="1" x14ac:dyDescent="0.3">
      <c r="A23" s="165" t="s">
        <v>1645</v>
      </c>
      <c r="B23" s="9"/>
      <c r="C23" s="9" t="s">
        <v>173</v>
      </c>
      <c r="D23" s="9"/>
      <c r="E23" s="140"/>
      <c r="F23" s="141"/>
      <c r="G23" s="141"/>
      <c r="H23" s="142"/>
      <c r="I23" s="142"/>
      <c r="J23" s="150"/>
      <c r="K23" s="171">
        <f>N23</f>
        <v>22956.222676236561</v>
      </c>
      <c r="N23" s="143">
        <v>22956.222676236561</v>
      </c>
      <c r="P23" s="155"/>
      <c r="Q23" s="143">
        <v>22956</v>
      </c>
      <c r="S23" s="154">
        <f t="shared" si="1"/>
        <v>-0.22267623656080104</v>
      </c>
      <c r="T23" s="172" t="s">
        <v>1661</v>
      </c>
    </row>
    <row r="24" spans="1:20" ht="16.5" customHeight="1" x14ac:dyDescent="0.3">
      <c r="A24" s="54"/>
      <c r="B24" s="9"/>
      <c r="C24" s="9" t="s">
        <v>175</v>
      </c>
      <c r="D24" s="9"/>
      <c r="E24" s="140"/>
      <c r="F24" s="141"/>
      <c r="G24" s="141"/>
      <c r="H24" s="142"/>
      <c r="I24" s="142"/>
      <c r="J24" s="150"/>
      <c r="K24" s="171">
        <f>Q24</f>
        <v>0</v>
      </c>
      <c r="N24" s="143"/>
      <c r="P24" s="155"/>
      <c r="Q24" s="152">
        <f>IF(SUM($Q$20:$Q$23)&lt;SUM($P$15:$P$17),-SUM($Q$20:$Q$23)+SUM($P$15:$P$17),0)</f>
        <v>0</v>
      </c>
      <c r="S24" s="154">
        <f t="shared" si="1"/>
        <v>0</v>
      </c>
      <c r="T24" s="172" t="s">
        <v>1661</v>
      </c>
    </row>
    <row r="25" spans="1:20" ht="16.5" customHeight="1" x14ac:dyDescent="0.3">
      <c r="A25" s="54"/>
      <c r="B25" s="9"/>
      <c r="C25" s="9" t="s">
        <v>176</v>
      </c>
      <c r="D25" s="9"/>
      <c r="E25" s="140"/>
      <c r="F25" s="141"/>
      <c r="G25" s="141"/>
      <c r="H25" s="142"/>
      <c r="I25" s="142"/>
      <c r="J25" s="150"/>
      <c r="K25" s="171">
        <f>IF(SUM($K$20:$K$24)&lt;SUM($J$15:$J$18),-SUM($K$20:$K$24)+SUM($J$15:$J$18),0)</f>
        <v>0.49201268636170425</v>
      </c>
      <c r="N25" s="143"/>
      <c r="P25" s="155"/>
      <c r="Q25" s="155"/>
      <c r="S25" s="154">
        <f t="shared" si="1"/>
        <v>0</v>
      </c>
      <c r="T25" s="172" t="s">
        <v>1661</v>
      </c>
    </row>
    <row r="26" spans="1:20" ht="16.5" customHeight="1" x14ac:dyDescent="0.3">
      <c r="A26" s="54"/>
      <c r="C26" s="20"/>
      <c r="D26" s="20"/>
      <c r="E26" s="20"/>
      <c r="F26" s="127"/>
      <c r="G26" s="127"/>
      <c r="H26" s="22"/>
      <c r="I26" s="22"/>
      <c r="J26" s="107">
        <f>SUM(J15:J25)</f>
        <v>28482.354050152244</v>
      </c>
      <c r="K26" s="107">
        <f>SUM(K15:K25)</f>
        <v>28482.354050152244</v>
      </c>
      <c r="L26" s="25" t="str">
        <f>IF(J26=K26,"&lt;- Debits and Credits equal each other.","&lt;- Debits and Credits do not equal each other.")</f>
        <v>&lt;- Debits and Credits equal each other.</v>
      </c>
    </row>
    <row r="27" spans="1:20" ht="16.5" customHeight="1" x14ac:dyDescent="0.3">
      <c r="A27" s="1"/>
      <c r="B27" s="130" t="s">
        <v>1638</v>
      </c>
      <c r="C27" s="23"/>
      <c r="D27" s="20"/>
      <c r="E27" s="20"/>
      <c r="F27" s="21"/>
      <c r="G27" s="21"/>
      <c r="H27" s="22"/>
      <c r="I27" s="22"/>
      <c r="J27" s="19"/>
      <c r="K27" s="19"/>
      <c r="L27" s="8"/>
    </row>
    <row r="28" spans="1:20" ht="16.2" customHeight="1" x14ac:dyDescent="0.35">
      <c r="A28" s="1"/>
      <c r="B28" s="166" t="s">
        <v>1649</v>
      </c>
      <c r="C28" s="129"/>
      <c r="D28" s="20"/>
      <c r="E28" s="20"/>
      <c r="F28" s="127"/>
      <c r="G28" s="127"/>
      <c r="H28" s="22"/>
      <c r="I28" s="22"/>
      <c r="J28" s="19"/>
      <c r="K28" s="19"/>
      <c r="L28" s="8"/>
    </row>
    <row r="29" spans="1:20" ht="16.2" customHeight="1" x14ac:dyDescent="0.35">
      <c r="A29" s="1"/>
      <c r="B29" s="166"/>
      <c r="C29" s="129"/>
      <c r="D29" s="20"/>
      <c r="E29" s="20"/>
      <c r="F29" s="127"/>
      <c r="G29" s="127"/>
      <c r="H29" s="22"/>
      <c r="I29" s="22"/>
      <c r="J29" s="19"/>
      <c r="K29" s="19"/>
      <c r="L29" s="8"/>
    </row>
    <row r="30" spans="1:20" ht="16.5" customHeight="1" x14ac:dyDescent="0.3">
      <c r="A30" s="54"/>
      <c r="C30" s="20"/>
      <c r="D30" s="20"/>
      <c r="E30" s="20"/>
      <c r="F30" s="127"/>
      <c r="G30" s="127"/>
      <c r="H30" s="22"/>
      <c r="I30" s="22"/>
      <c r="J30" s="107"/>
      <c r="K30" s="107"/>
      <c r="L30" s="8"/>
    </row>
    <row r="31" spans="1:20" s="126" customFormat="1" ht="21" customHeight="1" x14ac:dyDescent="0.4">
      <c r="A31" s="120" t="s">
        <v>165</v>
      </c>
      <c r="B31" s="121"/>
      <c r="C31" s="122"/>
      <c r="D31" s="122"/>
      <c r="E31" s="122"/>
      <c r="F31" s="123"/>
      <c r="G31" s="123"/>
      <c r="H31" s="124"/>
      <c r="I31" s="124"/>
      <c r="J31" s="123"/>
      <c r="K31" s="123"/>
      <c r="L31" s="12"/>
      <c r="M31" s="12"/>
      <c r="N31" s="125"/>
      <c r="O31" s="125"/>
      <c r="P31" s="125"/>
    </row>
    <row r="32" spans="1:20"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2762.8192431143198</v>
      </c>
      <c r="K55" s="144"/>
    </row>
    <row r="56" spans="1:16" ht="16.5" customHeight="1" x14ac:dyDescent="0.3">
      <c r="A56" s="54"/>
      <c r="B56" s="25"/>
      <c r="C56" s="9" t="s">
        <v>177</v>
      </c>
      <c r="D56" s="140"/>
      <c r="E56" s="140"/>
      <c r="F56" s="141"/>
      <c r="G56" s="141"/>
      <c r="H56" s="142"/>
      <c r="I56" s="142"/>
      <c r="J56" s="145"/>
      <c r="K56" s="143">
        <v>0</v>
      </c>
    </row>
    <row r="57" spans="1:16" ht="16.5" customHeight="1" x14ac:dyDescent="0.3">
      <c r="A57" s="54"/>
      <c r="B57" s="25"/>
      <c r="C57" s="9" t="s">
        <v>174</v>
      </c>
      <c r="D57" s="140"/>
      <c r="E57" s="140"/>
      <c r="F57" s="141"/>
      <c r="G57" s="141"/>
      <c r="H57" s="142"/>
      <c r="I57" s="142"/>
      <c r="J57" s="145"/>
      <c r="K57" s="143">
        <v>0</v>
      </c>
    </row>
    <row r="58" spans="1:16" ht="16.5" customHeight="1" x14ac:dyDescent="0.3">
      <c r="A58" s="54"/>
      <c r="B58" s="9"/>
      <c r="C58" s="9" t="s">
        <v>178</v>
      </c>
      <c r="D58" s="140"/>
      <c r="E58" s="140"/>
      <c r="F58" s="141"/>
      <c r="G58" s="141"/>
      <c r="H58" s="142"/>
      <c r="I58" s="142"/>
      <c r="J58" s="144"/>
      <c r="K58" s="143">
        <v>2762.8192431143198</v>
      </c>
    </row>
    <row r="59" spans="1:16" ht="16.5" customHeight="1" x14ac:dyDescent="0.3">
      <c r="A59" s="54"/>
      <c r="C59" s="16"/>
      <c r="D59" s="16"/>
      <c r="E59" s="16"/>
      <c r="F59" s="17"/>
      <c r="G59" s="17"/>
      <c r="H59" s="18"/>
      <c r="I59" s="18"/>
      <c r="J59" s="107">
        <f>SUM(J55:J58)</f>
        <v>2762.8192431143198</v>
      </c>
      <c r="K59" s="107">
        <f>SUM(K55:K58)</f>
        <v>2762.8192431143198</v>
      </c>
      <c r="L59" s="25"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2521.6822414854805</v>
      </c>
      <c r="K62" s="147"/>
      <c r="L62" s="10" t="str">
        <f>IF($J$62=$K$69,"","&lt;- Accts 0848 must agree")</f>
        <v/>
      </c>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322.53484961164008</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2844.2170910971204</v>
      </c>
    </row>
    <row r="65" spans="1:12" ht="16.5" customHeight="1" x14ac:dyDescent="0.3">
      <c r="A65" s="54"/>
      <c r="C65" s="16"/>
      <c r="D65" s="16"/>
      <c r="E65" s="16"/>
      <c r="F65" s="17"/>
      <c r="G65" s="17"/>
      <c r="H65" s="18"/>
      <c r="I65" s="18"/>
      <c r="J65" s="107">
        <f>SUM(J62:J64)</f>
        <v>2844.2170910971208</v>
      </c>
      <c r="K65" s="107">
        <f>SUM(K62:K64)</f>
        <v>2844.2170910971204</v>
      </c>
      <c r="L65" s="25"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2521.6822414854805</v>
      </c>
      <c r="K68" s="144"/>
    </row>
    <row r="69" spans="1:12" ht="16.5" customHeight="1" x14ac:dyDescent="0.3">
      <c r="A69" s="54"/>
      <c r="B69" s="9"/>
      <c r="C69" s="9" t="s">
        <v>185</v>
      </c>
      <c r="D69" s="140"/>
      <c r="E69" s="140"/>
      <c r="F69" s="141"/>
      <c r="G69" s="141"/>
      <c r="H69" s="142"/>
      <c r="I69" s="142"/>
      <c r="J69" s="144"/>
      <c r="K69" s="143">
        <v>2521.6822414854805</v>
      </c>
      <c r="L69" s="10" t="str">
        <f>IF($J$62=$K$69,"","&lt;- Accts 0848 must agree")</f>
        <v/>
      </c>
    </row>
    <row r="70" spans="1:12" ht="16.5" customHeight="1" x14ac:dyDescent="0.3">
      <c r="A70" s="54"/>
      <c r="C70" s="16"/>
      <c r="D70" s="16"/>
      <c r="E70" s="16"/>
      <c r="F70" s="17"/>
      <c r="G70" s="17"/>
      <c r="H70" s="18"/>
      <c r="I70" s="18"/>
      <c r="J70" s="107">
        <f>SUM(J68:J69)</f>
        <v>2521.6822414854805</v>
      </c>
      <c r="K70" s="107">
        <f>SUM(K68:K69)</f>
        <v>2521.6822414854805</v>
      </c>
      <c r="L70" s="25"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2610.3299045278004</v>
      </c>
      <c r="K75" s="144"/>
    </row>
    <row r="76" spans="1:12" ht="16.5" customHeight="1" x14ac:dyDescent="0.3">
      <c r="A76" s="54"/>
      <c r="B76" s="9"/>
      <c r="C76" s="9" t="s">
        <v>193</v>
      </c>
      <c r="D76" s="140"/>
      <c r="E76" s="140"/>
      <c r="F76" s="141"/>
      <c r="G76" s="141"/>
      <c r="H76" s="142"/>
      <c r="I76" s="142"/>
      <c r="J76" s="144"/>
      <c r="K76" s="143">
        <v>2610.3299045278004</v>
      </c>
    </row>
    <row r="77" spans="1:12" ht="16.5" customHeight="1" x14ac:dyDescent="0.25">
      <c r="A77" s="54"/>
      <c r="B77" s="178" t="s">
        <v>1662</v>
      </c>
      <c r="C77" s="178"/>
      <c r="D77" s="178"/>
      <c r="E77" s="178"/>
      <c r="F77" s="178"/>
      <c r="G77" s="178"/>
      <c r="H77" s="178"/>
      <c r="I77" s="178"/>
      <c r="J77" s="107">
        <f>SUM(J75:J76)</f>
        <v>2610.3299045278004</v>
      </c>
      <c r="K77" s="107">
        <f>SUM(K75:K76)</f>
        <v>2610.3299045278004</v>
      </c>
      <c r="L77" s="25"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row>
    <row r="91" spans="1:16" ht="16.5" customHeight="1" x14ac:dyDescent="0.3">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27746.354050152244</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-8288.4586043436393</v>
      </c>
    </row>
    <row r="128" spans="1:12" ht="16.5" customHeight="1" x14ac:dyDescent="0.3">
      <c r="D128" s="140" t="s">
        <v>1656</v>
      </c>
      <c r="H128" s="10"/>
      <c r="K128" s="169">
        <f>-K23-K48+J68+J75+J96-K113</f>
        <v>-17824.210530223281</v>
      </c>
    </row>
    <row r="129" spans="4:11" ht="16.5" customHeight="1" x14ac:dyDescent="0.3">
      <c r="D129" s="140" t="s">
        <v>1657</v>
      </c>
      <c r="H129" s="10"/>
      <c r="K129" s="169">
        <f>-K76</f>
        <v>-2610.3299045278004</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type="textLength" operator="equal" allowBlank="1" showInputMessage="1" showErrorMessage="1" errorTitle="4-Digit Org Code" error="Enter the Org Code/BU as 4 digits." sqref="F5" xr:uid="{29DC80C4-794E-4F96-AFFB-03EAA6A383D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110276E-6215-45D5-AED2-694322ACD857}">
      <formula1>0</formula1>
    </dataValidation>
    <dataValidation operator="lessThan" allowBlank="1" showInputMessage="1" showErrorMessage="1" sqref="A3:A8" xr:uid="{FBBCB665-C7D1-40D0-AF77-3DCB2DA313C0}"/>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3327A67C-D478-4F6E-AF40-37291F502D32}">
          <x14:formula1>
            <xm:f>'Drop Down Menus'!$E$1:$E$3</xm:f>
          </x14:formula1>
          <xm:sqref>F8</xm:sqref>
        </x14:dataValidation>
        <x14:dataValidation type="list" allowBlank="1" showInputMessage="1" showErrorMessage="1" xr:uid="{2715B13D-857E-4AA2-AEFA-56F9726B0B0C}">
          <x14:formula1>
            <xm:f>'Drop Down Menus'!$B$1:$B$2</xm:f>
          </x14:formula1>
          <xm:sqref>F7</xm:sqref>
        </x14:dataValidation>
        <x14:dataValidation type="list" allowBlank="1" showInputMessage="1" showErrorMessage="1" xr:uid="{EA4CA596-8C42-446E-A60F-A5EBED8F94F9}">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C1E7F-5A23-4BFB-8E9A-67E3A96B6DDC}">
  <sheetPr codeName="Sheet17">
    <tabColor theme="9" tint="0.59999389629810485"/>
    <pageSetUpPr fitToPage="1"/>
  </sheetPr>
  <dimension ref="A1:S193"/>
  <sheetViews>
    <sheetView topLeftCell="B8" zoomScale="70" zoomScaleNormal="70" workbookViewId="0">
      <selection activeCell="P34" sqref="P3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9" t="s">
        <v>1629</v>
      </c>
      <c r="B1" s="179"/>
      <c r="C1" s="179"/>
      <c r="D1" s="179"/>
      <c r="E1" s="179"/>
      <c r="F1" s="179"/>
      <c r="G1" s="179"/>
      <c r="H1" s="179"/>
      <c r="I1" s="179"/>
      <c r="J1" s="179"/>
      <c r="K1" s="17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5" t="s">
        <v>10</v>
      </c>
      <c r="B3" s="175"/>
      <c r="C3" s="175"/>
      <c r="D3" s="175"/>
      <c r="E3" s="175"/>
      <c r="F3" s="180" t="s">
        <v>21</v>
      </c>
      <c r="G3" s="180"/>
      <c r="H3" s="180"/>
      <c r="I3" s="180"/>
    </row>
    <row r="4" spans="1:19" ht="16.5" customHeight="1" x14ac:dyDescent="0.25">
      <c r="A4" s="175" t="s">
        <v>191</v>
      </c>
      <c r="B4" s="175"/>
      <c r="C4" s="175"/>
      <c r="D4" s="175"/>
      <c r="E4" s="175"/>
      <c r="F4" s="181" t="s">
        <v>1676</v>
      </c>
      <c r="G4" s="181"/>
      <c r="H4" s="181"/>
      <c r="I4" s="181"/>
    </row>
    <row r="5" spans="1:19" ht="16.5" customHeight="1" x14ac:dyDescent="0.25">
      <c r="A5" s="175" t="s">
        <v>1615</v>
      </c>
      <c r="B5" s="175"/>
      <c r="C5" s="175"/>
      <c r="D5" s="175"/>
      <c r="E5" s="175"/>
      <c r="F5" s="181" t="s">
        <v>316</v>
      </c>
      <c r="G5" s="181"/>
      <c r="H5" s="181"/>
      <c r="I5" s="181"/>
      <c r="L5" s="12"/>
      <c r="M5" s="12"/>
      <c r="N5" s="12"/>
      <c r="O5" s="12"/>
      <c r="P5" s="12"/>
      <c r="Q5" s="12"/>
    </row>
    <row r="6" spans="1:19" ht="16.5" customHeight="1" x14ac:dyDescent="0.3">
      <c r="A6" s="175" t="s">
        <v>1634</v>
      </c>
      <c r="B6" s="175"/>
      <c r="C6" s="175"/>
      <c r="D6" s="175"/>
      <c r="E6" s="175"/>
      <c r="F6" s="182">
        <v>567</v>
      </c>
      <c r="G6" s="182"/>
      <c r="H6" s="182"/>
      <c r="I6" s="182"/>
      <c r="L6" s="13"/>
      <c r="M6" s="13"/>
      <c r="N6" s="13"/>
      <c r="O6" s="13"/>
      <c r="P6" s="12"/>
      <c r="Q6" s="12"/>
    </row>
    <row r="7" spans="1:19" ht="16.5" customHeight="1" x14ac:dyDescent="0.3">
      <c r="A7" s="175" t="s">
        <v>1</v>
      </c>
      <c r="B7" s="175"/>
      <c r="C7" s="175"/>
      <c r="D7" s="175"/>
      <c r="E7" s="175"/>
      <c r="F7" s="182" t="s">
        <v>120</v>
      </c>
      <c r="G7" s="182"/>
      <c r="H7" s="182"/>
      <c r="I7" s="182"/>
      <c r="K7" s="53"/>
      <c r="L7" s="13"/>
      <c r="M7" s="13"/>
      <c r="N7" s="13"/>
      <c r="O7" s="13"/>
      <c r="P7" s="12"/>
      <c r="Q7" s="12"/>
    </row>
    <row r="8" spans="1:19" ht="16.5" customHeight="1" x14ac:dyDescent="0.3">
      <c r="A8" s="175" t="s">
        <v>1616</v>
      </c>
      <c r="B8" s="175"/>
      <c r="C8" s="175"/>
      <c r="D8" s="175"/>
      <c r="E8" s="175"/>
      <c r="F8" s="182" t="s">
        <v>154</v>
      </c>
      <c r="G8" s="182"/>
      <c r="H8" s="182"/>
      <c r="I8" s="182"/>
      <c r="K8" s="53"/>
      <c r="L8" s="13"/>
      <c r="M8" s="13"/>
      <c r="N8" s="13"/>
      <c r="O8" s="13"/>
      <c r="P8" s="12"/>
      <c r="Q8" s="12"/>
    </row>
    <row r="9" spans="1:19" ht="16.5" customHeight="1" x14ac:dyDescent="0.3">
      <c r="A9" s="175" t="s">
        <v>1614</v>
      </c>
      <c r="B9" s="175"/>
      <c r="C9" s="175"/>
      <c r="D9" s="175"/>
      <c r="E9" s="175"/>
      <c r="F9" s="183" t="str">
        <f>IFERROR(IF(F7="Proprietary","Proprietary Fund",VLOOKUP(F5,[2]qryIndex02a!$A$2:$K$654,4,FALSE)),"Unidentified")</f>
        <v>GENERAL GOVERNMENT</v>
      </c>
      <c r="G9" s="183"/>
      <c r="H9" s="183"/>
      <c r="I9" s="18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164</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19" ht="16.5" customHeight="1" x14ac:dyDescent="0.3">
      <c r="A15" s="159" t="s">
        <v>1637</v>
      </c>
      <c r="B15" s="9" t="s">
        <v>170</v>
      </c>
      <c r="C15" s="9"/>
      <c r="D15" s="9"/>
      <c r="E15" s="140"/>
      <c r="F15" s="141"/>
      <c r="G15" s="141"/>
      <c r="H15" s="142"/>
      <c r="I15" s="142"/>
      <c r="J15" s="171">
        <f>M15</f>
        <v>0</v>
      </c>
      <c r="M15" s="143"/>
      <c r="P15" s="143"/>
      <c r="Q15" s="155"/>
      <c r="S15" s="154">
        <f t="shared" ref="S15:S20" si="0">P15-M15</f>
        <v>0</v>
      </c>
    </row>
    <row r="16" spans="1:19" ht="16.5" customHeight="1" x14ac:dyDescent="0.3">
      <c r="A16" s="159" t="s">
        <v>1637</v>
      </c>
      <c r="B16" s="9" t="s">
        <v>171</v>
      </c>
      <c r="C16" s="9"/>
      <c r="D16" s="9"/>
      <c r="E16" s="140"/>
      <c r="F16" s="141"/>
      <c r="G16" s="141"/>
      <c r="H16" s="142"/>
      <c r="I16" s="142"/>
      <c r="J16" s="171">
        <f>M16</f>
        <v>65210</v>
      </c>
      <c r="M16" s="143">
        <v>65210</v>
      </c>
      <c r="P16" s="143">
        <v>65210</v>
      </c>
      <c r="Q16" s="155"/>
      <c r="S16" s="154">
        <f t="shared" si="0"/>
        <v>0</v>
      </c>
    </row>
    <row r="17" spans="1:19" ht="16.5" customHeight="1" x14ac:dyDescent="0.3">
      <c r="A17" s="159" t="s">
        <v>1637</v>
      </c>
      <c r="B17" s="9" t="s">
        <v>172</v>
      </c>
      <c r="C17" s="9"/>
      <c r="D17" s="9"/>
      <c r="E17" s="140"/>
      <c r="F17" s="141"/>
      <c r="G17" s="141"/>
      <c r="H17" s="142"/>
      <c r="I17" s="142"/>
      <c r="J17" s="171">
        <f>M17</f>
        <v>4543472</v>
      </c>
      <c r="M17" s="143">
        <v>4543472</v>
      </c>
      <c r="P17" s="143">
        <v>4584022</v>
      </c>
      <c r="Q17" s="155"/>
      <c r="S17" s="154">
        <f t="shared" si="0"/>
        <v>40550</v>
      </c>
    </row>
    <row r="18" spans="1:19" ht="16.5" customHeight="1" x14ac:dyDescent="0.3">
      <c r="A18" s="54"/>
      <c r="B18" s="9" t="s">
        <v>168</v>
      </c>
      <c r="C18" s="9"/>
      <c r="D18" s="9"/>
      <c r="E18" s="140"/>
      <c r="F18" s="141"/>
      <c r="G18" s="141"/>
      <c r="H18" s="142"/>
      <c r="I18" s="142"/>
      <c r="J18" s="171">
        <f>P18</f>
        <v>21684</v>
      </c>
      <c r="M18" s="143">
        <v>78588</v>
      </c>
      <c r="P18" s="152">
        <f>IF(SUM($Q$20:$Q$23)&gt;SUM($P$15:$P$17),SUM($Q$20:$Q$23)-SUM($P$15:$P$17),0)</f>
        <v>21684</v>
      </c>
      <c r="Q18" s="155"/>
      <c r="S18" s="154">
        <f t="shared" si="0"/>
        <v>-56904</v>
      </c>
    </row>
    <row r="19" spans="1:19" ht="16.5" customHeight="1" x14ac:dyDescent="0.3">
      <c r="A19" s="54"/>
      <c r="B19" s="9" t="s">
        <v>169</v>
      </c>
      <c r="C19" s="9"/>
      <c r="D19" s="9"/>
      <c r="E19" s="140"/>
      <c r="F19" s="141"/>
      <c r="G19" s="141"/>
      <c r="H19" s="142"/>
      <c r="I19" s="142"/>
      <c r="J19" s="171">
        <f>IF(SUM($K$20:$K$24)&gt;SUM($J$15:$J$18),SUM($K$20:$K$24)-SUM($J$15:$J$18),0)</f>
        <v>3423</v>
      </c>
      <c r="M19" s="143"/>
      <c r="P19" s="155"/>
      <c r="Q19" s="155"/>
      <c r="S19" s="154">
        <f t="shared" si="0"/>
        <v>0</v>
      </c>
    </row>
    <row r="20" spans="1:19" ht="16.5" customHeight="1" x14ac:dyDescent="0.3">
      <c r="A20" s="54"/>
      <c r="B20" s="9"/>
      <c r="C20" s="9" t="s">
        <v>177</v>
      </c>
      <c r="D20" s="9"/>
      <c r="E20" s="140"/>
      <c r="F20" s="141"/>
      <c r="G20" s="141"/>
      <c r="H20" s="142"/>
      <c r="I20" s="142"/>
      <c r="J20" s="150"/>
      <c r="K20" s="171">
        <f>N20</f>
        <v>0</v>
      </c>
      <c r="N20" s="143"/>
      <c r="P20" s="155"/>
      <c r="Q20" s="143"/>
      <c r="S20" s="154">
        <f t="shared" si="0"/>
        <v>0</v>
      </c>
    </row>
    <row r="21" spans="1:19" ht="16.5" customHeight="1" x14ac:dyDescent="0.3">
      <c r="A21" s="54"/>
      <c r="B21" s="9"/>
      <c r="C21" s="9" t="s">
        <v>174</v>
      </c>
      <c r="D21" s="9"/>
      <c r="E21" s="140"/>
      <c r="F21" s="141"/>
      <c r="G21" s="141"/>
      <c r="H21" s="142"/>
      <c r="I21" s="142"/>
      <c r="J21" s="150"/>
      <c r="K21" s="171">
        <f>N21</f>
        <v>26084</v>
      </c>
      <c r="N21" s="143">
        <v>26084</v>
      </c>
      <c r="P21" s="155"/>
      <c r="Q21" s="143">
        <v>26084</v>
      </c>
      <c r="S21" s="154">
        <f>Q21-N21</f>
        <v>0</v>
      </c>
    </row>
    <row r="22" spans="1:19" ht="16.5" customHeight="1" x14ac:dyDescent="0.3">
      <c r="A22" s="54"/>
      <c r="B22" s="9"/>
      <c r="C22" s="9" t="s">
        <v>178</v>
      </c>
      <c r="D22" s="9"/>
      <c r="E22" s="140"/>
      <c r="F22" s="141"/>
      <c r="G22" s="141"/>
      <c r="H22" s="142"/>
      <c r="I22" s="142"/>
      <c r="J22" s="150"/>
      <c r="K22" s="171">
        <f>N22</f>
        <v>1628392</v>
      </c>
      <c r="N22" s="143">
        <v>1628392</v>
      </c>
      <c r="P22" s="155"/>
      <c r="Q22" s="143">
        <v>1632785</v>
      </c>
      <c r="S22" s="154">
        <f t="shared" ref="S22:S25" si="1">Q22-N22</f>
        <v>4393</v>
      </c>
    </row>
    <row r="23" spans="1:19" ht="16.5" customHeight="1" x14ac:dyDescent="0.3">
      <c r="A23" s="165" t="s">
        <v>1645</v>
      </c>
      <c r="B23" s="9"/>
      <c r="C23" s="9" t="s">
        <v>173</v>
      </c>
      <c r="D23" s="9"/>
      <c r="E23" s="140"/>
      <c r="F23" s="141"/>
      <c r="G23" s="141"/>
      <c r="H23" s="142"/>
      <c r="I23" s="142"/>
      <c r="J23" s="150"/>
      <c r="K23" s="171">
        <f>N23</f>
        <v>2979313</v>
      </c>
      <c r="N23" s="143">
        <v>2979313</v>
      </c>
      <c r="P23" s="155"/>
      <c r="Q23" s="143">
        <v>3012047</v>
      </c>
      <c r="S23" s="154">
        <f t="shared" si="1"/>
        <v>32734</v>
      </c>
    </row>
    <row r="24" spans="1:19" ht="16.5" customHeight="1" x14ac:dyDescent="0.3">
      <c r="A24" s="54"/>
      <c r="B24" s="9"/>
      <c r="C24" s="9" t="s">
        <v>175</v>
      </c>
      <c r="D24" s="9"/>
      <c r="E24" s="140"/>
      <c r="F24" s="141"/>
      <c r="G24" s="141"/>
      <c r="H24" s="142"/>
      <c r="I24" s="142"/>
      <c r="J24" s="150"/>
      <c r="K24" s="171">
        <f>Q24</f>
        <v>0</v>
      </c>
      <c r="N24" s="143">
        <v>53480</v>
      </c>
      <c r="P24" s="155"/>
      <c r="Q24" s="152">
        <f>IF(SUM($Q$20:$Q$23)&lt;SUM($P$15:$P$17),-SUM($Q$20:$Q$23)+SUM($P$15:$P$17),0)</f>
        <v>0</v>
      </c>
      <c r="S24" s="154">
        <f t="shared" si="1"/>
        <v>-53480</v>
      </c>
    </row>
    <row r="25" spans="1:19" ht="16.5" customHeight="1" x14ac:dyDescent="0.3">
      <c r="A25" s="54"/>
      <c r="B25" s="9"/>
      <c r="C25" s="9" t="s">
        <v>176</v>
      </c>
      <c r="D25" s="9"/>
      <c r="E25" s="140"/>
      <c r="F25" s="141"/>
      <c r="G25" s="141"/>
      <c r="H25" s="142"/>
      <c r="I25" s="142"/>
      <c r="J25" s="150"/>
      <c r="K25" s="171">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4633789</v>
      </c>
      <c r="K26" s="107">
        <f>SUM(K15:K25)</f>
        <v>4633789</v>
      </c>
      <c r="L26" s="8" t="str">
        <f>IF(J26=K26,"&lt;- Debits and Credits equal each other.","&lt;- Debits and Credits do not equal each other.")</f>
        <v>&lt;- Debits and Credits equal each other.</v>
      </c>
    </row>
    <row r="27" spans="1:19" ht="16.5" customHeight="1" x14ac:dyDescent="0.3">
      <c r="A27" s="1"/>
      <c r="B27" s="130" t="s">
        <v>1638</v>
      </c>
      <c r="C27" s="23"/>
      <c r="D27" s="20"/>
      <c r="E27" s="20"/>
      <c r="F27" s="21"/>
      <c r="G27" s="21"/>
      <c r="H27" s="22"/>
      <c r="I27" s="22"/>
      <c r="J27" s="19"/>
      <c r="K27" s="19"/>
      <c r="L27" s="8"/>
    </row>
    <row r="28" spans="1:19" ht="16.2" customHeight="1" x14ac:dyDescent="0.35">
      <c r="A28" s="1"/>
      <c r="B28" s="166" t="s">
        <v>1649</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165</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861160</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v>13042</v>
      </c>
    </row>
    <row r="58" spans="1:16" ht="16.5" customHeight="1" x14ac:dyDescent="0.3">
      <c r="A58" s="54"/>
      <c r="B58" s="9"/>
      <c r="C58" s="9" t="s">
        <v>178</v>
      </c>
      <c r="D58" s="140"/>
      <c r="E58" s="140"/>
      <c r="F58" s="141"/>
      <c r="G58" s="141"/>
      <c r="H58" s="142"/>
      <c r="I58" s="142"/>
      <c r="J58" s="144"/>
      <c r="K58" s="143">
        <v>848118</v>
      </c>
    </row>
    <row r="59" spans="1:16" ht="16.5" customHeight="1" x14ac:dyDescent="0.3">
      <c r="A59" s="54"/>
      <c r="C59" s="16"/>
      <c r="D59" s="16"/>
      <c r="E59" s="16"/>
      <c r="F59" s="17"/>
      <c r="G59" s="17"/>
      <c r="H59" s="18"/>
      <c r="I59" s="18"/>
      <c r="J59" s="107">
        <f>SUM(J55:J58)</f>
        <v>861160</v>
      </c>
      <c r="K59" s="107">
        <f>SUM(K55:K58)</f>
        <v>861160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865531</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17107</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882638</v>
      </c>
    </row>
    <row r="65" spans="1:12" ht="16.5" customHeight="1" x14ac:dyDescent="0.3">
      <c r="A65" s="54"/>
      <c r="C65" s="16"/>
      <c r="D65" s="16"/>
      <c r="E65" s="16"/>
      <c r="F65" s="17"/>
      <c r="G65" s="17"/>
      <c r="H65" s="18"/>
      <c r="I65" s="18"/>
      <c r="J65" s="107">
        <f>SUM(J62:J64)</f>
        <v>882638</v>
      </c>
      <c r="K65" s="107">
        <f>SUM(K62:K64)</f>
        <v>882638</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865531</v>
      </c>
      <c r="K68" s="144"/>
    </row>
    <row r="69" spans="1:12" ht="16.5" customHeight="1" x14ac:dyDescent="0.3">
      <c r="A69" s="54"/>
      <c r="B69" s="9"/>
      <c r="C69" s="9" t="s">
        <v>185</v>
      </c>
      <c r="D69" s="140"/>
      <c r="E69" s="140"/>
      <c r="F69" s="141"/>
      <c r="G69" s="141"/>
      <c r="H69" s="142"/>
      <c r="I69" s="142"/>
      <c r="J69" s="144"/>
      <c r="K69" s="143">
        <v>865531</v>
      </c>
    </row>
    <row r="70" spans="1:12" ht="16.5" customHeight="1" x14ac:dyDescent="0.3">
      <c r="A70" s="54"/>
      <c r="C70" s="16"/>
      <c r="D70" s="16"/>
      <c r="E70" s="16"/>
      <c r="F70" s="17"/>
      <c r="G70" s="17"/>
      <c r="H70" s="18"/>
      <c r="I70" s="18"/>
      <c r="J70" s="107">
        <f>SUM(J68:J69)</f>
        <v>865531</v>
      </c>
      <c r="K70" s="107">
        <f>SUM(K68:K69)</f>
        <v>865531</v>
      </c>
      <c r="L70" s="8"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805559</v>
      </c>
      <c r="K75" s="144"/>
    </row>
    <row r="76" spans="1:12" ht="16.5" customHeight="1" x14ac:dyDescent="0.3">
      <c r="A76" s="54"/>
      <c r="B76" s="9"/>
      <c r="C76" s="9" t="s">
        <v>193</v>
      </c>
      <c r="D76" s="140"/>
      <c r="E76" s="140"/>
      <c r="F76" s="141"/>
      <c r="G76" s="141"/>
      <c r="H76" s="142"/>
      <c r="I76" s="142"/>
      <c r="J76" s="144"/>
      <c r="K76" s="143">
        <v>805559</v>
      </c>
    </row>
    <row r="77" spans="1:12" ht="16.5" customHeight="1" x14ac:dyDescent="0.25">
      <c r="A77" s="54"/>
      <c r="B77" s="178" t="s">
        <v>1662</v>
      </c>
      <c r="C77" s="178"/>
      <c r="D77" s="178"/>
      <c r="E77" s="178"/>
      <c r="F77" s="178"/>
      <c r="G77" s="178"/>
      <c r="H77" s="178"/>
      <c r="I77" s="178"/>
      <c r="J77" s="107">
        <f>SUM(J75:J76)</f>
        <v>805559</v>
      </c>
      <c r="K77" s="107">
        <f>SUM(K75:K76)</f>
        <v>805559</v>
      </c>
      <c r="L77" s="8"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v>175215</v>
      </c>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v>175215</v>
      </c>
    </row>
    <row r="91" spans="1:16" ht="16.5" customHeight="1" x14ac:dyDescent="0.3">
      <c r="B91" s="130" t="s">
        <v>1640</v>
      </c>
      <c r="H91" s="10"/>
      <c r="J91" s="108">
        <f>SUM(J85:J90)</f>
        <v>175215</v>
      </c>
      <c r="K91" s="108">
        <f>SUM(K85:K90)</f>
        <v>175215</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v>5626</v>
      </c>
      <c r="K112" s="25"/>
    </row>
    <row r="113" spans="1:12" ht="16.5" customHeight="1" x14ac:dyDescent="0.25">
      <c r="A113" s="165" t="s">
        <v>1645</v>
      </c>
      <c r="B113" s="9"/>
      <c r="C113" s="9" t="s">
        <v>173</v>
      </c>
      <c r="D113" s="7"/>
      <c r="E113" s="25"/>
      <c r="F113" s="25"/>
      <c r="G113" s="25"/>
      <c r="H113" s="25"/>
      <c r="I113" s="25"/>
      <c r="J113" s="25"/>
      <c r="K113" s="143">
        <v>5626</v>
      </c>
    </row>
    <row r="114" spans="1:12" ht="16.5" customHeight="1" x14ac:dyDescent="0.3">
      <c r="A114" s="6"/>
      <c r="B114" s="130" t="s">
        <v>1639</v>
      </c>
      <c r="C114" s="114"/>
      <c r="D114" s="114"/>
      <c r="H114" s="10"/>
      <c r="J114" s="108">
        <f>SUM(J110:J113)</f>
        <v>5626</v>
      </c>
      <c r="K114" s="108">
        <f>SUM(K110:K113)</f>
        <v>5626</v>
      </c>
      <c r="L114" s="8"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65210</v>
      </c>
    </row>
    <row r="124" spans="1:12" ht="16.5" customHeight="1" x14ac:dyDescent="0.3">
      <c r="D124" s="140" t="s">
        <v>1652</v>
      </c>
      <c r="H124" s="10"/>
      <c r="K124" s="169">
        <f>J17+J41-K90-K103+J112</f>
        <v>4373883</v>
      </c>
    </row>
    <row r="125" spans="1:12" ht="16.5" customHeight="1" x14ac:dyDescent="0.3">
      <c r="D125" s="140" t="s">
        <v>1653</v>
      </c>
      <c r="H125" s="10"/>
      <c r="K125" s="169">
        <f>-K20-K56+J85+J97</f>
        <v>0</v>
      </c>
    </row>
    <row r="126" spans="1:12" ht="16.5" customHeight="1" x14ac:dyDescent="0.3">
      <c r="D126" s="140" t="s">
        <v>1654</v>
      </c>
      <c r="H126" s="10"/>
      <c r="K126" s="169">
        <f>-K21-K57+J86+J98</f>
        <v>-39126</v>
      </c>
    </row>
    <row r="127" spans="1:12" ht="16.5" customHeight="1" x14ac:dyDescent="0.3">
      <c r="D127" s="140" t="s">
        <v>1655</v>
      </c>
      <c r="H127" s="10"/>
      <c r="K127" s="169">
        <f>-K22-K58+J87+J99</f>
        <v>-2301295</v>
      </c>
    </row>
    <row r="128" spans="1:12" ht="16.5" customHeight="1" x14ac:dyDescent="0.3">
      <c r="D128" s="140" t="s">
        <v>1656</v>
      </c>
      <c r="H128" s="10"/>
      <c r="K128" s="169">
        <f>-K23-K48+J68+J75+J96-K113</f>
        <v>-1313849</v>
      </c>
    </row>
    <row r="129" spans="4:11" ht="16.5" customHeight="1" x14ac:dyDescent="0.3">
      <c r="D129" s="140" t="s">
        <v>1657</v>
      </c>
      <c r="H129" s="10"/>
      <c r="K129" s="169">
        <f>-K76</f>
        <v>-805559</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00377B2B-8549-48FD-A0F5-68325AC8D04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0A18E8A-7D71-4F5C-BF80-40739EA10689}">
      <formula1>0</formula1>
    </dataValidation>
    <dataValidation operator="lessThan" allowBlank="1" showInputMessage="1" showErrorMessage="1" sqref="A3:A8" xr:uid="{D861645D-A54A-4834-AD7B-5B1B2DBBA774}"/>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FF536-92CF-4947-921D-F18A59B2C5EC}">
  <sheetPr codeName="Sheet18">
    <tabColor theme="9" tint="0.59999389629810485"/>
    <pageSetUpPr fitToPage="1"/>
  </sheetPr>
  <dimension ref="A1:S193"/>
  <sheetViews>
    <sheetView topLeftCell="A7" zoomScale="70" zoomScaleNormal="70" workbookViewId="0">
      <selection activeCell="N115" sqref="N11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9" t="s">
        <v>1629</v>
      </c>
      <c r="B1" s="179"/>
      <c r="C1" s="179"/>
      <c r="D1" s="179"/>
      <c r="E1" s="179"/>
      <c r="F1" s="179"/>
      <c r="G1" s="179"/>
      <c r="H1" s="179"/>
      <c r="I1" s="179"/>
      <c r="J1" s="179"/>
      <c r="K1" s="17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5" t="s">
        <v>10</v>
      </c>
      <c r="B3" s="175"/>
      <c r="C3" s="175"/>
      <c r="D3" s="175"/>
      <c r="E3" s="175"/>
      <c r="F3" s="180" t="s">
        <v>21</v>
      </c>
      <c r="G3" s="180"/>
      <c r="H3" s="180"/>
      <c r="I3" s="180"/>
    </row>
    <row r="4" spans="1:19" ht="16.5" customHeight="1" x14ac:dyDescent="0.25">
      <c r="A4" s="175" t="s">
        <v>191</v>
      </c>
      <c r="B4" s="175"/>
      <c r="C4" s="175"/>
      <c r="D4" s="175"/>
      <c r="E4" s="175"/>
      <c r="F4" s="181" t="s">
        <v>1676</v>
      </c>
      <c r="G4" s="181"/>
      <c r="H4" s="181"/>
      <c r="I4" s="181"/>
    </row>
    <row r="5" spans="1:19" ht="16.5" customHeight="1" x14ac:dyDescent="0.25">
      <c r="A5" s="175" t="s">
        <v>1615</v>
      </c>
      <c r="B5" s="175"/>
      <c r="C5" s="175"/>
      <c r="D5" s="175"/>
      <c r="E5" s="175"/>
      <c r="F5" s="181" t="s">
        <v>316</v>
      </c>
      <c r="G5" s="181"/>
      <c r="H5" s="181"/>
      <c r="I5" s="181"/>
      <c r="L5" s="12"/>
      <c r="M5" s="12"/>
      <c r="N5" s="12"/>
      <c r="O5" s="12"/>
      <c r="P5" s="12"/>
      <c r="Q5" s="12"/>
    </row>
    <row r="6" spans="1:19" ht="16.5" customHeight="1" x14ac:dyDescent="0.3">
      <c r="A6" s="175" t="s">
        <v>1634</v>
      </c>
      <c r="B6" s="175"/>
      <c r="C6" s="175"/>
      <c r="D6" s="175"/>
      <c r="E6" s="175"/>
      <c r="F6" s="182">
        <v>569</v>
      </c>
      <c r="G6" s="182"/>
      <c r="H6" s="182"/>
      <c r="I6" s="182"/>
      <c r="L6" s="13"/>
      <c r="M6" s="13"/>
      <c r="N6" s="13"/>
      <c r="O6" s="13"/>
      <c r="P6" s="12"/>
      <c r="Q6" s="12"/>
    </row>
    <row r="7" spans="1:19" ht="16.5" customHeight="1" x14ac:dyDescent="0.3">
      <c r="A7" s="175" t="s">
        <v>1</v>
      </c>
      <c r="B7" s="175"/>
      <c r="C7" s="175"/>
      <c r="D7" s="175"/>
      <c r="E7" s="175"/>
      <c r="F7" s="182" t="s">
        <v>120</v>
      </c>
      <c r="G7" s="182"/>
      <c r="H7" s="182"/>
      <c r="I7" s="182"/>
      <c r="K7" s="53"/>
      <c r="L7" s="13"/>
      <c r="M7" s="13"/>
      <c r="N7" s="13"/>
      <c r="O7" s="13"/>
      <c r="P7" s="12"/>
      <c r="Q7" s="12"/>
    </row>
    <row r="8" spans="1:19" ht="16.5" customHeight="1" x14ac:dyDescent="0.3">
      <c r="A8" s="175" t="s">
        <v>1616</v>
      </c>
      <c r="B8" s="175"/>
      <c r="C8" s="175"/>
      <c r="D8" s="175"/>
      <c r="E8" s="175"/>
      <c r="F8" s="182" t="s">
        <v>154</v>
      </c>
      <c r="G8" s="182"/>
      <c r="H8" s="182"/>
      <c r="I8" s="182"/>
      <c r="K8" s="53"/>
      <c r="L8" s="13"/>
      <c r="M8" s="13"/>
      <c r="N8" s="13"/>
      <c r="O8" s="13"/>
      <c r="P8" s="12"/>
      <c r="Q8" s="12"/>
    </row>
    <row r="9" spans="1:19" ht="16.5" customHeight="1" x14ac:dyDescent="0.3">
      <c r="A9" s="175" t="s">
        <v>1614</v>
      </c>
      <c r="B9" s="175"/>
      <c r="C9" s="175"/>
      <c r="D9" s="175"/>
      <c r="E9" s="175"/>
      <c r="F9" s="183" t="str">
        <f>IFERROR(IF(F7="Proprietary","Proprietary Fund",VLOOKUP(F5,[2]qryIndex02a!$A$2:$K$654,4,FALSE)),"Unidentified")</f>
        <v>GENERAL GOVERNMENT</v>
      </c>
      <c r="G9" s="183"/>
      <c r="H9" s="183"/>
      <c r="I9" s="18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164</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19" ht="16.5" customHeight="1" x14ac:dyDescent="0.3">
      <c r="A15" s="159" t="s">
        <v>1637</v>
      </c>
      <c r="B15" s="9" t="s">
        <v>170</v>
      </c>
      <c r="C15" s="9"/>
      <c r="D15" s="9"/>
      <c r="E15" s="140"/>
      <c r="F15" s="141"/>
      <c r="G15" s="141"/>
      <c r="H15" s="142"/>
      <c r="I15" s="142"/>
      <c r="J15" s="171">
        <f>M15</f>
        <v>0</v>
      </c>
      <c r="M15" s="143"/>
      <c r="P15" s="143"/>
      <c r="Q15" s="155"/>
      <c r="S15" s="154">
        <f t="shared" ref="S15:S20" si="0">P15-M15</f>
        <v>0</v>
      </c>
    </row>
    <row r="16" spans="1:19" ht="16.5" customHeight="1" x14ac:dyDescent="0.3">
      <c r="A16" s="159" t="s">
        <v>1637</v>
      </c>
      <c r="B16" s="9" t="s">
        <v>171</v>
      </c>
      <c r="C16" s="9"/>
      <c r="D16" s="9"/>
      <c r="E16" s="140"/>
      <c r="F16" s="141"/>
      <c r="G16" s="141"/>
      <c r="H16" s="142"/>
      <c r="I16" s="142"/>
      <c r="J16" s="171">
        <f>M16</f>
        <v>0</v>
      </c>
      <c r="M16" s="143"/>
      <c r="P16" s="143"/>
      <c r="Q16" s="155"/>
      <c r="S16" s="154">
        <f t="shared" si="0"/>
        <v>0</v>
      </c>
    </row>
    <row r="17" spans="1:19" ht="16.5" customHeight="1" x14ac:dyDescent="0.3">
      <c r="A17" s="159" t="s">
        <v>1637</v>
      </c>
      <c r="B17" s="9" t="s">
        <v>172</v>
      </c>
      <c r="C17" s="9"/>
      <c r="D17" s="9"/>
      <c r="E17" s="140"/>
      <c r="F17" s="141"/>
      <c r="G17" s="141"/>
      <c r="H17" s="142"/>
      <c r="I17" s="142"/>
      <c r="J17" s="171">
        <f>M17</f>
        <v>223874</v>
      </c>
      <c r="M17" s="143">
        <v>223874</v>
      </c>
      <c r="P17" s="143">
        <v>223874</v>
      </c>
      <c r="Q17" s="155"/>
      <c r="S17" s="154">
        <f t="shared" si="0"/>
        <v>0</v>
      </c>
    </row>
    <row r="18" spans="1:19" ht="16.5" customHeight="1" x14ac:dyDescent="0.3">
      <c r="A18" s="54"/>
      <c r="B18" s="9" t="s">
        <v>168</v>
      </c>
      <c r="C18" s="9"/>
      <c r="D18" s="9"/>
      <c r="E18" s="140"/>
      <c r="F18" s="141"/>
      <c r="G18" s="141"/>
      <c r="H18" s="142"/>
      <c r="I18" s="142"/>
      <c r="J18" s="171">
        <f>P18</f>
        <v>522</v>
      </c>
      <c r="M18" s="143">
        <v>1410</v>
      </c>
      <c r="P18" s="152">
        <f>IF(SUM($Q$20:$Q$23)&gt;SUM($P$15:$P$17),SUM($Q$20:$Q$23)-SUM($P$15:$P$17),0)</f>
        <v>522</v>
      </c>
      <c r="Q18" s="155"/>
      <c r="S18" s="154">
        <f t="shared" si="0"/>
        <v>-888</v>
      </c>
    </row>
    <row r="19" spans="1:19"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row>
    <row r="20" spans="1:19" ht="16.5" customHeight="1" x14ac:dyDescent="0.3">
      <c r="A20" s="54"/>
      <c r="B20" s="9"/>
      <c r="C20" s="9" t="s">
        <v>177</v>
      </c>
      <c r="D20" s="9"/>
      <c r="E20" s="140"/>
      <c r="F20" s="141"/>
      <c r="G20" s="141"/>
      <c r="H20" s="142"/>
      <c r="I20" s="142"/>
      <c r="J20" s="150"/>
      <c r="K20" s="171">
        <f>N20</f>
        <v>0</v>
      </c>
      <c r="N20" s="143"/>
      <c r="P20" s="155"/>
      <c r="Q20" s="143"/>
      <c r="S20" s="154">
        <f t="shared" si="0"/>
        <v>0</v>
      </c>
    </row>
    <row r="21" spans="1:19" ht="16.5" customHeight="1" x14ac:dyDescent="0.3">
      <c r="A21" s="54"/>
      <c r="B21" s="9"/>
      <c r="C21" s="9" t="s">
        <v>174</v>
      </c>
      <c r="D21" s="9"/>
      <c r="E21" s="140"/>
      <c r="F21" s="141"/>
      <c r="G21" s="141"/>
      <c r="H21" s="142"/>
      <c r="I21" s="142"/>
      <c r="J21" s="150"/>
      <c r="K21" s="171">
        <f>N21</f>
        <v>0</v>
      </c>
      <c r="N21" s="143"/>
      <c r="P21" s="155"/>
      <c r="Q21" s="143"/>
      <c r="S21" s="154">
        <f>Q21-N21</f>
        <v>0</v>
      </c>
    </row>
    <row r="22" spans="1:19" ht="16.5" customHeight="1" x14ac:dyDescent="0.3">
      <c r="A22" s="54"/>
      <c r="B22" s="9"/>
      <c r="C22" s="9" t="s">
        <v>178</v>
      </c>
      <c r="D22" s="9"/>
      <c r="E22" s="140"/>
      <c r="F22" s="141"/>
      <c r="G22" s="141"/>
      <c r="H22" s="142"/>
      <c r="I22" s="142"/>
      <c r="J22" s="150"/>
      <c r="K22" s="171">
        <f>N22</f>
        <v>147834</v>
      </c>
      <c r="N22" s="143">
        <v>147834</v>
      </c>
      <c r="P22" s="155"/>
      <c r="Q22" s="143">
        <v>147903</v>
      </c>
      <c r="S22" s="154">
        <f t="shared" ref="S22:S25" si="1">Q22-N22</f>
        <v>69</v>
      </c>
    </row>
    <row r="23" spans="1:19" ht="16.5" customHeight="1" x14ac:dyDescent="0.3">
      <c r="A23" s="165" t="s">
        <v>1645</v>
      </c>
      <c r="B23" s="9"/>
      <c r="C23" s="9" t="s">
        <v>173</v>
      </c>
      <c r="D23" s="9"/>
      <c r="E23" s="140"/>
      <c r="F23" s="141"/>
      <c r="G23" s="141"/>
      <c r="H23" s="142"/>
      <c r="I23" s="142"/>
      <c r="J23" s="150"/>
      <c r="K23" s="171">
        <f>N23</f>
        <v>75981</v>
      </c>
      <c r="N23" s="143">
        <v>75981</v>
      </c>
      <c r="P23" s="155"/>
      <c r="Q23" s="143">
        <v>76493</v>
      </c>
      <c r="S23" s="154">
        <f t="shared" si="1"/>
        <v>512</v>
      </c>
    </row>
    <row r="24" spans="1:19" ht="16.5" customHeight="1" x14ac:dyDescent="0.3">
      <c r="A24" s="54"/>
      <c r="B24" s="9"/>
      <c r="C24" s="9" t="s">
        <v>175</v>
      </c>
      <c r="D24" s="9"/>
      <c r="E24" s="140"/>
      <c r="F24" s="141"/>
      <c r="G24" s="141"/>
      <c r="H24" s="142"/>
      <c r="I24" s="142"/>
      <c r="J24" s="150"/>
      <c r="K24" s="171">
        <f>Q24</f>
        <v>0</v>
      </c>
      <c r="N24" s="143">
        <v>835</v>
      </c>
      <c r="P24" s="155"/>
      <c r="Q24" s="152">
        <f>IF(SUM($Q$20:$Q$23)&lt;SUM($P$15:$P$17),-SUM($Q$20:$Q$23)+SUM($P$15:$P$17),0)</f>
        <v>0</v>
      </c>
      <c r="S24" s="154">
        <f t="shared" si="1"/>
        <v>-835</v>
      </c>
    </row>
    <row r="25" spans="1:19" ht="16.5" customHeight="1" x14ac:dyDescent="0.3">
      <c r="A25" s="54"/>
      <c r="B25" s="9"/>
      <c r="C25" s="9" t="s">
        <v>176</v>
      </c>
      <c r="D25" s="9"/>
      <c r="E25" s="140"/>
      <c r="F25" s="141"/>
      <c r="G25" s="141"/>
      <c r="H25" s="142"/>
      <c r="I25" s="142"/>
      <c r="J25" s="150"/>
      <c r="K25" s="171">
        <f>IF(SUM($K$20:$K$24)&lt;SUM($J$15:$J$18),-SUM($K$20:$K$24)+SUM($J$15:$J$18),0)</f>
        <v>581</v>
      </c>
      <c r="N25" s="143"/>
      <c r="P25" s="155"/>
      <c r="Q25" s="155"/>
      <c r="S25" s="154">
        <f t="shared" si="1"/>
        <v>0</v>
      </c>
    </row>
    <row r="26" spans="1:19" ht="16.5" customHeight="1" x14ac:dyDescent="0.3">
      <c r="A26" s="54"/>
      <c r="C26" s="20"/>
      <c r="D26" s="20"/>
      <c r="E26" s="20"/>
      <c r="F26" s="127"/>
      <c r="G26" s="127"/>
      <c r="H26" s="22"/>
      <c r="I26" s="22"/>
      <c r="J26" s="107">
        <f>SUM(J15:J25)</f>
        <v>224396</v>
      </c>
      <c r="K26" s="107">
        <f>SUM(K15:K25)</f>
        <v>224396</v>
      </c>
      <c r="L26" s="8" t="str">
        <f>IF(J26=K26,"&lt;- Debits and Credits equal each other.","&lt;- Debits and Credits do not equal each other.")</f>
        <v>&lt;- Debits and Credits equal each other.</v>
      </c>
    </row>
    <row r="27" spans="1:19" ht="16.5" customHeight="1" x14ac:dyDescent="0.3">
      <c r="A27" s="1"/>
      <c r="B27" s="130" t="s">
        <v>1638</v>
      </c>
      <c r="C27" s="23"/>
      <c r="D27" s="20"/>
      <c r="E27" s="20"/>
      <c r="F27" s="21"/>
      <c r="G27" s="21"/>
      <c r="H27" s="22"/>
      <c r="I27" s="22"/>
      <c r="J27" s="19"/>
      <c r="K27" s="19"/>
      <c r="L27" s="8"/>
    </row>
    <row r="28" spans="1:19" ht="16.2" customHeight="1" x14ac:dyDescent="0.35">
      <c r="A28" s="1"/>
      <c r="B28" s="166" t="s">
        <v>1649</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165</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83680</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row>
    <row r="58" spans="1:16" ht="16.5" customHeight="1" x14ac:dyDescent="0.3">
      <c r="A58" s="54"/>
      <c r="B58" s="9"/>
      <c r="C58" s="9" t="s">
        <v>178</v>
      </c>
      <c r="D58" s="140"/>
      <c r="E58" s="140"/>
      <c r="F58" s="141"/>
      <c r="G58" s="141"/>
      <c r="H58" s="142"/>
      <c r="I58" s="142"/>
      <c r="J58" s="144"/>
      <c r="K58" s="143">
        <v>83680</v>
      </c>
    </row>
    <row r="59" spans="1:16" ht="16.5" customHeight="1" x14ac:dyDescent="0.3">
      <c r="A59" s="54"/>
      <c r="C59" s="16"/>
      <c r="D59" s="16"/>
      <c r="E59" s="16"/>
      <c r="F59" s="17"/>
      <c r="G59" s="17"/>
      <c r="H59" s="18"/>
      <c r="I59" s="18"/>
      <c r="J59" s="107">
        <f>SUM(J55:J58)</f>
        <v>83680</v>
      </c>
      <c r="K59" s="107">
        <f>SUM(K55:K58)</f>
        <v>83680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69572</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8357</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77929</v>
      </c>
    </row>
    <row r="65" spans="1:12" ht="16.5" customHeight="1" x14ac:dyDescent="0.3">
      <c r="A65" s="54"/>
      <c r="C65" s="16"/>
      <c r="D65" s="16"/>
      <c r="E65" s="16"/>
      <c r="F65" s="17"/>
      <c r="G65" s="17"/>
      <c r="H65" s="18"/>
      <c r="I65" s="18"/>
      <c r="J65" s="107">
        <f>SUM(J62:J64)</f>
        <v>77929</v>
      </c>
      <c r="K65" s="107">
        <f>SUM(K62:K64)</f>
        <v>77929</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69572</v>
      </c>
      <c r="K68" s="144"/>
    </row>
    <row r="69" spans="1:12" ht="16.5" customHeight="1" x14ac:dyDescent="0.3">
      <c r="A69" s="54"/>
      <c r="B69" s="9"/>
      <c r="C69" s="9" t="s">
        <v>185</v>
      </c>
      <c r="D69" s="140"/>
      <c r="E69" s="140"/>
      <c r="F69" s="141"/>
      <c r="G69" s="141"/>
      <c r="H69" s="142"/>
      <c r="I69" s="142"/>
      <c r="J69" s="144"/>
      <c r="K69" s="143">
        <v>69572</v>
      </c>
    </row>
    <row r="70" spans="1:12" ht="16.5" customHeight="1" x14ac:dyDescent="0.3">
      <c r="A70" s="54"/>
      <c r="C70" s="16"/>
      <c r="D70" s="16"/>
      <c r="E70" s="16"/>
      <c r="F70" s="17"/>
      <c r="G70" s="17"/>
      <c r="H70" s="18"/>
      <c r="I70" s="18"/>
      <c r="J70" s="107">
        <f>SUM(J68:J69)</f>
        <v>69572</v>
      </c>
      <c r="K70" s="107">
        <f>SUM(K68:K69)</f>
        <v>69572</v>
      </c>
      <c r="L70" s="8"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78487</v>
      </c>
      <c r="K75" s="144"/>
    </row>
    <row r="76" spans="1:12" ht="16.5" customHeight="1" x14ac:dyDescent="0.3">
      <c r="A76" s="54"/>
      <c r="B76" s="9"/>
      <c r="C76" s="9" t="s">
        <v>193</v>
      </c>
      <c r="D76" s="140"/>
      <c r="E76" s="140"/>
      <c r="F76" s="141"/>
      <c r="G76" s="141"/>
      <c r="H76" s="142"/>
      <c r="I76" s="142"/>
      <c r="J76" s="144"/>
      <c r="K76" s="143">
        <v>78487</v>
      </c>
    </row>
    <row r="77" spans="1:12" ht="16.5" customHeight="1" x14ac:dyDescent="0.25">
      <c r="A77" s="54"/>
      <c r="B77" s="178" t="s">
        <v>1662</v>
      </c>
      <c r="C77" s="178"/>
      <c r="D77" s="178"/>
      <c r="E77" s="178"/>
      <c r="F77" s="178"/>
      <c r="G77" s="178"/>
      <c r="H77" s="178"/>
      <c r="I77" s="178"/>
      <c r="J77" s="107">
        <f>SUM(J75:J76)</f>
        <v>78487</v>
      </c>
      <c r="K77" s="107">
        <f>SUM(K75:K76)</f>
        <v>78487</v>
      </c>
      <c r="L77" s="8"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v>2651</v>
      </c>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v>2651</v>
      </c>
    </row>
    <row r="91" spans="1:16" ht="16.5" customHeight="1" x14ac:dyDescent="0.3">
      <c r="B91" s="130" t="s">
        <v>1640</v>
      </c>
      <c r="H91" s="10"/>
      <c r="J91" s="108">
        <f>SUM(J85:J90)</f>
        <v>2651</v>
      </c>
      <c r="K91" s="108">
        <f>SUM(K85:K90)</f>
        <v>2651</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v>679206</v>
      </c>
      <c r="K112" s="25"/>
    </row>
    <row r="113" spans="1:12" ht="16.5" customHeight="1" x14ac:dyDescent="0.25">
      <c r="A113" s="165" t="s">
        <v>1645</v>
      </c>
      <c r="B113" s="9"/>
      <c r="C113" s="9" t="s">
        <v>173</v>
      </c>
      <c r="D113" s="7"/>
      <c r="E113" s="25"/>
      <c r="F113" s="25"/>
      <c r="G113" s="25"/>
      <c r="H113" s="25"/>
      <c r="I113" s="25"/>
      <c r="J113" s="25"/>
      <c r="K113" s="143">
        <v>679206</v>
      </c>
    </row>
    <row r="114" spans="1:12" ht="16.5" customHeight="1" x14ac:dyDescent="0.3">
      <c r="A114" s="6"/>
      <c r="B114" s="130" t="s">
        <v>1639</v>
      </c>
      <c r="C114" s="114"/>
      <c r="D114" s="114"/>
      <c r="H114" s="10"/>
      <c r="J114" s="108">
        <f>SUM(J110:J113)</f>
        <v>679206</v>
      </c>
      <c r="K114" s="108">
        <f>SUM(K110:K113)</f>
        <v>679206</v>
      </c>
      <c r="L114" s="8"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900429</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-228863</v>
      </c>
    </row>
    <row r="128" spans="1:12" ht="16.5" customHeight="1" x14ac:dyDescent="0.3">
      <c r="D128" s="140" t="s">
        <v>1656</v>
      </c>
      <c r="H128" s="10"/>
      <c r="K128" s="169">
        <f>-K23-K48+J68+J75+J96-K113</f>
        <v>-607128</v>
      </c>
    </row>
    <row r="129" spans="4:11" ht="16.5" customHeight="1" x14ac:dyDescent="0.3">
      <c r="D129" s="140" t="s">
        <v>1657</v>
      </c>
      <c r="H129" s="10"/>
      <c r="K129" s="169">
        <f>-K76</f>
        <v>-78487</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68E6458D-D2D8-4B66-9BD1-BC3B10EAB75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7CFFF9EF-565D-4833-855A-23DBE94B39C9}">
      <formula1>0</formula1>
    </dataValidation>
    <dataValidation operator="lessThan" allowBlank="1" showInputMessage="1" showErrorMessage="1" sqref="A3:A8" xr:uid="{F99439CC-1BF7-407D-819E-A9FB5B3C971D}"/>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CED88-0FFD-4AA9-A077-C56AA4CB4D04}">
  <sheetPr codeName="Sheet19">
    <tabColor theme="9" tint="0.59999389629810485"/>
    <pageSetUpPr fitToPage="1"/>
  </sheetPr>
  <dimension ref="A1:S193"/>
  <sheetViews>
    <sheetView topLeftCell="A2" zoomScale="70" zoomScaleNormal="70" workbookViewId="0">
      <selection activeCell="N115" sqref="N11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9" t="s">
        <v>1629</v>
      </c>
      <c r="B1" s="179"/>
      <c r="C1" s="179"/>
      <c r="D1" s="179"/>
      <c r="E1" s="179"/>
      <c r="F1" s="179"/>
      <c r="G1" s="179"/>
      <c r="H1" s="179"/>
      <c r="I1" s="179"/>
      <c r="J1" s="179"/>
      <c r="K1" s="17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5" t="s">
        <v>10</v>
      </c>
      <c r="B3" s="175"/>
      <c r="C3" s="175"/>
      <c r="D3" s="175"/>
      <c r="E3" s="175"/>
      <c r="F3" s="180" t="s">
        <v>21</v>
      </c>
      <c r="G3" s="180"/>
      <c r="H3" s="180"/>
      <c r="I3" s="180"/>
    </row>
    <row r="4" spans="1:19" ht="16.5" customHeight="1" x14ac:dyDescent="0.25">
      <c r="A4" s="175" t="s">
        <v>191</v>
      </c>
      <c r="B4" s="175"/>
      <c r="C4" s="175"/>
      <c r="D4" s="175"/>
      <c r="E4" s="175"/>
      <c r="F4" s="181" t="s">
        <v>1676</v>
      </c>
      <c r="G4" s="181"/>
      <c r="H4" s="181"/>
      <c r="I4" s="181"/>
    </row>
    <row r="5" spans="1:19" ht="16.5" customHeight="1" x14ac:dyDescent="0.25">
      <c r="A5" s="175" t="s">
        <v>1615</v>
      </c>
      <c r="B5" s="175"/>
      <c r="C5" s="175"/>
      <c r="D5" s="175"/>
      <c r="E5" s="175"/>
      <c r="F5" s="181" t="s">
        <v>316</v>
      </c>
      <c r="G5" s="181"/>
      <c r="H5" s="181"/>
      <c r="I5" s="181"/>
      <c r="L5" s="12"/>
      <c r="M5" s="12"/>
      <c r="N5" s="12"/>
      <c r="O5" s="12"/>
      <c r="P5" s="12"/>
      <c r="Q5" s="12"/>
    </row>
    <row r="6" spans="1:19" ht="16.5" customHeight="1" x14ac:dyDescent="0.3">
      <c r="A6" s="175" t="s">
        <v>1634</v>
      </c>
      <c r="B6" s="175"/>
      <c r="C6" s="175"/>
      <c r="D6" s="175"/>
      <c r="E6" s="175"/>
      <c r="F6" s="182">
        <v>890</v>
      </c>
      <c r="G6" s="182"/>
      <c r="H6" s="182"/>
      <c r="I6" s="182"/>
      <c r="L6" s="13"/>
      <c r="M6" s="13"/>
      <c r="N6" s="13"/>
      <c r="O6" s="13"/>
      <c r="P6" s="12"/>
      <c r="Q6" s="12"/>
    </row>
    <row r="7" spans="1:19" ht="16.5" customHeight="1" x14ac:dyDescent="0.3">
      <c r="A7" s="175" t="s">
        <v>1</v>
      </c>
      <c r="B7" s="175"/>
      <c r="C7" s="175"/>
      <c r="D7" s="175"/>
      <c r="E7" s="175"/>
      <c r="F7" s="182" t="s">
        <v>120</v>
      </c>
      <c r="G7" s="182"/>
      <c r="H7" s="182"/>
      <c r="I7" s="182"/>
      <c r="K7" s="53"/>
      <c r="L7" s="13"/>
      <c r="M7" s="13"/>
      <c r="N7" s="13"/>
      <c r="O7" s="13"/>
      <c r="P7" s="12"/>
      <c r="Q7" s="12"/>
    </row>
    <row r="8" spans="1:19" ht="16.5" customHeight="1" x14ac:dyDescent="0.3">
      <c r="A8" s="175" t="s">
        <v>1616</v>
      </c>
      <c r="B8" s="175"/>
      <c r="C8" s="175"/>
      <c r="D8" s="175"/>
      <c r="E8" s="175"/>
      <c r="F8" s="182" t="s">
        <v>154</v>
      </c>
      <c r="G8" s="182"/>
      <c r="H8" s="182"/>
      <c r="I8" s="182"/>
      <c r="K8" s="53"/>
      <c r="L8" s="13"/>
      <c r="M8" s="13"/>
      <c r="N8" s="13"/>
      <c r="O8" s="13"/>
      <c r="P8" s="12"/>
      <c r="Q8" s="12"/>
    </row>
    <row r="9" spans="1:19" ht="16.5" customHeight="1" x14ac:dyDescent="0.3">
      <c r="A9" s="175" t="s">
        <v>1614</v>
      </c>
      <c r="B9" s="175"/>
      <c r="C9" s="175"/>
      <c r="D9" s="175"/>
      <c r="E9" s="175"/>
      <c r="F9" s="183" t="str">
        <f>IFERROR(IF(F7="Proprietary","Proprietary Fund",VLOOKUP(F5,[2]qryIndex02a!$A$2:$K$654,4,FALSE)),"Unidentified")</f>
        <v>GENERAL GOVERNMENT</v>
      </c>
      <c r="G9" s="183"/>
      <c r="H9" s="183"/>
      <c r="I9" s="18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164</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19" ht="16.5" customHeight="1" x14ac:dyDescent="0.3">
      <c r="A15" s="159" t="s">
        <v>1637</v>
      </c>
      <c r="B15" s="9" t="s">
        <v>170</v>
      </c>
      <c r="C15" s="9"/>
      <c r="D15" s="9"/>
      <c r="E15" s="140"/>
      <c r="F15" s="141"/>
      <c r="G15" s="141"/>
      <c r="H15" s="142"/>
      <c r="I15" s="142"/>
      <c r="J15" s="171">
        <f>M15</f>
        <v>0</v>
      </c>
      <c r="M15" s="143"/>
      <c r="P15" s="143"/>
      <c r="Q15" s="155"/>
      <c r="S15" s="154">
        <f t="shared" ref="S15:S20" si="0">P15-M15</f>
        <v>0</v>
      </c>
    </row>
    <row r="16" spans="1:19" ht="16.5" customHeight="1" x14ac:dyDescent="0.3">
      <c r="A16" s="159" t="s">
        <v>1637</v>
      </c>
      <c r="B16" s="9" t="s">
        <v>171</v>
      </c>
      <c r="C16" s="9"/>
      <c r="D16" s="9"/>
      <c r="E16" s="140"/>
      <c r="F16" s="141"/>
      <c r="G16" s="141"/>
      <c r="H16" s="142"/>
      <c r="I16" s="142"/>
      <c r="J16" s="171">
        <f>M16</f>
        <v>0</v>
      </c>
      <c r="M16" s="143"/>
      <c r="P16" s="143"/>
      <c r="Q16" s="155"/>
      <c r="S16" s="154">
        <f t="shared" si="0"/>
        <v>0</v>
      </c>
    </row>
    <row r="17" spans="1:19" ht="16.5" customHeight="1" x14ac:dyDescent="0.3">
      <c r="A17" s="159" t="s">
        <v>1637</v>
      </c>
      <c r="B17" s="9" t="s">
        <v>172</v>
      </c>
      <c r="C17" s="9"/>
      <c r="D17" s="9"/>
      <c r="E17" s="140"/>
      <c r="F17" s="141"/>
      <c r="G17" s="141"/>
      <c r="H17" s="142"/>
      <c r="I17" s="142"/>
      <c r="J17" s="171">
        <f>M17</f>
        <v>12062144</v>
      </c>
      <c r="M17" s="143">
        <v>12062144</v>
      </c>
      <c r="P17" s="143">
        <v>12075331</v>
      </c>
      <c r="Q17" s="155"/>
      <c r="S17" s="154">
        <f t="shared" si="0"/>
        <v>13187</v>
      </c>
    </row>
    <row r="18" spans="1:19" ht="16.5" customHeight="1" x14ac:dyDescent="0.3">
      <c r="A18" s="54"/>
      <c r="B18" s="9" t="s">
        <v>168</v>
      </c>
      <c r="C18" s="9"/>
      <c r="D18" s="9"/>
      <c r="E18" s="140"/>
      <c r="F18" s="141"/>
      <c r="G18" s="141"/>
      <c r="H18" s="142"/>
      <c r="I18" s="142"/>
      <c r="J18" s="171">
        <f>P18</f>
        <v>7852</v>
      </c>
      <c r="M18" s="143">
        <v>125228</v>
      </c>
      <c r="P18" s="152">
        <f>IF(SUM($Q$20:$Q$23)&gt;SUM($P$15:$P$17),SUM($Q$20:$Q$23)-SUM($P$15:$P$17),0)</f>
        <v>7852</v>
      </c>
      <c r="Q18" s="155"/>
      <c r="S18" s="154">
        <f t="shared" si="0"/>
        <v>-117376</v>
      </c>
    </row>
    <row r="19" spans="1:19" ht="16.5" customHeight="1" x14ac:dyDescent="0.3">
      <c r="A19" s="54"/>
      <c r="B19" s="9" t="s">
        <v>169</v>
      </c>
      <c r="C19" s="9"/>
      <c r="D19" s="9"/>
      <c r="E19" s="140"/>
      <c r="F19" s="141"/>
      <c r="G19" s="141"/>
      <c r="H19" s="142"/>
      <c r="I19" s="142"/>
      <c r="J19" s="171">
        <f>IF(SUM($K$20:$K$24)&gt;SUM($J$15:$J$18),SUM($K$20:$K$24)-SUM($J$15:$J$18),0)</f>
        <v>1112</v>
      </c>
      <c r="M19" s="143"/>
      <c r="P19" s="155"/>
      <c r="Q19" s="155"/>
      <c r="S19" s="154">
        <f t="shared" si="0"/>
        <v>0</v>
      </c>
    </row>
    <row r="20" spans="1:19" ht="16.5" customHeight="1" x14ac:dyDescent="0.3">
      <c r="A20" s="54"/>
      <c r="B20" s="9"/>
      <c r="C20" s="9" t="s">
        <v>177</v>
      </c>
      <c r="D20" s="9"/>
      <c r="E20" s="140"/>
      <c r="F20" s="141"/>
      <c r="G20" s="141"/>
      <c r="H20" s="142"/>
      <c r="I20" s="142"/>
      <c r="J20" s="150"/>
      <c r="K20" s="171">
        <f>N20</f>
        <v>0</v>
      </c>
      <c r="N20" s="143"/>
      <c r="P20" s="155"/>
      <c r="Q20" s="143"/>
      <c r="S20" s="154">
        <f t="shared" si="0"/>
        <v>0</v>
      </c>
    </row>
    <row r="21" spans="1:19" ht="16.5" customHeight="1" x14ac:dyDescent="0.3">
      <c r="A21" s="54"/>
      <c r="B21" s="9"/>
      <c r="C21" s="9" t="s">
        <v>174</v>
      </c>
      <c r="D21" s="9"/>
      <c r="E21" s="140"/>
      <c r="F21" s="141"/>
      <c r="G21" s="141"/>
      <c r="H21" s="142"/>
      <c r="I21" s="142"/>
      <c r="J21" s="150"/>
      <c r="K21" s="171">
        <f>N21</f>
        <v>0</v>
      </c>
      <c r="N21" s="143"/>
      <c r="P21" s="155"/>
      <c r="Q21" s="143"/>
      <c r="S21" s="154">
        <f>Q21-N21</f>
        <v>0</v>
      </c>
    </row>
    <row r="22" spans="1:19" ht="16.5" customHeight="1" x14ac:dyDescent="0.3">
      <c r="A22" s="54"/>
      <c r="B22" s="9"/>
      <c r="C22" s="9" t="s">
        <v>178</v>
      </c>
      <c r="D22" s="9"/>
      <c r="E22" s="140"/>
      <c r="F22" s="141"/>
      <c r="G22" s="141"/>
      <c r="H22" s="142"/>
      <c r="I22" s="142"/>
      <c r="J22" s="150"/>
      <c r="K22" s="171">
        <f>N22</f>
        <v>4508619</v>
      </c>
      <c r="N22" s="143">
        <v>4508619</v>
      </c>
      <c r="P22" s="155"/>
      <c r="Q22" s="143">
        <v>4510048</v>
      </c>
      <c r="S22" s="154">
        <f t="shared" ref="S22:S25" si="1">Q22-N22</f>
        <v>1429</v>
      </c>
    </row>
    <row r="23" spans="1:19" ht="16.5" customHeight="1" x14ac:dyDescent="0.3">
      <c r="A23" s="165" t="s">
        <v>1645</v>
      </c>
      <c r="B23" s="9"/>
      <c r="C23" s="9" t="s">
        <v>173</v>
      </c>
      <c r="D23" s="9"/>
      <c r="E23" s="140"/>
      <c r="F23" s="141"/>
      <c r="G23" s="141"/>
      <c r="H23" s="142"/>
      <c r="I23" s="142"/>
      <c r="J23" s="150"/>
      <c r="K23" s="171">
        <f>N23</f>
        <v>7562489</v>
      </c>
      <c r="N23" s="143">
        <v>7562489</v>
      </c>
      <c r="P23" s="155"/>
      <c r="Q23" s="143">
        <v>7573135</v>
      </c>
      <c r="S23" s="154">
        <f t="shared" si="1"/>
        <v>10646</v>
      </c>
    </row>
    <row r="24" spans="1:19" ht="16.5" customHeight="1" x14ac:dyDescent="0.3">
      <c r="A24" s="54"/>
      <c r="B24" s="9"/>
      <c r="C24" s="9" t="s">
        <v>175</v>
      </c>
      <c r="D24" s="9"/>
      <c r="E24" s="140"/>
      <c r="F24" s="141"/>
      <c r="G24" s="141"/>
      <c r="H24" s="142"/>
      <c r="I24" s="142"/>
      <c r="J24" s="150"/>
      <c r="K24" s="171">
        <f>Q24</f>
        <v>0</v>
      </c>
      <c r="N24" s="143">
        <v>116263</v>
      </c>
      <c r="P24" s="155"/>
      <c r="Q24" s="152">
        <f>IF(SUM($Q$20:$Q$23)&lt;SUM($P$15:$P$17),-SUM($Q$20:$Q$23)+SUM($P$15:$P$17),0)</f>
        <v>0</v>
      </c>
      <c r="S24" s="154">
        <f t="shared" si="1"/>
        <v>-116263</v>
      </c>
    </row>
    <row r="25" spans="1:19" ht="16.5" customHeight="1" x14ac:dyDescent="0.3">
      <c r="A25" s="54"/>
      <c r="B25" s="9"/>
      <c r="C25" s="9" t="s">
        <v>176</v>
      </c>
      <c r="D25" s="9"/>
      <c r="E25" s="140"/>
      <c r="F25" s="141"/>
      <c r="G25" s="141"/>
      <c r="H25" s="142"/>
      <c r="I25" s="142"/>
      <c r="J25" s="150"/>
      <c r="K25" s="171">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12071108</v>
      </c>
      <c r="K26" s="107">
        <f>SUM(K15:K25)</f>
        <v>12071108</v>
      </c>
      <c r="L26" s="8" t="str">
        <f>IF(J26=K26,"&lt;- Debits and Credits equal each other.","&lt;- Debits and Credits do not equal each other.")</f>
        <v>&lt;- Debits and Credits equal each other.</v>
      </c>
    </row>
    <row r="27" spans="1:19" ht="16.5" customHeight="1" x14ac:dyDescent="0.3">
      <c r="A27" s="1"/>
      <c r="B27" s="130" t="s">
        <v>1638</v>
      </c>
      <c r="C27" s="23"/>
      <c r="D27" s="20"/>
      <c r="E27" s="20"/>
      <c r="F27" s="21"/>
      <c r="G27" s="21"/>
      <c r="H27" s="22"/>
      <c r="I27" s="22"/>
      <c r="J27" s="19"/>
      <c r="K27" s="19"/>
      <c r="L27" s="8"/>
    </row>
    <row r="28" spans="1:19" ht="16.2" customHeight="1" x14ac:dyDescent="0.35">
      <c r="A28" s="1"/>
      <c r="B28" s="166" t="s">
        <v>1649</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165</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2284225</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row>
    <row r="58" spans="1:16" ht="16.5" customHeight="1" x14ac:dyDescent="0.3">
      <c r="A58" s="54"/>
      <c r="B58" s="9"/>
      <c r="C58" s="9" t="s">
        <v>178</v>
      </c>
      <c r="D58" s="140"/>
      <c r="E58" s="140"/>
      <c r="F58" s="141"/>
      <c r="G58" s="141"/>
      <c r="H58" s="142"/>
      <c r="I58" s="142"/>
      <c r="J58" s="144"/>
      <c r="K58" s="143">
        <v>2284225</v>
      </c>
    </row>
    <row r="59" spans="1:16" ht="16.5" customHeight="1" x14ac:dyDescent="0.3">
      <c r="A59" s="54"/>
      <c r="C59" s="16"/>
      <c r="D59" s="16"/>
      <c r="E59" s="16"/>
      <c r="F59" s="17"/>
      <c r="G59" s="17"/>
      <c r="H59" s="18"/>
      <c r="I59" s="18"/>
      <c r="J59" s="107">
        <f>SUM(J55:J58)</f>
        <v>2284225</v>
      </c>
      <c r="K59" s="107">
        <f>SUM(K55:K58)</f>
        <v>2284225</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2316758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68275</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2385033</v>
      </c>
    </row>
    <row r="65" spans="1:12" ht="16.5" customHeight="1" x14ac:dyDescent="0.3">
      <c r="A65" s="54"/>
      <c r="C65" s="16"/>
      <c r="D65" s="16"/>
      <c r="E65" s="16"/>
      <c r="F65" s="17"/>
      <c r="G65" s="17"/>
      <c r="H65" s="18"/>
      <c r="I65" s="18"/>
      <c r="J65" s="107">
        <f>SUM(J62:J64)</f>
        <v>2385033</v>
      </c>
      <c r="K65" s="107">
        <f>SUM(K62:K64)</f>
        <v>2385033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2316758</v>
      </c>
      <c r="K68" s="144"/>
    </row>
    <row r="69" spans="1:12" ht="16.5" customHeight="1" x14ac:dyDescent="0.3">
      <c r="A69" s="54"/>
      <c r="B69" s="9"/>
      <c r="C69" s="9" t="s">
        <v>185</v>
      </c>
      <c r="D69" s="140"/>
      <c r="E69" s="140"/>
      <c r="F69" s="141"/>
      <c r="G69" s="141"/>
      <c r="H69" s="142"/>
      <c r="I69" s="142"/>
      <c r="J69" s="144"/>
      <c r="K69" s="143">
        <v>2316758</v>
      </c>
    </row>
    <row r="70" spans="1:12" ht="16.5" customHeight="1" x14ac:dyDescent="0.3">
      <c r="A70" s="54"/>
      <c r="C70" s="16"/>
      <c r="D70" s="16"/>
      <c r="E70" s="16"/>
      <c r="F70" s="17"/>
      <c r="G70" s="17"/>
      <c r="H70" s="18"/>
      <c r="I70" s="18"/>
      <c r="J70" s="107">
        <f>SUM(J68:J69)</f>
        <v>2316758</v>
      </c>
      <c r="K70" s="107">
        <f>SUM(K68:K69)</f>
        <v>2316758</v>
      </c>
      <c r="L70" s="8"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2078323</v>
      </c>
      <c r="K75" s="144"/>
    </row>
    <row r="76" spans="1:12" ht="16.5" customHeight="1" x14ac:dyDescent="0.3">
      <c r="A76" s="54"/>
      <c r="B76" s="9"/>
      <c r="C76" s="9" t="s">
        <v>193</v>
      </c>
      <c r="D76" s="140"/>
      <c r="E76" s="140"/>
      <c r="F76" s="141"/>
      <c r="G76" s="141"/>
      <c r="H76" s="142"/>
      <c r="I76" s="142"/>
      <c r="J76" s="144"/>
      <c r="K76" s="143">
        <v>2078323</v>
      </c>
    </row>
    <row r="77" spans="1:12" ht="16.5" customHeight="1" x14ac:dyDescent="0.25">
      <c r="A77" s="54"/>
      <c r="B77" s="178" t="s">
        <v>1662</v>
      </c>
      <c r="C77" s="178"/>
      <c r="D77" s="178"/>
      <c r="E77" s="178"/>
      <c r="F77" s="178"/>
      <c r="G77" s="178"/>
      <c r="H77" s="178"/>
      <c r="I77" s="178"/>
      <c r="J77" s="107">
        <f>SUM(J75:J76)</f>
        <v>2078323</v>
      </c>
      <c r="K77" s="107">
        <f>SUM(K75:K76)</f>
        <v>2078323</v>
      </c>
      <c r="L77" s="8"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row>
    <row r="91" spans="1:16" ht="16.5" customHeight="1" x14ac:dyDescent="0.3">
      <c r="B91" s="130" t="s">
        <v>1640</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v>664425</v>
      </c>
      <c r="K112" s="25"/>
    </row>
    <row r="113" spans="1:12" ht="16.5" customHeight="1" x14ac:dyDescent="0.25">
      <c r="A113" s="165" t="s">
        <v>1645</v>
      </c>
      <c r="B113" s="9"/>
      <c r="C113" s="9" t="s">
        <v>173</v>
      </c>
      <c r="D113" s="7"/>
      <c r="E113" s="25"/>
      <c r="F113" s="25"/>
      <c r="G113" s="25"/>
      <c r="H113" s="25"/>
      <c r="I113" s="25"/>
      <c r="J113" s="25"/>
      <c r="K113" s="143">
        <v>664425</v>
      </c>
    </row>
    <row r="114" spans="1:12" ht="16.5" customHeight="1" x14ac:dyDescent="0.3">
      <c r="A114" s="6"/>
      <c r="B114" s="130" t="s">
        <v>1639</v>
      </c>
      <c r="C114" s="114"/>
      <c r="D114" s="114"/>
      <c r="H114" s="10"/>
      <c r="J114" s="108">
        <f>SUM(J110:J113)</f>
        <v>664425</v>
      </c>
      <c r="K114" s="108">
        <f>SUM(K110:K113)</f>
        <v>664425</v>
      </c>
      <c r="L114" s="8"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12726569</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-6792844</v>
      </c>
    </row>
    <row r="128" spans="1:12" ht="16.5" customHeight="1" x14ac:dyDescent="0.3">
      <c r="D128" s="140" t="s">
        <v>1656</v>
      </c>
      <c r="H128" s="10"/>
      <c r="K128" s="169">
        <f>-K23-K48+J68+J75+J96-K113</f>
        <v>-3831833</v>
      </c>
    </row>
    <row r="129" spans="4:11" ht="16.5" customHeight="1" x14ac:dyDescent="0.3">
      <c r="D129" s="140" t="s">
        <v>1657</v>
      </c>
      <c r="H129" s="10"/>
      <c r="K129" s="169">
        <f>-K76</f>
        <v>-2078323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7FC12435-BEB8-49E2-A9AD-B22ED5098493}">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DEC8B57-633E-4E0E-B13A-7B072849029A}">
      <formula1>0</formula1>
    </dataValidation>
    <dataValidation operator="lessThan" allowBlank="1" showInputMessage="1" showErrorMessage="1" sqref="A3:A8" xr:uid="{87654E1D-3377-4E58-82E3-CB0926D1A23B}"/>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7A0DE-065E-43F3-93AB-301959DEACDC}">
  <sheetPr codeName="Sheet20">
    <tabColor theme="9" tint="0.59999389629810485"/>
    <pageSetUpPr fitToPage="1"/>
  </sheetPr>
  <dimension ref="A1:S193"/>
  <sheetViews>
    <sheetView topLeftCell="A4" zoomScale="70" zoomScaleNormal="70" workbookViewId="0">
      <selection activeCell="N115" sqref="N11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9" t="s">
        <v>1629</v>
      </c>
      <c r="B1" s="179"/>
      <c r="C1" s="179"/>
      <c r="D1" s="179"/>
      <c r="E1" s="179"/>
      <c r="F1" s="179"/>
      <c r="G1" s="179"/>
      <c r="H1" s="179"/>
      <c r="I1" s="179"/>
      <c r="J1" s="179"/>
      <c r="K1" s="17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5" t="s">
        <v>10</v>
      </c>
      <c r="B3" s="175"/>
      <c r="C3" s="175"/>
      <c r="D3" s="175"/>
      <c r="E3" s="175"/>
      <c r="F3" s="180" t="s">
        <v>21</v>
      </c>
      <c r="G3" s="180"/>
      <c r="H3" s="180"/>
      <c r="I3" s="180"/>
    </row>
    <row r="4" spans="1:19" ht="16.5" customHeight="1" x14ac:dyDescent="0.25">
      <c r="A4" s="175" t="s">
        <v>191</v>
      </c>
      <c r="B4" s="175"/>
      <c r="C4" s="175"/>
      <c r="D4" s="175"/>
      <c r="E4" s="175"/>
      <c r="F4" s="181" t="s">
        <v>1676</v>
      </c>
      <c r="G4" s="181"/>
      <c r="H4" s="181"/>
      <c r="I4" s="181"/>
    </row>
    <row r="5" spans="1:19" ht="16.5" customHeight="1" x14ac:dyDescent="0.25">
      <c r="A5" s="175" t="s">
        <v>1615</v>
      </c>
      <c r="B5" s="175"/>
      <c r="C5" s="175"/>
      <c r="D5" s="175"/>
      <c r="E5" s="175"/>
      <c r="F5" s="181" t="s">
        <v>316</v>
      </c>
      <c r="G5" s="181"/>
      <c r="H5" s="181"/>
      <c r="I5" s="181"/>
      <c r="L5" s="12"/>
      <c r="M5" s="12"/>
      <c r="N5" s="12"/>
      <c r="O5" s="12"/>
      <c r="P5" s="12"/>
      <c r="Q5" s="12"/>
    </row>
    <row r="6" spans="1:19" ht="16.5" customHeight="1" x14ac:dyDescent="0.3">
      <c r="A6" s="175" t="s">
        <v>1634</v>
      </c>
      <c r="B6" s="175"/>
      <c r="C6" s="175"/>
      <c r="D6" s="175"/>
      <c r="E6" s="175"/>
      <c r="F6" s="182">
        <v>1008</v>
      </c>
      <c r="G6" s="182"/>
      <c r="H6" s="182"/>
      <c r="I6" s="182"/>
      <c r="L6" s="13"/>
      <c r="M6" s="13"/>
      <c r="N6" s="13"/>
      <c r="O6" s="13"/>
      <c r="P6" s="12"/>
      <c r="Q6" s="12"/>
    </row>
    <row r="7" spans="1:19" ht="16.5" customHeight="1" x14ac:dyDescent="0.3">
      <c r="A7" s="175" t="s">
        <v>1</v>
      </c>
      <c r="B7" s="175"/>
      <c r="C7" s="175"/>
      <c r="D7" s="175"/>
      <c r="E7" s="175"/>
      <c r="F7" s="182" t="s">
        <v>120</v>
      </c>
      <c r="G7" s="182"/>
      <c r="H7" s="182"/>
      <c r="I7" s="182"/>
      <c r="K7" s="53"/>
      <c r="L7" s="13"/>
      <c r="M7" s="13"/>
      <c r="N7" s="13"/>
      <c r="O7" s="13"/>
      <c r="P7" s="12"/>
      <c r="Q7" s="12"/>
    </row>
    <row r="8" spans="1:19" ht="16.5" customHeight="1" x14ac:dyDescent="0.3">
      <c r="A8" s="175" t="s">
        <v>1616</v>
      </c>
      <c r="B8" s="175"/>
      <c r="C8" s="175"/>
      <c r="D8" s="175"/>
      <c r="E8" s="175"/>
      <c r="F8" s="182" t="s">
        <v>154</v>
      </c>
      <c r="G8" s="182"/>
      <c r="H8" s="182"/>
      <c r="I8" s="182"/>
      <c r="K8" s="53"/>
      <c r="L8" s="13"/>
      <c r="M8" s="13"/>
      <c r="N8" s="13"/>
      <c r="O8" s="13"/>
      <c r="P8" s="12"/>
      <c r="Q8" s="12"/>
    </row>
    <row r="9" spans="1:19" ht="16.5" customHeight="1" x14ac:dyDescent="0.3">
      <c r="A9" s="175" t="s">
        <v>1614</v>
      </c>
      <c r="B9" s="175"/>
      <c r="C9" s="175"/>
      <c r="D9" s="175"/>
      <c r="E9" s="175"/>
      <c r="F9" s="183" t="str">
        <f>IFERROR(IF(F7="Proprietary","Proprietary Fund",VLOOKUP(F5,[2]qryIndex02a!$A$2:$K$654,4,FALSE)),"Unidentified")</f>
        <v>GENERAL GOVERNMENT</v>
      </c>
      <c r="G9" s="183"/>
      <c r="H9" s="183"/>
      <c r="I9" s="18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164</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19" ht="16.5" customHeight="1" x14ac:dyDescent="0.3">
      <c r="A15" s="159" t="s">
        <v>1637</v>
      </c>
      <c r="B15" s="9" t="s">
        <v>170</v>
      </c>
      <c r="C15" s="9"/>
      <c r="D15" s="9"/>
      <c r="E15" s="140"/>
      <c r="F15" s="141"/>
      <c r="G15" s="141"/>
      <c r="H15" s="142"/>
      <c r="I15" s="142"/>
      <c r="J15" s="171">
        <f>M15</f>
        <v>0</v>
      </c>
      <c r="M15" s="143"/>
      <c r="P15" s="143"/>
      <c r="Q15" s="155"/>
      <c r="S15" s="154">
        <f t="shared" ref="S15:S20" si="0">P15-M15</f>
        <v>0</v>
      </c>
    </row>
    <row r="16" spans="1:19" ht="16.5" customHeight="1" x14ac:dyDescent="0.3">
      <c r="A16" s="159" t="s">
        <v>1637</v>
      </c>
      <c r="B16" s="9" t="s">
        <v>171</v>
      </c>
      <c r="C16" s="9"/>
      <c r="D16" s="9"/>
      <c r="E16" s="140"/>
      <c r="F16" s="141"/>
      <c r="G16" s="141"/>
      <c r="H16" s="142"/>
      <c r="I16" s="142"/>
      <c r="J16" s="171">
        <f>M16</f>
        <v>0</v>
      </c>
      <c r="M16" s="143"/>
      <c r="P16" s="143"/>
      <c r="Q16" s="155"/>
      <c r="S16" s="154">
        <f t="shared" si="0"/>
        <v>0</v>
      </c>
    </row>
    <row r="17" spans="1:19" ht="16.5" customHeight="1" x14ac:dyDescent="0.3">
      <c r="A17" s="159" t="s">
        <v>1637</v>
      </c>
      <c r="B17" s="9" t="s">
        <v>172</v>
      </c>
      <c r="C17" s="9"/>
      <c r="D17" s="9"/>
      <c r="E17" s="140"/>
      <c r="F17" s="141"/>
      <c r="G17" s="141"/>
      <c r="H17" s="142"/>
      <c r="I17" s="142"/>
      <c r="J17" s="171">
        <f>M17</f>
        <v>1437205</v>
      </c>
      <c r="M17" s="143">
        <v>1437205</v>
      </c>
      <c r="P17" s="143">
        <v>1451723</v>
      </c>
      <c r="Q17" s="155"/>
      <c r="S17" s="154">
        <f t="shared" si="0"/>
        <v>14518</v>
      </c>
    </row>
    <row r="18" spans="1:19" ht="16.5" customHeight="1" x14ac:dyDescent="0.3">
      <c r="A18" s="54"/>
      <c r="B18" s="9" t="s">
        <v>168</v>
      </c>
      <c r="C18" s="9"/>
      <c r="D18" s="9"/>
      <c r="E18" s="140"/>
      <c r="F18" s="141"/>
      <c r="G18" s="141"/>
      <c r="H18" s="142"/>
      <c r="I18" s="142"/>
      <c r="J18" s="171">
        <f>P18</f>
        <v>0</v>
      </c>
      <c r="M18" s="143">
        <v>8836</v>
      </c>
      <c r="P18" s="152">
        <f>IF(SUM($Q$20:$Q$23)&gt;SUM($P$15:$P$17),SUM($Q$20:$Q$23)-SUM($P$15:$P$17),0)</f>
        <v>0</v>
      </c>
      <c r="Q18" s="155"/>
      <c r="S18" s="154">
        <f t="shared" si="0"/>
        <v>-8836</v>
      </c>
    </row>
    <row r="19" spans="1:19" ht="16.5" customHeight="1" x14ac:dyDescent="0.3">
      <c r="A19" s="54"/>
      <c r="B19" s="9" t="s">
        <v>169</v>
      </c>
      <c r="C19" s="9"/>
      <c r="D19" s="9"/>
      <c r="E19" s="140"/>
      <c r="F19" s="141"/>
      <c r="G19" s="141"/>
      <c r="H19" s="142"/>
      <c r="I19" s="142"/>
      <c r="J19" s="171">
        <f>IF(SUM($K$20:$K$24)&gt;SUM($J$15:$J$18),SUM($K$20:$K$24)-SUM($J$15:$J$18),0)</f>
        <v>1226</v>
      </c>
      <c r="M19" s="143"/>
      <c r="P19" s="155"/>
      <c r="Q19" s="155"/>
      <c r="S19" s="154">
        <f t="shared" si="0"/>
        <v>0</v>
      </c>
    </row>
    <row r="20" spans="1:19" ht="16.5" customHeight="1" x14ac:dyDescent="0.3">
      <c r="A20" s="54"/>
      <c r="B20" s="9"/>
      <c r="C20" s="9" t="s">
        <v>177</v>
      </c>
      <c r="D20" s="9"/>
      <c r="E20" s="140"/>
      <c r="F20" s="141"/>
      <c r="G20" s="141"/>
      <c r="H20" s="142"/>
      <c r="I20" s="142"/>
      <c r="J20" s="150"/>
      <c r="K20" s="171">
        <f>N20</f>
        <v>0</v>
      </c>
      <c r="N20" s="143"/>
      <c r="P20" s="155"/>
      <c r="Q20" s="143"/>
      <c r="S20" s="154">
        <f t="shared" si="0"/>
        <v>0</v>
      </c>
    </row>
    <row r="21" spans="1:19" ht="16.5" customHeight="1" x14ac:dyDescent="0.3">
      <c r="A21" s="54"/>
      <c r="B21" s="9"/>
      <c r="C21" s="9" t="s">
        <v>174</v>
      </c>
      <c r="D21" s="9"/>
      <c r="E21" s="140"/>
      <c r="F21" s="141"/>
      <c r="G21" s="141"/>
      <c r="H21" s="142"/>
      <c r="I21" s="142"/>
      <c r="J21" s="150"/>
      <c r="K21" s="171">
        <f>N21</f>
        <v>0</v>
      </c>
      <c r="N21" s="143"/>
      <c r="P21" s="155"/>
      <c r="Q21" s="143"/>
      <c r="S21" s="154">
        <f>Q21-N21</f>
        <v>0</v>
      </c>
    </row>
    <row r="22" spans="1:19" ht="16.5" customHeight="1" x14ac:dyDescent="0.3">
      <c r="A22" s="54"/>
      <c r="B22" s="9"/>
      <c r="C22" s="9" t="s">
        <v>178</v>
      </c>
      <c r="D22" s="9"/>
      <c r="E22" s="140"/>
      <c r="F22" s="141"/>
      <c r="G22" s="141"/>
      <c r="H22" s="142"/>
      <c r="I22" s="142"/>
      <c r="J22" s="150"/>
      <c r="K22" s="171">
        <f>N22</f>
        <v>360202</v>
      </c>
      <c r="N22" s="143">
        <v>360202</v>
      </c>
      <c r="P22" s="155"/>
      <c r="Q22" s="143">
        <v>361774</v>
      </c>
      <c r="S22" s="154">
        <f t="shared" ref="S22:S25" si="1">Q22-N22</f>
        <v>1572</v>
      </c>
    </row>
    <row r="23" spans="1:19" ht="16.5" customHeight="1" x14ac:dyDescent="0.3">
      <c r="A23" s="165" t="s">
        <v>1645</v>
      </c>
      <c r="B23" s="9"/>
      <c r="C23" s="9" t="s">
        <v>173</v>
      </c>
      <c r="D23" s="9"/>
      <c r="E23" s="140"/>
      <c r="F23" s="141"/>
      <c r="G23" s="141"/>
      <c r="H23" s="142"/>
      <c r="I23" s="142"/>
      <c r="J23" s="150"/>
      <c r="K23" s="171">
        <f>N23</f>
        <v>997062</v>
      </c>
      <c r="N23" s="143">
        <v>997062</v>
      </c>
      <c r="P23" s="155"/>
      <c r="Q23" s="143">
        <v>1008782</v>
      </c>
      <c r="S23" s="154">
        <f t="shared" si="1"/>
        <v>11720</v>
      </c>
    </row>
    <row r="24" spans="1:19" ht="16.5" customHeight="1" x14ac:dyDescent="0.3">
      <c r="A24" s="54"/>
      <c r="B24" s="9"/>
      <c r="C24" s="9" t="s">
        <v>175</v>
      </c>
      <c r="D24" s="9"/>
      <c r="E24" s="140"/>
      <c r="F24" s="141"/>
      <c r="G24" s="141"/>
      <c r="H24" s="142"/>
      <c r="I24" s="142"/>
      <c r="J24" s="150"/>
      <c r="K24" s="171">
        <f>Q24</f>
        <v>81167</v>
      </c>
      <c r="N24" s="143">
        <v>88777</v>
      </c>
      <c r="P24" s="155"/>
      <c r="Q24" s="152">
        <f>IF(SUM($Q$20:$Q$23)&lt;SUM($P$15:$P$17),-SUM($Q$20:$Q$23)+SUM($P$15:$P$17),0)</f>
        <v>81167</v>
      </c>
      <c r="S24" s="154">
        <f t="shared" si="1"/>
        <v>-7610</v>
      </c>
    </row>
    <row r="25" spans="1:19" ht="16.5" customHeight="1" x14ac:dyDescent="0.3">
      <c r="A25" s="54"/>
      <c r="B25" s="9"/>
      <c r="C25" s="9" t="s">
        <v>176</v>
      </c>
      <c r="D25" s="9"/>
      <c r="E25" s="140"/>
      <c r="F25" s="141"/>
      <c r="G25" s="141"/>
      <c r="H25" s="142"/>
      <c r="I25" s="142"/>
      <c r="J25" s="150"/>
      <c r="K25" s="171">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1438431</v>
      </c>
      <c r="K26" s="107">
        <f>SUM(K15:K25)</f>
        <v>1438431</v>
      </c>
      <c r="L26" s="8" t="str">
        <f>IF(J26=K26,"&lt;- Debits and Credits equal each other.","&lt;- Debits and Credits do not equal each other.")</f>
        <v>&lt;- Debits and Credits equal each other.</v>
      </c>
    </row>
    <row r="27" spans="1:19" ht="16.5" customHeight="1" x14ac:dyDescent="0.3">
      <c r="A27" s="1"/>
      <c r="B27" s="130" t="s">
        <v>1638</v>
      </c>
      <c r="C27" s="23"/>
      <c r="D27" s="20"/>
      <c r="E27" s="20"/>
      <c r="F27" s="21"/>
      <c r="G27" s="21"/>
      <c r="H27" s="22"/>
      <c r="I27" s="22"/>
      <c r="J27" s="19"/>
      <c r="K27" s="19"/>
      <c r="L27" s="8"/>
    </row>
    <row r="28" spans="1:19" ht="16.2" customHeight="1" x14ac:dyDescent="0.35">
      <c r="A28" s="1"/>
      <c r="B28" s="166" t="s">
        <v>1649</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165</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194300</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row>
    <row r="58" spans="1:16" ht="16.5" customHeight="1" x14ac:dyDescent="0.3">
      <c r="A58" s="54"/>
      <c r="B58" s="9"/>
      <c r="C58" s="9" t="s">
        <v>178</v>
      </c>
      <c r="D58" s="140"/>
      <c r="E58" s="140"/>
      <c r="F58" s="141"/>
      <c r="G58" s="141"/>
      <c r="H58" s="142"/>
      <c r="I58" s="142"/>
      <c r="J58" s="144"/>
      <c r="K58" s="143">
        <v>194300</v>
      </c>
    </row>
    <row r="59" spans="1:16" ht="16.5" customHeight="1" x14ac:dyDescent="0.3">
      <c r="A59" s="54"/>
      <c r="C59" s="16"/>
      <c r="D59" s="16"/>
      <c r="E59" s="16"/>
      <c r="F59" s="17"/>
      <c r="G59" s="17"/>
      <c r="H59" s="18"/>
      <c r="I59" s="18"/>
      <c r="J59" s="107">
        <f>SUM(J55:J58)</f>
        <v>194300</v>
      </c>
      <c r="K59" s="107">
        <f>SUM(K55:K58)</f>
        <v>194300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231356</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7610</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238966</v>
      </c>
    </row>
    <row r="65" spans="1:12" ht="16.5" customHeight="1" x14ac:dyDescent="0.3">
      <c r="A65" s="54"/>
      <c r="C65" s="16"/>
      <c r="D65" s="16"/>
      <c r="E65" s="16"/>
      <c r="F65" s="17"/>
      <c r="G65" s="17"/>
      <c r="H65" s="18"/>
      <c r="I65" s="18"/>
      <c r="J65" s="107">
        <f>SUM(J62:J64)</f>
        <v>238966</v>
      </c>
      <c r="K65" s="107">
        <f>SUM(K62:K64)</f>
        <v>238966</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231356</v>
      </c>
      <c r="K68" s="144"/>
    </row>
    <row r="69" spans="1:12" ht="16.5" customHeight="1" x14ac:dyDescent="0.3">
      <c r="A69" s="54"/>
      <c r="B69" s="9"/>
      <c r="C69" s="9" t="s">
        <v>185</v>
      </c>
      <c r="D69" s="140"/>
      <c r="E69" s="140"/>
      <c r="F69" s="141"/>
      <c r="G69" s="141"/>
      <c r="H69" s="142"/>
      <c r="I69" s="142"/>
      <c r="J69" s="144"/>
      <c r="K69" s="143">
        <v>231356</v>
      </c>
    </row>
    <row r="70" spans="1:12" ht="16.5" customHeight="1" x14ac:dyDescent="0.3">
      <c r="A70" s="54"/>
      <c r="C70" s="16"/>
      <c r="D70" s="16"/>
      <c r="E70" s="16"/>
      <c r="F70" s="17"/>
      <c r="G70" s="17"/>
      <c r="H70" s="18"/>
      <c r="I70" s="18"/>
      <c r="J70" s="107">
        <f>SUM(J68:J69)</f>
        <v>231356</v>
      </c>
      <c r="K70" s="107">
        <f>SUM(K68:K69)</f>
        <v>231356</v>
      </c>
      <c r="L70" s="8"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171433</v>
      </c>
      <c r="K75" s="144"/>
    </row>
    <row r="76" spans="1:12" ht="16.5" customHeight="1" x14ac:dyDescent="0.3">
      <c r="A76" s="54"/>
      <c r="B76" s="9"/>
      <c r="C76" s="9" t="s">
        <v>193</v>
      </c>
      <c r="D76" s="140"/>
      <c r="E76" s="140"/>
      <c r="F76" s="141"/>
      <c r="G76" s="141"/>
      <c r="H76" s="142"/>
      <c r="I76" s="142"/>
      <c r="J76" s="144"/>
      <c r="K76" s="143">
        <v>171433</v>
      </c>
    </row>
    <row r="77" spans="1:12" ht="16.5" customHeight="1" x14ac:dyDescent="0.25">
      <c r="A77" s="54"/>
      <c r="B77" s="178" t="s">
        <v>1662</v>
      </c>
      <c r="C77" s="178"/>
      <c r="D77" s="178"/>
      <c r="E77" s="178"/>
      <c r="F77" s="178"/>
      <c r="G77" s="178"/>
      <c r="H77" s="178"/>
      <c r="I77" s="178"/>
      <c r="J77" s="107">
        <f>SUM(J75:J76)</f>
        <v>171433</v>
      </c>
      <c r="K77" s="107">
        <f>SUM(K75:K76)</f>
        <v>171433</v>
      </c>
      <c r="L77" s="8"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v>39836</v>
      </c>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v>39836</v>
      </c>
    </row>
    <row r="91" spans="1:16" ht="16.5" customHeight="1" x14ac:dyDescent="0.3">
      <c r="B91" s="130" t="s">
        <v>1640</v>
      </c>
      <c r="H91" s="10"/>
      <c r="J91" s="108">
        <f>SUM(J85:J90)</f>
        <v>39836</v>
      </c>
      <c r="K91" s="108">
        <f>SUM(K85:K90)</f>
        <v>39836</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1397369</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-514666</v>
      </c>
    </row>
    <row r="128" spans="1:12" ht="16.5" customHeight="1" x14ac:dyDescent="0.3">
      <c r="D128" s="140" t="s">
        <v>1656</v>
      </c>
      <c r="H128" s="10"/>
      <c r="K128" s="169">
        <f>-K23-K48+J68+J75+J96-K113</f>
        <v>-594273</v>
      </c>
    </row>
    <row r="129" spans="4:11" ht="16.5" customHeight="1" x14ac:dyDescent="0.3">
      <c r="D129" s="140" t="s">
        <v>1657</v>
      </c>
      <c r="H129" s="10"/>
      <c r="K129" s="169">
        <f>-K76</f>
        <v>-171433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6A719067-0514-47CE-9389-A2A6A5A3DE0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9527ADF0-20D2-49A7-9FE4-860F94731A5E}">
      <formula1>0</formula1>
    </dataValidation>
    <dataValidation operator="lessThan" allowBlank="1" showInputMessage="1" showErrorMessage="1" sqref="A3:A8" xr:uid="{0B6CD2C8-70AA-4268-99FF-45705745DE3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BD5A8-5F4F-434B-B0AA-8DC13B4A7FA9}">
  <sheetPr codeName="Sheet21">
    <tabColor theme="9" tint="0.59999389629810485"/>
    <pageSetUpPr fitToPage="1"/>
  </sheetPr>
  <dimension ref="A1:S193"/>
  <sheetViews>
    <sheetView zoomScale="70" zoomScaleNormal="70" workbookViewId="0">
      <selection activeCell="X74" sqref="X7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9" t="s">
        <v>1629</v>
      </c>
      <c r="B1" s="179"/>
      <c r="C1" s="179"/>
      <c r="D1" s="179"/>
      <c r="E1" s="179"/>
      <c r="F1" s="179"/>
      <c r="G1" s="179"/>
      <c r="H1" s="179"/>
      <c r="I1" s="179"/>
      <c r="J1" s="179"/>
      <c r="K1" s="17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5" t="s">
        <v>10</v>
      </c>
      <c r="B3" s="175"/>
      <c r="C3" s="175"/>
      <c r="D3" s="175"/>
      <c r="E3" s="175"/>
      <c r="F3" s="180" t="s">
        <v>21</v>
      </c>
      <c r="G3" s="180"/>
      <c r="H3" s="180"/>
      <c r="I3" s="180"/>
    </row>
    <row r="4" spans="1:19" ht="16.5" customHeight="1" x14ac:dyDescent="0.25">
      <c r="A4" s="175" t="s">
        <v>191</v>
      </c>
      <c r="B4" s="175"/>
      <c r="C4" s="175"/>
      <c r="D4" s="175"/>
      <c r="E4" s="175"/>
      <c r="F4" s="181" t="s">
        <v>1676</v>
      </c>
      <c r="G4" s="181"/>
      <c r="H4" s="181"/>
      <c r="I4" s="181"/>
    </row>
    <row r="5" spans="1:19" ht="16.5" customHeight="1" x14ac:dyDescent="0.25">
      <c r="A5" s="175" t="s">
        <v>1615</v>
      </c>
      <c r="B5" s="175"/>
      <c r="C5" s="175"/>
      <c r="D5" s="175"/>
      <c r="E5" s="175"/>
      <c r="F5" s="181" t="s">
        <v>316</v>
      </c>
      <c r="G5" s="181"/>
      <c r="H5" s="181"/>
      <c r="I5" s="181"/>
      <c r="L5" s="12"/>
      <c r="M5" s="12"/>
      <c r="N5" s="12"/>
      <c r="O5" s="12"/>
      <c r="P5" s="12"/>
      <c r="Q5" s="12"/>
    </row>
    <row r="6" spans="1:19" ht="16.5" customHeight="1" x14ac:dyDescent="0.3">
      <c r="A6" s="175" t="s">
        <v>1634</v>
      </c>
      <c r="B6" s="175"/>
      <c r="C6" s="175"/>
      <c r="D6" s="175"/>
      <c r="E6" s="175"/>
      <c r="F6" s="182">
        <v>3016</v>
      </c>
      <c r="G6" s="182"/>
      <c r="H6" s="182"/>
      <c r="I6" s="182"/>
      <c r="L6" s="13"/>
      <c r="M6" s="13"/>
      <c r="N6" s="13"/>
      <c r="O6" s="13"/>
      <c r="P6" s="12"/>
      <c r="Q6" s="12"/>
    </row>
    <row r="7" spans="1:19" ht="16.5" customHeight="1" x14ac:dyDescent="0.3">
      <c r="A7" s="175" t="s">
        <v>1</v>
      </c>
      <c r="B7" s="175"/>
      <c r="C7" s="175"/>
      <c r="D7" s="175"/>
      <c r="E7" s="175"/>
      <c r="F7" s="182" t="s">
        <v>120</v>
      </c>
      <c r="G7" s="182"/>
      <c r="H7" s="182"/>
      <c r="I7" s="182"/>
      <c r="K7" s="53"/>
      <c r="L7" s="13"/>
      <c r="M7" s="13"/>
      <c r="N7" s="13"/>
      <c r="O7" s="13"/>
      <c r="P7" s="12"/>
      <c r="Q7" s="12"/>
    </row>
    <row r="8" spans="1:19" ht="16.5" customHeight="1" x14ac:dyDescent="0.3">
      <c r="A8" s="175" t="s">
        <v>1616</v>
      </c>
      <c r="B8" s="175"/>
      <c r="C8" s="175"/>
      <c r="D8" s="175"/>
      <c r="E8" s="175"/>
      <c r="F8" s="182" t="s">
        <v>154</v>
      </c>
      <c r="G8" s="182"/>
      <c r="H8" s="182"/>
      <c r="I8" s="182"/>
      <c r="K8" s="53"/>
      <c r="L8" s="13"/>
      <c r="M8" s="13"/>
      <c r="N8" s="13"/>
      <c r="O8" s="13"/>
      <c r="P8" s="12"/>
      <c r="Q8" s="12"/>
    </row>
    <row r="9" spans="1:19" ht="16.5" customHeight="1" x14ac:dyDescent="0.3">
      <c r="A9" s="175" t="s">
        <v>1614</v>
      </c>
      <c r="B9" s="175"/>
      <c r="C9" s="175"/>
      <c r="D9" s="175"/>
      <c r="E9" s="175"/>
      <c r="F9" s="183" t="str">
        <f>IFERROR(IF(F7="Proprietary","Proprietary Fund",VLOOKUP(F5,[3]qryIndex02a!$A$2:$K$654,4,FALSE)),"Unidentified")</f>
        <v>GENERAL GOVERNMENT</v>
      </c>
      <c r="G9" s="183"/>
      <c r="H9" s="183"/>
      <c r="I9" s="18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164</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19" ht="16.5" customHeight="1" x14ac:dyDescent="0.3">
      <c r="A15" s="159" t="s">
        <v>1637</v>
      </c>
      <c r="B15" s="9" t="s">
        <v>170</v>
      </c>
      <c r="C15" s="9"/>
      <c r="D15" s="9"/>
      <c r="E15" s="140"/>
      <c r="F15" s="141"/>
      <c r="G15" s="141"/>
      <c r="H15" s="142"/>
      <c r="I15" s="142"/>
      <c r="J15" s="171">
        <f>M15</f>
        <v>0</v>
      </c>
      <c r="M15" s="143"/>
      <c r="P15" s="143"/>
      <c r="Q15" s="155"/>
      <c r="S15" s="154">
        <f t="shared" ref="S15:S20" si="0">P15-M15</f>
        <v>0</v>
      </c>
    </row>
    <row r="16" spans="1:19" ht="16.5" customHeight="1" x14ac:dyDescent="0.3">
      <c r="A16" s="159" t="s">
        <v>1637</v>
      </c>
      <c r="B16" s="9" t="s">
        <v>171</v>
      </c>
      <c r="C16" s="9"/>
      <c r="D16" s="9"/>
      <c r="E16" s="140"/>
      <c r="F16" s="141"/>
      <c r="G16" s="141"/>
      <c r="H16" s="142"/>
      <c r="I16" s="142"/>
      <c r="J16" s="171">
        <f>M16</f>
        <v>0</v>
      </c>
      <c r="M16" s="143"/>
      <c r="P16" s="143"/>
      <c r="Q16" s="155"/>
      <c r="S16" s="154">
        <f t="shared" si="0"/>
        <v>0</v>
      </c>
    </row>
    <row r="17" spans="1:19" ht="16.5" customHeight="1" x14ac:dyDescent="0.3">
      <c r="A17" s="159" t="s">
        <v>1637</v>
      </c>
      <c r="B17" s="9" t="s">
        <v>172</v>
      </c>
      <c r="C17" s="9"/>
      <c r="D17" s="9"/>
      <c r="E17" s="140"/>
      <c r="F17" s="141"/>
      <c r="G17" s="141"/>
      <c r="H17" s="142"/>
      <c r="I17" s="142"/>
      <c r="J17" s="171">
        <f>M17</f>
        <v>1010026</v>
      </c>
      <c r="M17" s="143">
        <v>1010026</v>
      </c>
      <c r="P17" s="143">
        <v>1010026</v>
      </c>
      <c r="Q17" s="155"/>
      <c r="S17" s="154">
        <f t="shared" si="0"/>
        <v>0</v>
      </c>
    </row>
    <row r="18" spans="1:19" ht="16.5" customHeight="1" x14ac:dyDescent="0.3">
      <c r="A18" s="54"/>
      <c r="B18" s="9" t="s">
        <v>168</v>
      </c>
      <c r="C18" s="9"/>
      <c r="D18" s="9"/>
      <c r="E18" s="140"/>
      <c r="F18" s="141"/>
      <c r="G18" s="141"/>
      <c r="H18" s="142"/>
      <c r="I18" s="142"/>
      <c r="J18" s="171">
        <f>P18</f>
        <v>5469</v>
      </c>
      <c r="M18" s="143">
        <v>5469</v>
      </c>
      <c r="P18" s="152">
        <f>IF(SUM($Q$20:$Q$23)&gt;SUM($P$15:$P$17),SUM($Q$20:$Q$23)-SUM($P$15:$P$17),0)</f>
        <v>5469</v>
      </c>
      <c r="Q18" s="155"/>
      <c r="S18" s="154">
        <f t="shared" si="0"/>
        <v>0</v>
      </c>
    </row>
    <row r="19" spans="1:19"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row>
    <row r="20" spans="1:19" ht="16.5" customHeight="1" x14ac:dyDescent="0.3">
      <c r="A20" s="54"/>
      <c r="B20" s="9"/>
      <c r="C20" s="9" t="s">
        <v>177</v>
      </c>
      <c r="D20" s="9"/>
      <c r="E20" s="140"/>
      <c r="F20" s="141"/>
      <c r="G20" s="141"/>
      <c r="H20" s="142"/>
      <c r="I20" s="142"/>
      <c r="J20" s="150"/>
      <c r="K20" s="171">
        <f>N20</f>
        <v>0</v>
      </c>
      <c r="N20" s="143"/>
      <c r="P20" s="155"/>
      <c r="Q20" s="143"/>
      <c r="S20" s="154">
        <f t="shared" si="0"/>
        <v>0</v>
      </c>
    </row>
    <row r="21" spans="1:19" ht="16.5" customHeight="1" x14ac:dyDescent="0.3">
      <c r="A21" s="54"/>
      <c r="B21" s="9"/>
      <c r="C21" s="9" t="s">
        <v>174</v>
      </c>
      <c r="D21" s="9"/>
      <c r="E21" s="140"/>
      <c r="F21" s="141"/>
      <c r="G21" s="141"/>
      <c r="H21" s="142"/>
      <c r="I21" s="142"/>
      <c r="J21" s="150"/>
      <c r="K21" s="171">
        <f>N21</f>
        <v>0</v>
      </c>
      <c r="N21" s="143"/>
      <c r="P21" s="155"/>
      <c r="Q21" s="143"/>
      <c r="S21" s="154">
        <f>Q21-N21</f>
        <v>0</v>
      </c>
    </row>
    <row r="22" spans="1:19" ht="16.5" customHeight="1" x14ac:dyDescent="0.3">
      <c r="A22" s="54"/>
      <c r="B22" s="9"/>
      <c r="C22" s="9" t="s">
        <v>178</v>
      </c>
      <c r="D22" s="9"/>
      <c r="E22" s="140"/>
      <c r="F22" s="141"/>
      <c r="G22" s="141"/>
      <c r="H22" s="142"/>
      <c r="I22" s="142"/>
      <c r="J22" s="150"/>
      <c r="K22" s="171">
        <f>N22</f>
        <v>734564</v>
      </c>
      <c r="N22" s="143">
        <v>734564</v>
      </c>
      <c r="P22" s="155"/>
      <c r="Q22" s="143">
        <v>734564</v>
      </c>
      <c r="S22" s="154">
        <f t="shared" ref="S22:S25" si="1">Q22-N22</f>
        <v>0</v>
      </c>
    </row>
    <row r="23" spans="1:19" ht="16.5" customHeight="1" x14ac:dyDescent="0.3">
      <c r="A23" s="165" t="s">
        <v>1645</v>
      </c>
      <c r="B23" s="9"/>
      <c r="C23" s="9" t="s">
        <v>173</v>
      </c>
      <c r="D23" s="9"/>
      <c r="E23" s="140"/>
      <c r="F23" s="141"/>
      <c r="G23" s="141"/>
      <c r="H23" s="142"/>
      <c r="I23" s="142"/>
      <c r="J23" s="150"/>
      <c r="K23" s="171">
        <f>N23</f>
        <v>280931</v>
      </c>
      <c r="N23" s="143">
        <v>280931</v>
      </c>
      <c r="P23" s="155"/>
      <c r="Q23" s="143">
        <v>280931</v>
      </c>
      <c r="S23" s="154">
        <f t="shared" si="1"/>
        <v>0</v>
      </c>
    </row>
    <row r="24" spans="1:19" ht="16.5" customHeight="1" x14ac:dyDescent="0.3">
      <c r="A24" s="54"/>
      <c r="B24" s="9"/>
      <c r="C24" s="9" t="s">
        <v>175</v>
      </c>
      <c r="D24" s="9"/>
      <c r="E24" s="140"/>
      <c r="F24" s="141"/>
      <c r="G24" s="141"/>
      <c r="H24" s="142"/>
      <c r="I24" s="142"/>
      <c r="J24" s="150"/>
      <c r="K24" s="171">
        <f>Q24</f>
        <v>0</v>
      </c>
      <c r="N24" s="143"/>
      <c r="P24" s="155"/>
      <c r="Q24" s="152">
        <f>IF(SUM($Q$20:$Q$23)&lt;SUM($P$15:$P$17),-SUM($Q$20:$Q$23)+SUM($P$15:$P$17),0)</f>
        <v>0</v>
      </c>
      <c r="S24" s="154">
        <f t="shared" si="1"/>
        <v>0</v>
      </c>
    </row>
    <row r="25" spans="1:19" ht="16.5" customHeight="1" x14ac:dyDescent="0.3">
      <c r="A25" s="54"/>
      <c r="B25" s="9"/>
      <c r="C25" s="9" t="s">
        <v>176</v>
      </c>
      <c r="D25" s="9"/>
      <c r="E25" s="140"/>
      <c r="F25" s="141"/>
      <c r="G25" s="141"/>
      <c r="H25" s="142"/>
      <c r="I25" s="142"/>
      <c r="J25" s="150"/>
      <c r="K25" s="171">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1015495</v>
      </c>
      <c r="K26" s="107">
        <f>SUM(K15:K25)</f>
        <v>1015495</v>
      </c>
      <c r="L26" s="8" t="str">
        <f>IF(J26=K26,"&lt;- Debits and Credits equal each other.","&lt;- Debits and Credits do not equal each other.")</f>
        <v>&lt;- Debits and Credits equal each other.</v>
      </c>
    </row>
    <row r="27" spans="1:19" ht="16.5" customHeight="1" x14ac:dyDescent="0.3">
      <c r="A27" s="1"/>
      <c r="B27" s="130" t="s">
        <v>1638</v>
      </c>
      <c r="C27" s="23"/>
      <c r="D27" s="20"/>
      <c r="E27" s="20"/>
      <c r="F27" s="21"/>
      <c r="G27" s="21"/>
      <c r="H27" s="22"/>
      <c r="I27" s="22"/>
      <c r="J27" s="19"/>
      <c r="K27" s="19"/>
      <c r="L27" s="8"/>
    </row>
    <row r="28" spans="1:19" ht="16.2" customHeight="1" x14ac:dyDescent="0.35">
      <c r="A28" s="1"/>
      <c r="B28" s="166" t="s">
        <v>1649</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165</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ADJ)",VLOOKUP($F$9,'[3]Drop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366199.03320000001</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row>
    <row r="58" spans="1:16" ht="16.5" customHeight="1" x14ac:dyDescent="0.3">
      <c r="A58" s="54"/>
      <c r="B58" s="9"/>
      <c r="C58" s="9" t="s">
        <v>178</v>
      </c>
      <c r="D58" s="140"/>
      <c r="E58" s="140"/>
      <c r="F58" s="141"/>
      <c r="G58" s="141"/>
      <c r="H58" s="142"/>
      <c r="I58" s="142"/>
      <c r="J58" s="144"/>
      <c r="K58" s="143">
        <v>366199.03320000001</v>
      </c>
    </row>
    <row r="59" spans="1:16" ht="16.5" customHeight="1" x14ac:dyDescent="0.3">
      <c r="A59" s="54"/>
      <c r="C59" s="16"/>
      <c r="D59" s="16"/>
      <c r="E59" s="16"/>
      <c r="F59" s="17"/>
      <c r="G59" s="17"/>
      <c r="H59" s="18"/>
      <c r="I59" s="18"/>
      <c r="J59" s="107">
        <f>SUM(J55:J58)</f>
        <v>366199.03320000001</v>
      </c>
      <c r="K59" s="107">
        <f>SUM(K55:K58)</f>
        <v>366199.03320000001</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236074</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125006</v>
      </c>
      <c r="K63" s="147"/>
    </row>
    <row r="64" spans="1:16" ht="16.5" customHeight="1" x14ac:dyDescent="0.3">
      <c r="A64" s="54"/>
      <c r="B64" s="9"/>
      <c r="C64" s="9" t="str">
        <f>IF($F$7="Proprietary","Cr: Acct 0870 - SERVICES &amp; CHARGES (MG ADJ)",VLOOKUP($F$9,'[3]Drop Down Menus'!$F$2:$G$10,2,FALSE))</f>
        <v>Cr: Acct 0808 - GENERAL GOV. (GAAP ADJ)</v>
      </c>
      <c r="D64" s="140"/>
      <c r="E64" s="140"/>
      <c r="F64" s="141"/>
      <c r="G64" s="141"/>
      <c r="H64" s="142"/>
      <c r="I64" s="142"/>
      <c r="J64" s="147"/>
      <c r="K64" s="143">
        <v>361080</v>
      </c>
    </row>
    <row r="65" spans="1:12" ht="16.5" customHeight="1" x14ac:dyDescent="0.3">
      <c r="A65" s="54"/>
      <c r="C65" s="16"/>
      <c r="D65" s="16"/>
      <c r="E65" s="16"/>
      <c r="F65" s="17"/>
      <c r="G65" s="17"/>
      <c r="H65" s="18"/>
      <c r="I65" s="18"/>
      <c r="J65" s="107">
        <f>SUM(J62:J64)</f>
        <v>361080</v>
      </c>
      <c r="K65" s="107">
        <f>SUM(K62:K64)</f>
        <v>361080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236074</v>
      </c>
      <c r="K68" s="144"/>
    </row>
    <row r="69" spans="1:12" ht="16.5" customHeight="1" x14ac:dyDescent="0.3">
      <c r="A69" s="54"/>
      <c r="B69" s="9"/>
      <c r="C69" s="9" t="s">
        <v>185</v>
      </c>
      <c r="D69" s="140"/>
      <c r="E69" s="140"/>
      <c r="F69" s="141"/>
      <c r="G69" s="141"/>
      <c r="H69" s="142"/>
      <c r="I69" s="142"/>
      <c r="J69" s="144"/>
      <c r="K69" s="143">
        <v>236074</v>
      </c>
    </row>
    <row r="70" spans="1:12" ht="16.5" customHeight="1" x14ac:dyDescent="0.3">
      <c r="A70" s="54"/>
      <c r="C70" s="16"/>
      <c r="D70" s="16"/>
      <c r="E70" s="16"/>
      <c r="F70" s="17"/>
      <c r="G70" s="17"/>
      <c r="H70" s="18"/>
      <c r="I70" s="18"/>
      <c r="J70" s="107">
        <f>SUM(J68:J69)</f>
        <v>236074</v>
      </c>
      <c r="K70" s="107">
        <f>SUM(K68:K69)</f>
        <v>236074</v>
      </c>
      <c r="L70" s="8"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258547</v>
      </c>
      <c r="K75" s="144"/>
    </row>
    <row r="76" spans="1:12" ht="16.5" customHeight="1" x14ac:dyDescent="0.3">
      <c r="A76" s="54"/>
      <c r="B76" s="9"/>
      <c r="C76" s="9" t="s">
        <v>193</v>
      </c>
      <c r="D76" s="140"/>
      <c r="E76" s="140"/>
      <c r="F76" s="141"/>
      <c r="G76" s="141"/>
      <c r="H76" s="142"/>
      <c r="I76" s="142"/>
      <c r="J76" s="144"/>
      <c r="K76" s="143">
        <v>258547</v>
      </c>
    </row>
    <row r="77" spans="1:12" ht="16.5" customHeight="1" x14ac:dyDescent="0.25">
      <c r="A77" s="54"/>
      <c r="B77" s="178" t="s">
        <v>1662</v>
      </c>
      <c r="C77" s="178"/>
      <c r="D77" s="178"/>
      <c r="E77" s="178"/>
      <c r="F77" s="178"/>
      <c r="G77" s="178"/>
      <c r="H77" s="178"/>
      <c r="I77" s="178"/>
      <c r="J77" s="107">
        <f>SUM(J75:J76)</f>
        <v>258547</v>
      </c>
      <c r="K77" s="107">
        <f>SUM(K75:K76)</f>
        <v>258547</v>
      </c>
      <c r="L77" s="8"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row>
    <row r="91" spans="1:16" ht="16.5" customHeight="1" x14ac:dyDescent="0.3">
      <c r="B91" s="130" t="s">
        <v>1640</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ADJ)",VLOOKUP($F$9,'[3]Drop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ADJ)",VLOOKUP($F$9,'[3]Drop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v>3661177.9907999998</v>
      </c>
      <c r="K112" s="25"/>
    </row>
    <row r="113" spans="1:12" ht="16.5" customHeight="1" x14ac:dyDescent="0.25">
      <c r="A113" s="165" t="s">
        <v>1645</v>
      </c>
      <c r="B113" s="9"/>
      <c r="C113" s="9" t="s">
        <v>173</v>
      </c>
      <c r="D113" s="7"/>
      <c r="E113" s="25"/>
      <c r="F113" s="25"/>
      <c r="G113" s="25"/>
      <c r="H113" s="25"/>
      <c r="I113" s="25"/>
      <c r="J113" s="25"/>
      <c r="K113" s="143">
        <v>3661177.9907999998</v>
      </c>
    </row>
    <row r="114" spans="1:12" ht="16.5" customHeight="1" x14ac:dyDescent="0.3">
      <c r="A114" s="6"/>
      <c r="B114" s="130" t="s">
        <v>1639</v>
      </c>
      <c r="C114" s="114"/>
      <c r="D114" s="114"/>
      <c r="H114" s="10"/>
      <c r="J114" s="108">
        <f>SUM(J110:J113)</f>
        <v>3661177.9907999998</v>
      </c>
      <c r="K114" s="108">
        <f>SUM(K110:K113)</f>
        <v>3661177.9907999998</v>
      </c>
      <c r="L114" s="8"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4671203.9907999998</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-1100763.0331999999</v>
      </c>
    </row>
    <row r="128" spans="1:12" ht="16.5" customHeight="1" x14ac:dyDescent="0.3">
      <c r="D128" s="140" t="s">
        <v>1656</v>
      </c>
      <c r="H128" s="10"/>
      <c r="K128" s="169">
        <f>-K23-K48+J68+J75+J96-K113</f>
        <v>-3447487.9907999998</v>
      </c>
    </row>
    <row r="129" spans="4:11" ht="16.5" customHeight="1" x14ac:dyDescent="0.3">
      <c r="D129" s="140" t="s">
        <v>1657</v>
      </c>
      <c r="H129" s="10"/>
      <c r="K129" s="169">
        <f>-K76</f>
        <v>-258547</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407DEBFE-8ADE-4A73-93C7-0C684EA0EA7A}">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C281E65-1A52-4CD8-ADBD-05ABB5026148}">
      <formula1>0</formula1>
    </dataValidation>
    <dataValidation operator="lessThan" allowBlank="1" showInputMessage="1" showErrorMessage="1" sqref="A3:A8" xr:uid="{30C9E046-1CF9-4DFF-B1A1-FE157D597648}"/>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7BA0-3C48-4BBB-8568-99DD272ECB7C}">
  <sheetPr codeName="Sheet22">
    <tabColor theme="9" tint="0.59999389629810485"/>
    <pageSetUpPr fitToPage="1"/>
  </sheetPr>
  <dimension ref="A1:S193"/>
  <sheetViews>
    <sheetView topLeftCell="A2" zoomScale="70" zoomScaleNormal="70" workbookViewId="0">
      <selection activeCell="N115" sqref="N11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9" t="s">
        <v>1629</v>
      </c>
      <c r="B1" s="179"/>
      <c r="C1" s="179"/>
      <c r="D1" s="179"/>
      <c r="E1" s="179"/>
      <c r="F1" s="179"/>
      <c r="G1" s="179"/>
      <c r="H1" s="179"/>
      <c r="I1" s="179"/>
      <c r="J1" s="179"/>
      <c r="K1" s="17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5" t="s">
        <v>10</v>
      </c>
      <c r="B3" s="175"/>
      <c r="C3" s="175"/>
      <c r="D3" s="175"/>
      <c r="E3" s="175"/>
      <c r="F3" s="180" t="s">
        <v>21</v>
      </c>
      <c r="G3" s="180"/>
      <c r="H3" s="180"/>
      <c r="I3" s="180"/>
    </row>
    <row r="4" spans="1:19" ht="16.5" customHeight="1" x14ac:dyDescent="0.25">
      <c r="A4" s="175" t="s">
        <v>191</v>
      </c>
      <c r="B4" s="175"/>
      <c r="C4" s="175"/>
      <c r="D4" s="175"/>
      <c r="E4" s="175"/>
      <c r="F4" s="181" t="s">
        <v>1676</v>
      </c>
      <c r="G4" s="181"/>
      <c r="H4" s="181"/>
      <c r="I4" s="181"/>
    </row>
    <row r="5" spans="1:19" ht="16.5" customHeight="1" x14ac:dyDescent="0.25">
      <c r="A5" s="175" t="s">
        <v>1615</v>
      </c>
      <c r="B5" s="175"/>
      <c r="C5" s="175"/>
      <c r="D5" s="175"/>
      <c r="E5" s="175"/>
      <c r="F5" s="181" t="s">
        <v>316</v>
      </c>
      <c r="G5" s="181"/>
      <c r="H5" s="181"/>
      <c r="I5" s="181"/>
      <c r="L5" s="12"/>
      <c r="M5" s="12"/>
      <c r="N5" s="12"/>
      <c r="O5" s="12"/>
      <c r="P5" s="12"/>
      <c r="Q5" s="12"/>
    </row>
    <row r="6" spans="1:19" ht="16.5" customHeight="1" x14ac:dyDescent="0.3">
      <c r="A6" s="175" t="s">
        <v>1634</v>
      </c>
      <c r="B6" s="175"/>
      <c r="C6" s="175"/>
      <c r="D6" s="175"/>
      <c r="E6" s="175"/>
      <c r="F6" s="182">
        <v>3053</v>
      </c>
      <c r="G6" s="182"/>
      <c r="H6" s="182"/>
      <c r="I6" s="182"/>
      <c r="L6" s="13"/>
      <c r="M6" s="13"/>
      <c r="N6" s="13"/>
      <c r="O6" s="13"/>
      <c r="P6" s="12"/>
      <c r="Q6" s="12"/>
    </row>
    <row r="7" spans="1:19" ht="16.5" customHeight="1" x14ac:dyDescent="0.3">
      <c r="A7" s="175" t="s">
        <v>1</v>
      </c>
      <c r="B7" s="175"/>
      <c r="C7" s="175"/>
      <c r="D7" s="175"/>
      <c r="E7" s="175"/>
      <c r="F7" s="182" t="s">
        <v>120</v>
      </c>
      <c r="G7" s="182"/>
      <c r="H7" s="182"/>
      <c r="I7" s="182"/>
      <c r="K7" s="53"/>
      <c r="L7" s="13"/>
      <c r="M7" s="13"/>
      <c r="N7" s="13"/>
      <c r="O7" s="13"/>
      <c r="P7" s="12"/>
      <c r="Q7" s="12"/>
    </row>
    <row r="8" spans="1:19" ht="16.5" customHeight="1" x14ac:dyDescent="0.3">
      <c r="A8" s="175" t="s">
        <v>1616</v>
      </c>
      <c r="B8" s="175"/>
      <c r="C8" s="175"/>
      <c r="D8" s="175"/>
      <c r="E8" s="175"/>
      <c r="F8" s="182" t="s">
        <v>154</v>
      </c>
      <c r="G8" s="182"/>
      <c r="H8" s="182"/>
      <c r="I8" s="182"/>
      <c r="K8" s="53"/>
      <c r="L8" s="13"/>
      <c r="M8" s="13"/>
      <c r="N8" s="13"/>
      <c r="O8" s="13"/>
      <c r="P8" s="12"/>
      <c r="Q8" s="12"/>
    </row>
    <row r="9" spans="1:19" ht="16.5" customHeight="1" x14ac:dyDescent="0.3">
      <c r="A9" s="175" t="s">
        <v>1614</v>
      </c>
      <c r="B9" s="175"/>
      <c r="C9" s="175"/>
      <c r="D9" s="175"/>
      <c r="E9" s="175"/>
      <c r="F9" s="183" t="str">
        <f>IFERROR(IF(F7="Proprietary","Proprietary Fund",VLOOKUP(F5,[4]qryIndex02a!$A$2:$K$654,4,FALSE)),"Unidentified")</f>
        <v>GENERAL GOVERNMENT</v>
      </c>
      <c r="G9" s="183"/>
      <c r="H9" s="183"/>
      <c r="I9" s="18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164</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19" ht="16.5" customHeight="1" x14ac:dyDescent="0.3">
      <c r="A15" s="159" t="s">
        <v>1637</v>
      </c>
      <c r="B15" s="9" t="s">
        <v>170</v>
      </c>
      <c r="C15" s="9"/>
      <c r="D15" s="9"/>
      <c r="E15" s="140"/>
      <c r="F15" s="141"/>
      <c r="G15" s="141"/>
      <c r="H15" s="142"/>
      <c r="I15" s="142"/>
      <c r="J15" s="171">
        <f>M15</f>
        <v>0</v>
      </c>
      <c r="M15" s="143"/>
      <c r="P15" s="143"/>
      <c r="Q15" s="155"/>
      <c r="S15" s="154">
        <f t="shared" ref="S15:S20" si="0">P15-M15</f>
        <v>0</v>
      </c>
    </row>
    <row r="16" spans="1:19" ht="16.5" customHeight="1" x14ac:dyDescent="0.3">
      <c r="A16" s="159" t="s">
        <v>1637</v>
      </c>
      <c r="B16" s="9" t="s">
        <v>171</v>
      </c>
      <c r="C16" s="9"/>
      <c r="D16" s="9"/>
      <c r="E16" s="140"/>
      <c r="F16" s="141"/>
      <c r="G16" s="141"/>
      <c r="H16" s="142"/>
      <c r="I16" s="142"/>
      <c r="J16" s="171">
        <f>M16</f>
        <v>0</v>
      </c>
      <c r="M16" s="143"/>
      <c r="P16" s="143"/>
      <c r="Q16" s="155"/>
      <c r="S16" s="154">
        <f t="shared" si="0"/>
        <v>0</v>
      </c>
    </row>
    <row r="17" spans="1:19" ht="16.5" customHeight="1" x14ac:dyDescent="0.3">
      <c r="A17" s="159" t="s">
        <v>1637</v>
      </c>
      <c r="B17" s="9" t="s">
        <v>172</v>
      </c>
      <c r="C17" s="9"/>
      <c r="D17" s="9"/>
      <c r="E17" s="140"/>
      <c r="F17" s="141"/>
      <c r="G17" s="141"/>
      <c r="H17" s="142"/>
      <c r="I17" s="142"/>
      <c r="J17" s="171">
        <f>M17</f>
        <v>325481.46448074142</v>
      </c>
      <c r="M17" s="143">
        <v>325481.46448074142</v>
      </c>
      <c r="P17" s="143">
        <v>325481</v>
      </c>
      <c r="Q17" s="155"/>
      <c r="S17" s="154">
        <f t="shared" si="0"/>
        <v>-0.46448074141517282</v>
      </c>
    </row>
    <row r="18" spans="1:19" ht="16.5" customHeight="1" x14ac:dyDescent="0.3">
      <c r="A18" s="54"/>
      <c r="B18" s="9" t="s">
        <v>168</v>
      </c>
      <c r="C18" s="9"/>
      <c r="D18" s="9"/>
      <c r="E18" s="140"/>
      <c r="F18" s="141"/>
      <c r="G18" s="141"/>
      <c r="H18" s="142"/>
      <c r="I18" s="142"/>
      <c r="J18" s="171">
        <f>P18</f>
        <v>6039</v>
      </c>
      <c r="M18" s="143">
        <v>6038</v>
      </c>
      <c r="P18" s="152">
        <f>IF(SUM($Q$20:$Q$23)&gt;SUM($P$15:$P$17),SUM($Q$20:$Q$23)-SUM($P$15:$P$17),0)</f>
        <v>6039</v>
      </c>
      <c r="Q18" s="155"/>
      <c r="S18" s="154">
        <f t="shared" si="0"/>
        <v>1</v>
      </c>
    </row>
    <row r="19" spans="1:19"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row>
    <row r="20" spans="1:19" ht="16.5" customHeight="1" x14ac:dyDescent="0.3">
      <c r="A20" s="54"/>
      <c r="B20" s="9"/>
      <c r="C20" s="9" t="s">
        <v>177</v>
      </c>
      <c r="D20" s="9"/>
      <c r="E20" s="140"/>
      <c r="F20" s="141"/>
      <c r="G20" s="141"/>
      <c r="H20" s="142"/>
      <c r="I20" s="142"/>
      <c r="J20" s="150"/>
      <c r="K20" s="171">
        <f>N20</f>
        <v>0</v>
      </c>
      <c r="N20" s="143"/>
      <c r="P20" s="155"/>
      <c r="Q20" s="143"/>
      <c r="S20" s="154">
        <f t="shared" si="0"/>
        <v>0</v>
      </c>
    </row>
    <row r="21" spans="1:19" ht="16.5" customHeight="1" x14ac:dyDescent="0.3">
      <c r="A21" s="54"/>
      <c r="B21" s="9"/>
      <c r="C21" s="9" t="s">
        <v>174</v>
      </c>
      <c r="D21" s="9"/>
      <c r="E21" s="140"/>
      <c r="F21" s="141"/>
      <c r="G21" s="141"/>
      <c r="H21" s="142"/>
      <c r="I21" s="142"/>
      <c r="J21" s="150"/>
      <c r="K21" s="171">
        <f>N21</f>
        <v>0</v>
      </c>
      <c r="N21" s="143"/>
      <c r="P21" s="155"/>
      <c r="Q21" s="143"/>
      <c r="S21" s="154">
        <f>Q21-N21</f>
        <v>0</v>
      </c>
    </row>
    <row r="22" spans="1:19" ht="16.5" customHeight="1" x14ac:dyDescent="0.3">
      <c r="A22" s="54"/>
      <c r="B22" s="9"/>
      <c r="C22" s="9" t="s">
        <v>178</v>
      </c>
      <c r="D22" s="9"/>
      <c r="E22" s="140"/>
      <c r="F22" s="141"/>
      <c r="G22" s="141"/>
      <c r="H22" s="142"/>
      <c r="I22" s="142"/>
      <c r="J22" s="150"/>
      <c r="K22" s="171">
        <f>N22</f>
        <v>111594</v>
      </c>
      <c r="N22" s="143">
        <v>111594</v>
      </c>
      <c r="P22" s="155"/>
      <c r="Q22" s="143">
        <v>111594</v>
      </c>
      <c r="S22" s="154">
        <f t="shared" ref="S22:S25" si="1">Q22-N22</f>
        <v>0</v>
      </c>
    </row>
    <row r="23" spans="1:19" ht="16.5" customHeight="1" x14ac:dyDescent="0.3">
      <c r="A23" s="165" t="s">
        <v>1645</v>
      </c>
      <c r="B23" s="9"/>
      <c r="C23" s="9" t="s">
        <v>173</v>
      </c>
      <c r="D23" s="9"/>
      <c r="E23" s="140"/>
      <c r="F23" s="141"/>
      <c r="G23" s="141"/>
      <c r="H23" s="142"/>
      <c r="I23" s="142"/>
      <c r="J23" s="150"/>
      <c r="K23" s="171">
        <f>N23</f>
        <v>219926</v>
      </c>
      <c r="N23" s="143">
        <v>219926</v>
      </c>
      <c r="P23" s="155"/>
      <c r="Q23" s="143">
        <v>219926</v>
      </c>
      <c r="S23" s="154">
        <f t="shared" si="1"/>
        <v>0</v>
      </c>
    </row>
    <row r="24" spans="1:19" ht="16.5" customHeight="1" x14ac:dyDescent="0.3">
      <c r="A24" s="54"/>
      <c r="B24" s="9"/>
      <c r="C24" s="9" t="s">
        <v>175</v>
      </c>
      <c r="D24" s="9"/>
      <c r="E24" s="140"/>
      <c r="F24" s="141"/>
      <c r="G24" s="141"/>
      <c r="H24" s="142"/>
      <c r="I24" s="142"/>
      <c r="J24" s="150"/>
      <c r="K24" s="171">
        <f>Q24</f>
        <v>0</v>
      </c>
      <c r="N24" s="143"/>
      <c r="P24" s="155"/>
      <c r="Q24" s="152">
        <f>IF(SUM($Q$20:$Q$23)&lt;SUM($P$15:$P$17),-SUM($Q$20:$Q$23)+SUM($P$15:$P$17),0)</f>
        <v>0</v>
      </c>
      <c r="S24" s="154">
        <f t="shared" si="1"/>
        <v>0</v>
      </c>
    </row>
    <row r="25" spans="1:19" ht="16.5" customHeight="1" x14ac:dyDescent="0.3">
      <c r="A25" s="54"/>
      <c r="B25" s="9"/>
      <c r="C25" s="9" t="s">
        <v>176</v>
      </c>
      <c r="D25" s="9"/>
      <c r="E25" s="140"/>
      <c r="F25" s="141"/>
      <c r="G25" s="141"/>
      <c r="H25" s="142"/>
      <c r="I25" s="142"/>
      <c r="J25" s="150"/>
      <c r="K25" s="171">
        <f>IF(SUM($K$20:$K$24)&lt;SUM($J$15:$J$18),-SUM($K$20:$K$24)+SUM($J$15:$J$18),0)</f>
        <v>0.46448074141517282</v>
      </c>
      <c r="N25" s="143"/>
      <c r="P25" s="155"/>
      <c r="Q25" s="155"/>
      <c r="S25" s="154">
        <f t="shared" si="1"/>
        <v>0</v>
      </c>
    </row>
    <row r="26" spans="1:19" ht="16.5" customHeight="1" x14ac:dyDescent="0.3">
      <c r="A26" s="54"/>
      <c r="C26" s="20"/>
      <c r="D26" s="20"/>
      <c r="E26" s="20"/>
      <c r="F26" s="127"/>
      <c r="G26" s="127"/>
      <c r="H26" s="22"/>
      <c r="I26" s="22"/>
      <c r="J26" s="107">
        <f>SUM(J15:J25)</f>
        <v>331520.46448074142</v>
      </c>
      <c r="K26" s="107">
        <f>SUM(K15:K25)</f>
        <v>331520.46448074142</v>
      </c>
      <c r="L26" s="8" t="str">
        <f>IF(J26=K26,"&lt;- Debits and Credits equal each other.","&lt;- Debits and Credits do not equal each other.")</f>
        <v>&lt;- Debits and Credits equal each other.</v>
      </c>
    </row>
    <row r="27" spans="1:19" ht="16.5" customHeight="1" x14ac:dyDescent="0.3">
      <c r="A27" s="1"/>
      <c r="B27" s="130" t="s">
        <v>1638</v>
      </c>
      <c r="C27" s="23"/>
      <c r="D27" s="20"/>
      <c r="E27" s="20"/>
      <c r="F27" s="21"/>
      <c r="G27" s="21"/>
      <c r="H27" s="22"/>
      <c r="I27" s="22"/>
      <c r="J27" s="19"/>
      <c r="K27" s="19"/>
      <c r="L27" s="8"/>
    </row>
    <row r="28" spans="1:19" ht="16.2" customHeight="1" x14ac:dyDescent="0.35">
      <c r="A28" s="1"/>
      <c r="B28" s="166" t="s">
        <v>1649</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165</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ADJ)",VLOOKUP($F$9,'[4]Drop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55796.826424678402</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row>
    <row r="58" spans="1:16" ht="16.5" customHeight="1" x14ac:dyDescent="0.3">
      <c r="A58" s="54"/>
      <c r="B58" s="9"/>
      <c r="C58" s="9" t="s">
        <v>178</v>
      </c>
      <c r="D58" s="140"/>
      <c r="E58" s="140"/>
      <c r="F58" s="141"/>
      <c r="G58" s="141"/>
      <c r="H58" s="142"/>
      <c r="I58" s="142"/>
      <c r="J58" s="144"/>
      <c r="K58" s="143">
        <v>55796.826424678402</v>
      </c>
    </row>
    <row r="59" spans="1:16" ht="16.5" customHeight="1" x14ac:dyDescent="0.3">
      <c r="A59" s="54"/>
      <c r="C59" s="16"/>
      <c r="D59" s="16"/>
      <c r="E59" s="16"/>
      <c r="F59" s="17"/>
      <c r="G59" s="17"/>
      <c r="H59" s="18"/>
      <c r="I59" s="18"/>
      <c r="J59" s="107">
        <f>SUM(J55:J58)</f>
        <v>55796.826424678402</v>
      </c>
      <c r="K59" s="107">
        <f>SUM(K55:K58)</f>
        <v>55796.826424678402</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54319</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1757</v>
      </c>
      <c r="K63" s="147"/>
    </row>
    <row r="64" spans="1:16" ht="16.5" customHeight="1" x14ac:dyDescent="0.3">
      <c r="A64" s="54"/>
      <c r="B64" s="9"/>
      <c r="C64" s="9" t="str">
        <f>IF($F$7="Proprietary","Cr: Acct 0870 - SERVICES &amp; CHARGES (MG ADJ)",VLOOKUP($F$9,'[4]Drop Down Menus'!$F$2:$G$10,2,FALSE))</f>
        <v>Cr: Acct 0808 - GENERAL GOV. (GAAP ADJ)</v>
      </c>
      <c r="D64" s="140"/>
      <c r="E64" s="140"/>
      <c r="F64" s="141"/>
      <c r="G64" s="141"/>
      <c r="H64" s="142"/>
      <c r="I64" s="142"/>
      <c r="J64" s="147"/>
      <c r="K64" s="143">
        <v>56076</v>
      </c>
    </row>
    <row r="65" spans="1:12" ht="16.5" customHeight="1" x14ac:dyDescent="0.3">
      <c r="A65" s="54"/>
      <c r="C65" s="16"/>
      <c r="D65" s="16"/>
      <c r="E65" s="16"/>
      <c r="F65" s="17"/>
      <c r="G65" s="17"/>
      <c r="H65" s="18"/>
      <c r="I65" s="18"/>
      <c r="J65" s="107">
        <f>SUM(J62:J64)</f>
        <v>56076</v>
      </c>
      <c r="K65" s="107">
        <f>SUM(K62:K64)</f>
        <v>56076</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54319</v>
      </c>
      <c r="K68" s="144"/>
    </row>
    <row r="69" spans="1:12" ht="16.5" customHeight="1" x14ac:dyDescent="0.3">
      <c r="A69" s="54"/>
      <c r="B69" s="9"/>
      <c r="C69" s="9" t="s">
        <v>185</v>
      </c>
      <c r="D69" s="140"/>
      <c r="E69" s="140"/>
      <c r="F69" s="141"/>
      <c r="G69" s="141"/>
      <c r="H69" s="142"/>
      <c r="I69" s="142"/>
      <c r="J69" s="144"/>
      <c r="K69" s="143">
        <v>54319</v>
      </c>
    </row>
    <row r="70" spans="1:12" ht="16.5" customHeight="1" x14ac:dyDescent="0.3">
      <c r="A70" s="54"/>
      <c r="C70" s="16"/>
      <c r="D70" s="16"/>
      <c r="E70" s="16"/>
      <c r="F70" s="17"/>
      <c r="G70" s="17"/>
      <c r="H70" s="18"/>
      <c r="I70" s="18"/>
      <c r="J70" s="107">
        <f>SUM(J68:J69)</f>
        <v>54319</v>
      </c>
      <c r="K70" s="107">
        <f>SUM(K68:K69)</f>
        <v>54319</v>
      </c>
      <c r="L70" s="8"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56481</v>
      </c>
      <c r="K75" s="144"/>
    </row>
    <row r="76" spans="1:12" ht="16.5" customHeight="1" x14ac:dyDescent="0.3">
      <c r="A76" s="54"/>
      <c r="B76" s="9"/>
      <c r="C76" s="9" t="s">
        <v>193</v>
      </c>
      <c r="D76" s="140"/>
      <c r="E76" s="140"/>
      <c r="F76" s="141"/>
      <c r="G76" s="141"/>
      <c r="H76" s="142"/>
      <c r="I76" s="142"/>
      <c r="J76" s="144"/>
      <c r="K76" s="143">
        <v>56481</v>
      </c>
    </row>
    <row r="77" spans="1:12" ht="16.5" customHeight="1" x14ac:dyDescent="0.25">
      <c r="A77" s="54"/>
      <c r="B77" s="178" t="s">
        <v>1662</v>
      </c>
      <c r="C77" s="178"/>
      <c r="D77" s="178"/>
      <c r="E77" s="178"/>
      <c r="F77" s="178"/>
      <c r="G77" s="178"/>
      <c r="H77" s="178"/>
      <c r="I77" s="178"/>
      <c r="J77" s="107">
        <f>SUM(J75:J76)</f>
        <v>56481</v>
      </c>
      <c r="K77" s="107">
        <f>SUM(K75:K76)</f>
        <v>56481</v>
      </c>
      <c r="L77" s="8"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row>
    <row r="91" spans="1:16" ht="16.5" customHeight="1" x14ac:dyDescent="0.3">
      <c r="B91" s="130" t="s">
        <v>1640</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ADJ)",VLOOKUP($F$9,'[4]Drop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ADJ)",VLOOKUP($F$9,'[4]Drop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325481.46448074142</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-167390.82642467841</v>
      </c>
    </row>
    <row r="128" spans="1:12" ht="16.5" customHeight="1" x14ac:dyDescent="0.3">
      <c r="D128" s="140" t="s">
        <v>1656</v>
      </c>
      <c r="H128" s="10"/>
      <c r="K128" s="169">
        <f>-K23-K48+J68+J75+J96-K113</f>
        <v>-109126</v>
      </c>
    </row>
    <row r="129" spans="4:11" ht="16.5" customHeight="1" x14ac:dyDescent="0.3">
      <c r="D129" s="140" t="s">
        <v>1657</v>
      </c>
      <c r="H129" s="10"/>
      <c r="K129" s="169">
        <f>-K76</f>
        <v>-56481</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21A8994A-6966-4191-8794-EDFDD2F0EDBE}"/>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684FF55-7E4D-417F-BF27-28D8DAD128DE}">
      <formula1>0</formula1>
    </dataValidation>
    <dataValidation type="textLength" operator="equal" allowBlank="1" showInputMessage="1" showErrorMessage="1" errorTitle="4-Digit Org Code" error="Enter the Org Code/BU as 4 digits." sqref="F5" xr:uid="{8241A7F0-3316-41D9-8C70-D6083871BF9C}">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9F4D6-5A48-4101-B6A6-BAB157878EE6}">
  <sheetPr codeName="Sheet23">
    <tabColor theme="9" tint="0.59999389629810485"/>
    <pageSetUpPr fitToPage="1"/>
  </sheetPr>
  <dimension ref="A1:S193"/>
  <sheetViews>
    <sheetView topLeftCell="A4" zoomScale="70" zoomScaleNormal="70" workbookViewId="0">
      <selection activeCell="N29" sqref="N29"/>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9" t="s">
        <v>1629</v>
      </c>
      <c r="B1" s="179"/>
      <c r="C1" s="179"/>
      <c r="D1" s="179"/>
      <c r="E1" s="179"/>
      <c r="F1" s="179"/>
      <c r="G1" s="179"/>
      <c r="H1" s="179"/>
      <c r="I1" s="179"/>
      <c r="J1" s="179"/>
      <c r="K1" s="17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5" t="s">
        <v>10</v>
      </c>
      <c r="B3" s="175"/>
      <c r="C3" s="175"/>
      <c r="D3" s="175"/>
      <c r="E3" s="175"/>
      <c r="F3" s="180" t="s">
        <v>21</v>
      </c>
      <c r="G3" s="180"/>
      <c r="H3" s="180"/>
      <c r="I3" s="180"/>
    </row>
    <row r="4" spans="1:19" ht="16.5" customHeight="1" x14ac:dyDescent="0.25">
      <c r="A4" s="175" t="s">
        <v>191</v>
      </c>
      <c r="B4" s="175"/>
      <c r="C4" s="175"/>
      <c r="D4" s="175"/>
      <c r="E4" s="175"/>
      <c r="F4" s="181" t="s">
        <v>1676</v>
      </c>
      <c r="G4" s="181"/>
      <c r="H4" s="181"/>
      <c r="I4" s="181"/>
    </row>
    <row r="5" spans="1:19" ht="16.5" customHeight="1" x14ac:dyDescent="0.25">
      <c r="A5" s="175" t="s">
        <v>1615</v>
      </c>
      <c r="B5" s="175"/>
      <c r="C5" s="175"/>
      <c r="D5" s="175"/>
      <c r="E5" s="175"/>
      <c r="F5" s="181" t="s">
        <v>316</v>
      </c>
      <c r="G5" s="181"/>
      <c r="H5" s="181"/>
      <c r="I5" s="181"/>
      <c r="L5" s="12"/>
      <c r="M5" s="12"/>
      <c r="N5" s="12"/>
      <c r="O5" s="12"/>
      <c r="P5" s="12"/>
      <c r="Q5" s="12"/>
    </row>
    <row r="6" spans="1:19" ht="16.5" customHeight="1" x14ac:dyDescent="0.3">
      <c r="A6" s="175" t="s">
        <v>1634</v>
      </c>
      <c r="B6" s="175"/>
      <c r="C6" s="175"/>
      <c r="D6" s="175"/>
      <c r="E6" s="175"/>
      <c r="F6" s="182">
        <v>3086</v>
      </c>
      <c r="G6" s="182"/>
      <c r="H6" s="182"/>
      <c r="I6" s="182"/>
      <c r="L6" s="13"/>
      <c r="M6" s="13"/>
      <c r="N6" s="13"/>
      <c r="O6" s="13"/>
      <c r="P6" s="12"/>
      <c r="Q6" s="12"/>
    </row>
    <row r="7" spans="1:19" ht="16.5" customHeight="1" x14ac:dyDescent="0.3">
      <c r="A7" s="175" t="s">
        <v>1</v>
      </c>
      <c r="B7" s="175"/>
      <c r="C7" s="175"/>
      <c r="D7" s="175"/>
      <c r="E7" s="175"/>
      <c r="F7" s="182" t="s">
        <v>120</v>
      </c>
      <c r="G7" s="182"/>
      <c r="H7" s="182"/>
      <c r="I7" s="182"/>
      <c r="K7" s="53"/>
      <c r="L7" s="13"/>
      <c r="M7" s="13"/>
      <c r="N7" s="13"/>
      <c r="O7" s="13"/>
      <c r="P7" s="12"/>
      <c r="Q7" s="12"/>
    </row>
    <row r="8" spans="1:19" ht="16.5" customHeight="1" x14ac:dyDescent="0.3">
      <c r="A8" s="175" t="s">
        <v>1616</v>
      </c>
      <c r="B8" s="175"/>
      <c r="C8" s="175"/>
      <c r="D8" s="175"/>
      <c r="E8" s="175"/>
      <c r="F8" s="182" t="s">
        <v>154</v>
      </c>
      <c r="G8" s="182"/>
      <c r="H8" s="182"/>
      <c r="I8" s="182"/>
      <c r="K8" s="53"/>
      <c r="L8" s="13"/>
      <c r="M8" s="13"/>
      <c r="N8" s="13"/>
      <c r="O8" s="13"/>
      <c r="P8" s="12"/>
      <c r="Q8" s="12"/>
    </row>
    <row r="9" spans="1:19" ht="16.5" customHeight="1" x14ac:dyDescent="0.3">
      <c r="A9" s="175" t="s">
        <v>1614</v>
      </c>
      <c r="B9" s="175"/>
      <c r="C9" s="175"/>
      <c r="D9" s="175"/>
      <c r="E9" s="175"/>
      <c r="F9" s="183" t="str">
        <f>IFERROR(IF(F7="Proprietary","Proprietary Fund",VLOOKUP(F5,[5]qryIndex02a!$A$2:$K$654,4,FALSE)),"Unidentified")</f>
        <v>GENERAL GOVERNMENT</v>
      </c>
      <c r="G9" s="183"/>
      <c r="H9" s="183"/>
      <c r="I9" s="18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164</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19" ht="16.5" customHeight="1" x14ac:dyDescent="0.3">
      <c r="A15" s="159" t="s">
        <v>1637</v>
      </c>
      <c r="B15" s="9" t="s">
        <v>170</v>
      </c>
      <c r="C15" s="9"/>
      <c r="D15" s="9"/>
      <c r="E15" s="140"/>
      <c r="F15" s="141"/>
      <c r="G15" s="141"/>
      <c r="H15" s="142"/>
      <c r="I15" s="142"/>
      <c r="J15" s="171">
        <f>M15</f>
        <v>0</v>
      </c>
      <c r="M15" s="143"/>
      <c r="P15" s="143"/>
      <c r="Q15" s="155"/>
      <c r="S15" s="154">
        <f t="shared" ref="S15:S20" si="0">P15-M15</f>
        <v>0</v>
      </c>
    </row>
    <row r="16" spans="1:19" ht="16.5" customHeight="1" x14ac:dyDescent="0.3">
      <c r="A16" s="159" t="s">
        <v>1637</v>
      </c>
      <c r="B16" s="9" t="s">
        <v>171</v>
      </c>
      <c r="C16" s="9"/>
      <c r="D16" s="9"/>
      <c r="E16" s="140"/>
      <c r="F16" s="141"/>
      <c r="G16" s="141"/>
      <c r="H16" s="142"/>
      <c r="I16" s="142"/>
      <c r="J16" s="171">
        <f>M16</f>
        <v>302775.046524</v>
      </c>
      <c r="M16" s="143">
        <v>302775.046524</v>
      </c>
      <c r="P16" s="143">
        <v>302775</v>
      </c>
      <c r="Q16" s="155"/>
      <c r="S16" s="154">
        <f t="shared" si="0"/>
        <v>-4.6524000004865229E-2</v>
      </c>
    </row>
    <row r="17" spans="1:19" ht="16.5" customHeight="1" x14ac:dyDescent="0.3">
      <c r="A17" s="159" t="s">
        <v>1637</v>
      </c>
      <c r="B17" s="9" t="s">
        <v>172</v>
      </c>
      <c r="C17" s="9"/>
      <c r="D17" s="9"/>
      <c r="E17" s="140"/>
      <c r="F17" s="141"/>
      <c r="G17" s="141"/>
      <c r="H17" s="142"/>
      <c r="I17" s="142"/>
      <c r="J17" s="171">
        <f>M17</f>
        <v>17491705</v>
      </c>
      <c r="M17" s="143">
        <v>17491705</v>
      </c>
      <c r="P17" s="143">
        <v>17491705</v>
      </c>
      <c r="Q17" s="155"/>
      <c r="S17" s="154">
        <f t="shared" si="0"/>
        <v>0</v>
      </c>
    </row>
    <row r="18" spans="1:19" ht="16.5" customHeight="1" x14ac:dyDescent="0.3">
      <c r="A18" s="54"/>
      <c r="B18" s="9" t="s">
        <v>168</v>
      </c>
      <c r="C18" s="9"/>
      <c r="D18" s="9"/>
      <c r="E18" s="140"/>
      <c r="F18" s="141"/>
      <c r="G18" s="141"/>
      <c r="H18" s="142"/>
      <c r="I18" s="142"/>
      <c r="J18" s="171">
        <f>P18</f>
        <v>196344</v>
      </c>
      <c r="M18" s="143">
        <v>196344</v>
      </c>
      <c r="P18" s="152">
        <f>IF(SUM($Q$20:$Q$23)&gt;SUM($P$15:$P$17),SUM($Q$20:$Q$23)-SUM($P$15:$P$17),0)</f>
        <v>196344</v>
      </c>
      <c r="Q18" s="155"/>
      <c r="S18" s="154">
        <f t="shared" si="0"/>
        <v>0</v>
      </c>
    </row>
    <row r="19" spans="1:19"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row>
    <row r="20" spans="1:19" ht="16.5" customHeight="1" x14ac:dyDescent="0.3">
      <c r="A20" s="54"/>
      <c r="B20" s="9"/>
      <c r="C20" s="9" t="s">
        <v>177</v>
      </c>
      <c r="D20" s="9"/>
      <c r="E20" s="140"/>
      <c r="F20" s="141"/>
      <c r="G20" s="141"/>
      <c r="H20" s="142"/>
      <c r="I20" s="142"/>
      <c r="J20" s="150"/>
      <c r="K20" s="171">
        <f>N20</f>
        <v>0</v>
      </c>
      <c r="N20" s="143"/>
      <c r="P20" s="155"/>
      <c r="Q20" s="143"/>
      <c r="S20" s="154">
        <f t="shared" si="0"/>
        <v>0</v>
      </c>
    </row>
    <row r="21" spans="1:19" ht="16.5" customHeight="1" x14ac:dyDescent="0.3">
      <c r="A21" s="54"/>
      <c r="B21" s="9"/>
      <c r="C21" s="9" t="s">
        <v>174</v>
      </c>
      <c r="D21" s="9"/>
      <c r="E21" s="140"/>
      <c r="F21" s="141"/>
      <c r="G21" s="141"/>
      <c r="H21" s="142"/>
      <c r="I21" s="142"/>
      <c r="J21" s="150"/>
      <c r="K21" s="171">
        <f>N21</f>
        <v>121110</v>
      </c>
      <c r="N21" s="143">
        <v>121110</v>
      </c>
      <c r="P21" s="155"/>
      <c r="Q21" s="143">
        <v>121112</v>
      </c>
      <c r="S21" s="154">
        <f>Q21-N21</f>
        <v>2</v>
      </c>
    </row>
    <row r="22" spans="1:19" ht="16.5" customHeight="1" x14ac:dyDescent="0.3">
      <c r="A22" s="54"/>
      <c r="B22" s="9"/>
      <c r="C22" s="9" t="s">
        <v>178</v>
      </c>
      <c r="D22" s="9"/>
      <c r="E22" s="140"/>
      <c r="F22" s="141"/>
      <c r="G22" s="141"/>
      <c r="H22" s="142"/>
      <c r="I22" s="142"/>
      <c r="J22" s="150"/>
      <c r="K22" s="171">
        <f>N22</f>
        <v>12385383</v>
      </c>
      <c r="N22" s="143">
        <v>12385383</v>
      </c>
      <c r="P22" s="155"/>
      <c r="Q22" s="143">
        <v>12385381</v>
      </c>
      <c r="S22" s="154">
        <f t="shared" ref="S22:S25" si="1">Q22-N22</f>
        <v>-2</v>
      </c>
    </row>
    <row r="23" spans="1:19" ht="16.5" customHeight="1" x14ac:dyDescent="0.3">
      <c r="A23" s="165" t="s">
        <v>1645</v>
      </c>
      <c r="B23" s="9"/>
      <c r="C23" s="9" t="s">
        <v>173</v>
      </c>
      <c r="D23" s="9"/>
      <c r="E23" s="140"/>
      <c r="F23" s="141"/>
      <c r="G23" s="141"/>
      <c r="H23" s="142"/>
      <c r="I23" s="142"/>
      <c r="J23" s="150"/>
      <c r="K23" s="171">
        <f>N23</f>
        <v>5484330</v>
      </c>
      <c r="N23" s="143">
        <v>5484330</v>
      </c>
      <c r="P23" s="155"/>
      <c r="Q23" s="143">
        <v>5484331</v>
      </c>
      <c r="S23" s="154">
        <f t="shared" si="1"/>
        <v>1</v>
      </c>
    </row>
    <row r="24" spans="1:19" ht="16.5" customHeight="1" x14ac:dyDescent="0.3">
      <c r="A24" s="54"/>
      <c r="B24" s="9"/>
      <c r="C24" s="9" t="s">
        <v>175</v>
      </c>
      <c r="D24" s="9"/>
      <c r="E24" s="140"/>
      <c r="F24" s="141"/>
      <c r="G24" s="141"/>
      <c r="H24" s="142"/>
      <c r="I24" s="142"/>
      <c r="J24" s="150"/>
      <c r="K24" s="171">
        <f>Q24</f>
        <v>0</v>
      </c>
      <c r="N24" s="143"/>
      <c r="P24" s="155"/>
      <c r="Q24" s="152">
        <f>IF(SUM($Q$20:$Q$23)&lt;SUM($P$15:$P$17),-SUM($Q$20:$Q$23)+SUM($P$15:$P$17),0)</f>
        <v>0</v>
      </c>
      <c r="S24" s="154">
        <f t="shared" si="1"/>
        <v>0</v>
      </c>
    </row>
    <row r="25" spans="1:19" ht="16.5" customHeight="1" x14ac:dyDescent="0.3">
      <c r="A25" s="54"/>
      <c r="B25" s="9"/>
      <c r="C25" s="9" t="s">
        <v>176</v>
      </c>
      <c r="D25" s="9"/>
      <c r="E25" s="140"/>
      <c r="F25" s="141"/>
      <c r="G25" s="141"/>
      <c r="H25" s="142"/>
      <c r="I25" s="142"/>
      <c r="J25" s="150"/>
      <c r="K25" s="171">
        <f>IF(SUM($K$20:$K$24)&lt;SUM($J$15:$J$18),-SUM($K$20:$K$24)+SUM($J$15:$J$18),0)</f>
        <v>1.0465239994227886</v>
      </c>
      <c r="N25" s="143"/>
      <c r="P25" s="155"/>
      <c r="Q25" s="155"/>
      <c r="S25" s="154">
        <f t="shared" si="1"/>
        <v>0</v>
      </c>
    </row>
    <row r="26" spans="1:19" ht="16.5" customHeight="1" x14ac:dyDescent="0.3">
      <c r="A26" s="54"/>
      <c r="C26" s="20"/>
      <c r="D26" s="20"/>
      <c r="E26" s="20"/>
      <c r="F26" s="127"/>
      <c r="G26" s="127"/>
      <c r="H26" s="22"/>
      <c r="I26" s="22"/>
      <c r="J26" s="107">
        <f>SUM(J15:J25)</f>
        <v>17990824.046523999</v>
      </c>
      <c r="K26" s="107">
        <f>SUM(K15:K25)</f>
        <v>17990824.046523999</v>
      </c>
      <c r="L26" s="8" t="str">
        <f>IF(J26=K26,"&lt;- Debits and Credits equal each other.","&lt;- Debits and Credits do not equal each other.")</f>
        <v>&lt;- Debits and Credits equal each other.</v>
      </c>
    </row>
    <row r="27" spans="1:19" ht="16.5" customHeight="1" x14ac:dyDescent="0.3">
      <c r="A27" s="1"/>
      <c r="B27" s="130" t="s">
        <v>1638</v>
      </c>
      <c r="C27" s="23"/>
      <c r="D27" s="20"/>
      <c r="E27" s="20"/>
      <c r="F27" s="21"/>
      <c r="G27" s="21"/>
      <c r="H27" s="22"/>
      <c r="I27" s="22"/>
      <c r="J27" s="19"/>
      <c r="K27" s="19"/>
      <c r="L27" s="8"/>
    </row>
    <row r="28" spans="1:19" ht="16.2" customHeight="1" x14ac:dyDescent="0.35">
      <c r="A28" s="1"/>
      <c r="B28" s="166" t="s">
        <v>1649</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165</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ADJ)",VLOOKUP($F$9,'[5]Drop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5017466.8575852029</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v>60555.503034900001</v>
      </c>
    </row>
    <row r="58" spans="1:16" ht="16.5" customHeight="1" x14ac:dyDescent="0.3">
      <c r="A58" s="54"/>
      <c r="B58" s="9"/>
      <c r="C58" s="9" t="s">
        <v>178</v>
      </c>
      <c r="D58" s="140"/>
      <c r="E58" s="140"/>
      <c r="F58" s="141"/>
      <c r="G58" s="141"/>
      <c r="H58" s="142"/>
      <c r="I58" s="142"/>
      <c r="J58" s="144"/>
      <c r="K58" s="143">
        <v>4956911.354550303</v>
      </c>
    </row>
    <row r="59" spans="1:16" ht="16.5" customHeight="1" x14ac:dyDescent="0.3">
      <c r="A59" s="54"/>
      <c r="C59" s="16"/>
      <c r="D59" s="16"/>
      <c r="E59" s="16"/>
      <c r="F59" s="17"/>
      <c r="G59" s="17"/>
      <c r="H59" s="18"/>
      <c r="I59" s="18"/>
      <c r="J59" s="107">
        <f>SUM(J55:J58)</f>
        <v>5017466.8575852029</v>
      </c>
      <c r="K59" s="107">
        <f>SUM(K55:K58)</f>
        <v>5017466.8575852029</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3227045</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1685615</v>
      </c>
      <c r="K63" s="147"/>
    </row>
    <row r="64" spans="1:16" ht="16.5" customHeight="1" x14ac:dyDescent="0.3">
      <c r="A64" s="54"/>
      <c r="B64" s="9"/>
      <c r="C64" s="9" t="str">
        <f>IF($F$7="Proprietary","Cr: Acct 0870 - SERVICES &amp; CHARGES (MG ADJ)",VLOOKUP($F$9,'[5]Drop Down Menus'!$F$2:$G$10,2,FALSE))</f>
        <v>Cr: Acct 0808 - GENERAL GOV. (GAAP ADJ)</v>
      </c>
      <c r="D64" s="140"/>
      <c r="E64" s="140"/>
      <c r="F64" s="141"/>
      <c r="G64" s="141"/>
      <c r="H64" s="142"/>
      <c r="I64" s="142"/>
      <c r="J64" s="147"/>
      <c r="K64" s="143">
        <v>4912660</v>
      </c>
    </row>
    <row r="65" spans="1:12" ht="16.5" customHeight="1" x14ac:dyDescent="0.3">
      <c r="A65" s="54"/>
      <c r="C65" s="16"/>
      <c r="D65" s="16"/>
      <c r="E65" s="16"/>
      <c r="F65" s="17"/>
      <c r="G65" s="17"/>
      <c r="H65" s="18"/>
      <c r="I65" s="18"/>
      <c r="J65" s="107">
        <f>SUM(J62:J64)</f>
        <v>4912660</v>
      </c>
      <c r="K65" s="107">
        <f>SUM(K62:K64)</f>
        <v>4912660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3227045</v>
      </c>
      <c r="K68" s="144"/>
    </row>
    <row r="69" spans="1:12" ht="16.5" customHeight="1" x14ac:dyDescent="0.3">
      <c r="A69" s="54"/>
      <c r="B69" s="9"/>
      <c r="C69" s="9" t="s">
        <v>185</v>
      </c>
      <c r="D69" s="140"/>
      <c r="E69" s="140"/>
      <c r="F69" s="141"/>
      <c r="G69" s="141"/>
      <c r="H69" s="142"/>
      <c r="I69" s="142"/>
      <c r="J69" s="144"/>
      <c r="K69" s="143">
        <v>3227045</v>
      </c>
    </row>
    <row r="70" spans="1:12" ht="16.5" customHeight="1" x14ac:dyDescent="0.3">
      <c r="A70" s="54"/>
      <c r="C70" s="16"/>
      <c r="D70" s="16"/>
      <c r="E70" s="16"/>
      <c r="F70" s="17"/>
      <c r="G70" s="17"/>
      <c r="H70" s="18"/>
      <c r="I70" s="18"/>
      <c r="J70" s="107">
        <f>SUM(J68:J69)</f>
        <v>3227045</v>
      </c>
      <c r="K70" s="107">
        <f>SUM(K68:K69)</f>
        <v>3227045</v>
      </c>
      <c r="L70" s="8"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3523843</v>
      </c>
      <c r="K75" s="144"/>
    </row>
    <row r="76" spans="1:12" ht="16.5" customHeight="1" x14ac:dyDescent="0.3">
      <c r="A76" s="54"/>
      <c r="B76" s="9"/>
      <c r="C76" s="9" t="s">
        <v>193</v>
      </c>
      <c r="D76" s="140"/>
      <c r="E76" s="140"/>
      <c r="F76" s="141"/>
      <c r="G76" s="141"/>
      <c r="H76" s="142"/>
      <c r="I76" s="142"/>
      <c r="J76" s="144"/>
      <c r="K76" s="143">
        <v>3523843</v>
      </c>
    </row>
    <row r="77" spans="1:12" ht="16.5" customHeight="1" x14ac:dyDescent="0.25">
      <c r="A77" s="54"/>
      <c r="B77" s="178" t="s">
        <v>1662</v>
      </c>
      <c r="C77" s="178"/>
      <c r="D77" s="178"/>
      <c r="E77" s="178"/>
      <c r="F77" s="178"/>
      <c r="G77" s="178"/>
      <c r="H77" s="178"/>
      <c r="I77" s="178"/>
      <c r="J77" s="107">
        <f>SUM(J75:J76)</f>
        <v>3523843</v>
      </c>
      <c r="K77" s="107">
        <f>SUM(K75:K76)</f>
        <v>3523843</v>
      </c>
      <c r="L77" s="8"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v>25308</v>
      </c>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v>25308</v>
      </c>
    </row>
    <row r="91" spans="1:16" ht="16.5" customHeight="1" x14ac:dyDescent="0.3">
      <c r="B91" s="130" t="s">
        <v>1640</v>
      </c>
      <c r="H91" s="10"/>
      <c r="J91" s="108">
        <f>SUM(J85:J90)</f>
        <v>25308</v>
      </c>
      <c r="K91" s="108">
        <f>SUM(K85:K90)</f>
        <v>25308</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ADJ)",VLOOKUP($F$9,'[5]Drop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ADJ)",VLOOKUP($F$9,'[5]Drop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v>47917951.863210954</v>
      </c>
      <c r="K112" s="25"/>
    </row>
    <row r="113" spans="1:12" ht="16.5" customHeight="1" x14ac:dyDescent="0.25">
      <c r="A113" s="165" t="s">
        <v>1645</v>
      </c>
      <c r="B113" s="9"/>
      <c r="C113" s="9" t="s">
        <v>173</v>
      </c>
      <c r="D113" s="7"/>
      <c r="E113" s="25"/>
      <c r="F113" s="25"/>
      <c r="G113" s="25"/>
      <c r="H113" s="25"/>
      <c r="I113" s="25"/>
      <c r="J113" s="25"/>
      <c r="K113" s="143">
        <v>47917951.863210954</v>
      </c>
    </row>
    <row r="114" spans="1:12" ht="16.5" customHeight="1" x14ac:dyDescent="0.3">
      <c r="A114" s="6"/>
      <c r="B114" s="130" t="s">
        <v>1639</v>
      </c>
      <c r="C114" s="114"/>
      <c r="D114" s="114"/>
      <c r="H114" s="10"/>
      <c r="J114" s="108">
        <f>SUM(J110:J113)</f>
        <v>47917951.863210954</v>
      </c>
      <c r="K114" s="108">
        <f>SUM(K110:K113)</f>
        <v>47917951.863210954</v>
      </c>
      <c r="L114" s="8"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302775.046524</v>
      </c>
    </row>
    <row r="124" spans="1:12" ht="16.5" customHeight="1" x14ac:dyDescent="0.3">
      <c r="D124" s="140" t="s">
        <v>1652</v>
      </c>
      <c r="H124" s="10"/>
      <c r="K124" s="169">
        <f>J17+J41-K90-K103+J112</f>
        <v>65384348.863210954</v>
      </c>
    </row>
    <row r="125" spans="1:12" ht="16.5" customHeight="1" x14ac:dyDescent="0.3">
      <c r="D125" s="140" t="s">
        <v>1653</v>
      </c>
      <c r="H125" s="10"/>
      <c r="K125" s="169">
        <f>-K20-K56+J85+J97</f>
        <v>0</v>
      </c>
    </row>
    <row r="126" spans="1:12" ht="16.5" customHeight="1" x14ac:dyDescent="0.3">
      <c r="D126" s="140" t="s">
        <v>1654</v>
      </c>
      <c r="H126" s="10"/>
      <c r="K126" s="169">
        <f>-K21-K57+J86+J98</f>
        <v>-181665.5030349</v>
      </c>
    </row>
    <row r="127" spans="1:12" ht="16.5" customHeight="1" x14ac:dyDescent="0.3">
      <c r="D127" s="140" t="s">
        <v>1655</v>
      </c>
      <c r="H127" s="10"/>
      <c r="K127" s="169">
        <f>-K22-K58+J87+J99</f>
        <v>-17316986.354550302</v>
      </c>
    </row>
    <row r="128" spans="1:12" ht="16.5" customHeight="1" x14ac:dyDescent="0.3">
      <c r="D128" s="140" t="s">
        <v>1656</v>
      </c>
      <c r="H128" s="10"/>
      <c r="K128" s="169">
        <f>-K23-K48+J68+J75+J96-K113</f>
        <v>-46651393.863210954</v>
      </c>
    </row>
    <row r="129" spans="4:11" ht="16.5" customHeight="1" x14ac:dyDescent="0.3">
      <c r="D129" s="140" t="s">
        <v>1657</v>
      </c>
      <c r="H129" s="10"/>
      <c r="K129" s="169">
        <f>-K76</f>
        <v>-3523843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9D28D50B-4C2C-49D6-97FD-1B65D5CF9B26}"/>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8FDE6F9-2F88-4B70-A390-1BC1797E18F6}">
      <formula1>0</formula1>
    </dataValidation>
    <dataValidation type="textLength" operator="equal" allowBlank="1" showInputMessage="1" showErrorMessage="1" errorTitle="4-Digit Org Code" error="Enter the Org Code/BU as 4 digits." sqref="F5" xr:uid="{BB0F2AB0-01DA-4B22-971F-4D56AA683664}">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BE98B-8913-46E8-9228-158DA088578C}">
  <sheetPr codeName="Sheet24">
    <tabColor theme="9" tint="0.59999389629810485"/>
    <pageSetUpPr fitToPage="1"/>
  </sheetPr>
  <dimension ref="A1:S193"/>
  <sheetViews>
    <sheetView topLeftCell="A7" zoomScale="70" zoomScaleNormal="70" workbookViewId="0">
      <selection activeCell="N115" sqref="N11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9" t="s">
        <v>1629</v>
      </c>
      <c r="B1" s="179"/>
      <c r="C1" s="179"/>
      <c r="D1" s="179"/>
      <c r="E1" s="179"/>
      <c r="F1" s="179"/>
      <c r="G1" s="179"/>
      <c r="H1" s="179"/>
      <c r="I1" s="179"/>
      <c r="J1" s="179"/>
      <c r="K1" s="17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5" t="s">
        <v>10</v>
      </c>
      <c r="B3" s="175"/>
      <c r="C3" s="175"/>
      <c r="D3" s="175"/>
      <c r="E3" s="175"/>
      <c r="F3" s="180" t="s">
        <v>21</v>
      </c>
      <c r="G3" s="180"/>
      <c r="H3" s="180"/>
      <c r="I3" s="180"/>
    </row>
    <row r="4" spans="1:19" ht="16.5" customHeight="1" x14ac:dyDescent="0.25">
      <c r="A4" s="175" t="s">
        <v>191</v>
      </c>
      <c r="B4" s="175"/>
      <c r="C4" s="175"/>
      <c r="D4" s="175"/>
      <c r="E4" s="175"/>
      <c r="F4" s="181" t="s">
        <v>1676</v>
      </c>
      <c r="G4" s="181"/>
      <c r="H4" s="181"/>
      <c r="I4" s="181"/>
    </row>
    <row r="5" spans="1:19" ht="16.5" customHeight="1" x14ac:dyDescent="0.25">
      <c r="A5" s="175" t="s">
        <v>1615</v>
      </c>
      <c r="B5" s="175"/>
      <c r="C5" s="175"/>
      <c r="D5" s="175"/>
      <c r="E5" s="175"/>
      <c r="F5" s="181" t="s">
        <v>316</v>
      </c>
      <c r="G5" s="181"/>
      <c r="H5" s="181"/>
      <c r="I5" s="181"/>
      <c r="L5" s="12"/>
      <c r="M5" s="12"/>
      <c r="N5" s="12"/>
      <c r="O5" s="12"/>
      <c r="P5" s="12"/>
      <c r="Q5" s="12"/>
    </row>
    <row r="6" spans="1:19" ht="16.5" customHeight="1" x14ac:dyDescent="0.3">
      <c r="A6" s="175" t="s">
        <v>1634</v>
      </c>
      <c r="B6" s="175"/>
      <c r="C6" s="175"/>
      <c r="D6" s="175"/>
      <c r="E6" s="175"/>
      <c r="F6" s="182">
        <v>3087</v>
      </c>
      <c r="G6" s="182"/>
      <c r="H6" s="182"/>
      <c r="I6" s="182"/>
      <c r="L6" s="13"/>
      <c r="M6" s="13"/>
      <c r="N6" s="13"/>
      <c r="O6" s="13"/>
      <c r="P6" s="12"/>
      <c r="Q6" s="12"/>
    </row>
    <row r="7" spans="1:19" ht="16.5" customHeight="1" x14ac:dyDescent="0.3">
      <c r="A7" s="175" t="s">
        <v>1</v>
      </c>
      <c r="B7" s="175"/>
      <c r="C7" s="175"/>
      <c r="D7" s="175"/>
      <c r="E7" s="175"/>
      <c r="F7" s="182" t="s">
        <v>120</v>
      </c>
      <c r="G7" s="182"/>
      <c r="H7" s="182"/>
      <c r="I7" s="182"/>
      <c r="K7" s="53"/>
      <c r="L7" s="13"/>
      <c r="M7" s="13"/>
      <c r="N7" s="13"/>
      <c r="O7" s="13"/>
      <c r="P7" s="12"/>
      <c r="Q7" s="12"/>
    </row>
    <row r="8" spans="1:19" ht="16.5" customHeight="1" x14ac:dyDescent="0.3">
      <c r="A8" s="175" t="s">
        <v>1616</v>
      </c>
      <c r="B8" s="175"/>
      <c r="C8" s="175"/>
      <c r="D8" s="175"/>
      <c r="E8" s="175"/>
      <c r="F8" s="182" t="s">
        <v>154</v>
      </c>
      <c r="G8" s="182"/>
      <c r="H8" s="182"/>
      <c r="I8" s="182"/>
      <c r="K8" s="53"/>
      <c r="L8" s="13"/>
      <c r="M8" s="13"/>
      <c r="N8" s="13"/>
      <c r="O8" s="13"/>
      <c r="P8" s="12"/>
      <c r="Q8" s="12"/>
    </row>
    <row r="9" spans="1:19" ht="16.5" customHeight="1" x14ac:dyDescent="0.3">
      <c r="A9" s="175" t="s">
        <v>1614</v>
      </c>
      <c r="B9" s="175"/>
      <c r="C9" s="175"/>
      <c r="D9" s="175"/>
      <c r="E9" s="175"/>
      <c r="F9" s="183" t="str">
        <f>IFERROR(IF(F7="Proprietary","Proprietary Fund",VLOOKUP(F5,[6]qryIndex02a!$A$2:$K$654,4,FALSE)),"Unidentified")</f>
        <v>GENERAL GOVERNMENT</v>
      </c>
      <c r="G9" s="183"/>
      <c r="H9" s="183"/>
      <c r="I9" s="18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164</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19" ht="16.5" customHeight="1" x14ac:dyDescent="0.3">
      <c r="A15" s="159" t="s">
        <v>1637</v>
      </c>
      <c r="B15" s="9" t="s">
        <v>170</v>
      </c>
      <c r="C15" s="9"/>
      <c r="D15" s="9"/>
      <c r="E15" s="140"/>
      <c r="F15" s="141"/>
      <c r="G15" s="141"/>
      <c r="H15" s="142"/>
      <c r="I15" s="142"/>
      <c r="J15" s="171">
        <f>M15</f>
        <v>0</v>
      </c>
      <c r="M15" s="143"/>
      <c r="P15" s="143"/>
      <c r="Q15" s="155"/>
      <c r="S15" s="154">
        <f t="shared" ref="S15:S20" si="0">P15-M15</f>
        <v>0</v>
      </c>
    </row>
    <row r="16" spans="1:19" ht="16.5" customHeight="1" x14ac:dyDescent="0.3">
      <c r="A16" s="159" t="s">
        <v>1637</v>
      </c>
      <c r="B16" s="9" t="s">
        <v>171</v>
      </c>
      <c r="C16" s="9"/>
      <c r="D16" s="9"/>
      <c r="E16" s="140"/>
      <c r="F16" s="141"/>
      <c r="G16" s="141"/>
      <c r="H16" s="142"/>
      <c r="I16" s="142"/>
      <c r="J16" s="171">
        <f>M16</f>
        <v>0</v>
      </c>
      <c r="M16" s="143"/>
      <c r="P16" s="143"/>
      <c r="Q16" s="155"/>
      <c r="S16" s="154">
        <f t="shared" si="0"/>
        <v>0</v>
      </c>
    </row>
    <row r="17" spans="1:19" ht="16.5" customHeight="1" x14ac:dyDescent="0.3">
      <c r="A17" s="159" t="s">
        <v>1637</v>
      </c>
      <c r="B17" s="9" t="s">
        <v>172</v>
      </c>
      <c r="C17" s="9"/>
      <c r="D17" s="9"/>
      <c r="E17" s="140"/>
      <c r="F17" s="141"/>
      <c r="G17" s="141"/>
      <c r="H17" s="142"/>
      <c r="I17" s="142"/>
      <c r="J17" s="171">
        <f>M17</f>
        <v>969960.08029338368</v>
      </c>
      <c r="M17" s="143">
        <v>969960.08029338368</v>
      </c>
      <c r="P17" s="143">
        <v>969960</v>
      </c>
      <c r="Q17" s="155"/>
      <c r="S17" s="154">
        <f t="shared" si="0"/>
        <v>-8.0293383682146668E-2</v>
      </c>
    </row>
    <row r="18" spans="1:19" ht="16.5" customHeight="1" x14ac:dyDescent="0.3">
      <c r="A18" s="54"/>
      <c r="B18" s="9" t="s">
        <v>168</v>
      </c>
      <c r="C18" s="9"/>
      <c r="D18" s="9"/>
      <c r="E18" s="140"/>
      <c r="F18" s="141"/>
      <c r="G18" s="141"/>
      <c r="H18" s="142"/>
      <c r="I18" s="142"/>
      <c r="J18" s="171">
        <f>P18</f>
        <v>17994</v>
      </c>
      <c r="M18" s="143">
        <v>17994</v>
      </c>
      <c r="P18" s="152">
        <f>IF(SUM($Q$20:$Q$23)&gt;SUM($P$15:$P$17),SUM($Q$20:$Q$23)-SUM($P$15:$P$17),0)</f>
        <v>17994</v>
      </c>
      <c r="Q18" s="155"/>
      <c r="S18" s="154">
        <f t="shared" si="0"/>
        <v>0</v>
      </c>
    </row>
    <row r="19" spans="1:19"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row>
    <row r="20" spans="1:19" ht="16.5" customHeight="1" x14ac:dyDescent="0.3">
      <c r="A20" s="54"/>
      <c r="B20" s="9"/>
      <c r="C20" s="9" t="s">
        <v>177</v>
      </c>
      <c r="D20" s="9"/>
      <c r="E20" s="140"/>
      <c r="F20" s="141"/>
      <c r="G20" s="141"/>
      <c r="H20" s="142"/>
      <c r="I20" s="142"/>
      <c r="J20" s="150"/>
      <c r="K20" s="171">
        <f>N20</f>
        <v>0</v>
      </c>
      <c r="N20" s="143"/>
      <c r="P20" s="155"/>
      <c r="Q20" s="143"/>
      <c r="S20" s="154">
        <f t="shared" si="0"/>
        <v>0</v>
      </c>
    </row>
    <row r="21" spans="1:19" ht="16.5" customHeight="1" x14ac:dyDescent="0.3">
      <c r="A21" s="54"/>
      <c r="B21" s="9"/>
      <c r="C21" s="9" t="s">
        <v>174</v>
      </c>
      <c r="D21" s="9"/>
      <c r="E21" s="140"/>
      <c r="F21" s="141"/>
      <c r="G21" s="141"/>
      <c r="H21" s="142"/>
      <c r="I21" s="142"/>
      <c r="J21" s="150"/>
      <c r="K21" s="171">
        <f>N21</f>
        <v>0</v>
      </c>
      <c r="N21" s="143"/>
      <c r="P21" s="155"/>
      <c r="Q21" s="143"/>
      <c r="S21" s="154">
        <f>Q21-N21</f>
        <v>0</v>
      </c>
    </row>
    <row r="22" spans="1:19" ht="16.5" customHeight="1" x14ac:dyDescent="0.3">
      <c r="A22" s="54"/>
      <c r="B22" s="9"/>
      <c r="C22" s="9" t="s">
        <v>178</v>
      </c>
      <c r="D22" s="9"/>
      <c r="E22" s="140"/>
      <c r="F22" s="141"/>
      <c r="G22" s="141"/>
      <c r="H22" s="142"/>
      <c r="I22" s="142"/>
      <c r="J22" s="150"/>
      <c r="K22" s="171">
        <f>N22</f>
        <v>332558</v>
      </c>
      <c r="N22" s="143">
        <v>332558</v>
      </c>
      <c r="P22" s="155"/>
      <c r="Q22" s="143">
        <v>332558</v>
      </c>
      <c r="S22" s="154">
        <f t="shared" ref="S22:S25" si="1">Q22-N22</f>
        <v>0</v>
      </c>
    </row>
    <row r="23" spans="1:19" ht="16.5" customHeight="1" x14ac:dyDescent="0.3">
      <c r="A23" s="165" t="s">
        <v>1645</v>
      </c>
      <c r="B23" s="9"/>
      <c r="C23" s="9" t="s">
        <v>173</v>
      </c>
      <c r="D23" s="9"/>
      <c r="E23" s="140"/>
      <c r="F23" s="141"/>
      <c r="G23" s="141"/>
      <c r="H23" s="142"/>
      <c r="I23" s="142"/>
      <c r="J23" s="150"/>
      <c r="K23" s="171">
        <f>N23</f>
        <v>655396</v>
      </c>
      <c r="N23" s="143">
        <v>655396</v>
      </c>
      <c r="P23" s="155"/>
      <c r="Q23" s="143">
        <v>655396</v>
      </c>
      <c r="S23" s="154">
        <f t="shared" si="1"/>
        <v>0</v>
      </c>
    </row>
    <row r="24" spans="1:19" ht="16.5" customHeight="1" x14ac:dyDescent="0.3">
      <c r="A24" s="54"/>
      <c r="B24" s="9"/>
      <c r="C24" s="9" t="s">
        <v>175</v>
      </c>
      <c r="D24" s="9"/>
      <c r="E24" s="140"/>
      <c r="F24" s="141"/>
      <c r="G24" s="141"/>
      <c r="H24" s="142"/>
      <c r="I24" s="142"/>
      <c r="J24" s="150"/>
      <c r="K24" s="171">
        <f>Q24</f>
        <v>0</v>
      </c>
      <c r="N24" s="143"/>
      <c r="P24" s="155"/>
      <c r="Q24" s="152">
        <f>IF(SUM($Q$20:$Q$23)&lt;SUM($P$15:$P$17),-SUM($Q$20:$Q$23)+SUM($P$15:$P$17),0)</f>
        <v>0</v>
      </c>
      <c r="S24" s="154">
        <f t="shared" si="1"/>
        <v>0</v>
      </c>
    </row>
    <row r="25" spans="1:19" ht="16.5" customHeight="1" x14ac:dyDescent="0.3">
      <c r="A25" s="54"/>
      <c r="B25" s="9"/>
      <c r="C25" s="9" t="s">
        <v>176</v>
      </c>
      <c r="D25" s="9"/>
      <c r="E25" s="140"/>
      <c r="F25" s="141"/>
      <c r="G25" s="141"/>
      <c r="H25" s="142"/>
      <c r="I25" s="142"/>
      <c r="J25" s="150"/>
      <c r="K25" s="171">
        <f>IF(SUM($K$20:$K$24)&lt;SUM($J$15:$J$18),-SUM($K$20:$K$24)+SUM($J$15:$J$18),0)</f>
        <v>8.0293383682146668E-2</v>
      </c>
      <c r="N25" s="143"/>
      <c r="P25" s="155"/>
      <c r="Q25" s="155"/>
      <c r="S25" s="154">
        <f t="shared" si="1"/>
        <v>0</v>
      </c>
    </row>
    <row r="26" spans="1:19" ht="16.5" customHeight="1" x14ac:dyDescent="0.3">
      <c r="A26" s="54"/>
      <c r="C26" s="20"/>
      <c r="D26" s="20"/>
      <c r="E26" s="20"/>
      <c r="F26" s="127"/>
      <c r="G26" s="127"/>
      <c r="H26" s="22"/>
      <c r="I26" s="22"/>
      <c r="J26" s="107">
        <f>SUM(J15:J25)</f>
        <v>987954.08029338368</v>
      </c>
      <c r="K26" s="107">
        <f>SUM(K15:K25)</f>
        <v>987954.08029338368</v>
      </c>
      <c r="L26" s="8" t="str">
        <f>IF(J26=K26,"&lt;- Debits and Credits equal each other.","&lt;- Debits and Credits do not equal each other.")</f>
        <v>&lt;- Debits and Credits equal each other.</v>
      </c>
    </row>
    <row r="27" spans="1:19" ht="16.5" customHeight="1" x14ac:dyDescent="0.3">
      <c r="A27" s="1"/>
      <c r="B27" s="130" t="s">
        <v>1638</v>
      </c>
      <c r="C27" s="23"/>
      <c r="D27" s="20"/>
      <c r="E27" s="20"/>
      <c r="F27" s="21"/>
      <c r="G27" s="21"/>
      <c r="H27" s="22"/>
      <c r="I27" s="22"/>
      <c r="J27" s="19"/>
      <c r="K27" s="19"/>
      <c r="L27" s="8"/>
    </row>
    <row r="28" spans="1:19" ht="16.2" customHeight="1" x14ac:dyDescent="0.35">
      <c r="A28" s="1"/>
      <c r="B28" s="166" t="s">
        <v>1649</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165</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ADJ)",VLOOKUP($F$9,'[6]Drop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166279</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row>
    <row r="58" spans="1:16" ht="16.5" customHeight="1" x14ac:dyDescent="0.3">
      <c r="A58" s="54"/>
      <c r="B58" s="9"/>
      <c r="C58" s="9" t="s">
        <v>178</v>
      </c>
      <c r="D58" s="140"/>
      <c r="E58" s="140"/>
      <c r="F58" s="141"/>
      <c r="G58" s="141"/>
      <c r="H58" s="142"/>
      <c r="I58" s="142"/>
      <c r="J58" s="144"/>
      <c r="K58" s="143">
        <v>166278.88265569528</v>
      </c>
    </row>
    <row r="59" spans="1:16" ht="16.5" customHeight="1" x14ac:dyDescent="0.3">
      <c r="A59" s="54"/>
      <c r="C59" s="16"/>
      <c r="D59" s="16"/>
      <c r="E59" s="16"/>
      <c r="F59" s="17"/>
      <c r="G59" s="17"/>
      <c r="H59" s="18"/>
      <c r="I59" s="18"/>
      <c r="J59" s="107">
        <f>SUM(J55:J58)</f>
        <v>166279</v>
      </c>
      <c r="K59" s="107">
        <f>SUM(K55:K58)</f>
        <v>166278.88265569528</v>
      </c>
      <c r="L59" s="8" t="str">
        <f>IF(J59=K59,"&lt;- Debits and Credits equal each other.","&lt;- Debits and Credits do not equal each other.")</f>
        <v>&lt;- Debits and Credits do not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161876</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5235</v>
      </c>
      <c r="K63" s="147"/>
    </row>
    <row r="64" spans="1:16" ht="16.5" customHeight="1" x14ac:dyDescent="0.3">
      <c r="A64" s="54"/>
      <c r="B64" s="9"/>
      <c r="C64" s="9" t="str">
        <f>IF($F$7="Proprietary","Cr: Acct 0870 - SERVICES &amp; CHARGES (MG ADJ)",VLOOKUP($F$9,'[6]Drop Down Menus'!$F$2:$G$10,2,FALSE))</f>
        <v>Cr: Acct 0808 - GENERAL GOV. (GAAP ADJ)</v>
      </c>
      <c r="D64" s="140"/>
      <c r="E64" s="140"/>
      <c r="F64" s="141"/>
      <c r="G64" s="141"/>
      <c r="H64" s="142"/>
      <c r="I64" s="142"/>
      <c r="J64" s="147"/>
      <c r="K64" s="143">
        <v>167111</v>
      </c>
    </row>
    <row r="65" spans="1:12" ht="16.5" customHeight="1" x14ac:dyDescent="0.3">
      <c r="A65" s="54"/>
      <c r="C65" s="16"/>
      <c r="D65" s="16"/>
      <c r="E65" s="16"/>
      <c r="F65" s="17"/>
      <c r="G65" s="17"/>
      <c r="H65" s="18"/>
      <c r="I65" s="18"/>
      <c r="J65" s="107">
        <f>SUM(J62:J64)</f>
        <v>167111</v>
      </c>
      <c r="K65" s="107">
        <f>SUM(K62:K64)</f>
        <v>167111</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161876</v>
      </c>
      <c r="K68" s="144"/>
    </row>
    <row r="69" spans="1:12" ht="16.5" customHeight="1" x14ac:dyDescent="0.3">
      <c r="A69" s="54"/>
      <c r="B69" s="9"/>
      <c r="C69" s="9" t="s">
        <v>185</v>
      </c>
      <c r="D69" s="140"/>
      <c r="E69" s="140"/>
      <c r="F69" s="141"/>
      <c r="G69" s="141"/>
      <c r="H69" s="142"/>
      <c r="I69" s="142"/>
      <c r="J69" s="144"/>
      <c r="K69" s="143">
        <v>161876</v>
      </c>
    </row>
    <row r="70" spans="1:12" ht="16.5" customHeight="1" x14ac:dyDescent="0.3">
      <c r="A70" s="54"/>
      <c r="C70" s="16"/>
      <c r="D70" s="16"/>
      <c r="E70" s="16"/>
      <c r="F70" s="17"/>
      <c r="G70" s="17"/>
      <c r="H70" s="18"/>
      <c r="I70" s="18"/>
      <c r="J70" s="107">
        <f>SUM(J68:J69)</f>
        <v>161876</v>
      </c>
      <c r="K70" s="107">
        <f>SUM(K68:K69)</f>
        <v>161876</v>
      </c>
      <c r="L70" s="8"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168319</v>
      </c>
      <c r="K75" s="144"/>
    </row>
    <row r="76" spans="1:12" ht="16.5" customHeight="1" x14ac:dyDescent="0.3">
      <c r="A76" s="54"/>
      <c r="B76" s="9"/>
      <c r="C76" s="9" t="s">
        <v>193</v>
      </c>
      <c r="D76" s="140"/>
      <c r="E76" s="140"/>
      <c r="F76" s="141"/>
      <c r="G76" s="141"/>
      <c r="H76" s="142"/>
      <c r="I76" s="142"/>
      <c r="J76" s="144"/>
      <c r="K76" s="143">
        <v>168319</v>
      </c>
    </row>
    <row r="77" spans="1:12" ht="16.5" customHeight="1" x14ac:dyDescent="0.25">
      <c r="A77" s="54"/>
      <c r="B77" s="178" t="s">
        <v>1662</v>
      </c>
      <c r="C77" s="178"/>
      <c r="D77" s="178"/>
      <c r="E77" s="178"/>
      <c r="F77" s="178"/>
      <c r="G77" s="178"/>
      <c r="H77" s="178"/>
      <c r="I77" s="178"/>
      <c r="J77" s="107">
        <f>SUM(J75:J76)</f>
        <v>168319</v>
      </c>
      <c r="K77" s="107">
        <f>SUM(K75:K76)</f>
        <v>168319</v>
      </c>
      <c r="L77" s="8"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row>
    <row r="91" spans="1:16" ht="16.5" customHeight="1" x14ac:dyDescent="0.3">
      <c r="B91" s="130" t="s">
        <v>1640</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ADJ)",VLOOKUP($F$9,'[6]Drop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ADJ)",VLOOKUP($F$9,'[6]Drop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969960.08029338368</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-498836.88265569531</v>
      </c>
    </row>
    <row r="128" spans="1:12" ht="16.5" customHeight="1" x14ac:dyDescent="0.3">
      <c r="D128" s="140" t="s">
        <v>1656</v>
      </c>
      <c r="H128" s="10"/>
      <c r="K128" s="169">
        <f>-K23-K48+J68+J75+J96-K113</f>
        <v>-325201</v>
      </c>
    </row>
    <row r="129" spans="4:11" ht="16.5" customHeight="1" x14ac:dyDescent="0.3">
      <c r="D129" s="140" t="s">
        <v>1657</v>
      </c>
      <c r="H129" s="10"/>
      <c r="K129" s="169">
        <f>-K76</f>
        <v>-168319</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9536EF71-9F59-45F8-B369-A964F6F7BE3B}"/>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59827C3-5B09-4865-8478-4DB502D3C471}">
      <formula1>0</formula1>
    </dataValidation>
    <dataValidation type="textLength" operator="equal" allowBlank="1" showInputMessage="1" showErrorMessage="1" errorTitle="4-Digit Org Code" error="Enter the Org Code/BU as 4 digits." sqref="F5" xr:uid="{DDCA784B-3AB6-449F-A5C7-F3C367CF9018}">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84FF0-3A6B-4207-AE5A-BB24C6CA1071}">
  <sheetPr codeName="Sheet25">
    <tabColor theme="9" tint="0.59999389629810485"/>
    <pageSetUpPr fitToPage="1"/>
  </sheetPr>
  <dimension ref="A1:S193"/>
  <sheetViews>
    <sheetView topLeftCell="A7" zoomScale="70" zoomScaleNormal="70" workbookViewId="0">
      <selection activeCell="N115" sqref="N11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9" t="s">
        <v>1629</v>
      </c>
      <c r="B1" s="179"/>
      <c r="C1" s="179"/>
      <c r="D1" s="179"/>
      <c r="E1" s="179"/>
      <c r="F1" s="179"/>
      <c r="G1" s="179"/>
      <c r="H1" s="179"/>
      <c r="I1" s="179"/>
      <c r="J1" s="179"/>
      <c r="K1" s="17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5" t="s">
        <v>10</v>
      </c>
      <c r="B3" s="175"/>
      <c r="C3" s="175"/>
      <c r="D3" s="175"/>
      <c r="E3" s="175"/>
      <c r="F3" s="180" t="s">
        <v>21</v>
      </c>
      <c r="G3" s="180"/>
      <c r="H3" s="180"/>
      <c r="I3" s="180"/>
    </row>
    <row r="4" spans="1:19" ht="16.5" customHeight="1" x14ac:dyDescent="0.25">
      <c r="A4" s="175" t="s">
        <v>191</v>
      </c>
      <c r="B4" s="175"/>
      <c r="C4" s="175"/>
      <c r="D4" s="175"/>
      <c r="E4" s="175"/>
      <c r="F4" s="181" t="s">
        <v>1676</v>
      </c>
      <c r="G4" s="181"/>
      <c r="H4" s="181"/>
      <c r="I4" s="181"/>
    </row>
    <row r="5" spans="1:19" ht="16.5" customHeight="1" x14ac:dyDescent="0.25">
      <c r="A5" s="175" t="s">
        <v>1615</v>
      </c>
      <c r="B5" s="175"/>
      <c r="C5" s="175"/>
      <c r="D5" s="175"/>
      <c r="E5" s="175"/>
      <c r="F5" s="181" t="s">
        <v>316</v>
      </c>
      <c r="G5" s="181"/>
      <c r="H5" s="181"/>
      <c r="I5" s="181"/>
      <c r="L5" s="12"/>
      <c r="M5" s="12"/>
      <c r="N5" s="12"/>
      <c r="O5" s="12"/>
      <c r="P5" s="12"/>
      <c r="Q5" s="12"/>
    </row>
    <row r="6" spans="1:19" ht="16.5" customHeight="1" x14ac:dyDescent="0.3">
      <c r="A6" s="175" t="s">
        <v>1634</v>
      </c>
      <c r="B6" s="175"/>
      <c r="C6" s="175"/>
      <c r="D6" s="175"/>
      <c r="E6" s="175"/>
      <c r="F6" s="182">
        <v>3320</v>
      </c>
      <c r="G6" s="182"/>
      <c r="H6" s="182"/>
      <c r="I6" s="182"/>
      <c r="L6" s="13"/>
      <c r="M6" s="13"/>
      <c r="N6" s="13"/>
      <c r="O6" s="13"/>
      <c r="P6" s="12"/>
      <c r="Q6" s="12"/>
    </row>
    <row r="7" spans="1:19" ht="16.5" customHeight="1" x14ac:dyDescent="0.3">
      <c r="A7" s="175" t="s">
        <v>1</v>
      </c>
      <c r="B7" s="175"/>
      <c r="C7" s="175"/>
      <c r="D7" s="175"/>
      <c r="E7" s="175"/>
      <c r="F7" s="182" t="s">
        <v>120</v>
      </c>
      <c r="G7" s="182"/>
      <c r="H7" s="182"/>
      <c r="I7" s="182"/>
      <c r="K7" s="53"/>
      <c r="L7" s="13"/>
      <c r="M7" s="13"/>
      <c r="N7" s="13"/>
      <c r="O7" s="13"/>
      <c r="P7" s="12"/>
      <c r="Q7" s="12"/>
    </row>
    <row r="8" spans="1:19" ht="16.5" customHeight="1" x14ac:dyDescent="0.3">
      <c r="A8" s="175" t="s">
        <v>1616</v>
      </c>
      <c r="B8" s="175"/>
      <c r="C8" s="175"/>
      <c r="D8" s="175"/>
      <c r="E8" s="175"/>
      <c r="F8" s="182" t="s">
        <v>154</v>
      </c>
      <c r="G8" s="182"/>
      <c r="H8" s="182"/>
      <c r="I8" s="182"/>
      <c r="K8" s="53"/>
      <c r="L8" s="13"/>
      <c r="M8" s="13"/>
      <c r="N8" s="13"/>
      <c r="O8" s="13"/>
      <c r="P8" s="12"/>
      <c r="Q8" s="12"/>
    </row>
    <row r="9" spans="1:19" ht="16.5" customHeight="1" x14ac:dyDescent="0.3">
      <c r="A9" s="175" t="s">
        <v>1614</v>
      </c>
      <c r="B9" s="175"/>
      <c r="C9" s="175"/>
      <c r="D9" s="175"/>
      <c r="E9" s="175"/>
      <c r="F9" s="183" t="str">
        <f>IFERROR(IF(F7="Proprietary","Proprietary Fund",VLOOKUP(F5,[7]qryIndex02a!$A$2:$K$654,4,FALSE)),"Unidentified")</f>
        <v>GENERAL GOVERNMENT</v>
      </c>
      <c r="G9" s="183"/>
      <c r="H9" s="183"/>
      <c r="I9" s="18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164</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19" ht="16.5" customHeight="1" x14ac:dyDescent="0.3">
      <c r="A15" s="159" t="s">
        <v>1637</v>
      </c>
      <c r="B15" s="9" t="s">
        <v>170</v>
      </c>
      <c r="C15" s="9"/>
      <c r="D15" s="9"/>
      <c r="E15" s="140"/>
      <c r="F15" s="141"/>
      <c r="G15" s="141"/>
      <c r="H15" s="142"/>
      <c r="I15" s="142"/>
      <c r="J15" s="171">
        <f>M15</f>
        <v>0</v>
      </c>
      <c r="M15" s="143"/>
      <c r="P15" s="143"/>
      <c r="Q15" s="155"/>
      <c r="S15" s="154">
        <f t="shared" ref="S15:S20" si="0">P15-M15</f>
        <v>0</v>
      </c>
    </row>
    <row r="16" spans="1:19" ht="16.5" customHeight="1" x14ac:dyDescent="0.3">
      <c r="A16" s="159" t="s">
        <v>1637</v>
      </c>
      <c r="B16" s="9" t="s">
        <v>171</v>
      </c>
      <c r="C16" s="9"/>
      <c r="D16" s="9"/>
      <c r="E16" s="140"/>
      <c r="F16" s="141"/>
      <c r="G16" s="141"/>
      <c r="H16" s="142"/>
      <c r="I16" s="142"/>
      <c r="J16" s="171">
        <f>M16</f>
        <v>0</v>
      </c>
      <c r="M16" s="143"/>
      <c r="P16" s="143"/>
      <c r="Q16" s="155"/>
      <c r="S16" s="154">
        <f t="shared" si="0"/>
        <v>0</v>
      </c>
    </row>
    <row r="17" spans="1:19" ht="16.5" customHeight="1" x14ac:dyDescent="0.3">
      <c r="A17" s="159" t="s">
        <v>1637</v>
      </c>
      <c r="B17" s="9" t="s">
        <v>172</v>
      </c>
      <c r="C17" s="9"/>
      <c r="D17" s="9"/>
      <c r="E17" s="140"/>
      <c r="F17" s="141"/>
      <c r="G17" s="141"/>
      <c r="H17" s="142"/>
      <c r="I17" s="142"/>
      <c r="J17" s="171">
        <f>M17</f>
        <v>50835</v>
      </c>
      <c r="M17" s="143">
        <v>50835</v>
      </c>
      <c r="P17" s="143">
        <v>50835</v>
      </c>
      <c r="Q17" s="155"/>
      <c r="S17" s="154">
        <f t="shared" si="0"/>
        <v>0</v>
      </c>
    </row>
    <row r="18" spans="1:19" ht="16.5" customHeight="1" x14ac:dyDescent="0.3">
      <c r="A18" s="54"/>
      <c r="B18" s="9" t="s">
        <v>168</v>
      </c>
      <c r="C18" s="9"/>
      <c r="D18" s="9"/>
      <c r="E18" s="140"/>
      <c r="F18" s="141"/>
      <c r="G18" s="141"/>
      <c r="H18" s="142"/>
      <c r="I18" s="142"/>
      <c r="J18" s="171">
        <f>P18</f>
        <v>400</v>
      </c>
      <c r="M18" s="143">
        <v>399</v>
      </c>
      <c r="P18" s="152">
        <f>IF(SUM($Q$20:$Q$23)&gt;SUM($P$15:$P$17),SUM($Q$20:$Q$23)-SUM($P$15:$P$17),0)</f>
        <v>400</v>
      </c>
      <c r="Q18" s="155"/>
      <c r="S18" s="154">
        <f t="shared" si="0"/>
        <v>1</v>
      </c>
    </row>
    <row r="19" spans="1:19"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row>
    <row r="20" spans="1:19" ht="16.5" customHeight="1" x14ac:dyDescent="0.3">
      <c r="A20" s="54"/>
      <c r="B20" s="9"/>
      <c r="C20" s="9" t="s">
        <v>177</v>
      </c>
      <c r="D20" s="9"/>
      <c r="E20" s="140"/>
      <c r="F20" s="141"/>
      <c r="G20" s="141"/>
      <c r="H20" s="142"/>
      <c r="I20" s="142"/>
      <c r="J20" s="150"/>
      <c r="K20" s="171">
        <f>N20</f>
        <v>0</v>
      </c>
      <c r="N20" s="143"/>
      <c r="P20" s="155"/>
      <c r="Q20" s="143"/>
      <c r="S20" s="154">
        <f t="shared" si="0"/>
        <v>0</v>
      </c>
    </row>
    <row r="21" spans="1:19" ht="16.5" customHeight="1" x14ac:dyDescent="0.3">
      <c r="A21" s="54"/>
      <c r="B21" s="9"/>
      <c r="C21" s="9" t="s">
        <v>174</v>
      </c>
      <c r="D21" s="9"/>
      <c r="E21" s="140"/>
      <c r="F21" s="141"/>
      <c r="G21" s="141"/>
      <c r="H21" s="142"/>
      <c r="I21" s="142"/>
      <c r="J21" s="150"/>
      <c r="K21" s="171">
        <f>N21</f>
        <v>0</v>
      </c>
      <c r="N21" s="143"/>
      <c r="P21" s="155"/>
      <c r="Q21" s="143"/>
      <c r="S21" s="154">
        <f>Q21-N21</f>
        <v>0</v>
      </c>
    </row>
    <row r="22" spans="1:19" ht="16.5" customHeight="1" x14ac:dyDescent="0.3">
      <c r="A22" s="54"/>
      <c r="B22" s="9"/>
      <c r="C22" s="9" t="s">
        <v>178</v>
      </c>
      <c r="D22" s="9"/>
      <c r="E22" s="140"/>
      <c r="F22" s="141"/>
      <c r="G22" s="141"/>
      <c r="H22" s="142"/>
      <c r="I22" s="142"/>
      <c r="J22" s="150"/>
      <c r="K22" s="171">
        <f>N22</f>
        <v>36971</v>
      </c>
      <c r="N22" s="143">
        <v>36971</v>
      </c>
      <c r="P22" s="155"/>
      <c r="Q22" s="143">
        <v>36972</v>
      </c>
      <c r="S22" s="154">
        <f t="shared" ref="S22:S25" si="1">Q22-N22</f>
        <v>1</v>
      </c>
    </row>
    <row r="23" spans="1:19" ht="16.5" customHeight="1" x14ac:dyDescent="0.3">
      <c r="A23" s="165" t="s">
        <v>1645</v>
      </c>
      <c r="B23" s="9"/>
      <c r="C23" s="9" t="s">
        <v>173</v>
      </c>
      <c r="D23" s="9"/>
      <c r="E23" s="140"/>
      <c r="F23" s="141"/>
      <c r="G23" s="141"/>
      <c r="H23" s="142"/>
      <c r="I23" s="142"/>
      <c r="J23" s="150"/>
      <c r="K23" s="171">
        <f>N23</f>
        <v>14263</v>
      </c>
      <c r="N23" s="143">
        <v>14263</v>
      </c>
      <c r="P23" s="155"/>
      <c r="Q23" s="143">
        <v>14263</v>
      </c>
      <c r="S23" s="154">
        <f t="shared" si="1"/>
        <v>0</v>
      </c>
    </row>
    <row r="24" spans="1:19" ht="16.5" customHeight="1" x14ac:dyDescent="0.3">
      <c r="A24" s="54"/>
      <c r="B24" s="9"/>
      <c r="C24" s="9" t="s">
        <v>175</v>
      </c>
      <c r="D24" s="9"/>
      <c r="E24" s="140"/>
      <c r="F24" s="141"/>
      <c r="G24" s="141"/>
      <c r="H24" s="142"/>
      <c r="I24" s="142"/>
      <c r="J24" s="150"/>
      <c r="K24" s="171">
        <f>Q24</f>
        <v>0</v>
      </c>
      <c r="N24" s="143"/>
      <c r="P24" s="155"/>
      <c r="Q24" s="152">
        <f>IF(SUM($Q$20:$Q$23)&lt;SUM($P$15:$P$17),-SUM($Q$20:$Q$23)+SUM($P$15:$P$17),0)</f>
        <v>0</v>
      </c>
      <c r="S24" s="154">
        <f t="shared" si="1"/>
        <v>0</v>
      </c>
    </row>
    <row r="25" spans="1:19" ht="16.5" customHeight="1" x14ac:dyDescent="0.3">
      <c r="A25" s="54"/>
      <c r="B25" s="9"/>
      <c r="C25" s="9" t="s">
        <v>176</v>
      </c>
      <c r="D25" s="9"/>
      <c r="E25" s="140"/>
      <c r="F25" s="141"/>
      <c r="G25" s="141"/>
      <c r="H25" s="142"/>
      <c r="I25" s="142"/>
      <c r="J25" s="150"/>
      <c r="K25" s="171">
        <f>IF(SUM($K$20:$K$24)&lt;SUM($J$15:$J$18),-SUM($K$20:$K$24)+SUM($J$15:$J$18),0)</f>
        <v>1</v>
      </c>
      <c r="N25" s="143"/>
      <c r="P25" s="155"/>
      <c r="Q25" s="155"/>
      <c r="S25" s="154">
        <f t="shared" si="1"/>
        <v>0</v>
      </c>
    </row>
    <row r="26" spans="1:19" ht="16.5" customHeight="1" x14ac:dyDescent="0.3">
      <c r="A26" s="54"/>
      <c r="C26" s="20"/>
      <c r="D26" s="20"/>
      <c r="E26" s="20"/>
      <c r="F26" s="127"/>
      <c r="G26" s="127"/>
      <c r="H26" s="22"/>
      <c r="I26" s="22"/>
      <c r="J26" s="107">
        <f>SUM(J15:J25)</f>
        <v>51235</v>
      </c>
      <c r="K26" s="107">
        <f>SUM(K15:K25)</f>
        <v>51235</v>
      </c>
      <c r="L26" s="8" t="str">
        <f>IF(J26=K26,"&lt;- Debits and Credits equal each other.","&lt;- Debits and Credits do not equal each other.")</f>
        <v>&lt;- Debits and Credits equal each other.</v>
      </c>
    </row>
    <row r="27" spans="1:19" ht="16.5" customHeight="1" x14ac:dyDescent="0.3">
      <c r="A27" s="1"/>
      <c r="B27" s="130" t="s">
        <v>1638</v>
      </c>
      <c r="C27" s="23"/>
      <c r="D27" s="20"/>
      <c r="E27" s="20"/>
      <c r="F27" s="21"/>
      <c r="G27" s="21"/>
      <c r="H27" s="22"/>
      <c r="I27" s="22"/>
      <c r="J27" s="19"/>
      <c r="K27" s="19"/>
      <c r="L27" s="8"/>
    </row>
    <row r="28" spans="1:19" ht="16.2" customHeight="1" x14ac:dyDescent="0.35">
      <c r="A28" s="1"/>
      <c r="B28" s="166" t="s">
        <v>1649</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165</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ADJ)",VLOOKUP($F$9,'[7]Drop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13864</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row>
    <row r="58" spans="1:16" ht="16.5" customHeight="1" x14ac:dyDescent="0.3">
      <c r="A58" s="54"/>
      <c r="B58" s="9"/>
      <c r="C58" s="9" t="s">
        <v>178</v>
      </c>
      <c r="D58" s="140"/>
      <c r="E58" s="140"/>
      <c r="F58" s="141"/>
      <c r="G58" s="141"/>
      <c r="H58" s="142"/>
      <c r="I58" s="142"/>
      <c r="J58" s="144"/>
      <c r="K58" s="143">
        <v>13864</v>
      </c>
    </row>
    <row r="59" spans="1:16" ht="16.5" customHeight="1" x14ac:dyDescent="0.3">
      <c r="A59" s="54"/>
      <c r="C59" s="16"/>
      <c r="D59" s="16"/>
      <c r="E59" s="16"/>
      <c r="F59" s="17"/>
      <c r="G59" s="17"/>
      <c r="H59" s="18"/>
      <c r="I59" s="18"/>
      <c r="J59" s="107">
        <f>SUM(J55:J58)</f>
        <v>13864</v>
      </c>
      <c r="K59" s="107">
        <f>SUM(K55:K58)</f>
        <v>13864</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14263</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12</v>
      </c>
      <c r="K63" s="147"/>
    </row>
    <row r="64" spans="1:16" ht="16.5" customHeight="1" x14ac:dyDescent="0.3">
      <c r="A64" s="54"/>
      <c r="B64" s="9"/>
      <c r="C64" s="9" t="str">
        <f>IF($F$7="Proprietary","Cr: Acct 0870 - SERVICES &amp; CHARGES (MG ADJ)",VLOOKUP($F$9,'[7]Drop Down Menus'!$F$2:$G$10,2,FALSE))</f>
        <v>Cr: Acct 0808 - GENERAL GOV. (GAAP ADJ)</v>
      </c>
      <c r="D64" s="140"/>
      <c r="E64" s="140"/>
      <c r="F64" s="141"/>
      <c r="G64" s="141"/>
      <c r="H64" s="142"/>
      <c r="I64" s="142"/>
      <c r="J64" s="147"/>
      <c r="K64" s="143">
        <v>14275</v>
      </c>
    </row>
    <row r="65" spans="1:12" ht="16.5" customHeight="1" x14ac:dyDescent="0.3">
      <c r="A65" s="54"/>
      <c r="C65" s="16"/>
      <c r="D65" s="16"/>
      <c r="E65" s="16"/>
      <c r="F65" s="17"/>
      <c r="G65" s="17"/>
      <c r="H65" s="18"/>
      <c r="I65" s="18"/>
      <c r="J65" s="107">
        <f>SUM(J62:J64)</f>
        <v>14275</v>
      </c>
      <c r="K65" s="107">
        <f>SUM(K62:K64)</f>
        <v>14275</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14263</v>
      </c>
      <c r="K68" s="144"/>
    </row>
    <row r="69" spans="1:12" ht="16.5" customHeight="1" x14ac:dyDescent="0.3">
      <c r="A69" s="54"/>
      <c r="B69" s="9"/>
      <c r="C69" s="9" t="s">
        <v>185</v>
      </c>
      <c r="D69" s="140"/>
      <c r="E69" s="140"/>
      <c r="F69" s="141"/>
      <c r="G69" s="141"/>
      <c r="H69" s="142"/>
      <c r="I69" s="142"/>
      <c r="J69" s="144"/>
      <c r="K69" s="143">
        <v>14263</v>
      </c>
    </row>
    <row r="70" spans="1:12" ht="16.5" customHeight="1" x14ac:dyDescent="0.3">
      <c r="A70" s="54"/>
      <c r="C70" s="16"/>
      <c r="D70" s="16"/>
      <c r="E70" s="16"/>
      <c r="F70" s="17"/>
      <c r="G70" s="17"/>
      <c r="H70" s="18"/>
      <c r="I70" s="18"/>
      <c r="J70" s="107">
        <f>SUM(J68:J69)</f>
        <v>14263</v>
      </c>
      <c r="K70" s="107">
        <f>SUM(K68:K69)</f>
        <v>14263</v>
      </c>
      <c r="L70" s="8"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c r="K75" s="144"/>
    </row>
    <row r="76" spans="1:12" ht="16.5" customHeight="1" x14ac:dyDescent="0.3">
      <c r="A76" s="54"/>
      <c r="B76" s="9"/>
      <c r="C76" s="9" t="s">
        <v>193</v>
      </c>
      <c r="D76" s="140"/>
      <c r="E76" s="140"/>
      <c r="F76" s="141"/>
      <c r="G76" s="141"/>
      <c r="H76" s="142"/>
      <c r="I76" s="142"/>
      <c r="J76" s="144"/>
      <c r="K76" s="143"/>
    </row>
    <row r="77" spans="1:12" ht="16.5" customHeight="1" x14ac:dyDescent="0.25">
      <c r="A77" s="54"/>
      <c r="B77" s="178" t="s">
        <v>1662</v>
      </c>
      <c r="C77" s="178"/>
      <c r="D77" s="178"/>
      <c r="E77" s="178"/>
      <c r="F77" s="178"/>
      <c r="G77" s="178"/>
      <c r="H77" s="178"/>
      <c r="I77" s="178"/>
      <c r="J77" s="107">
        <f>SUM(J75:J76)</f>
        <v>0</v>
      </c>
      <c r="K77" s="107">
        <f>SUM(K75:K76)</f>
        <v>0</v>
      </c>
      <c r="L77" s="8"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v>50835</v>
      </c>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v>50835</v>
      </c>
    </row>
    <row r="91" spans="1:16" ht="16.5" customHeight="1" x14ac:dyDescent="0.3">
      <c r="B91" s="130" t="s">
        <v>1640</v>
      </c>
      <c r="H91" s="10"/>
      <c r="J91" s="108">
        <f>SUM(J85:J90)</f>
        <v>50835</v>
      </c>
      <c r="K91" s="108">
        <f>SUM(K85:K90)</f>
        <v>50835</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ADJ)",VLOOKUP($F$9,'[7]Drop Down Menus'!$F$2:$H$10,3,FALSE))</f>
        <v>Dr: Acct 0808 - GENERAL GOV. (GAAP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ADJ)",VLOOKUP($F$9,'[7]Drop Down Menus'!$F$2:$G$10,2,FALSE))</f>
        <v>Cr: Acct 0808 - GENERAL GOV. (GAAP ADJ)</v>
      </c>
      <c r="D104" s="25"/>
      <c r="E104" s="25"/>
      <c r="F104" s="25"/>
      <c r="G104" s="25"/>
      <c r="H104" s="25"/>
      <c r="I104" s="25"/>
      <c r="J104" s="25"/>
      <c r="K104" s="143"/>
    </row>
    <row r="105" spans="1:12" ht="16.5" customHeight="1" x14ac:dyDescent="0.3">
      <c r="B105" s="130" t="s">
        <v>1640</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0</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0</v>
      </c>
    </row>
    <row r="128" spans="1:12" ht="16.5" customHeight="1" x14ac:dyDescent="0.3">
      <c r="D128" s="140" t="s">
        <v>1656</v>
      </c>
      <c r="H128" s="10"/>
      <c r="K128" s="169">
        <f>-K23-K48+J68+J75+J96-K113</f>
        <v>0</v>
      </c>
    </row>
    <row r="129" spans="4:11" ht="16.5" customHeight="1" x14ac:dyDescent="0.3">
      <c r="D129" s="140" t="s">
        <v>1657</v>
      </c>
      <c r="H129" s="10"/>
      <c r="K129" s="169">
        <f>-K76</f>
        <v>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8C449689-ACA2-4DB2-8024-1C1A4937465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8AD63D97-1012-43A4-9BF4-A9793463871F}">
      <formula1>0</formula1>
    </dataValidation>
    <dataValidation operator="lessThan" allowBlank="1" showInputMessage="1" showErrorMessage="1" sqref="A3:A8" xr:uid="{B1246D0A-DE50-423A-A226-D6F9C4A5B4E3}"/>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2AE6F-72D7-4C9D-8E96-7C871B5BEF24}">
  <sheetPr codeName="Sheet26">
    <tabColor theme="9" tint="0.59999389629810485"/>
    <pageSetUpPr fitToPage="1"/>
  </sheetPr>
  <dimension ref="A1:S193"/>
  <sheetViews>
    <sheetView topLeftCell="A2" zoomScale="70" zoomScaleNormal="70" workbookViewId="0">
      <selection activeCell="N115" sqref="N11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9" t="s">
        <v>1629</v>
      </c>
      <c r="B1" s="179"/>
      <c r="C1" s="179"/>
      <c r="D1" s="179"/>
      <c r="E1" s="179"/>
      <c r="F1" s="179"/>
      <c r="G1" s="179"/>
      <c r="H1" s="179"/>
      <c r="I1" s="179"/>
      <c r="J1" s="179"/>
      <c r="K1" s="17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5" t="s">
        <v>10</v>
      </c>
      <c r="B3" s="175"/>
      <c r="C3" s="175"/>
      <c r="D3" s="175"/>
      <c r="E3" s="175"/>
      <c r="F3" s="180" t="s">
        <v>21</v>
      </c>
      <c r="G3" s="180"/>
      <c r="H3" s="180"/>
      <c r="I3" s="180"/>
    </row>
    <row r="4" spans="1:19" ht="16.5" customHeight="1" x14ac:dyDescent="0.25">
      <c r="A4" s="175" t="s">
        <v>191</v>
      </c>
      <c r="B4" s="175"/>
      <c r="C4" s="175"/>
      <c r="D4" s="175"/>
      <c r="E4" s="175"/>
      <c r="F4" s="181" t="s">
        <v>1676</v>
      </c>
      <c r="G4" s="181"/>
      <c r="H4" s="181"/>
      <c r="I4" s="181"/>
    </row>
    <row r="5" spans="1:19" ht="16.5" customHeight="1" x14ac:dyDescent="0.25">
      <c r="A5" s="175" t="s">
        <v>1615</v>
      </c>
      <c r="B5" s="175"/>
      <c r="C5" s="175"/>
      <c r="D5" s="175"/>
      <c r="E5" s="175"/>
      <c r="F5" s="181" t="s">
        <v>316</v>
      </c>
      <c r="G5" s="181"/>
      <c r="H5" s="181"/>
      <c r="I5" s="181"/>
      <c r="L5" s="12"/>
      <c r="M5" s="12"/>
      <c r="N5" s="12"/>
      <c r="O5" s="12"/>
      <c r="P5" s="12"/>
      <c r="Q5" s="12"/>
    </row>
    <row r="6" spans="1:19" ht="16.5" customHeight="1" x14ac:dyDescent="0.3">
      <c r="A6" s="175" t="s">
        <v>1634</v>
      </c>
      <c r="B6" s="175"/>
      <c r="C6" s="175"/>
      <c r="D6" s="175"/>
      <c r="E6" s="175"/>
      <c r="F6" s="182">
        <v>9731</v>
      </c>
      <c r="G6" s="182"/>
      <c r="H6" s="182"/>
      <c r="I6" s="182"/>
      <c r="L6" s="13"/>
      <c r="M6" s="13"/>
      <c r="N6" s="13"/>
      <c r="O6" s="13"/>
      <c r="P6" s="12"/>
      <c r="Q6" s="12"/>
    </row>
    <row r="7" spans="1:19" ht="16.5" customHeight="1" x14ac:dyDescent="0.3">
      <c r="A7" s="175" t="s">
        <v>1</v>
      </c>
      <c r="B7" s="175"/>
      <c r="C7" s="175"/>
      <c r="D7" s="175"/>
      <c r="E7" s="175"/>
      <c r="F7" s="182" t="s">
        <v>121</v>
      </c>
      <c r="G7" s="182"/>
      <c r="H7" s="182"/>
      <c r="I7" s="182"/>
      <c r="K7" s="53"/>
      <c r="L7" s="13"/>
      <c r="M7" s="13"/>
      <c r="N7" s="13"/>
      <c r="O7" s="13"/>
      <c r="P7" s="12"/>
      <c r="Q7" s="12"/>
    </row>
    <row r="8" spans="1:19" ht="16.5" customHeight="1" x14ac:dyDescent="0.3">
      <c r="A8" s="175" t="s">
        <v>1616</v>
      </c>
      <c r="B8" s="175"/>
      <c r="C8" s="175"/>
      <c r="D8" s="175"/>
      <c r="E8" s="175"/>
      <c r="F8" s="182" t="s">
        <v>131</v>
      </c>
      <c r="G8" s="182"/>
      <c r="H8" s="182"/>
      <c r="I8" s="182"/>
      <c r="K8" s="53"/>
      <c r="L8" s="13"/>
      <c r="M8" s="13"/>
      <c r="N8" s="13"/>
      <c r="O8" s="13"/>
      <c r="P8" s="12"/>
      <c r="Q8" s="12"/>
    </row>
    <row r="9" spans="1:19" ht="16.5" customHeight="1" x14ac:dyDescent="0.3">
      <c r="A9" s="175" t="s">
        <v>1614</v>
      </c>
      <c r="B9" s="175"/>
      <c r="C9" s="175"/>
      <c r="D9" s="175"/>
      <c r="E9" s="175"/>
      <c r="F9" s="183" t="str">
        <f>IFERROR(IF(F7="Proprietary","Proprietary Fund",VLOOKUP(F5,[7]qryIndex02a!$A$2:$K$654,4,FALSE)),"Unidentified")</f>
        <v>Proprietary Fund</v>
      </c>
      <c r="G9" s="183"/>
      <c r="H9" s="183"/>
      <c r="I9" s="18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164</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19" ht="16.5" customHeight="1" x14ac:dyDescent="0.3">
      <c r="A15" s="159" t="s">
        <v>1637</v>
      </c>
      <c r="B15" s="9" t="s">
        <v>170</v>
      </c>
      <c r="C15" s="9"/>
      <c r="D15" s="9"/>
      <c r="E15" s="140"/>
      <c r="F15" s="141"/>
      <c r="G15" s="141"/>
      <c r="H15" s="142"/>
      <c r="I15" s="142"/>
      <c r="J15" s="171">
        <f>M15</f>
        <v>0</v>
      </c>
      <c r="M15" s="143"/>
      <c r="P15" s="143"/>
      <c r="Q15" s="155"/>
      <c r="S15" s="154">
        <f t="shared" ref="S15:S20" si="0">P15-M15</f>
        <v>0</v>
      </c>
    </row>
    <row r="16" spans="1:19" ht="16.5" customHeight="1" x14ac:dyDescent="0.3">
      <c r="A16" s="159" t="s">
        <v>1637</v>
      </c>
      <c r="B16" s="9" t="s">
        <v>171</v>
      </c>
      <c r="C16" s="9"/>
      <c r="D16" s="9"/>
      <c r="E16" s="140"/>
      <c r="F16" s="141"/>
      <c r="G16" s="141"/>
      <c r="H16" s="142"/>
      <c r="I16" s="142"/>
      <c r="J16" s="171">
        <f>M16</f>
        <v>41218</v>
      </c>
      <c r="M16" s="143">
        <v>41218</v>
      </c>
      <c r="P16" s="143">
        <v>41218</v>
      </c>
      <c r="Q16" s="155"/>
      <c r="S16" s="154">
        <f t="shared" si="0"/>
        <v>0</v>
      </c>
    </row>
    <row r="17" spans="1:19" ht="16.5" customHeight="1" x14ac:dyDescent="0.3">
      <c r="A17" s="159" t="s">
        <v>1637</v>
      </c>
      <c r="B17" s="9" t="s">
        <v>172</v>
      </c>
      <c r="C17" s="9"/>
      <c r="D17" s="9"/>
      <c r="E17" s="140"/>
      <c r="F17" s="141"/>
      <c r="G17" s="141"/>
      <c r="H17" s="142"/>
      <c r="I17" s="142"/>
      <c r="J17" s="171">
        <f>M17</f>
        <v>14329417</v>
      </c>
      <c r="M17" s="143">
        <v>14329417</v>
      </c>
      <c r="P17" s="143">
        <v>14361404</v>
      </c>
      <c r="Q17" s="155"/>
      <c r="S17" s="154">
        <f t="shared" si="0"/>
        <v>31987</v>
      </c>
    </row>
    <row r="18" spans="1:19" ht="16.5" customHeight="1" x14ac:dyDescent="0.3">
      <c r="A18" s="54"/>
      <c r="B18" s="9" t="s">
        <v>168</v>
      </c>
      <c r="C18" s="9"/>
      <c r="D18" s="9"/>
      <c r="E18" s="140"/>
      <c r="F18" s="141"/>
      <c r="G18" s="141"/>
      <c r="H18" s="142"/>
      <c r="I18" s="142"/>
      <c r="J18" s="171">
        <f>P18</f>
        <v>201953</v>
      </c>
      <c r="M18" s="143">
        <v>260872</v>
      </c>
      <c r="P18" s="152">
        <f>IF(SUM($Q$20:$Q$23)&gt;SUM($P$15:$P$17),SUM($Q$20:$Q$23)-SUM($P$15:$P$17),0)</f>
        <v>201953</v>
      </c>
      <c r="Q18" s="155"/>
      <c r="S18" s="154">
        <f t="shared" si="0"/>
        <v>-58919</v>
      </c>
    </row>
    <row r="19" spans="1:19" ht="16.5" customHeight="1" x14ac:dyDescent="0.3">
      <c r="A19" s="54"/>
      <c r="B19" s="9" t="s">
        <v>169</v>
      </c>
      <c r="C19" s="9"/>
      <c r="D19" s="9"/>
      <c r="E19" s="140"/>
      <c r="F19" s="141"/>
      <c r="G19" s="141"/>
      <c r="H19" s="142"/>
      <c r="I19" s="142"/>
      <c r="J19" s="171">
        <f>IF(SUM($K$20:$K$24)&gt;SUM($J$15:$J$18),SUM($K$20:$K$24)-SUM($J$15:$J$18),0)</f>
        <v>2698</v>
      </c>
      <c r="M19" s="143"/>
      <c r="P19" s="155"/>
      <c r="Q19" s="155"/>
      <c r="S19" s="154">
        <f t="shared" si="0"/>
        <v>0</v>
      </c>
    </row>
    <row r="20" spans="1:19" ht="16.5" customHeight="1" x14ac:dyDescent="0.3">
      <c r="A20" s="54"/>
      <c r="B20" s="9"/>
      <c r="C20" s="9" t="s">
        <v>177</v>
      </c>
      <c r="D20" s="9"/>
      <c r="E20" s="140"/>
      <c r="F20" s="141"/>
      <c r="G20" s="141"/>
      <c r="H20" s="142"/>
      <c r="I20" s="142"/>
      <c r="J20" s="150"/>
      <c r="K20" s="171">
        <f>N20</f>
        <v>0</v>
      </c>
      <c r="N20" s="143"/>
      <c r="P20" s="155"/>
      <c r="Q20" s="143"/>
      <c r="S20" s="154">
        <f t="shared" si="0"/>
        <v>0</v>
      </c>
    </row>
    <row r="21" spans="1:19" ht="16.5" customHeight="1" x14ac:dyDescent="0.3">
      <c r="A21" s="54"/>
      <c r="B21" s="9"/>
      <c r="C21" s="9" t="s">
        <v>174</v>
      </c>
      <c r="D21" s="9"/>
      <c r="E21" s="140"/>
      <c r="F21" s="141"/>
      <c r="G21" s="141"/>
      <c r="H21" s="142"/>
      <c r="I21" s="142"/>
      <c r="J21" s="150"/>
      <c r="K21" s="171">
        <f>N21</f>
        <v>16487</v>
      </c>
      <c r="N21" s="143">
        <v>16487</v>
      </c>
      <c r="P21" s="155"/>
      <c r="Q21" s="143">
        <v>16488</v>
      </c>
      <c r="S21" s="154">
        <f>Q21-N21</f>
        <v>1</v>
      </c>
    </row>
    <row r="22" spans="1:19" ht="16.5" customHeight="1" x14ac:dyDescent="0.3">
      <c r="A22" s="54"/>
      <c r="B22" s="9"/>
      <c r="C22" s="9" t="s">
        <v>178</v>
      </c>
      <c r="D22" s="9"/>
      <c r="E22" s="140"/>
      <c r="F22" s="141"/>
      <c r="G22" s="141"/>
      <c r="H22" s="142"/>
      <c r="I22" s="142"/>
      <c r="J22" s="150"/>
      <c r="K22" s="171">
        <f>N22</f>
        <v>4746447</v>
      </c>
      <c r="N22" s="143">
        <v>4746447</v>
      </c>
      <c r="P22" s="155"/>
      <c r="Q22" s="143">
        <v>4749913</v>
      </c>
      <c r="S22" s="154">
        <f t="shared" ref="S22:S25" si="1">Q22-N22</f>
        <v>3466</v>
      </c>
    </row>
    <row r="23" spans="1:19" ht="16.5" customHeight="1" x14ac:dyDescent="0.3">
      <c r="A23" s="165" t="s">
        <v>1645</v>
      </c>
      <c r="B23" s="9"/>
      <c r="C23" s="9" t="s">
        <v>173</v>
      </c>
      <c r="D23" s="9"/>
      <c r="E23" s="140"/>
      <c r="F23" s="141"/>
      <c r="G23" s="141"/>
      <c r="H23" s="142"/>
      <c r="I23" s="142"/>
      <c r="J23" s="150"/>
      <c r="K23" s="171">
        <f>N23</f>
        <v>9812352</v>
      </c>
      <c r="N23" s="143">
        <v>9812352</v>
      </c>
      <c r="P23" s="155"/>
      <c r="Q23" s="143">
        <v>9838174</v>
      </c>
      <c r="S23" s="154">
        <f t="shared" si="1"/>
        <v>25822</v>
      </c>
    </row>
    <row r="24" spans="1:19" ht="16.5" customHeight="1" x14ac:dyDescent="0.3">
      <c r="A24" s="54"/>
      <c r="B24" s="9"/>
      <c r="C24" s="9" t="s">
        <v>175</v>
      </c>
      <c r="D24" s="9"/>
      <c r="E24" s="140"/>
      <c r="F24" s="141"/>
      <c r="G24" s="141"/>
      <c r="H24" s="142"/>
      <c r="I24" s="142"/>
      <c r="J24" s="150"/>
      <c r="K24" s="171">
        <f>Q24</f>
        <v>0</v>
      </c>
      <c r="N24" s="143">
        <v>56220</v>
      </c>
      <c r="P24" s="155"/>
      <c r="Q24" s="152">
        <f>IF(SUM($Q$20:$Q$23)&lt;SUM($P$15:$P$17),-SUM($Q$20:$Q$23)+SUM($P$15:$P$17),0)</f>
        <v>0</v>
      </c>
      <c r="S24" s="154">
        <f t="shared" si="1"/>
        <v>-56220</v>
      </c>
    </row>
    <row r="25" spans="1:19" ht="16.5" customHeight="1" x14ac:dyDescent="0.3">
      <c r="A25" s="54"/>
      <c r="B25" s="9"/>
      <c r="C25" s="9" t="s">
        <v>176</v>
      </c>
      <c r="D25" s="9"/>
      <c r="E25" s="140"/>
      <c r="F25" s="141"/>
      <c r="G25" s="141"/>
      <c r="H25" s="142"/>
      <c r="I25" s="142"/>
      <c r="J25" s="150"/>
      <c r="K25" s="171">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14575286</v>
      </c>
      <c r="K26" s="107">
        <f>SUM(K15:K25)</f>
        <v>14575286</v>
      </c>
      <c r="L26" s="8" t="str">
        <f>IF(J26=K26,"&lt;- Debits and Credits equal each other.","&lt;- Debits and Credits do not equal each other.")</f>
        <v>&lt;- Debits and Credits equal each other.</v>
      </c>
    </row>
    <row r="27" spans="1:19" ht="16.5" customHeight="1" x14ac:dyDescent="0.3">
      <c r="A27" s="1"/>
      <c r="B27" s="130" t="s">
        <v>1638</v>
      </c>
      <c r="C27" s="23"/>
      <c r="D27" s="20"/>
      <c r="E27" s="20"/>
      <c r="F27" s="21"/>
      <c r="G27" s="21"/>
      <c r="H27" s="22"/>
      <c r="I27" s="22"/>
      <c r="J27" s="19"/>
      <c r="K27" s="19"/>
      <c r="L27" s="8"/>
    </row>
    <row r="28" spans="1:19" ht="16.2" customHeight="1" x14ac:dyDescent="0.35">
      <c r="A28" s="1"/>
      <c r="B28" s="166" t="s">
        <v>1649</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165</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ADJ)",VLOOKUP($F$9,'[7]Drop Down Menus'!$F$2:$G$10,2,FALSE))</f>
        <v>Cr: Acct 0870 - SERVICES &amp; CHARGES (MG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2410429</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v>8244</v>
      </c>
    </row>
    <row r="58" spans="1:16" ht="16.5" customHeight="1" x14ac:dyDescent="0.3">
      <c r="A58" s="54"/>
      <c r="B58" s="9"/>
      <c r="C58" s="9" t="s">
        <v>178</v>
      </c>
      <c r="D58" s="140"/>
      <c r="E58" s="140"/>
      <c r="F58" s="141"/>
      <c r="G58" s="141"/>
      <c r="H58" s="142"/>
      <c r="I58" s="142"/>
      <c r="J58" s="144"/>
      <c r="K58" s="143">
        <v>2402185</v>
      </c>
    </row>
    <row r="59" spans="1:16" ht="16.5" customHeight="1" x14ac:dyDescent="0.3">
      <c r="A59" s="54"/>
      <c r="C59" s="16"/>
      <c r="D59" s="16"/>
      <c r="E59" s="16"/>
      <c r="F59" s="17"/>
      <c r="G59" s="17"/>
      <c r="H59" s="18"/>
      <c r="I59" s="18"/>
      <c r="J59" s="107">
        <f>SUM(J55:J58)</f>
        <v>2410429</v>
      </c>
      <c r="K59" s="107">
        <f>SUM(K55:K58)</f>
        <v>2410429</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2363610</v>
      </c>
      <c r="K62" s="147"/>
    </row>
    <row r="63" spans="1:16" ht="16.5" customHeight="1" x14ac:dyDescent="0.3">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77218</v>
      </c>
      <c r="K63" s="147"/>
    </row>
    <row r="64" spans="1:16" ht="16.5" customHeight="1" x14ac:dyDescent="0.3">
      <c r="A64" s="54"/>
      <c r="B64" s="9"/>
      <c r="C64" s="9" t="str">
        <f>IF($F$7="Proprietary","Cr: Acct 0870 - SERVICES &amp; CHARGES (MG ADJ)",VLOOKUP($F$9,'[7]Drop Down Menus'!$F$2:$G$10,2,FALSE))</f>
        <v>Cr: Acct 0870 - SERVICES &amp; CHARGES (MG ADJ)</v>
      </c>
      <c r="D64" s="140"/>
      <c r="E64" s="140"/>
      <c r="F64" s="141"/>
      <c r="G64" s="141"/>
      <c r="H64" s="142"/>
      <c r="I64" s="142"/>
      <c r="J64" s="147"/>
      <c r="K64" s="143">
        <v>2440828</v>
      </c>
    </row>
    <row r="65" spans="1:12" ht="16.5" customHeight="1" x14ac:dyDescent="0.3">
      <c r="A65" s="54"/>
      <c r="C65" s="16"/>
      <c r="D65" s="16"/>
      <c r="E65" s="16"/>
      <c r="F65" s="17"/>
      <c r="G65" s="17"/>
      <c r="H65" s="18"/>
      <c r="I65" s="18"/>
      <c r="J65" s="107">
        <f>SUM(J62:J64)</f>
        <v>2440828</v>
      </c>
      <c r="K65" s="107">
        <f>SUM(K62:K64)</f>
        <v>2440828</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2363610</v>
      </c>
      <c r="K68" s="144"/>
    </row>
    <row r="69" spans="1:12" ht="16.5" customHeight="1" x14ac:dyDescent="0.3">
      <c r="A69" s="54"/>
      <c r="B69" s="9"/>
      <c r="C69" s="9" t="s">
        <v>185</v>
      </c>
      <c r="D69" s="140"/>
      <c r="E69" s="140"/>
      <c r="F69" s="141"/>
      <c r="G69" s="141"/>
      <c r="H69" s="142"/>
      <c r="I69" s="142"/>
      <c r="J69" s="144"/>
      <c r="K69" s="143">
        <v>2363610</v>
      </c>
    </row>
    <row r="70" spans="1:12" ht="16.5" customHeight="1" x14ac:dyDescent="0.3">
      <c r="A70" s="54"/>
      <c r="C70" s="16"/>
      <c r="D70" s="16"/>
      <c r="E70" s="16"/>
      <c r="F70" s="17"/>
      <c r="G70" s="17"/>
      <c r="H70" s="18"/>
      <c r="I70" s="18"/>
      <c r="J70" s="107">
        <f>SUM(J68:J69)</f>
        <v>2363610</v>
      </c>
      <c r="K70" s="107">
        <f>SUM(K68:K69)</f>
        <v>2363610</v>
      </c>
      <c r="L70" s="8"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2387375</v>
      </c>
      <c r="K75" s="144"/>
    </row>
    <row r="76" spans="1:12" ht="16.5" customHeight="1" x14ac:dyDescent="0.3">
      <c r="A76" s="54"/>
      <c r="B76" s="9"/>
      <c r="C76" s="9" t="s">
        <v>193</v>
      </c>
      <c r="D76" s="140"/>
      <c r="E76" s="140"/>
      <c r="F76" s="141"/>
      <c r="G76" s="141"/>
      <c r="H76" s="142"/>
      <c r="I76" s="142"/>
      <c r="J76" s="144"/>
      <c r="K76" s="143">
        <v>2387375</v>
      </c>
    </row>
    <row r="77" spans="1:12" ht="16.5" customHeight="1" x14ac:dyDescent="0.25">
      <c r="A77" s="54"/>
      <c r="B77" s="178" t="s">
        <v>1662</v>
      </c>
      <c r="C77" s="178"/>
      <c r="D77" s="178"/>
      <c r="E77" s="178"/>
      <c r="F77" s="178"/>
      <c r="G77" s="178"/>
      <c r="H77" s="178"/>
      <c r="I77" s="178"/>
      <c r="J77" s="107">
        <f>SUM(J75:J76)</f>
        <v>2387375</v>
      </c>
      <c r="K77" s="107">
        <f>SUM(K75:K76)</f>
        <v>2387375</v>
      </c>
      <c r="L77" s="8"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v>113314</v>
      </c>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v>113314</v>
      </c>
    </row>
    <row r="91" spans="1:16" ht="16.5" customHeight="1" x14ac:dyDescent="0.3">
      <c r="B91" s="130" t="s">
        <v>1640</v>
      </c>
      <c r="H91" s="10"/>
      <c r="J91" s="108">
        <f>SUM(J85:J90)</f>
        <v>113314</v>
      </c>
      <c r="K91" s="108">
        <f>SUM(K85:K90)</f>
        <v>113314</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ADJ)",VLOOKUP($F$9,'[7]Drop Down Menus'!$F$2:$H$10,3,FALSE))</f>
        <v>Dr: Acct 0870 - SERVICES &amp; CHARGES (MG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ADJ)",VLOOKUP($F$9,'[7]Drop Down Menus'!$F$2:$G$10,2,FALSE))</f>
        <v>Dr: Acct 0870 - SERVICES &amp; CHARGES (MG ADJ)</v>
      </c>
      <c r="D104" s="25"/>
      <c r="E104" s="25"/>
      <c r="F104" s="25"/>
      <c r="G104" s="25"/>
      <c r="H104" s="25"/>
      <c r="I104" s="25"/>
      <c r="J104" s="25"/>
      <c r="K104" s="143"/>
    </row>
    <row r="105" spans="1:12" ht="16.5" customHeight="1" x14ac:dyDescent="0.3">
      <c r="B105" s="130" t="s">
        <v>1640</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41218</v>
      </c>
    </row>
    <row r="124" spans="1:12" ht="16.5" customHeight="1" x14ac:dyDescent="0.3">
      <c r="D124" s="140" t="s">
        <v>1652</v>
      </c>
      <c r="H124" s="10"/>
      <c r="K124" s="169">
        <f>J17+J41-K90-K103+J112</f>
        <v>14216103</v>
      </c>
    </row>
    <row r="125" spans="1:12" ht="16.5" customHeight="1" x14ac:dyDescent="0.3">
      <c r="D125" s="140" t="s">
        <v>1653</v>
      </c>
      <c r="H125" s="10"/>
      <c r="K125" s="169">
        <f>-K20-K56+J85+J97</f>
        <v>0</v>
      </c>
    </row>
    <row r="126" spans="1:12" ht="16.5" customHeight="1" x14ac:dyDescent="0.3">
      <c r="D126" s="140" t="s">
        <v>1654</v>
      </c>
      <c r="H126" s="10"/>
      <c r="K126" s="169">
        <f>-K21-K57+J86+J98</f>
        <v>-24731</v>
      </c>
    </row>
    <row r="127" spans="1:12" ht="16.5" customHeight="1" x14ac:dyDescent="0.3">
      <c r="D127" s="140" t="s">
        <v>1655</v>
      </c>
      <c r="H127" s="10"/>
      <c r="K127" s="169">
        <f>-K22-K58+J87+J99</f>
        <v>-7035318</v>
      </c>
    </row>
    <row r="128" spans="1:12" ht="16.5" customHeight="1" x14ac:dyDescent="0.3">
      <c r="D128" s="140" t="s">
        <v>1656</v>
      </c>
      <c r="H128" s="10"/>
      <c r="K128" s="169">
        <f>-K23-K48+J68+J75+J96-K113</f>
        <v>-5061367</v>
      </c>
    </row>
    <row r="129" spans="4:11" ht="16.5" customHeight="1" x14ac:dyDescent="0.3">
      <c r="D129" s="140" t="s">
        <v>1657</v>
      </c>
      <c r="H129" s="10"/>
      <c r="K129" s="169">
        <f>-K76</f>
        <v>-2387375</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046388B1-D21B-4CB7-A111-D3A4C7DC6FB4}"/>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D512B29-1B16-4172-B2C3-85B9CF3D8A78}">
      <formula1>0</formula1>
    </dataValidation>
    <dataValidation type="textLength" operator="equal" allowBlank="1" showInputMessage="1" showErrorMessage="1" errorTitle="4-Digit Org Code" error="Enter the Org Code/BU as 4 digits." sqref="F5" xr:uid="{64B83E29-D3A4-4F3A-B19E-762A143338AA}">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67179-A49B-42CF-87E0-2F016E9DC081}">
  <sheetPr codeName="Sheet27">
    <tabColor theme="9" tint="0.59999389629810485"/>
    <pageSetUpPr fitToPage="1"/>
  </sheetPr>
  <dimension ref="A1:S193"/>
  <sheetViews>
    <sheetView topLeftCell="A12" zoomScale="70" zoomScaleNormal="70" workbookViewId="0">
      <selection activeCell="P30" sqref="P30"/>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9" t="s">
        <v>1629</v>
      </c>
      <c r="B1" s="179"/>
      <c r="C1" s="179"/>
      <c r="D1" s="179"/>
      <c r="E1" s="179"/>
      <c r="F1" s="179"/>
      <c r="G1" s="179"/>
      <c r="H1" s="179"/>
      <c r="I1" s="179"/>
      <c r="J1" s="179"/>
      <c r="K1" s="17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5" t="s">
        <v>10</v>
      </c>
      <c r="B3" s="175"/>
      <c r="C3" s="175"/>
      <c r="D3" s="175"/>
      <c r="E3" s="175"/>
      <c r="F3" s="180" t="s">
        <v>21</v>
      </c>
      <c r="G3" s="180"/>
      <c r="H3" s="180"/>
      <c r="I3" s="180"/>
    </row>
    <row r="4" spans="1:19" ht="16.5" customHeight="1" x14ac:dyDescent="0.25">
      <c r="A4" s="175" t="s">
        <v>191</v>
      </c>
      <c r="B4" s="175"/>
      <c r="C4" s="175"/>
      <c r="D4" s="175"/>
      <c r="E4" s="175"/>
      <c r="F4" s="181" t="s">
        <v>1676</v>
      </c>
      <c r="G4" s="181"/>
      <c r="H4" s="181"/>
      <c r="I4" s="181"/>
    </row>
    <row r="5" spans="1:19" ht="16.5" customHeight="1" x14ac:dyDescent="0.25">
      <c r="A5" s="175" t="s">
        <v>1615</v>
      </c>
      <c r="B5" s="175"/>
      <c r="C5" s="175"/>
      <c r="D5" s="175"/>
      <c r="E5" s="175"/>
      <c r="F5" s="181" t="s">
        <v>316</v>
      </c>
      <c r="G5" s="181"/>
      <c r="H5" s="181"/>
      <c r="I5" s="181"/>
      <c r="L5" s="12"/>
      <c r="M5" s="12"/>
      <c r="N5" s="12"/>
      <c r="O5" s="12"/>
      <c r="P5" s="12"/>
      <c r="Q5" s="12"/>
    </row>
    <row r="6" spans="1:19" ht="16.5" customHeight="1" x14ac:dyDescent="0.3">
      <c r="A6" s="175" t="s">
        <v>1634</v>
      </c>
      <c r="B6" s="175"/>
      <c r="C6" s="175"/>
      <c r="D6" s="175"/>
      <c r="E6" s="175"/>
      <c r="F6" s="182">
        <v>9740</v>
      </c>
      <c r="G6" s="182"/>
      <c r="H6" s="182"/>
      <c r="I6" s="182"/>
      <c r="L6" s="13"/>
      <c r="M6" s="13"/>
      <c r="N6" s="13"/>
      <c r="O6" s="13"/>
      <c r="P6" s="12"/>
      <c r="Q6" s="12"/>
    </row>
    <row r="7" spans="1:19" ht="16.5" customHeight="1" x14ac:dyDescent="0.3">
      <c r="A7" s="175" t="s">
        <v>1</v>
      </c>
      <c r="B7" s="175"/>
      <c r="C7" s="175"/>
      <c r="D7" s="175"/>
      <c r="E7" s="175"/>
      <c r="F7" s="182" t="s">
        <v>121</v>
      </c>
      <c r="G7" s="182"/>
      <c r="H7" s="182"/>
      <c r="I7" s="182"/>
      <c r="K7" s="53"/>
      <c r="L7" s="13"/>
      <c r="M7" s="13"/>
      <c r="N7" s="13"/>
      <c r="O7" s="13"/>
      <c r="P7" s="12"/>
      <c r="Q7" s="12"/>
    </row>
    <row r="8" spans="1:19" ht="16.5" customHeight="1" x14ac:dyDescent="0.3">
      <c r="A8" s="175" t="s">
        <v>1616</v>
      </c>
      <c r="B8" s="175"/>
      <c r="C8" s="175"/>
      <c r="D8" s="175"/>
      <c r="E8" s="175"/>
      <c r="F8" s="182" t="s">
        <v>131</v>
      </c>
      <c r="G8" s="182"/>
      <c r="H8" s="182"/>
      <c r="I8" s="182"/>
      <c r="K8" s="53"/>
      <c r="L8" s="13"/>
      <c r="M8" s="13"/>
      <c r="N8" s="13"/>
      <c r="O8" s="13"/>
      <c r="P8" s="12"/>
      <c r="Q8" s="12"/>
    </row>
    <row r="9" spans="1:19" ht="16.5" customHeight="1" x14ac:dyDescent="0.3">
      <c r="A9" s="175" t="s">
        <v>1614</v>
      </c>
      <c r="B9" s="175"/>
      <c r="C9" s="175"/>
      <c r="D9" s="175"/>
      <c r="E9" s="175"/>
      <c r="F9" s="183" t="str">
        <f>IFERROR(IF(F7="Proprietary","Proprietary Fund",VLOOKUP(F5,[7]qryIndex02a!$A$2:$K$654,4,FALSE)),"Unidentified")</f>
        <v>Proprietary Fund</v>
      </c>
      <c r="G9" s="183"/>
      <c r="H9" s="183"/>
      <c r="I9" s="18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164</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1632</v>
      </c>
      <c r="C14" s="16"/>
      <c r="D14" s="16"/>
      <c r="E14" s="16"/>
      <c r="F14" s="17"/>
      <c r="G14" s="17"/>
      <c r="H14" s="18"/>
      <c r="I14" s="18"/>
      <c r="J14" s="134"/>
      <c r="K14" s="134"/>
      <c r="L14" s="135"/>
      <c r="M14" s="176" t="s">
        <v>1633</v>
      </c>
      <c r="N14" s="177"/>
      <c r="O14" s="135"/>
      <c r="P14" s="176" t="s">
        <v>1630</v>
      </c>
      <c r="Q14" s="177"/>
      <c r="R14" s="135"/>
      <c r="S14" s="153" t="s">
        <v>1631</v>
      </c>
    </row>
    <row r="15" spans="1:19" ht="16.5" customHeight="1" x14ac:dyDescent="0.3">
      <c r="A15" s="159" t="s">
        <v>1637</v>
      </c>
      <c r="B15" s="9" t="s">
        <v>170</v>
      </c>
      <c r="C15" s="9"/>
      <c r="D15" s="9"/>
      <c r="E15" s="140"/>
      <c r="F15" s="141"/>
      <c r="G15" s="141"/>
      <c r="H15" s="142"/>
      <c r="I15" s="142"/>
      <c r="J15" s="171">
        <f>M15</f>
        <v>0</v>
      </c>
      <c r="M15" s="143"/>
      <c r="P15" s="143"/>
      <c r="Q15" s="155"/>
      <c r="S15" s="154">
        <f t="shared" ref="S15:S20" si="0">P15-M15</f>
        <v>0</v>
      </c>
    </row>
    <row r="16" spans="1:19" ht="16.5" customHeight="1" x14ac:dyDescent="0.3">
      <c r="A16" s="159" t="s">
        <v>1637</v>
      </c>
      <c r="B16" s="9" t="s">
        <v>171</v>
      </c>
      <c r="C16" s="9"/>
      <c r="D16" s="9"/>
      <c r="E16" s="140"/>
      <c r="F16" s="141"/>
      <c r="G16" s="141"/>
      <c r="H16" s="142"/>
      <c r="I16" s="142"/>
      <c r="J16" s="171">
        <f>M16</f>
        <v>0</v>
      </c>
      <c r="M16" s="143"/>
      <c r="P16" s="143"/>
      <c r="Q16" s="155"/>
      <c r="S16" s="154">
        <f t="shared" si="0"/>
        <v>0</v>
      </c>
    </row>
    <row r="17" spans="1:19" ht="16.5" customHeight="1" x14ac:dyDescent="0.3">
      <c r="A17" s="159" t="s">
        <v>1637</v>
      </c>
      <c r="B17" s="9" t="s">
        <v>172</v>
      </c>
      <c r="C17" s="9"/>
      <c r="D17" s="9"/>
      <c r="E17" s="140"/>
      <c r="F17" s="141"/>
      <c r="G17" s="141"/>
      <c r="H17" s="142"/>
      <c r="I17" s="142"/>
      <c r="J17" s="171">
        <f>M17</f>
        <v>50095</v>
      </c>
      <c r="M17" s="143">
        <v>50095</v>
      </c>
      <c r="P17" s="143">
        <v>50095</v>
      </c>
      <c r="Q17" s="155"/>
      <c r="S17" s="154">
        <f t="shared" si="0"/>
        <v>0</v>
      </c>
    </row>
    <row r="18" spans="1:19" ht="16.5" customHeight="1" x14ac:dyDescent="0.3">
      <c r="A18" s="54"/>
      <c r="B18" s="9" t="s">
        <v>168</v>
      </c>
      <c r="C18" s="9"/>
      <c r="D18" s="9"/>
      <c r="E18" s="140"/>
      <c r="F18" s="141"/>
      <c r="G18" s="141"/>
      <c r="H18" s="142"/>
      <c r="I18" s="142"/>
      <c r="J18" s="171">
        <f>P18</f>
        <v>930</v>
      </c>
      <c r="M18" s="143">
        <v>929</v>
      </c>
      <c r="P18" s="152">
        <f>IF(SUM($Q$20:$Q$23)&gt;SUM($P$15:$P$17),SUM($Q$20:$Q$23)-SUM($P$15:$P$17),0)</f>
        <v>930</v>
      </c>
      <c r="Q18" s="155"/>
      <c r="S18" s="154">
        <f t="shared" si="0"/>
        <v>1</v>
      </c>
    </row>
    <row r="19" spans="1:19" ht="16.5" customHeight="1" x14ac:dyDescent="0.3">
      <c r="A19" s="54"/>
      <c r="B19" s="9" t="s">
        <v>169</v>
      </c>
      <c r="C19" s="9"/>
      <c r="D19" s="9"/>
      <c r="E19" s="140"/>
      <c r="F19" s="141"/>
      <c r="G19" s="141"/>
      <c r="H19" s="142"/>
      <c r="I19" s="142"/>
      <c r="J19" s="171">
        <f>IF(SUM($K$20:$K$24)&gt;SUM($J$15:$J$18),SUM($K$20:$K$24)-SUM($J$15:$J$18),0)</f>
        <v>0</v>
      </c>
      <c r="M19" s="143"/>
      <c r="P19" s="155"/>
      <c r="Q19" s="155"/>
      <c r="S19" s="154">
        <f t="shared" si="0"/>
        <v>0</v>
      </c>
    </row>
    <row r="20" spans="1:19" ht="16.5" customHeight="1" x14ac:dyDescent="0.3">
      <c r="A20" s="54"/>
      <c r="B20" s="9"/>
      <c r="C20" s="9" t="s">
        <v>177</v>
      </c>
      <c r="D20" s="9"/>
      <c r="E20" s="140"/>
      <c r="F20" s="141"/>
      <c r="G20" s="141"/>
      <c r="H20" s="142"/>
      <c r="I20" s="142"/>
      <c r="J20" s="150"/>
      <c r="K20" s="171">
        <f>N20</f>
        <v>0</v>
      </c>
      <c r="N20" s="143"/>
      <c r="P20" s="155"/>
      <c r="Q20" s="143"/>
      <c r="S20" s="154">
        <f t="shared" si="0"/>
        <v>0</v>
      </c>
    </row>
    <row r="21" spans="1:19" ht="16.5" customHeight="1" x14ac:dyDescent="0.3">
      <c r="A21" s="54"/>
      <c r="B21" s="9"/>
      <c r="C21" s="9" t="s">
        <v>174</v>
      </c>
      <c r="D21" s="9"/>
      <c r="E21" s="140"/>
      <c r="F21" s="141"/>
      <c r="G21" s="141"/>
      <c r="H21" s="142"/>
      <c r="I21" s="142"/>
      <c r="J21" s="150"/>
      <c r="K21" s="171">
        <f>N21</f>
        <v>0</v>
      </c>
      <c r="N21" s="143"/>
      <c r="P21" s="155"/>
      <c r="Q21" s="143"/>
      <c r="S21" s="154">
        <f>Q21-N21</f>
        <v>0</v>
      </c>
    </row>
    <row r="22" spans="1:19" ht="16.5" customHeight="1" x14ac:dyDescent="0.3">
      <c r="A22" s="54"/>
      <c r="B22" s="9"/>
      <c r="C22" s="9" t="s">
        <v>178</v>
      </c>
      <c r="D22" s="9"/>
      <c r="E22" s="140"/>
      <c r="F22" s="141"/>
      <c r="G22" s="141"/>
      <c r="H22" s="142"/>
      <c r="I22" s="142"/>
      <c r="J22" s="150"/>
      <c r="K22" s="171">
        <f>N22</f>
        <v>17175</v>
      </c>
      <c r="N22" s="143">
        <v>17175</v>
      </c>
      <c r="P22" s="155"/>
      <c r="Q22" s="143">
        <v>17176</v>
      </c>
      <c r="S22" s="154">
        <f t="shared" ref="S22:S25" si="1">Q22-N22</f>
        <v>1</v>
      </c>
    </row>
    <row r="23" spans="1:19" ht="16.5" customHeight="1" x14ac:dyDescent="0.3">
      <c r="A23" s="165" t="s">
        <v>1645</v>
      </c>
      <c r="B23" s="9"/>
      <c r="C23" s="9" t="s">
        <v>173</v>
      </c>
      <c r="D23" s="9"/>
      <c r="E23" s="140"/>
      <c r="F23" s="141"/>
      <c r="G23" s="141"/>
      <c r="H23" s="142"/>
      <c r="I23" s="142"/>
      <c r="J23" s="150"/>
      <c r="K23" s="171">
        <f>N23</f>
        <v>33849</v>
      </c>
      <c r="N23" s="143">
        <v>33849</v>
      </c>
      <c r="P23" s="155"/>
      <c r="Q23" s="143">
        <v>33849</v>
      </c>
      <c r="S23" s="154">
        <f t="shared" si="1"/>
        <v>0</v>
      </c>
    </row>
    <row r="24" spans="1:19" ht="16.5" customHeight="1" x14ac:dyDescent="0.3">
      <c r="A24" s="54"/>
      <c r="B24" s="9"/>
      <c r="C24" s="9" t="s">
        <v>175</v>
      </c>
      <c r="D24" s="9"/>
      <c r="E24" s="140"/>
      <c r="F24" s="141"/>
      <c r="G24" s="141"/>
      <c r="H24" s="142"/>
      <c r="I24" s="142"/>
      <c r="J24" s="150"/>
      <c r="K24" s="171">
        <f>Q24</f>
        <v>0</v>
      </c>
      <c r="N24" s="143"/>
      <c r="P24" s="155"/>
      <c r="Q24" s="152">
        <f>IF(SUM($Q$20:$Q$23)&lt;SUM($P$15:$P$17),-SUM($Q$20:$Q$23)+SUM($P$15:$P$17),0)</f>
        <v>0</v>
      </c>
      <c r="S24" s="154">
        <f t="shared" si="1"/>
        <v>0</v>
      </c>
    </row>
    <row r="25" spans="1:19" ht="16.5" customHeight="1" x14ac:dyDescent="0.3">
      <c r="A25" s="54"/>
      <c r="B25" s="9"/>
      <c r="C25" s="9" t="s">
        <v>176</v>
      </c>
      <c r="D25" s="9"/>
      <c r="E25" s="140"/>
      <c r="F25" s="141"/>
      <c r="G25" s="141"/>
      <c r="H25" s="142"/>
      <c r="I25" s="142"/>
      <c r="J25" s="150"/>
      <c r="K25" s="171">
        <f>IF(SUM($K$20:$K$24)&lt;SUM($J$15:$J$18),-SUM($K$20:$K$24)+SUM($J$15:$J$18),0)</f>
        <v>1</v>
      </c>
      <c r="N25" s="143"/>
      <c r="P25" s="155"/>
      <c r="Q25" s="155"/>
      <c r="S25" s="154">
        <f t="shared" si="1"/>
        <v>0</v>
      </c>
    </row>
    <row r="26" spans="1:19" ht="16.5" customHeight="1" x14ac:dyDescent="0.3">
      <c r="A26" s="54"/>
      <c r="C26" s="20"/>
      <c r="D26" s="20"/>
      <c r="E26" s="20"/>
      <c r="F26" s="127"/>
      <c r="G26" s="127"/>
      <c r="H26" s="22"/>
      <c r="I26" s="22"/>
      <c r="J26" s="107">
        <f>SUM(J15:J25)</f>
        <v>51025</v>
      </c>
      <c r="K26" s="107">
        <f>SUM(K15:K25)</f>
        <v>51025</v>
      </c>
      <c r="L26" s="8" t="str">
        <f>IF(J26=K26,"&lt;- Debits and Credits equal each other.","&lt;- Debits and Credits do not equal each other.")</f>
        <v>&lt;- Debits and Credits equal each other.</v>
      </c>
    </row>
    <row r="27" spans="1:19" ht="16.5" customHeight="1" x14ac:dyDescent="0.3">
      <c r="A27" s="1"/>
      <c r="B27" s="130" t="s">
        <v>1638</v>
      </c>
      <c r="C27" s="23"/>
      <c r="D27" s="20"/>
      <c r="E27" s="20"/>
      <c r="F27" s="21"/>
      <c r="G27" s="21"/>
      <c r="H27" s="22"/>
      <c r="I27" s="22"/>
      <c r="J27" s="19"/>
      <c r="K27" s="19"/>
      <c r="L27" s="8"/>
    </row>
    <row r="28" spans="1:19" ht="16.2" customHeight="1" x14ac:dyDescent="0.35">
      <c r="A28" s="1"/>
      <c r="B28" s="166" t="s">
        <v>1649</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165</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1665</v>
      </c>
      <c r="D32" s="138"/>
      <c r="E32" s="138"/>
      <c r="F32" s="139"/>
      <c r="G32" s="139"/>
      <c r="H32" s="130"/>
      <c r="I32" s="130"/>
      <c r="J32" s="134"/>
      <c r="K32" s="134"/>
    </row>
    <row r="33" spans="1:12" ht="16.5" customHeight="1" x14ac:dyDescent="0.3">
      <c r="B33" s="9" t="s">
        <v>179</v>
      </c>
      <c r="C33" s="9"/>
      <c r="D33" s="140"/>
      <c r="E33" s="140"/>
      <c r="F33" s="141"/>
      <c r="G33" s="141"/>
      <c r="H33" s="142"/>
      <c r="I33" s="142"/>
      <c r="J33" s="143"/>
      <c r="K33" s="144"/>
    </row>
    <row r="34" spans="1:12" ht="16.5" customHeight="1" x14ac:dyDescent="0.3">
      <c r="A34" s="54"/>
      <c r="B34" s="9"/>
      <c r="C34" s="9" t="s">
        <v>1663</v>
      </c>
      <c r="D34" s="140"/>
      <c r="E34" s="140"/>
      <c r="F34" s="141"/>
      <c r="G34" s="141"/>
      <c r="H34" s="142"/>
      <c r="I34" s="142"/>
      <c r="J34" s="144"/>
      <c r="K34" s="143"/>
    </row>
    <row r="35" spans="1:12" ht="16.5" customHeight="1" x14ac:dyDescent="0.3">
      <c r="A35" s="54"/>
      <c r="B35" s="9"/>
      <c r="C35" s="9" t="str">
        <f>IF($F$7="Proprietary","Cr: Acct 0870 - SERVICES &amp; CHARGES (MG ADJ)",VLOOKUP($F$9,'[7]Drop Down Menus'!$F$2:$G$10,2,FALSE))</f>
        <v>Cr: Acct 0870 - SERVICES &amp; CHARGES (MG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181</v>
      </c>
      <c r="C38" s="16"/>
      <c r="D38" s="16"/>
      <c r="E38" s="16"/>
      <c r="F38" s="17"/>
      <c r="G38" s="17"/>
      <c r="H38" s="18"/>
      <c r="I38" s="18"/>
      <c r="J38" s="19"/>
      <c r="K38" s="19"/>
      <c r="L38" s="8"/>
    </row>
    <row r="39" spans="1:12" ht="16.5" customHeight="1" x14ac:dyDescent="0.3">
      <c r="A39" s="159" t="s">
        <v>1637</v>
      </c>
      <c r="B39" s="9" t="s">
        <v>170</v>
      </c>
      <c r="C39" s="9"/>
      <c r="D39" s="140"/>
      <c r="E39" s="140"/>
      <c r="F39" s="141"/>
      <c r="G39" s="141"/>
      <c r="H39" s="142"/>
      <c r="I39" s="142"/>
      <c r="J39" s="143"/>
      <c r="K39" s="144"/>
    </row>
    <row r="40" spans="1:12" ht="16.5" customHeight="1" x14ac:dyDescent="0.3">
      <c r="A40" s="159" t="s">
        <v>1637</v>
      </c>
      <c r="B40" s="9" t="s">
        <v>171</v>
      </c>
      <c r="C40" s="9"/>
      <c r="D40" s="140"/>
      <c r="E40" s="140"/>
      <c r="F40" s="141"/>
      <c r="G40" s="141"/>
      <c r="H40" s="142"/>
      <c r="I40" s="142"/>
      <c r="J40" s="143"/>
      <c r="K40" s="144"/>
    </row>
    <row r="41" spans="1:12" ht="16.5" customHeight="1" x14ac:dyDescent="0.3">
      <c r="A41" s="159" t="s">
        <v>1637</v>
      </c>
      <c r="B41" s="9" t="s">
        <v>172</v>
      </c>
      <c r="C41" s="9"/>
      <c r="D41" s="140"/>
      <c r="E41" s="140"/>
      <c r="F41" s="141"/>
      <c r="G41" s="141"/>
      <c r="H41" s="142"/>
      <c r="I41" s="142"/>
      <c r="J41" s="143"/>
      <c r="K41" s="144"/>
    </row>
    <row r="42" spans="1:12" ht="16.5" customHeight="1" x14ac:dyDescent="0.3">
      <c r="A42" s="54"/>
      <c r="B42" s="9"/>
      <c r="C42" s="9" t="s">
        <v>180</v>
      </c>
      <c r="D42" s="140"/>
      <c r="E42" s="140"/>
      <c r="F42" s="141"/>
      <c r="G42" s="141"/>
      <c r="H42" s="142"/>
      <c r="I42" s="142"/>
      <c r="J42" s="144"/>
      <c r="K42" s="143"/>
    </row>
    <row r="43" spans="1:12" ht="16.5" customHeight="1" x14ac:dyDescent="0.3">
      <c r="A43" s="54"/>
      <c r="B43" s="130" t="s">
        <v>1639</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128</v>
      </c>
      <c r="C46" s="138"/>
      <c r="D46" s="138"/>
      <c r="E46" s="138"/>
      <c r="F46" s="139"/>
      <c r="G46" s="139"/>
      <c r="H46" s="130"/>
      <c r="I46" s="130"/>
      <c r="J46" s="134"/>
      <c r="K46" s="134"/>
    </row>
    <row r="47" spans="1:12" ht="16.5" customHeight="1" x14ac:dyDescent="0.3">
      <c r="B47" s="9" t="s">
        <v>1664</v>
      </c>
      <c r="C47" s="9"/>
      <c r="D47" s="140"/>
      <c r="E47" s="140"/>
      <c r="F47" s="141"/>
      <c r="G47" s="141"/>
      <c r="H47" s="142"/>
      <c r="I47" s="142"/>
      <c r="J47" s="143"/>
      <c r="K47" s="144"/>
    </row>
    <row r="48" spans="1:12" ht="16.5" customHeight="1" x14ac:dyDescent="0.3">
      <c r="A48" s="165" t="s">
        <v>1645</v>
      </c>
      <c r="B48" s="9"/>
      <c r="C48" s="9" t="s">
        <v>173</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1648</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166</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126</v>
      </c>
      <c r="C54" s="138"/>
      <c r="D54" s="138"/>
      <c r="E54" s="138"/>
      <c r="F54" s="139"/>
      <c r="G54" s="139"/>
      <c r="H54" s="130"/>
      <c r="I54" s="130"/>
      <c r="J54" s="134"/>
      <c r="K54" s="134"/>
    </row>
    <row r="55" spans="1:16" ht="16.5" customHeight="1" x14ac:dyDescent="0.3">
      <c r="B55" s="9" t="s">
        <v>182</v>
      </c>
      <c r="C55" s="25"/>
      <c r="D55" s="140"/>
      <c r="E55" s="140"/>
      <c r="F55" s="141"/>
      <c r="G55" s="141"/>
      <c r="H55" s="142"/>
      <c r="I55" s="142"/>
      <c r="J55" s="143">
        <v>8588</v>
      </c>
      <c r="K55" s="144"/>
    </row>
    <row r="56" spans="1:16" ht="16.5" customHeight="1" x14ac:dyDescent="0.3">
      <c r="A56" s="54"/>
      <c r="B56" s="25"/>
      <c r="C56" s="9" t="s">
        <v>177</v>
      </c>
      <c r="D56" s="140"/>
      <c r="E56" s="140"/>
      <c r="F56" s="141"/>
      <c r="G56" s="141"/>
      <c r="H56" s="142"/>
      <c r="I56" s="142"/>
      <c r="J56" s="145"/>
      <c r="K56" s="143"/>
    </row>
    <row r="57" spans="1:16" ht="16.5" customHeight="1" x14ac:dyDescent="0.3">
      <c r="A57" s="54"/>
      <c r="B57" s="25"/>
      <c r="C57" s="9" t="s">
        <v>174</v>
      </c>
      <c r="D57" s="140"/>
      <c r="E57" s="140"/>
      <c r="F57" s="141"/>
      <c r="G57" s="141"/>
      <c r="H57" s="142"/>
      <c r="I57" s="142"/>
      <c r="J57" s="145"/>
      <c r="K57" s="143"/>
    </row>
    <row r="58" spans="1:16" ht="16.5" customHeight="1" x14ac:dyDescent="0.3">
      <c r="A58" s="54"/>
      <c r="B58" s="9"/>
      <c r="C58" s="9" t="s">
        <v>178</v>
      </c>
      <c r="D58" s="140"/>
      <c r="E58" s="140"/>
      <c r="F58" s="141"/>
      <c r="G58" s="141"/>
      <c r="H58" s="142"/>
      <c r="I58" s="142"/>
      <c r="J58" s="144"/>
      <c r="K58" s="143">
        <v>8588</v>
      </c>
    </row>
    <row r="59" spans="1:16" ht="16.5" customHeight="1" x14ac:dyDescent="0.3">
      <c r="A59" s="54"/>
      <c r="C59" s="16"/>
      <c r="D59" s="16"/>
      <c r="E59" s="16"/>
      <c r="F59" s="17"/>
      <c r="G59" s="17"/>
      <c r="H59" s="18"/>
      <c r="I59" s="18"/>
      <c r="J59" s="107">
        <f>SUM(J55:J58)</f>
        <v>8588</v>
      </c>
      <c r="K59" s="107">
        <f>SUM(K55:K58)</f>
        <v>8588</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1666</v>
      </c>
      <c r="C61" s="138"/>
      <c r="D61" s="138"/>
      <c r="E61" s="138"/>
      <c r="F61" s="139"/>
      <c r="G61" s="139"/>
      <c r="H61" s="130"/>
      <c r="I61" s="130"/>
      <c r="J61" s="134"/>
      <c r="K61" s="134"/>
    </row>
    <row r="62" spans="1:16" ht="16.5" customHeight="1" x14ac:dyDescent="0.3">
      <c r="B62" s="9" t="s">
        <v>183</v>
      </c>
      <c r="C62" s="9"/>
      <c r="D62" s="140"/>
      <c r="E62" s="140"/>
      <c r="F62" s="141"/>
      <c r="G62" s="141"/>
      <c r="H62" s="142"/>
      <c r="I62" s="142"/>
      <c r="J62" s="146">
        <v>8360</v>
      </c>
      <c r="K62" s="147"/>
    </row>
    <row r="63" spans="1:16" ht="16.5" customHeight="1" x14ac:dyDescent="0.3">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271</v>
      </c>
      <c r="K63" s="147"/>
    </row>
    <row r="64" spans="1:16" ht="16.5" customHeight="1" x14ac:dyDescent="0.3">
      <c r="A64" s="54"/>
      <c r="B64" s="9"/>
      <c r="C64" s="9" t="str">
        <f>IF($F$7="Proprietary","Cr: Acct 0870 - SERVICES &amp; CHARGES (MG ADJ)",VLOOKUP($F$9,'[7]Drop Down Menus'!$F$2:$G$10,2,FALSE))</f>
        <v>Cr: Acct 0870 - SERVICES &amp; CHARGES (MG ADJ)</v>
      </c>
      <c r="D64" s="140"/>
      <c r="E64" s="140"/>
      <c r="F64" s="141"/>
      <c r="G64" s="141"/>
      <c r="H64" s="142"/>
      <c r="I64" s="142"/>
      <c r="J64" s="147"/>
      <c r="K64" s="143">
        <v>8631</v>
      </c>
    </row>
    <row r="65" spans="1:12" ht="16.5" customHeight="1" x14ac:dyDescent="0.3">
      <c r="A65" s="54"/>
      <c r="C65" s="16"/>
      <c r="D65" s="16"/>
      <c r="E65" s="16"/>
      <c r="F65" s="17"/>
      <c r="G65" s="17"/>
      <c r="H65" s="18"/>
      <c r="I65" s="18"/>
      <c r="J65" s="107">
        <f>SUM(J62:J64)</f>
        <v>8631</v>
      </c>
      <c r="K65" s="107">
        <f>SUM(K62:K64)</f>
        <v>8631</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129</v>
      </c>
      <c r="C67" s="138"/>
      <c r="D67" s="138"/>
      <c r="E67" s="138"/>
      <c r="F67" s="139"/>
      <c r="G67" s="139"/>
      <c r="H67" s="130"/>
      <c r="I67" s="130"/>
      <c r="J67" s="134"/>
      <c r="K67" s="134"/>
    </row>
    <row r="68" spans="1:12" ht="16.5" customHeight="1" x14ac:dyDescent="0.3">
      <c r="A68" s="165" t="s">
        <v>1645</v>
      </c>
      <c r="B68" s="9" t="s">
        <v>184</v>
      </c>
      <c r="C68" s="9"/>
      <c r="D68" s="140"/>
      <c r="E68" s="140"/>
      <c r="F68" s="141"/>
      <c r="G68" s="141"/>
      <c r="H68" s="142"/>
      <c r="I68" s="142"/>
      <c r="J68" s="143">
        <v>8360</v>
      </c>
      <c r="K68" s="144"/>
    </row>
    <row r="69" spans="1:12" ht="16.5" customHeight="1" x14ac:dyDescent="0.3">
      <c r="A69" s="54"/>
      <c r="B69" s="9"/>
      <c r="C69" s="9" t="s">
        <v>185</v>
      </c>
      <c r="D69" s="140"/>
      <c r="E69" s="140"/>
      <c r="F69" s="141"/>
      <c r="G69" s="141"/>
      <c r="H69" s="142"/>
      <c r="I69" s="142"/>
      <c r="J69" s="144"/>
      <c r="K69" s="143">
        <v>8360</v>
      </c>
    </row>
    <row r="70" spans="1:12" ht="16.5" customHeight="1" x14ac:dyDescent="0.3">
      <c r="A70" s="54"/>
      <c r="C70" s="16"/>
      <c r="D70" s="16"/>
      <c r="E70" s="16"/>
      <c r="F70" s="17"/>
      <c r="G70" s="17"/>
      <c r="H70" s="18"/>
      <c r="I70" s="18"/>
      <c r="J70" s="107">
        <f>SUM(J68:J69)</f>
        <v>8360</v>
      </c>
      <c r="K70" s="107">
        <f>SUM(K68:K69)</f>
        <v>8360</v>
      </c>
      <c r="L70" s="8" t="str">
        <f>IF(J70=K70,"&lt;- Debits and Credits equal each other.","&lt;- Debits and Credits do not equal each other.")</f>
        <v>&lt;- Debits and Credits equal each other.</v>
      </c>
    </row>
    <row r="71" spans="1:12" ht="16.5" customHeight="1" x14ac:dyDescent="0.3">
      <c r="A71" s="54"/>
      <c r="B71" s="166" t="s">
        <v>1646</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127</v>
      </c>
      <c r="C74" s="138"/>
      <c r="D74" s="138"/>
      <c r="E74" s="138"/>
      <c r="F74" s="139"/>
      <c r="G74" s="139"/>
      <c r="H74" s="130"/>
      <c r="I74" s="130"/>
      <c r="J74" s="134"/>
      <c r="K74" s="134"/>
    </row>
    <row r="75" spans="1:12" ht="16.5" customHeight="1" x14ac:dyDescent="0.3">
      <c r="A75" s="165" t="s">
        <v>1645</v>
      </c>
      <c r="B75" s="9" t="s">
        <v>184</v>
      </c>
      <c r="C75" s="9"/>
      <c r="D75" s="140"/>
      <c r="E75" s="140"/>
      <c r="F75" s="141"/>
      <c r="G75" s="141"/>
      <c r="H75" s="142"/>
      <c r="I75" s="142"/>
      <c r="J75" s="143">
        <v>8693</v>
      </c>
      <c r="K75" s="144"/>
    </row>
    <row r="76" spans="1:12" ht="16.5" customHeight="1" x14ac:dyDescent="0.3">
      <c r="A76" s="54"/>
      <c r="B76" s="9"/>
      <c r="C76" s="9" t="s">
        <v>193</v>
      </c>
      <c r="D76" s="140"/>
      <c r="E76" s="140"/>
      <c r="F76" s="141"/>
      <c r="G76" s="141"/>
      <c r="H76" s="142"/>
      <c r="I76" s="142"/>
      <c r="J76" s="144"/>
      <c r="K76" s="143">
        <v>8693</v>
      </c>
    </row>
    <row r="77" spans="1:12" ht="16.5" customHeight="1" x14ac:dyDescent="0.25">
      <c r="A77" s="54"/>
      <c r="B77" s="178" t="s">
        <v>1662</v>
      </c>
      <c r="C77" s="178"/>
      <c r="D77" s="178"/>
      <c r="E77" s="178"/>
      <c r="F77" s="178"/>
      <c r="G77" s="178"/>
      <c r="H77" s="178"/>
      <c r="I77" s="178"/>
      <c r="J77" s="107">
        <f>SUM(J75:J76)</f>
        <v>8693</v>
      </c>
      <c r="K77" s="107">
        <f>SUM(K75:K76)</f>
        <v>8693</v>
      </c>
      <c r="L77" s="8" t="str">
        <f>IF(J77=K77,"&lt;- Debits and Credits equal each other.","&lt;- Debits and Credits do not equal each other.")</f>
        <v>&lt;- Debits and Credits equal each other.</v>
      </c>
    </row>
    <row r="78" spans="1:12" ht="16.5" customHeight="1" x14ac:dyDescent="0.25">
      <c r="A78" s="54"/>
      <c r="B78" s="178"/>
      <c r="C78" s="178"/>
      <c r="D78" s="178"/>
      <c r="E78" s="178"/>
      <c r="F78" s="178"/>
      <c r="G78" s="178"/>
      <c r="H78" s="178"/>
      <c r="I78" s="178"/>
      <c r="J78" s="107"/>
      <c r="K78" s="107"/>
      <c r="L78" s="8"/>
    </row>
    <row r="79" spans="1:12" ht="24.6" customHeight="1" x14ac:dyDescent="0.25">
      <c r="A79" s="54"/>
      <c r="B79" s="178"/>
      <c r="C79" s="178"/>
      <c r="D79" s="178"/>
      <c r="E79" s="178"/>
      <c r="F79" s="178"/>
      <c r="G79" s="178"/>
      <c r="H79" s="178"/>
      <c r="I79" s="178"/>
      <c r="J79" s="107"/>
      <c r="K79" s="107"/>
      <c r="L79" s="8"/>
    </row>
    <row r="80" spans="1:12" ht="16.5" customHeight="1" x14ac:dyDescent="0.3">
      <c r="A80" s="1"/>
      <c r="B80" s="166" t="s">
        <v>1647</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167</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190</v>
      </c>
      <c r="H84" s="133"/>
    </row>
    <row r="85" spans="1:16" ht="16.5" customHeight="1" x14ac:dyDescent="0.3">
      <c r="B85" s="9" t="s">
        <v>186</v>
      </c>
      <c r="C85" s="9"/>
      <c r="D85" s="140"/>
      <c r="E85" s="140"/>
      <c r="F85" s="141"/>
      <c r="G85" s="141"/>
      <c r="H85" s="142"/>
      <c r="I85" s="142"/>
      <c r="J85" s="143"/>
      <c r="K85" s="144"/>
      <c r="L85" s="8"/>
    </row>
    <row r="86" spans="1:16" ht="16.5" customHeight="1" x14ac:dyDescent="0.25">
      <c r="A86" s="54"/>
      <c r="B86" s="9" t="s">
        <v>162</v>
      </c>
      <c r="C86" s="25"/>
      <c r="D86" s="25"/>
      <c r="E86" s="25"/>
      <c r="F86" s="25"/>
      <c r="G86" s="25"/>
      <c r="H86" s="25"/>
      <c r="I86" s="25"/>
      <c r="J86" s="143"/>
      <c r="K86" s="148"/>
    </row>
    <row r="87" spans="1:16" ht="16.5" customHeight="1" x14ac:dyDescent="0.25">
      <c r="A87" s="54"/>
      <c r="B87" s="9" t="s">
        <v>187</v>
      </c>
      <c r="C87" s="25"/>
      <c r="D87" s="25"/>
      <c r="E87" s="25"/>
      <c r="F87" s="25"/>
      <c r="G87" s="25"/>
      <c r="H87" s="25"/>
      <c r="I87" s="25"/>
      <c r="J87" s="143"/>
      <c r="K87" s="148"/>
    </row>
    <row r="88" spans="1:16" ht="16.5" customHeight="1" x14ac:dyDescent="0.25">
      <c r="A88" s="159" t="s">
        <v>1637</v>
      </c>
      <c r="B88" s="25"/>
      <c r="C88" s="9" t="s">
        <v>188</v>
      </c>
      <c r="D88" s="25"/>
      <c r="E88" s="25"/>
      <c r="F88" s="25"/>
      <c r="G88" s="25"/>
      <c r="H88" s="25"/>
      <c r="I88" s="25"/>
      <c r="J88" s="148"/>
      <c r="K88" s="143"/>
    </row>
    <row r="89" spans="1:16" ht="16.5" customHeight="1" x14ac:dyDescent="0.25">
      <c r="A89" s="159" t="s">
        <v>1637</v>
      </c>
      <c r="B89" s="25"/>
      <c r="C89" s="9" t="s">
        <v>163</v>
      </c>
      <c r="D89" s="25"/>
      <c r="E89" s="25"/>
      <c r="F89" s="25"/>
      <c r="G89" s="25"/>
      <c r="H89" s="25"/>
      <c r="I89" s="25"/>
      <c r="J89" s="148"/>
      <c r="K89" s="143"/>
    </row>
    <row r="90" spans="1:16" ht="16.5" customHeight="1" x14ac:dyDescent="0.25">
      <c r="A90" s="159" t="s">
        <v>1637</v>
      </c>
      <c r="B90" s="25"/>
      <c r="C90" s="9" t="s">
        <v>189</v>
      </c>
      <c r="D90" s="25"/>
      <c r="E90" s="25"/>
      <c r="F90" s="25"/>
      <c r="G90" s="25"/>
      <c r="H90" s="25"/>
      <c r="I90" s="25"/>
      <c r="J90" s="148"/>
      <c r="K90" s="143"/>
    </row>
    <row r="91" spans="1:16" ht="16.5" customHeight="1" x14ac:dyDescent="0.3">
      <c r="B91" s="130" t="s">
        <v>1640</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1626</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1672</v>
      </c>
      <c r="C95" s="136"/>
      <c r="D95" s="136"/>
      <c r="E95" s="136"/>
      <c r="F95" s="136"/>
      <c r="G95" s="136"/>
      <c r="H95" s="136"/>
      <c r="I95" s="136"/>
      <c r="J95" s="137"/>
      <c r="K95" s="137"/>
    </row>
    <row r="96" spans="1:16" ht="16.5" customHeight="1" x14ac:dyDescent="0.25">
      <c r="A96" s="165" t="s">
        <v>1645</v>
      </c>
      <c r="B96" s="9" t="s">
        <v>184</v>
      </c>
      <c r="C96" s="9"/>
      <c r="D96" s="7"/>
      <c r="E96" s="7"/>
      <c r="F96" s="7"/>
      <c r="G96" s="7"/>
      <c r="H96" s="7"/>
      <c r="I96" s="7"/>
      <c r="J96" s="143"/>
      <c r="K96" s="149"/>
    </row>
    <row r="97" spans="1:12" ht="16.5" customHeight="1" x14ac:dyDescent="0.25">
      <c r="B97" s="9" t="s">
        <v>186</v>
      </c>
      <c r="C97" s="25"/>
      <c r="D97" s="25"/>
      <c r="E97" s="25"/>
      <c r="F97" s="25"/>
      <c r="G97" s="25"/>
      <c r="H97" s="25"/>
      <c r="I97" s="25"/>
      <c r="J97" s="143"/>
      <c r="K97" s="25"/>
    </row>
    <row r="98" spans="1:12" ht="16.5" customHeight="1" x14ac:dyDescent="0.25">
      <c r="B98" s="9" t="s">
        <v>162</v>
      </c>
      <c r="C98" s="25"/>
      <c r="D98" s="25"/>
      <c r="E98" s="25"/>
      <c r="F98" s="25"/>
      <c r="G98" s="25"/>
      <c r="H98" s="25"/>
      <c r="I98" s="25"/>
      <c r="J98" s="143"/>
      <c r="K98" s="25"/>
    </row>
    <row r="99" spans="1:12" ht="16.5" customHeight="1" x14ac:dyDescent="0.25">
      <c r="B99" s="9" t="s">
        <v>187</v>
      </c>
      <c r="C99" s="25"/>
      <c r="D99" s="25"/>
      <c r="E99" s="25"/>
      <c r="F99" s="25"/>
      <c r="G99" s="25"/>
      <c r="H99" s="25"/>
      <c r="I99" s="25"/>
      <c r="J99" s="143"/>
      <c r="K99" s="25"/>
    </row>
    <row r="100" spans="1:12" ht="16.5" customHeight="1" x14ac:dyDescent="0.25">
      <c r="B100" s="9" t="str">
        <f>IF($F$7="Proprietary","Dr: Acct 0870 - SERVICES &amp; CHARGES (MG ADJ)",VLOOKUP($F$9,'[7]Drop Down Menus'!$F$2:$H$10,3,FALSE))</f>
        <v>Dr: Acct 0870 - SERVICES &amp; CHARGES (MG ADJ)</v>
      </c>
      <c r="C100" s="25"/>
      <c r="D100" s="25"/>
      <c r="E100" s="25"/>
      <c r="F100" s="25"/>
      <c r="G100" s="25"/>
      <c r="H100" s="25"/>
      <c r="I100" s="25"/>
      <c r="J100" s="143"/>
      <c r="K100" s="25"/>
    </row>
    <row r="101" spans="1:12" ht="16.5" customHeight="1" x14ac:dyDescent="0.25">
      <c r="A101" s="159" t="s">
        <v>1637</v>
      </c>
      <c r="B101" s="25"/>
      <c r="C101" s="9" t="s">
        <v>188</v>
      </c>
      <c r="D101" s="25"/>
      <c r="E101" s="25"/>
      <c r="F101" s="25"/>
      <c r="G101" s="25"/>
      <c r="H101" s="25"/>
      <c r="I101" s="25"/>
      <c r="J101" s="25"/>
      <c r="K101" s="143"/>
    </row>
    <row r="102" spans="1:12" ht="16.5" customHeight="1" x14ac:dyDescent="0.25">
      <c r="A102" s="159" t="s">
        <v>1637</v>
      </c>
      <c r="B102" s="25"/>
      <c r="C102" s="9" t="s">
        <v>163</v>
      </c>
      <c r="D102" s="25"/>
      <c r="E102" s="25"/>
      <c r="F102" s="25"/>
      <c r="G102" s="25"/>
      <c r="H102" s="25"/>
      <c r="I102" s="25"/>
      <c r="J102" s="25"/>
      <c r="K102" s="143"/>
    </row>
    <row r="103" spans="1:12" ht="16.5" customHeight="1" x14ac:dyDescent="0.25">
      <c r="A103" s="159" t="s">
        <v>1637</v>
      </c>
      <c r="B103" s="25"/>
      <c r="C103" s="9" t="s">
        <v>189</v>
      </c>
      <c r="D103" s="25"/>
      <c r="E103" s="25"/>
      <c r="F103" s="25"/>
      <c r="G103" s="25"/>
      <c r="H103" s="25"/>
      <c r="I103" s="25"/>
      <c r="J103" s="25"/>
      <c r="K103" s="143"/>
    </row>
    <row r="104" spans="1:12" ht="16.5" customHeight="1" x14ac:dyDescent="0.25">
      <c r="B104" s="25"/>
      <c r="C104" s="9" t="str">
        <f>IF($F$7="Proprietary","Dr: Acct 0870 - SERVICES &amp; CHARGES (MG ADJ)",VLOOKUP($F$9,'[7]Drop Down Menus'!$F$2:$G$10,2,FALSE))</f>
        <v>Dr: Acct 0870 - SERVICES &amp; CHARGES (MG ADJ)</v>
      </c>
      <c r="D104" s="25"/>
      <c r="E104" s="25"/>
      <c r="F104" s="25"/>
      <c r="G104" s="25"/>
      <c r="H104" s="25"/>
      <c r="I104" s="25"/>
      <c r="J104" s="25"/>
      <c r="K104" s="143"/>
    </row>
    <row r="105" spans="1:12" ht="16.5" customHeight="1" x14ac:dyDescent="0.3">
      <c r="B105" s="130" t="s">
        <v>1640</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1646</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1667</v>
      </c>
      <c r="C109" s="136"/>
      <c r="D109" s="136"/>
    </row>
    <row r="110" spans="1:12" ht="16.5" customHeight="1" x14ac:dyDescent="0.25">
      <c r="A110" s="159" t="s">
        <v>1637</v>
      </c>
      <c r="B110" s="9" t="s">
        <v>170</v>
      </c>
      <c r="C110" s="9"/>
      <c r="D110" s="7"/>
      <c r="E110" s="25"/>
      <c r="F110" s="25"/>
      <c r="G110" s="25"/>
      <c r="H110" s="25"/>
      <c r="I110" s="25"/>
      <c r="J110" s="143"/>
      <c r="K110" s="25"/>
    </row>
    <row r="111" spans="1:12" ht="16.5" customHeight="1" x14ac:dyDescent="0.25">
      <c r="A111" s="159" t="s">
        <v>1637</v>
      </c>
      <c r="B111" s="9" t="s">
        <v>171</v>
      </c>
      <c r="C111" s="9"/>
      <c r="D111" s="7"/>
      <c r="E111" s="25"/>
      <c r="F111" s="25"/>
      <c r="G111" s="25"/>
      <c r="H111" s="25"/>
      <c r="I111" s="25"/>
      <c r="J111" s="143"/>
      <c r="K111" s="25"/>
    </row>
    <row r="112" spans="1:12" ht="16.5" customHeight="1" x14ac:dyDescent="0.25">
      <c r="A112" s="159" t="s">
        <v>1637</v>
      </c>
      <c r="B112" s="9" t="s">
        <v>172</v>
      </c>
      <c r="C112" s="9"/>
      <c r="D112" s="7"/>
      <c r="E112" s="25"/>
      <c r="F112" s="25"/>
      <c r="G112" s="25"/>
      <c r="H112" s="25"/>
      <c r="I112" s="25"/>
      <c r="J112" s="143"/>
      <c r="K112" s="25"/>
    </row>
    <row r="113" spans="1:12" ht="16.5" customHeight="1" x14ac:dyDescent="0.25">
      <c r="A113" s="165" t="s">
        <v>1645</v>
      </c>
      <c r="B113" s="9"/>
      <c r="C113" s="9" t="s">
        <v>173</v>
      </c>
      <c r="D113" s="7"/>
      <c r="E113" s="25"/>
      <c r="F113" s="25"/>
      <c r="G113" s="25"/>
      <c r="H113" s="25"/>
      <c r="I113" s="25"/>
      <c r="J113" s="25"/>
      <c r="K113" s="143"/>
    </row>
    <row r="114" spans="1:12" ht="16.5" customHeight="1" x14ac:dyDescent="0.3">
      <c r="A114" s="6"/>
      <c r="B114" s="130" t="s">
        <v>1639</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1648</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1659</v>
      </c>
      <c r="E120" s="161"/>
      <c r="F120" s="162"/>
      <c r="G120" s="162"/>
      <c r="H120" s="162"/>
      <c r="I120" s="163"/>
      <c r="J120" s="163"/>
      <c r="K120" s="164"/>
    </row>
    <row r="121" spans="1:12" ht="16.5" customHeight="1" x14ac:dyDescent="0.3">
      <c r="H121" s="10"/>
      <c r="K121" s="170" t="s">
        <v>1658</v>
      </c>
    </row>
    <row r="122" spans="1:12" ht="16.5" customHeight="1" x14ac:dyDescent="0.3">
      <c r="D122" s="140" t="s">
        <v>1650</v>
      </c>
      <c r="H122" s="10"/>
      <c r="K122" s="169">
        <f>J15+J39-K88-K101+J110</f>
        <v>0</v>
      </c>
    </row>
    <row r="123" spans="1:12" ht="16.5" customHeight="1" x14ac:dyDescent="0.3">
      <c r="D123" s="140" t="s">
        <v>1651</v>
      </c>
      <c r="H123" s="10"/>
      <c r="K123" s="169">
        <f>J16+J40-K89-K102+J111</f>
        <v>0</v>
      </c>
    </row>
    <row r="124" spans="1:12" ht="16.5" customHeight="1" x14ac:dyDescent="0.3">
      <c r="D124" s="140" t="s">
        <v>1652</v>
      </c>
      <c r="H124" s="10"/>
      <c r="K124" s="169">
        <f>J17+J41-K90-K103+J112</f>
        <v>50095</v>
      </c>
    </row>
    <row r="125" spans="1:12" ht="16.5" customHeight="1" x14ac:dyDescent="0.3">
      <c r="D125" s="140" t="s">
        <v>1653</v>
      </c>
      <c r="H125" s="10"/>
      <c r="K125" s="169">
        <f>-K20-K56+J85+J97</f>
        <v>0</v>
      </c>
    </row>
    <row r="126" spans="1:12" ht="16.5" customHeight="1" x14ac:dyDescent="0.3">
      <c r="D126" s="140" t="s">
        <v>1654</v>
      </c>
      <c r="H126" s="10"/>
      <c r="K126" s="169">
        <f>-K21-K57+J86+J98</f>
        <v>0</v>
      </c>
    </row>
    <row r="127" spans="1:12" ht="16.5" customHeight="1" x14ac:dyDescent="0.3">
      <c r="D127" s="140" t="s">
        <v>1655</v>
      </c>
      <c r="H127" s="10"/>
      <c r="K127" s="169">
        <f>-K22-K58+J87+J99</f>
        <v>-25763</v>
      </c>
    </row>
    <row r="128" spans="1:12" ht="16.5" customHeight="1" x14ac:dyDescent="0.3">
      <c r="D128" s="140" t="s">
        <v>1656</v>
      </c>
      <c r="H128" s="10"/>
      <c r="K128" s="169">
        <f>-K23-K48+J68+J75+J96-K113</f>
        <v>-16796</v>
      </c>
    </row>
    <row r="129" spans="4:11" ht="16.5" customHeight="1" x14ac:dyDescent="0.3">
      <c r="D129" s="140" t="s">
        <v>1657</v>
      </c>
      <c r="H129" s="10"/>
      <c r="K129" s="169">
        <f>-K76</f>
        <v>-8693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B5236433-B916-4DEE-8E6F-16024758F7B4}">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63E86A5-698B-491F-91C4-72E2E2C3B79E}">
      <formula1>0</formula1>
    </dataValidation>
    <dataValidation operator="lessThan" allowBlank="1" showInputMessage="1" showErrorMessage="1" sqref="A3:A8" xr:uid="{BAAC09C8-4EFF-447F-8780-799739506ABC}"/>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80" zoomScaleNormal="80" workbookViewId="0">
      <selection activeCell="D4" sqref="D4"/>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195" t="s">
        <v>139</v>
      </c>
      <c r="B1" s="195"/>
      <c r="C1" s="195"/>
      <c r="D1" s="195"/>
      <c r="E1" s="195"/>
      <c r="F1" s="195"/>
      <c r="G1" s="3"/>
      <c r="H1" s="3"/>
      <c r="I1" s="3"/>
      <c r="J1" s="3"/>
      <c r="K1" s="3"/>
      <c r="L1" s="3"/>
      <c r="M1" s="3"/>
    </row>
    <row r="2" spans="1:13" ht="64.2" customHeight="1" x14ac:dyDescent="0.3">
      <c r="A2" s="194" t="s">
        <v>137</v>
      </c>
      <c r="B2" s="194"/>
      <c r="C2" s="194"/>
      <c r="D2" s="194"/>
      <c r="E2" s="194"/>
      <c r="F2" s="194"/>
      <c r="G2" s="3"/>
      <c r="H2" s="3"/>
      <c r="I2" s="3"/>
      <c r="J2" s="3"/>
      <c r="K2" s="3"/>
      <c r="L2" s="3"/>
      <c r="M2" s="3"/>
    </row>
    <row r="3" spans="1:13" ht="31.95" customHeight="1" x14ac:dyDescent="0.3">
      <c r="A3" s="199" t="s">
        <v>194</v>
      </c>
      <c r="B3" s="199"/>
      <c r="C3" s="199"/>
      <c r="D3" s="24"/>
      <c r="E3" s="3"/>
      <c r="F3" s="3"/>
      <c r="G3" s="3"/>
      <c r="H3" s="3"/>
      <c r="I3" s="3"/>
      <c r="J3" s="3"/>
      <c r="K3" s="3"/>
      <c r="L3" s="3"/>
      <c r="M3" s="3"/>
    </row>
    <row r="4" spans="1:13" ht="31.2" customHeight="1" x14ac:dyDescent="0.3">
      <c r="A4" s="200" t="s">
        <v>5</v>
      </c>
      <c r="B4" s="200"/>
      <c r="C4" s="200"/>
      <c r="D4" s="24"/>
      <c r="E4" s="3"/>
      <c r="F4" s="3"/>
      <c r="G4" s="3"/>
      <c r="H4" s="3"/>
      <c r="I4" s="3"/>
      <c r="J4" s="3"/>
      <c r="K4" s="3"/>
      <c r="L4" s="3"/>
      <c r="M4" s="3"/>
    </row>
    <row r="5" spans="1:13" ht="31.2" customHeight="1" x14ac:dyDescent="0.3">
      <c r="A5" s="200" t="s">
        <v>7</v>
      </c>
      <c r="B5" s="200"/>
      <c r="C5" s="200"/>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10</v>
      </c>
      <c r="B8" s="196" t="s">
        <v>21</v>
      </c>
      <c r="C8" s="196"/>
      <c r="D8" s="3"/>
      <c r="E8" s="3"/>
      <c r="F8" s="3"/>
    </row>
    <row r="9" spans="1:13" ht="15.6" x14ac:dyDescent="0.3">
      <c r="A9" s="5" t="s">
        <v>192</v>
      </c>
      <c r="B9" s="197">
        <v>820</v>
      </c>
      <c r="C9" s="197"/>
      <c r="D9" s="3"/>
      <c r="E9" s="3"/>
      <c r="F9" s="3"/>
    </row>
    <row r="10" spans="1:13" ht="15.6" x14ac:dyDescent="0.3">
      <c r="A10" s="5" t="s">
        <v>191</v>
      </c>
      <c r="B10" s="198" t="s">
        <v>1676</v>
      </c>
      <c r="C10" s="198"/>
      <c r="D10" s="3"/>
      <c r="E10" s="3"/>
      <c r="F10" s="3"/>
      <c r="G10" s="27"/>
      <c r="H10" s="27"/>
      <c r="I10" s="27"/>
      <c r="J10" s="27"/>
      <c r="K10" s="27"/>
      <c r="L10" s="27"/>
      <c r="M10" s="27"/>
    </row>
    <row r="11" spans="1:13" ht="32.25" customHeight="1" x14ac:dyDescent="0.3">
      <c r="A11" s="189" t="s">
        <v>1674</v>
      </c>
      <c r="B11" s="190"/>
      <c r="C11" s="190"/>
      <c r="D11" s="3"/>
      <c r="E11" s="3"/>
      <c r="F11" s="3"/>
      <c r="G11" s="29"/>
      <c r="H11" s="29"/>
      <c r="I11" s="29"/>
      <c r="J11" s="29"/>
      <c r="K11" s="29"/>
      <c r="L11" s="29"/>
      <c r="M11" s="29"/>
    </row>
    <row r="12" spans="1:13" ht="15" customHeight="1" x14ac:dyDescent="0.3">
      <c r="A12" s="51"/>
      <c r="B12" s="52" t="s">
        <v>8</v>
      </c>
      <c r="C12" s="52" t="s">
        <v>9</v>
      </c>
      <c r="D12" s="192" t="str">
        <f>"All of the below questions are for Fiscal Year "&amp;$B$8&amp;":"</f>
        <v>All of the below questions are for Fiscal Year 2023–2024:</v>
      </c>
      <c r="E12" s="192"/>
      <c r="F12" s="192"/>
      <c r="G12" s="29"/>
      <c r="H12" s="29"/>
      <c r="I12" s="29"/>
      <c r="J12" s="29"/>
      <c r="K12" s="29"/>
      <c r="L12" s="29"/>
      <c r="M12" s="29"/>
    </row>
    <row r="13" spans="1:13" ht="15.6" customHeight="1" x14ac:dyDescent="0.3">
      <c r="A13" s="51" t="str">
        <f>RIGHT(B8,4)&amp;"–"&amp;RIGHT(B8,4)+1</f>
        <v>2024–2025</v>
      </c>
      <c r="B13" s="55">
        <v>16781590</v>
      </c>
      <c r="C13" s="55">
        <v>2387454</v>
      </c>
      <c r="D13" s="187" t="s">
        <v>4</v>
      </c>
      <c r="E13" s="188"/>
      <c r="F13" s="188"/>
      <c r="G13" s="29"/>
      <c r="H13" s="29"/>
      <c r="I13" s="29"/>
      <c r="J13" s="29"/>
      <c r="K13" s="29"/>
      <c r="L13" s="29"/>
      <c r="M13" s="29"/>
    </row>
    <row r="14" spans="1:13" x14ac:dyDescent="0.25">
      <c r="A14" s="51" t="str">
        <f>LEFT(A13,4)+1&amp;"–"&amp;RIGHT(A13,4)+1</f>
        <v>2025–2026</v>
      </c>
      <c r="B14" s="55">
        <v>14945586</v>
      </c>
      <c r="C14" s="55">
        <v>2129006</v>
      </c>
      <c r="D14" s="187"/>
      <c r="E14" s="188"/>
      <c r="F14" s="188"/>
    </row>
    <row r="15" spans="1:13" ht="15.6" x14ac:dyDescent="0.25">
      <c r="A15" s="51" t="str">
        <f>LEFT(A14,4)+1&amp;"–"&amp;RIGHT(A14,4)+1</f>
        <v>2026–2027</v>
      </c>
      <c r="B15" s="55">
        <v>14007507</v>
      </c>
      <c r="C15" s="55">
        <v>1871600</v>
      </c>
      <c r="D15" s="184" t="s">
        <v>124</v>
      </c>
      <c r="E15" s="184"/>
      <c r="F15" s="184"/>
      <c r="G15" s="30"/>
      <c r="H15" s="30"/>
      <c r="I15" s="30"/>
      <c r="J15" s="30"/>
      <c r="K15" s="30"/>
      <c r="L15" s="30"/>
      <c r="M15" s="30"/>
    </row>
    <row r="16" spans="1:13" x14ac:dyDescent="0.25">
      <c r="A16" s="51" t="str">
        <f>LEFT(A15,4)+1&amp;"–"&amp;RIGHT(A15,4)+1</f>
        <v>2027–2028</v>
      </c>
      <c r="B16" s="55">
        <v>11610247</v>
      </c>
      <c r="C16" s="55">
        <v>1619343</v>
      </c>
      <c r="D16" s="186" t="str">
        <f>"If yes, record the dollar amount of variable payments below for fiscal year "&amp;$B$8&amp;":"</f>
        <v>If yes, record the dollar amount of variable payments below for fiscal year 2023–2024:</v>
      </c>
      <c r="E16" s="186"/>
      <c r="F16" s="186"/>
      <c r="G16" s="31"/>
      <c r="H16" s="31"/>
      <c r="I16" s="31"/>
      <c r="J16" s="31"/>
      <c r="K16" s="31"/>
    </row>
    <row r="17" spans="1:13" ht="15" customHeight="1" x14ac:dyDescent="0.25">
      <c r="A17" s="51" t="str">
        <f>LEFT(A16,4)+1&amp;"–"&amp;RIGHT(A16,4)+1</f>
        <v>2028–2029</v>
      </c>
      <c r="B17" s="55">
        <v>11074146</v>
      </c>
      <c r="C17" s="55">
        <v>1369786</v>
      </c>
      <c r="D17" s="184" t="s">
        <v>1660</v>
      </c>
      <c r="E17" s="184"/>
      <c r="F17" s="184"/>
      <c r="G17" s="31"/>
      <c r="H17" s="31"/>
      <c r="I17" s="31"/>
      <c r="J17" s="31"/>
      <c r="K17" s="31"/>
    </row>
    <row r="18" spans="1:13" ht="15" customHeight="1" x14ac:dyDescent="0.3">
      <c r="A18" s="51" t="str">
        <f>LEFT(A17,4)+1&amp;"–"&amp;RIGHT(A17,4)+5</f>
        <v>2029–2034</v>
      </c>
      <c r="B18" s="55">
        <v>44659682</v>
      </c>
      <c r="C18" s="55">
        <v>2961438</v>
      </c>
      <c r="D18" s="187" t="s">
        <v>6</v>
      </c>
      <c r="E18" s="188"/>
      <c r="F18" s="188"/>
      <c r="G18" s="29"/>
      <c r="H18" s="29"/>
      <c r="I18" s="29"/>
      <c r="J18" s="29"/>
      <c r="K18" s="29"/>
      <c r="L18" s="29"/>
      <c r="M18" s="29"/>
    </row>
    <row r="19" spans="1:13" x14ac:dyDescent="0.25">
      <c r="A19" s="51" t="str">
        <f t="shared" ref="A19:A32" si="0">LEFT(A18,4)+5&amp;"–"&amp;RIGHT(A18,4)+5</f>
        <v>2034–2039</v>
      </c>
      <c r="B19" s="55">
        <v>72592</v>
      </c>
      <c r="C19" s="55">
        <v>10041</v>
      </c>
      <c r="D19" s="187"/>
      <c r="E19" s="188"/>
      <c r="F19" s="188"/>
    </row>
    <row r="20" spans="1:13" ht="15.6" x14ac:dyDescent="0.25">
      <c r="A20" s="51" t="str">
        <f t="shared" si="0"/>
        <v>2039–2044</v>
      </c>
      <c r="B20" s="55">
        <v>65633</v>
      </c>
      <c r="C20" s="55">
        <v>5208</v>
      </c>
      <c r="D20" s="184" t="s">
        <v>124</v>
      </c>
      <c r="E20" s="184"/>
      <c r="F20" s="184"/>
      <c r="G20" s="30"/>
      <c r="H20" s="30"/>
      <c r="I20" s="30"/>
      <c r="J20" s="30"/>
      <c r="K20" s="30"/>
      <c r="L20" s="30"/>
      <c r="M20" s="30"/>
    </row>
    <row r="21" spans="1:13" ht="15" customHeight="1" x14ac:dyDescent="0.25">
      <c r="A21" s="51" t="str">
        <f t="shared" si="0"/>
        <v>2044–2049</v>
      </c>
      <c r="B21" s="55">
        <v>34795</v>
      </c>
      <c r="C21" s="55">
        <v>618</v>
      </c>
      <c r="D21" s="185" t="str">
        <f>"If yes, record the dollar amount of any payments made for residual value guarantees below for fiscal year "&amp;$B$8&amp;":"</f>
        <v>If yes, record the dollar amount of any payments made for residual value guarantees below for fiscal year 2023–2024:</v>
      </c>
      <c r="E21" s="186"/>
      <c r="F21" s="186"/>
    </row>
    <row r="22" spans="1:13" x14ac:dyDescent="0.25">
      <c r="A22" s="51" t="str">
        <f t="shared" si="0"/>
        <v>2049–2054</v>
      </c>
      <c r="B22" s="55"/>
      <c r="C22" s="55"/>
      <c r="D22" s="185"/>
      <c r="E22" s="186"/>
      <c r="F22" s="186"/>
    </row>
    <row r="23" spans="1:13" x14ac:dyDescent="0.25">
      <c r="A23" s="51" t="str">
        <f t="shared" si="0"/>
        <v>2054–2059</v>
      </c>
      <c r="B23" s="55"/>
      <c r="C23" s="55"/>
      <c r="D23" s="184" t="s">
        <v>1660</v>
      </c>
      <c r="E23" s="184"/>
      <c r="F23" s="184"/>
    </row>
    <row r="24" spans="1:13" x14ac:dyDescent="0.25">
      <c r="A24" s="51" t="str">
        <f t="shared" si="0"/>
        <v>2059–2064</v>
      </c>
      <c r="B24" s="55"/>
      <c r="C24" s="55"/>
      <c r="D24" s="18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86"/>
      <c r="F24" s="186"/>
    </row>
    <row r="25" spans="1:13" ht="15" customHeight="1" x14ac:dyDescent="0.25">
      <c r="A25" s="51" t="str">
        <f t="shared" si="0"/>
        <v>2064–2069</v>
      </c>
      <c r="B25" s="55"/>
      <c r="C25" s="55"/>
      <c r="D25" s="185"/>
      <c r="E25" s="186"/>
      <c r="F25" s="186"/>
    </row>
    <row r="26" spans="1:13" x14ac:dyDescent="0.25">
      <c r="A26" s="51" t="str">
        <f t="shared" si="0"/>
        <v>2069–2074</v>
      </c>
      <c r="B26" s="55"/>
      <c r="C26" s="55"/>
      <c r="D26" s="184" t="s">
        <v>1660</v>
      </c>
      <c r="E26" s="184"/>
      <c r="F26" s="184"/>
    </row>
    <row r="27" spans="1:13" ht="15" customHeight="1" x14ac:dyDescent="0.25">
      <c r="A27" s="51" t="str">
        <f t="shared" si="0"/>
        <v>2074–2079</v>
      </c>
      <c r="B27" s="55"/>
      <c r="C27" s="55"/>
      <c r="D27" s="18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188"/>
      <c r="F27" s="188"/>
    </row>
    <row r="28" spans="1:13" ht="15.6" x14ac:dyDescent="0.25">
      <c r="A28" s="51" t="str">
        <f t="shared" si="0"/>
        <v>2079–2084</v>
      </c>
      <c r="B28" s="55"/>
      <c r="C28" s="55"/>
      <c r="D28" s="187"/>
      <c r="E28" s="188"/>
      <c r="F28" s="188"/>
      <c r="G28" s="33"/>
      <c r="H28" s="33"/>
      <c r="I28" s="33"/>
      <c r="J28" s="33"/>
      <c r="K28" s="33"/>
      <c r="L28" s="33"/>
      <c r="M28" s="33"/>
    </row>
    <row r="29" spans="1:13" ht="15.6" x14ac:dyDescent="0.25">
      <c r="A29" s="51" t="str">
        <f t="shared" si="0"/>
        <v>2084–2089</v>
      </c>
      <c r="B29" s="55"/>
      <c r="C29" s="55"/>
      <c r="D29" s="184" t="s">
        <v>124</v>
      </c>
      <c r="E29" s="184"/>
      <c r="F29" s="184"/>
      <c r="G29" s="33"/>
      <c r="H29" s="33"/>
      <c r="I29" s="33"/>
      <c r="J29" s="33"/>
      <c r="K29" s="33"/>
      <c r="L29" s="33"/>
      <c r="M29" s="33"/>
    </row>
    <row r="30" spans="1:13" ht="15.6" x14ac:dyDescent="0.25">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5">
      <c r="A31" s="51" t="str">
        <f t="shared" si="0"/>
        <v>2094–2099</v>
      </c>
      <c r="B31" s="55"/>
      <c r="C31" s="55"/>
      <c r="D31" s="184" t="s">
        <v>124</v>
      </c>
      <c r="E31" s="184"/>
      <c r="F31" s="184"/>
    </row>
    <row r="32" spans="1:13" x14ac:dyDescent="0.25">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5">
      <c r="A33" s="51" t="str">
        <f>LEFT(A32,4)+5&amp;"–"&amp;RIGHT(A32,4)+5</f>
        <v>2104–2109</v>
      </c>
      <c r="B33" s="55"/>
      <c r="C33" s="55"/>
      <c r="D33" s="184" t="s">
        <v>1660</v>
      </c>
      <c r="E33" s="184"/>
      <c r="F33" s="184"/>
    </row>
    <row r="34" spans="1:13" ht="15" customHeight="1" x14ac:dyDescent="0.25">
      <c r="A34" s="51" t="str">
        <f>LEFT(A33,4)+5&amp;"–"&amp;RIGHT(A33,4)+5</f>
        <v>2109–2114</v>
      </c>
      <c r="B34" s="55"/>
      <c r="C34" s="55"/>
      <c r="G34" s="27"/>
      <c r="H34" s="27"/>
      <c r="I34" s="27"/>
      <c r="J34" s="27"/>
      <c r="K34" s="27"/>
      <c r="L34" s="27"/>
      <c r="M34" s="27"/>
    </row>
    <row r="35" spans="1:13" ht="16.5" customHeight="1" x14ac:dyDescent="0.25">
      <c r="A35" s="51" t="str">
        <f>LEFT(A34,4)+5&amp;"–"&amp;RIGHT(A34,4)+5</f>
        <v>2114–2119</v>
      </c>
      <c r="B35" s="55"/>
      <c r="C35" s="55"/>
      <c r="G35" s="4"/>
      <c r="H35" s="4"/>
      <c r="I35" s="4"/>
      <c r="J35" s="4"/>
      <c r="K35" s="4"/>
      <c r="L35" s="4"/>
      <c r="M35" s="4"/>
    </row>
    <row r="36" spans="1:13" ht="15" customHeight="1" x14ac:dyDescent="0.25">
      <c r="A36" s="51" t="str">
        <f>LEFT(A35,4)+5&amp;"–"&amp;RIGHT(A35,4)+5</f>
        <v>2119–2124</v>
      </c>
      <c r="B36" s="55"/>
      <c r="C36" s="55"/>
      <c r="G36" s="4"/>
      <c r="H36" s="4"/>
      <c r="I36" s="4"/>
      <c r="J36" s="4"/>
      <c r="K36" s="4"/>
      <c r="L36" s="4"/>
      <c r="M36" s="4"/>
    </row>
    <row r="37" spans="1:13" ht="15.6" x14ac:dyDescent="0.25">
      <c r="B37" s="34"/>
      <c r="C37" s="34"/>
      <c r="F37" s="33"/>
    </row>
    <row r="38" spans="1:13" ht="21" x14ac:dyDescent="0.4">
      <c r="A38" s="105" t="s">
        <v>132</v>
      </c>
      <c r="F38" s="33"/>
    </row>
    <row r="39" spans="1:13" ht="15.6" x14ac:dyDescent="0.3">
      <c r="A39" s="5" t="s">
        <v>10</v>
      </c>
      <c r="B39" s="191" t="str">
        <f>B8</f>
        <v>2023–2024</v>
      </c>
      <c r="C39" s="191"/>
      <c r="E39" s="32"/>
    </row>
    <row r="40" spans="1:13" ht="15.6" customHeight="1" x14ac:dyDescent="0.3">
      <c r="A40" s="5" t="s">
        <v>192</v>
      </c>
      <c r="B40" s="193">
        <f>B9</f>
        <v>820</v>
      </c>
      <c r="C40" s="193"/>
      <c r="E40" s="32"/>
    </row>
    <row r="41" spans="1:13" ht="15.6" x14ac:dyDescent="0.3">
      <c r="A41" s="5" t="s">
        <v>191</v>
      </c>
      <c r="B41" s="191" t="str">
        <f>B10</f>
        <v>Department of Justice</v>
      </c>
      <c r="C41" s="191"/>
      <c r="E41" s="32"/>
    </row>
    <row r="42" spans="1:13" ht="32.25" customHeight="1" x14ac:dyDescent="0.3">
      <c r="A42" s="189" t="s">
        <v>1674</v>
      </c>
      <c r="B42" s="190"/>
      <c r="C42" s="190"/>
      <c r="D42" s="3"/>
      <c r="E42" s="3"/>
      <c r="F42" s="3"/>
      <c r="G42" s="29"/>
      <c r="H42" s="29"/>
      <c r="I42" s="29"/>
      <c r="J42" s="29"/>
      <c r="K42" s="29"/>
      <c r="L42" s="29"/>
      <c r="M42" s="29"/>
    </row>
    <row r="43" spans="1:13" ht="15" customHeight="1" x14ac:dyDescent="0.3">
      <c r="A43" s="51"/>
      <c r="B43" s="52" t="s">
        <v>8</v>
      </c>
      <c r="C43" s="52" t="s">
        <v>9</v>
      </c>
      <c r="D43" s="192" t="str">
        <f>"All of the below questions are for Fiscal Year "&amp;$B$8&amp;":"</f>
        <v>All of the below questions are for Fiscal Year 2023–2024:</v>
      </c>
      <c r="E43" s="192"/>
      <c r="F43" s="192"/>
    </row>
    <row r="44" spans="1:13" ht="15" customHeight="1" x14ac:dyDescent="0.25">
      <c r="A44" s="51" t="str">
        <f>RIGHT(B39,4)&amp;"–"&amp;RIGHT(B39,4)+1</f>
        <v>2024–2025</v>
      </c>
      <c r="B44" s="55">
        <v>2396068</v>
      </c>
      <c r="C44" s="55">
        <v>56718</v>
      </c>
      <c r="D44" s="187" t="s">
        <v>4</v>
      </c>
      <c r="E44" s="188"/>
      <c r="F44" s="188"/>
    </row>
    <row r="45" spans="1:13" ht="15" customHeight="1" x14ac:dyDescent="0.25">
      <c r="A45" s="51" t="str">
        <f>LEFT(A44,4)+1&amp;"–"&amp;RIGHT(A44,4)+1</f>
        <v>2025–2026</v>
      </c>
      <c r="B45" s="55">
        <v>2451700</v>
      </c>
      <c r="C45" s="55">
        <v>35518</v>
      </c>
      <c r="D45" s="187"/>
      <c r="E45" s="188"/>
      <c r="F45" s="188"/>
    </row>
    <row r="46" spans="1:13" x14ac:dyDescent="0.25">
      <c r="A46" s="51" t="str">
        <f>LEFT(A45,4)+1&amp;"–"&amp;RIGHT(A45,4)+1</f>
        <v>2026–2027</v>
      </c>
      <c r="B46" s="55">
        <v>2067092</v>
      </c>
      <c r="C46" s="55">
        <v>13827</v>
      </c>
      <c r="D46" s="184" t="s">
        <v>124</v>
      </c>
      <c r="E46" s="184"/>
      <c r="F46" s="184"/>
    </row>
    <row r="47" spans="1:13" ht="15" customHeight="1" x14ac:dyDescent="0.25">
      <c r="A47" s="51" t="str">
        <f>LEFT(A46,4)+1&amp;"–"&amp;RIGHT(A46,4)+1</f>
        <v>2027–2028</v>
      </c>
      <c r="B47" s="55">
        <v>140577</v>
      </c>
      <c r="C47" s="55">
        <v>4599</v>
      </c>
      <c r="D47" s="186" t="str">
        <f>"If yes, record the dollar amount of variable payments below for fiscal year "&amp;$B$8&amp;":"</f>
        <v>If yes, record the dollar amount of variable payments below for fiscal year 2023–2024:</v>
      </c>
      <c r="E47" s="186"/>
      <c r="F47" s="186"/>
    </row>
    <row r="48" spans="1:13" ht="15" customHeight="1" x14ac:dyDescent="0.25">
      <c r="A48" s="51" t="str">
        <f>LEFT(A47,4)+1&amp;"–"&amp;RIGHT(A47,4)+1</f>
        <v>2028–2029</v>
      </c>
      <c r="B48" s="55">
        <v>110198</v>
      </c>
      <c r="C48" s="55">
        <v>3400</v>
      </c>
      <c r="D48" s="184" t="s">
        <v>1660</v>
      </c>
      <c r="E48" s="184"/>
      <c r="F48" s="184"/>
    </row>
    <row r="49" spans="1:6" ht="15" customHeight="1" x14ac:dyDescent="0.25">
      <c r="A49" s="51" t="str">
        <f>LEFT(A48,4)+1&amp;"–"&amp;RIGHT(A48,4)+5</f>
        <v>2029–2034</v>
      </c>
      <c r="B49" s="55">
        <v>296129</v>
      </c>
      <c r="C49" s="55">
        <v>5225</v>
      </c>
      <c r="D49" s="187" t="s">
        <v>6</v>
      </c>
      <c r="E49" s="188"/>
      <c r="F49" s="188"/>
    </row>
    <row r="50" spans="1:6" x14ac:dyDescent="0.25">
      <c r="A50" s="51" t="str">
        <f t="shared" ref="A50:A63" si="1">LEFT(A49,4)+5&amp;"–"&amp;RIGHT(A49,4)+5</f>
        <v>2034–2039</v>
      </c>
      <c r="B50" s="55">
        <v>5231</v>
      </c>
      <c r="C50" s="55">
        <v>724</v>
      </c>
      <c r="D50" s="187"/>
      <c r="E50" s="188"/>
      <c r="F50" s="188"/>
    </row>
    <row r="51" spans="1:6" ht="15" customHeight="1" x14ac:dyDescent="0.25">
      <c r="A51" s="51" t="str">
        <f t="shared" si="1"/>
        <v>2039–2044</v>
      </c>
      <c r="B51" s="55">
        <v>4729</v>
      </c>
      <c r="C51" s="55">
        <v>375</v>
      </c>
      <c r="D51" s="184" t="s">
        <v>124</v>
      </c>
      <c r="E51" s="184"/>
      <c r="F51" s="184"/>
    </row>
    <row r="52" spans="1:6" ht="15" customHeight="1" x14ac:dyDescent="0.25">
      <c r="A52" s="51" t="str">
        <f t="shared" si="1"/>
        <v>2044–2049</v>
      </c>
      <c r="B52" s="55">
        <v>2507</v>
      </c>
      <c r="C52" s="55">
        <v>45</v>
      </c>
      <c r="D52" s="185" t="str">
        <f>"If yes, record the dollar amount of any payments made for residual value guarantees below for fiscal year "&amp;$B$8&amp;":"</f>
        <v>If yes, record the dollar amount of any payments made for residual value guarantees below for fiscal year 2023–2024:</v>
      </c>
      <c r="E52" s="186"/>
      <c r="F52" s="186"/>
    </row>
    <row r="53" spans="1:6" x14ac:dyDescent="0.25">
      <c r="A53" s="51" t="str">
        <f t="shared" si="1"/>
        <v>2049–2054</v>
      </c>
      <c r="B53" s="55"/>
      <c r="C53" s="55"/>
      <c r="D53" s="185"/>
      <c r="E53" s="186"/>
      <c r="F53" s="186"/>
    </row>
    <row r="54" spans="1:6" x14ac:dyDescent="0.25">
      <c r="A54" s="51" t="str">
        <f t="shared" si="1"/>
        <v>2054–2059</v>
      </c>
      <c r="B54" s="55"/>
      <c r="C54" s="55"/>
      <c r="D54" s="184" t="s">
        <v>1660</v>
      </c>
      <c r="E54" s="184"/>
      <c r="F54" s="184"/>
    </row>
    <row r="55" spans="1:6" ht="15" customHeight="1" x14ac:dyDescent="0.25">
      <c r="A55" s="51" t="str">
        <f t="shared" si="1"/>
        <v>2059–2064</v>
      </c>
      <c r="B55" s="55"/>
      <c r="C55" s="55"/>
      <c r="D55" s="18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86"/>
      <c r="F55" s="186"/>
    </row>
    <row r="56" spans="1:6" ht="15" customHeight="1" x14ac:dyDescent="0.25">
      <c r="A56" s="51" t="str">
        <f t="shared" si="1"/>
        <v>2064–2069</v>
      </c>
      <c r="B56" s="55"/>
      <c r="C56" s="55"/>
      <c r="D56" s="185"/>
      <c r="E56" s="186"/>
      <c r="F56" s="186"/>
    </row>
    <row r="57" spans="1:6" x14ac:dyDescent="0.25">
      <c r="A57" s="51" t="str">
        <f t="shared" si="1"/>
        <v>2069–2074</v>
      </c>
      <c r="B57" s="55"/>
      <c r="C57" s="55"/>
      <c r="D57" s="184" t="s">
        <v>1660</v>
      </c>
      <c r="E57" s="184"/>
      <c r="F57" s="184"/>
    </row>
    <row r="58" spans="1:6" x14ac:dyDescent="0.25">
      <c r="A58" s="51" t="str">
        <f t="shared" si="1"/>
        <v>2074–2079</v>
      </c>
      <c r="B58" s="55"/>
      <c r="C58" s="55"/>
      <c r="D58" s="18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188"/>
      <c r="F58" s="188"/>
    </row>
    <row r="59" spans="1:6" x14ac:dyDescent="0.25">
      <c r="A59" s="51" t="str">
        <f t="shared" si="1"/>
        <v>2079–2084</v>
      </c>
      <c r="B59" s="55"/>
      <c r="C59" s="55"/>
      <c r="D59" s="187"/>
      <c r="E59" s="188"/>
      <c r="F59" s="188"/>
    </row>
    <row r="60" spans="1:6" ht="15" customHeight="1" x14ac:dyDescent="0.25">
      <c r="A60" s="51" t="str">
        <f t="shared" si="1"/>
        <v>2084–2089</v>
      </c>
      <c r="B60" s="55"/>
      <c r="C60" s="55"/>
      <c r="D60" s="184" t="s">
        <v>124</v>
      </c>
      <c r="E60" s="184"/>
      <c r="F60" s="184"/>
    </row>
    <row r="61" spans="1:6" x14ac:dyDescent="0.25">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5">
      <c r="A62" s="51" t="str">
        <f t="shared" si="1"/>
        <v>2094–2099</v>
      </c>
      <c r="B62" s="55"/>
      <c r="C62" s="55"/>
      <c r="D62" s="184" t="s">
        <v>124</v>
      </c>
      <c r="E62" s="184"/>
      <c r="F62" s="184"/>
    </row>
    <row r="63" spans="1:6" x14ac:dyDescent="0.25">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5">
      <c r="A64" s="51" t="str">
        <f>LEFT(A63,4)+5&amp;"–"&amp;RIGHT(A63,4)+5</f>
        <v>2104–2109</v>
      </c>
      <c r="B64" s="55"/>
      <c r="C64" s="55"/>
      <c r="D64" s="184" t="s">
        <v>1660</v>
      </c>
      <c r="E64" s="184"/>
      <c r="F64" s="184"/>
    </row>
    <row r="65" spans="1:13" x14ac:dyDescent="0.25">
      <c r="A65" s="51" t="str">
        <f>LEFT(A64,4)+5&amp;"–"&amp;RIGHT(A64,4)+5</f>
        <v>2109–2114</v>
      </c>
      <c r="B65" s="55"/>
      <c r="C65" s="55"/>
    </row>
    <row r="66" spans="1:13" x14ac:dyDescent="0.25">
      <c r="A66" s="51" t="str">
        <f>LEFT(A65,4)+5&amp;"–"&amp;RIGHT(A65,4)+5</f>
        <v>2114–2119</v>
      </c>
      <c r="B66" s="55"/>
      <c r="C66" s="55"/>
    </row>
    <row r="67" spans="1:13" x14ac:dyDescent="0.25">
      <c r="A67" s="51" t="str">
        <f>LEFT(A66,4)+5&amp;"–"&amp;RIGHT(A66,4)+5</f>
        <v>2119–2124</v>
      </c>
      <c r="B67" s="55"/>
      <c r="C67" s="55"/>
    </row>
    <row r="69" spans="1:13" ht="21" x14ac:dyDescent="0.4">
      <c r="A69" s="105" t="s">
        <v>138</v>
      </c>
    </row>
    <row r="70" spans="1:13" ht="15.6" x14ac:dyDescent="0.3">
      <c r="A70" s="5" t="s">
        <v>10</v>
      </c>
      <c r="B70" s="191" t="str">
        <f>B8</f>
        <v>2023–2024</v>
      </c>
      <c r="C70" s="191"/>
    </row>
    <row r="71" spans="1:13" ht="15.6" x14ac:dyDescent="0.3">
      <c r="A71" s="5" t="s">
        <v>192</v>
      </c>
      <c r="B71" s="193">
        <f>B9</f>
        <v>820</v>
      </c>
      <c r="C71" s="193"/>
    </row>
    <row r="72" spans="1:13" ht="15.6" x14ac:dyDescent="0.3">
      <c r="A72" s="5" t="s">
        <v>191</v>
      </c>
      <c r="B72" s="191" t="str">
        <f>B10</f>
        <v>Department of Justice</v>
      </c>
      <c r="C72" s="191"/>
    </row>
    <row r="73" spans="1:13" ht="32.25" customHeight="1" x14ac:dyDescent="0.3">
      <c r="A73" s="189" t="s">
        <v>1674</v>
      </c>
      <c r="B73" s="190"/>
      <c r="C73" s="190"/>
      <c r="D73" s="3"/>
      <c r="E73" s="3"/>
      <c r="F73" s="3"/>
      <c r="G73" s="29"/>
      <c r="H73" s="29"/>
      <c r="I73" s="29"/>
      <c r="J73" s="29"/>
      <c r="K73" s="29"/>
      <c r="L73" s="29"/>
      <c r="M73" s="29"/>
    </row>
    <row r="74" spans="1:13" ht="15.6" x14ac:dyDescent="0.3">
      <c r="A74" s="51"/>
      <c r="B74" s="52" t="s">
        <v>8</v>
      </c>
      <c r="C74" s="52" t="s">
        <v>9</v>
      </c>
      <c r="D74" s="192" t="str">
        <f>"All of the below questions are for Fiscal Year "&amp;$B$8&amp;":"</f>
        <v>All of the below questions are for Fiscal Year 2023–2024:</v>
      </c>
      <c r="E74" s="192"/>
      <c r="F74" s="192"/>
    </row>
    <row r="75" spans="1:13" ht="15" customHeight="1" x14ac:dyDescent="0.25">
      <c r="A75" s="51" t="str">
        <f>RIGHT(B70,4)&amp;"–"&amp;RIGHT(B70,4)+1</f>
        <v>2024–2025</v>
      </c>
      <c r="B75" s="55"/>
      <c r="C75" s="55"/>
      <c r="D75" s="187" t="s">
        <v>4</v>
      </c>
      <c r="E75" s="188"/>
      <c r="F75" s="188"/>
    </row>
    <row r="76" spans="1:13" x14ac:dyDescent="0.25">
      <c r="A76" s="51" t="str">
        <f>LEFT(A75,4)+1&amp;"–"&amp;RIGHT(A75,4)+1</f>
        <v>2025–2026</v>
      </c>
      <c r="B76" s="55"/>
      <c r="C76" s="55"/>
      <c r="D76" s="187"/>
      <c r="E76" s="188"/>
      <c r="F76" s="188"/>
    </row>
    <row r="77" spans="1:13" x14ac:dyDescent="0.25">
      <c r="A77" s="51" t="str">
        <f>LEFT(A76,4)+1&amp;"–"&amp;RIGHT(A76,4)+1</f>
        <v>2026–2027</v>
      </c>
      <c r="B77" s="55"/>
      <c r="C77" s="55"/>
      <c r="D77" s="184"/>
      <c r="E77" s="184"/>
      <c r="F77" s="184"/>
    </row>
    <row r="78" spans="1:13" ht="15" customHeight="1" x14ac:dyDescent="0.25">
      <c r="A78" s="51" t="str">
        <f>LEFT(A77,4)+1&amp;"–"&amp;RIGHT(A77,4)+1</f>
        <v>2027–2028</v>
      </c>
      <c r="B78" s="55"/>
      <c r="C78" s="55"/>
      <c r="D78" s="186" t="str">
        <f>"If yes, record the dollar amount of variable payments below for fiscal year "&amp;$B$8&amp;":"</f>
        <v>If yes, record the dollar amount of variable payments below for fiscal year 2023–2024:</v>
      </c>
      <c r="E78" s="186"/>
      <c r="F78" s="186"/>
    </row>
    <row r="79" spans="1:13" x14ac:dyDescent="0.25">
      <c r="A79" s="51" t="str">
        <f>LEFT(A78,4)+1&amp;"–"&amp;RIGHT(A78,4)+1</f>
        <v>2028–2029</v>
      </c>
      <c r="B79" s="55"/>
      <c r="C79" s="55"/>
      <c r="D79" s="184"/>
      <c r="E79" s="184"/>
      <c r="F79" s="184"/>
    </row>
    <row r="80" spans="1:13" ht="15" customHeight="1" x14ac:dyDescent="0.25">
      <c r="A80" s="51" t="str">
        <f>LEFT(A79,4)+1&amp;"–"&amp;RIGHT(A79,4)+5</f>
        <v>2029–2034</v>
      </c>
      <c r="B80" s="55"/>
      <c r="C80" s="55"/>
      <c r="D80" s="187" t="s">
        <v>6</v>
      </c>
      <c r="E80" s="188"/>
      <c r="F80" s="188"/>
    </row>
    <row r="81" spans="1:6" x14ac:dyDescent="0.25">
      <c r="A81" s="51" t="str">
        <f t="shared" ref="A81:A94" si="2">LEFT(A80,4)+5&amp;"–"&amp;RIGHT(A80,4)+5</f>
        <v>2034–2039</v>
      </c>
      <c r="B81" s="55"/>
      <c r="C81" s="55"/>
      <c r="D81" s="187"/>
      <c r="E81" s="188"/>
      <c r="F81" s="188"/>
    </row>
    <row r="82" spans="1:6" x14ac:dyDescent="0.25">
      <c r="A82" s="51" t="str">
        <f t="shared" si="2"/>
        <v>2039–2044</v>
      </c>
      <c r="B82" s="55"/>
      <c r="C82" s="55"/>
      <c r="D82" s="184"/>
      <c r="E82" s="184"/>
      <c r="F82" s="184"/>
    </row>
    <row r="83" spans="1:6" ht="15" customHeight="1" x14ac:dyDescent="0.25">
      <c r="A83" s="51" t="str">
        <f t="shared" si="2"/>
        <v>2044–2049</v>
      </c>
      <c r="B83" s="55"/>
      <c r="C83" s="55"/>
      <c r="D83" s="185" t="str">
        <f>"If yes, record the dollar amount of any payments made for residual value guarantees below for fiscal year "&amp;$B$8&amp;":"</f>
        <v>If yes, record the dollar amount of any payments made for residual value guarantees below for fiscal year 2023–2024:</v>
      </c>
      <c r="E83" s="186"/>
      <c r="F83" s="186"/>
    </row>
    <row r="84" spans="1:6" x14ac:dyDescent="0.25">
      <c r="A84" s="51" t="str">
        <f t="shared" si="2"/>
        <v>2049–2054</v>
      </c>
      <c r="B84" s="55"/>
      <c r="C84" s="55"/>
      <c r="D84" s="185"/>
      <c r="E84" s="186"/>
      <c r="F84" s="186"/>
    </row>
    <row r="85" spans="1:6" x14ac:dyDescent="0.25">
      <c r="A85" s="51" t="str">
        <f t="shared" si="2"/>
        <v>2054–2059</v>
      </c>
      <c r="B85" s="55"/>
      <c r="C85" s="55"/>
      <c r="D85" s="184"/>
      <c r="E85" s="184"/>
      <c r="F85" s="184"/>
    </row>
    <row r="86" spans="1:6" ht="15" customHeight="1" x14ac:dyDescent="0.25">
      <c r="A86" s="51" t="str">
        <f t="shared" si="2"/>
        <v>2059–2064</v>
      </c>
      <c r="B86" s="55"/>
      <c r="C86" s="55"/>
      <c r="D86" s="18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86"/>
      <c r="F86" s="186"/>
    </row>
    <row r="87" spans="1:6" x14ac:dyDescent="0.25">
      <c r="A87" s="51" t="str">
        <f t="shared" si="2"/>
        <v>2064–2069</v>
      </c>
      <c r="B87" s="55"/>
      <c r="C87" s="55"/>
      <c r="D87" s="185"/>
      <c r="E87" s="186"/>
      <c r="F87" s="186"/>
    </row>
    <row r="88" spans="1:6" x14ac:dyDescent="0.25">
      <c r="A88" s="51" t="str">
        <f t="shared" si="2"/>
        <v>2069–2074</v>
      </c>
      <c r="B88" s="55"/>
      <c r="C88" s="55"/>
      <c r="D88" s="184"/>
      <c r="E88" s="184"/>
      <c r="F88" s="184"/>
    </row>
    <row r="89" spans="1:6" x14ac:dyDescent="0.25">
      <c r="A89" s="51" t="str">
        <f t="shared" si="2"/>
        <v>2074–2079</v>
      </c>
      <c r="B89" s="55"/>
      <c r="C89" s="55"/>
      <c r="D89" s="18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188"/>
      <c r="F89" s="188"/>
    </row>
    <row r="90" spans="1:6" x14ac:dyDescent="0.25">
      <c r="A90" s="51" t="str">
        <f t="shared" si="2"/>
        <v>2079–2084</v>
      </c>
      <c r="B90" s="55"/>
      <c r="C90" s="55"/>
      <c r="D90" s="187"/>
      <c r="E90" s="188"/>
      <c r="F90" s="188"/>
    </row>
    <row r="91" spans="1:6" ht="15" customHeight="1" x14ac:dyDescent="0.25">
      <c r="A91" s="51" t="str">
        <f t="shared" si="2"/>
        <v>2084–2089</v>
      </c>
      <c r="B91" s="55"/>
      <c r="C91" s="55"/>
      <c r="D91" s="184"/>
      <c r="E91" s="184"/>
      <c r="F91" s="184"/>
    </row>
    <row r="92" spans="1:6" x14ac:dyDescent="0.25">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5">
      <c r="A93" s="51" t="str">
        <f t="shared" si="2"/>
        <v>2094–2099</v>
      </c>
      <c r="B93" s="55"/>
      <c r="C93" s="55"/>
      <c r="D93" s="184"/>
      <c r="E93" s="184"/>
      <c r="F93" s="184"/>
    </row>
    <row r="94" spans="1:6" x14ac:dyDescent="0.25">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5">
      <c r="A95" s="51" t="str">
        <f>LEFT(A94,4)+5&amp;"–"&amp;RIGHT(A94,4)+5</f>
        <v>2104–2109</v>
      </c>
      <c r="B95" s="55"/>
      <c r="C95" s="55"/>
      <c r="D95" s="184"/>
      <c r="E95" s="184"/>
      <c r="F95" s="184"/>
    </row>
    <row r="96" spans="1:6" x14ac:dyDescent="0.25">
      <c r="A96" s="51" t="str">
        <f>LEFT(A95,4)+5&amp;"–"&amp;RIGHT(A95,4)+5</f>
        <v>2109–2114</v>
      </c>
      <c r="B96" s="55"/>
      <c r="C96" s="55"/>
    </row>
    <row r="97" spans="1:3" x14ac:dyDescent="0.25">
      <c r="A97" s="51" t="str">
        <f>LEFT(A96,4)+5&amp;"–"&amp;RIGHT(A96,4)+5</f>
        <v>2114–2119</v>
      </c>
      <c r="B97" s="55"/>
      <c r="C97" s="55"/>
    </row>
    <row r="98" spans="1:3" x14ac:dyDescent="0.25">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T11" sqref="T11"/>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11</v>
      </c>
      <c r="K3" s="2"/>
      <c r="L3" s="2"/>
      <c r="M3" s="2"/>
      <c r="N3" s="2"/>
      <c r="O3" s="2"/>
      <c r="P3" s="2"/>
      <c r="Q3" s="43"/>
    </row>
    <row r="4" spans="2:17" ht="20.399999999999999" x14ac:dyDescent="0.35">
      <c r="B4" s="41"/>
      <c r="D4" s="2"/>
      <c r="E4" s="2"/>
      <c r="F4" s="2"/>
      <c r="G4" s="2"/>
      <c r="H4" s="2"/>
      <c r="I4" s="2"/>
      <c r="J4" s="42" t="str">
        <f>CONCATENATE("FY ",'LS-Fund #### JE'!F3)</f>
        <v>FY 2023–2024</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820 - Department of Justice</v>
      </c>
      <c r="K5" s="2"/>
      <c r="L5" s="2"/>
      <c r="M5" s="2"/>
      <c r="N5" s="2"/>
      <c r="O5" s="2"/>
      <c r="P5" s="2"/>
      <c r="Q5" s="43"/>
    </row>
    <row r="6" spans="2:17" x14ac:dyDescent="0.35">
      <c r="B6" s="41"/>
      <c r="Q6" s="43"/>
    </row>
    <row r="7" spans="2:17" ht="36.6" thickBot="1" x14ac:dyDescent="0.4">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35">
      <c r="B8" s="41"/>
      <c r="F8" s="157" t="s">
        <v>1635</v>
      </c>
      <c r="G8" s="45"/>
      <c r="H8" s="158" t="s">
        <v>1669</v>
      </c>
      <c r="I8" s="45"/>
      <c r="J8" s="158" t="s">
        <v>1670</v>
      </c>
      <c r="K8" s="45"/>
      <c r="L8" s="158"/>
      <c r="M8" s="45"/>
      <c r="N8" s="158" t="s">
        <v>1636</v>
      </c>
      <c r="O8" s="45"/>
      <c r="P8" s="156"/>
      <c r="Q8" s="43"/>
    </row>
    <row r="9" spans="2:17" x14ac:dyDescent="0.35">
      <c r="B9" s="41"/>
      <c r="C9" s="45" t="s">
        <v>16</v>
      </c>
      <c r="Q9" s="43"/>
    </row>
    <row r="10" spans="2:17" ht="18.600000000000001" thickBot="1" x14ac:dyDescent="0.4">
      <c r="B10" s="41"/>
      <c r="D10" s="35" t="s">
        <v>17</v>
      </c>
      <c r="F10" s="61">
        <v>75430981</v>
      </c>
      <c r="G10" s="58"/>
      <c r="H10" s="61">
        <f>117572+55937469</f>
        <v>56055041</v>
      </c>
      <c r="I10" s="58"/>
      <c r="J10" s="61">
        <v>18234244</v>
      </c>
      <c r="K10" s="58"/>
      <c r="L10" s="63">
        <f>SUM(F10+H10-J10)</f>
        <v>113251778</v>
      </c>
      <c r="M10" s="58"/>
      <c r="N10" s="61">
        <v>16781590</v>
      </c>
      <c r="O10" s="58"/>
      <c r="P10" s="63">
        <f>L10-N10</f>
        <v>96470188</v>
      </c>
      <c r="Q10" s="43"/>
    </row>
    <row r="11" spans="2:17" ht="19.2" thickTop="1" thickBot="1" x14ac:dyDescent="0.4">
      <c r="B11" s="41"/>
      <c r="C11" s="45" t="s">
        <v>18</v>
      </c>
      <c r="F11" s="62">
        <f>SUM(F10:F10)</f>
        <v>75430981</v>
      </c>
      <c r="G11" s="58"/>
      <c r="H11" s="62">
        <f>SUM(H10:H10)</f>
        <v>56055041</v>
      </c>
      <c r="I11" s="58"/>
      <c r="J11" s="62">
        <f>SUM(J10:J10)</f>
        <v>18234244</v>
      </c>
      <c r="K11" s="58"/>
      <c r="L11" s="62">
        <f>SUM(L10:L10)</f>
        <v>113251778</v>
      </c>
      <c r="M11" s="58"/>
      <c r="N11" s="62">
        <f>SUM(N10:N10)</f>
        <v>16781590</v>
      </c>
      <c r="O11" s="58"/>
      <c r="P11" s="62">
        <f>SUM(P10:P10)</f>
        <v>96470188</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133</v>
      </c>
      <c r="F13" s="58"/>
      <c r="G13" s="58"/>
      <c r="H13" s="58"/>
      <c r="I13" s="58"/>
      <c r="J13" s="58"/>
      <c r="K13" s="58"/>
      <c r="L13" s="58"/>
      <c r="M13" s="58"/>
      <c r="N13" s="58"/>
      <c r="O13" s="58"/>
      <c r="P13" s="58"/>
      <c r="Q13" s="43"/>
    </row>
    <row r="14" spans="2:17" ht="18.600000000000001" thickBot="1" x14ac:dyDescent="0.4">
      <c r="B14" s="41"/>
      <c r="D14" s="35" t="s">
        <v>17</v>
      </c>
      <c r="F14" s="61">
        <v>9846201</v>
      </c>
      <c r="G14" s="58"/>
      <c r="H14" s="61">
        <f>IF('LS-Fund #### JE'!$F$8="Proprietary - Internal Service Fund",SUM('LS-Fund #### JE'!$K$48,'LS-Fund #### JE'!K113),0)</f>
        <v>0</v>
      </c>
      <c r="I14" s="58"/>
      <c r="J14" s="61">
        <v>2371970</v>
      </c>
      <c r="K14" s="58"/>
      <c r="L14" s="63">
        <f>SUM(F14+H14-J14)</f>
        <v>7474231</v>
      </c>
      <c r="M14" s="58"/>
      <c r="N14" s="61">
        <v>2396068</v>
      </c>
      <c r="O14" s="58"/>
      <c r="P14" s="63">
        <f>L14-N14</f>
        <v>5078163</v>
      </c>
      <c r="Q14" s="43"/>
    </row>
    <row r="15" spans="2:17" ht="19.2" thickTop="1" thickBot="1" x14ac:dyDescent="0.4">
      <c r="B15" s="41"/>
      <c r="C15" s="45" t="s">
        <v>134</v>
      </c>
      <c r="F15" s="62">
        <f>SUM(F14:F14)</f>
        <v>9846201</v>
      </c>
      <c r="G15" s="58"/>
      <c r="H15" s="62">
        <f>SUM(H14:H14)</f>
        <v>0</v>
      </c>
      <c r="I15" s="58"/>
      <c r="J15" s="62">
        <f>SUM(J14:J14)</f>
        <v>2371970</v>
      </c>
      <c r="K15" s="58"/>
      <c r="L15" s="62">
        <f>SUM(L14:L14)</f>
        <v>7474231</v>
      </c>
      <c r="M15" s="58"/>
      <c r="N15" s="62">
        <f>SUM(N14:N14)</f>
        <v>2396068</v>
      </c>
      <c r="O15" s="58"/>
      <c r="P15" s="62">
        <f>SUM(P14:P14)</f>
        <v>5078163</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135</v>
      </c>
      <c r="F17" s="58"/>
      <c r="G17" s="58"/>
      <c r="H17" s="58"/>
      <c r="I17" s="58"/>
      <c r="J17" s="58"/>
      <c r="K17" s="58"/>
      <c r="L17" s="58"/>
      <c r="M17" s="58"/>
      <c r="N17" s="58"/>
      <c r="O17" s="58"/>
      <c r="P17" s="58"/>
      <c r="Q17" s="43"/>
    </row>
    <row r="18" spans="2:17" ht="18.600000000000001" thickBot="1" x14ac:dyDescent="0.4">
      <c r="B18" s="41"/>
      <c r="D18" s="35" t="s">
        <v>17</v>
      </c>
      <c r="F18" s="61">
        <f>IF('LS-Fund #### JE'!$F$8="Proprietary - Enterprise Fund",'LS-Fund #### JE'!$K$23,0)</f>
        <v>0</v>
      </c>
      <c r="G18" s="58"/>
      <c r="H18" s="61">
        <f>IF('LS-Fund #### JE'!$F$8="Proprietary - Enterprise Fund",SUM('LS-Fund #### JE'!$K$48,'LS-Fund #### JE'!K113),0)</f>
        <v>0</v>
      </c>
      <c r="I18" s="58"/>
      <c r="J18" s="61">
        <f>IF('LS-Fund #### JE'!$F$8="Proprietary - Enterprise Fund",SUM('LS-Fund #### JE'!$J$68,'LS-Fund #### JE'!J96),0)</f>
        <v>0</v>
      </c>
      <c r="K18" s="58"/>
      <c r="L18" s="63">
        <f>SUM(F18+H18-J18)</f>
        <v>0</v>
      </c>
      <c r="M18" s="58"/>
      <c r="N18" s="61">
        <f>IF('LS-Fund #### JE'!$F$8="Proprietary - Enterprise Fund",'LS-Fund #### JE'!$K$76,0)</f>
        <v>0</v>
      </c>
      <c r="O18" s="58"/>
      <c r="P18" s="63">
        <f>L18-N18</f>
        <v>0</v>
      </c>
      <c r="Q18" s="43"/>
    </row>
    <row r="19" spans="2:17" ht="19.2" thickTop="1" thickBot="1" x14ac:dyDescent="0.4">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row r="22" spans="2:17" x14ac:dyDescent="0.35">
      <c r="B22" s="174" t="s">
        <v>1675</v>
      </c>
    </row>
    <row r="23" spans="2:17" x14ac:dyDescent="0.35">
      <c r="B23" s="174"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10" zoomScale="112" zoomScaleNormal="112" workbookViewId="0">
      <selection activeCell="L15" sqref="L15"/>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152</v>
      </c>
      <c r="B1" s="65"/>
      <c r="C1" s="66"/>
      <c r="D1" s="65"/>
      <c r="E1" s="66"/>
      <c r="F1" s="67"/>
      <c r="G1" s="67"/>
      <c r="H1" s="67"/>
      <c r="I1" s="67"/>
      <c r="J1" s="67"/>
      <c r="K1" s="68"/>
      <c r="L1" s="67"/>
      <c r="M1" s="68"/>
      <c r="N1" s="65"/>
      <c r="O1" s="65"/>
      <c r="P1" s="65"/>
      <c r="Q1" s="65"/>
    </row>
    <row r="2" spans="1:17" s="69" customFormat="1" ht="15.6" x14ac:dyDescent="0.3">
      <c r="A2" s="64" t="s">
        <v>140</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141</v>
      </c>
      <c r="B4" s="72"/>
      <c r="C4" s="73"/>
      <c r="D4" s="72"/>
      <c r="E4" s="73"/>
      <c r="F4" s="72"/>
      <c r="G4" s="72"/>
      <c r="H4" s="72"/>
      <c r="I4" s="72"/>
      <c r="J4" s="72"/>
      <c r="K4" s="73"/>
      <c r="L4" s="72"/>
      <c r="M4" s="73"/>
      <c r="N4" s="72"/>
      <c r="O4" s="72"/>
      <c r="P4" s="72"/>
      <c r="Q4" s="72"/>
    </row>
    <row r="5" spans="1:17" ht="15" customHeight="1" x14ac:dyDescent="0.3">
      <c r="A5" s="201" t="s">
        <v>153</v>
      </c>
      <c r="B5" s="201"/>
      <c r="C5" s="201"/>
      <c r="D5" s="201"/>
      <c r="E5" s="201"/>
      <c r="F5" s="201"/>
      <c r="G5" s="201"/>
      <c r="H5" s="201"/>
      <c r="I5" s="201"/>
      <c r="J5" s="201"/>
      <c r="K5" s="201"/>
      <c r="L5" s="201"/>
      <c r="M5" s="201"/>
      <c r="N5" s="201"/>
      <c r="O5" s="201"/>
      <c r="P5" s="201"/>
      <c r="Q5" s="201"/>
    </row>
    <row r="6" spans="1:17" ht="15" customHeight="1" x14ac:dyDescent="0.3">
      <c r="A6" s="201"/>
      <c r="B6" s="201"/>
      <c r="C6" s="201"/>
      <c r="D6" s="201"/>
      <c r="E6" s="201"/>
      <c r="F6" s="201"/>
      <c r="G6" s="201"/>
      <c r="H6" s="201"/>
      <c r="I6" s="201"/>
      <c r="J6" s="201"/>
      <c r="K6" s="201"/>
      <c r="L6" s="201"/>
      <c r="M6" s="201"/>
      <c r="N6" s="201"/>
      <c r="O6" s="201"/>
      <c r="P6" s="201"/>
      <c r="Q6" s="201"/>
    </row>
    <row r="7" spans="1:17" x14ac:dyDescent="0.3">
      <c r="A7" s="201"/>
      <c r="B7" s="201"/>
      <c r="C7" s="201"/>
      <c r="D7" s="201"/>
      <c r="E7" s="201"/>
      <c r="F7" s="201"/>
      <c r="G7" s="201"/>
      <c r="H7" s="201"/>
      <c r="I7" s="201"/>
      <c r="J7" s="201"/>
      <c r="K7" s="201"/>
      <c r="L7" s="201"/>
      <c r="M7" s="201"/>
      <c r="N7" s="201"/>
      <c r="O7" s="201"/>
      <c r="P7" s="201"/>
      <c r="Q7" s="201"/>
    </row>
    <row r="8" spans="1:17" ht="15" customHeight="1" x14ac:dyDescent="0.3">
      <c r="A8" s="202" t="s">
        <v>1628</v>
      </c>
      <c r="B8" s="202"/>
      <c r="C8" s="202"/>
      <c r="D8" s="202"/>
      <c r="E8" s="202"/>
      <c r="F8" s="202"/>
      <c r="G8" s="202"/>
      <c r="H8" s="202"/>
      <c r="I8" s="202"/>
      <c r="J8" s="202"/>
      <c r="K8" s="202"/>
      <c r="L8" s="202"/>
      <c r="M8" s="202"/>
      <c r="N8" s="202"/>
      <c r="O8" s="202"/>
      <c r="P8" s="202"/>
      <c r="Q8" s="202"/>
    </row>
    <row r="9" spans="1:17" x14ac:dyDescent="0.3">
      <c r="A9" s="202"/>
      <c r="B9" s="202"/>
      <c r="C9" s="202"/>
      <c r="D9" s="202"/>
      <c r="E9" s="202"/>
      <c r="F9" s="202"/>
      <c r="G9" s="202"/>
      <c r="H9" s="202"/>
      <c r="I9" s="202"/>
      <c r="J9" s="202"/>
      <c r="K9" s="202"/>
      <c r="L9" s="202"/>
      <c r="M9" s="202"/>
      <c r="N9" s="202"/>
      <c r="O9" s="202"/>
      <c r="P9" s="202"/>
      <c r="Q9" s="202"/>
    </row>
    <row r="10" spans="1:17" x14ac:dyDescent="0.3">
      <c r="A10" s="71" t="s">
        <v>157</v>
      </c>
      <c r="B10" s="72"/>
      <c r="C10" s="73"/>
      <c r="D10" s="72"/>
      <c r="E10" s="73"/>
      <c r="F10" s="72"/>
      <c r="G10" s="72"/>
      <c r="H10" s="72"/>
      <c r="I10" s="72"/>
      <c r="J10" s="72"/>
      <c r="K10" s="73"/>
      <c r="L10" s="72"/>
      <c r="M10" s="73"/>
      <c r="N10" s="72"/>
      <c r="O10" s="72"/>
      <c r="P10" s="72"/>
      <c r="Q10" s="72"/>
    </row>
    <row r="11" spans="1:17" x14ac:dyDescent="0.3">
      <c r="A11" s="75"/>
      <c r="B11" s="101" t="s">
        <v>159</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03" t="s">
        <v>142</v>
      </c>
      <c r="C13" s="203"/>
      <c r="D13" s="203"/>
      <c r="E13" s="203"/>
      <c r="F13" s="203"/>
      <c r="G13" s="203"/>
      <c r="H13" s="203"/>
      <c r="I13" s="203"/>
      <c r="J13" s="203"/>
      <c r="K13" s="203"/>
      <c r="L13" s="203"/>
      <c r="M13" s="76"/>
      <c r="N13" s="77" t="s">
        <v>143</v>
      </c>
      <c r="O13" s="78"/>
      <c r="P13" s="78"/>
      <c r="Q13" s="75"/>
    </row>
    <row r="14" spans="1:17" ht="15" customHeight="1" x14ac:dyDescent="0.3">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3">
      <c r="A15" s="75"/>
      <c r="B15" s="79" t="s">
        <v>144</v>
      </c>
      <c r="C15" s="80" t="s">
        <v>145</v>
      </c>
      <c r="D15" s="79" t="s">
        <v>156</v>
      </c>
      <c r="E15" s="79" t="s">
        <v>146</v>
      </c>
      <c r="F15" s="79" t="s">
        <v>151</v>
      </c>
      <c r="G15" s="79" t="s">
        <v>146</v>
      </c>
      <c r="H15" s="79" t="s">
        <v>1668</v>
      </c>
      <c r="I15" s="79" t="s">
        <v>145</v>
      </c>
      <c r="J15" s="79" t="s">
        <v>1671</v>
      </c>
      <c r="K15" s="80"/>
      <c r="L15" s="79"/>
      <c r="M15" s="80"/>
      <c r="N15" s="81" t="s">
        <v>147</v>
      </c>
      <c r="O15" s="78"/>
      <c r="P15" s="82" t="s">
        <v>148</v>
      </c>
      <c r="Q15" s="75"/>
    </row>
    <row r="16" spans="1:17" ht="15" customHeight="1" x14ac:dyDescent="0.3">
      <c r="A16" s="83"/>
      <c r="B16" s="84">
        <v>75430981</v>
      </c>
      <c r="C16" s="116" t="s">
        <v>145</v>
      </c>
      <c r="D16" s="84">
        <v>117572</v>
      </c>
      <c r="E16" s="118" t="s">
        <v>146</v>
      </c>
      <c r="F16" s="84">
        <v>18234244</v>
      </c>
      <c r="G16" s="117" t="s">
        <v>146</v>
      </c>
      <c r="H16" s="84">
        <f>IF('LS-Fund #### JE'!$F$8="Governmental Fund",'LS-Fund #### JE'!$J$96,0)</f>
        <v>0</v>
      </c>
      <c r="I16" s="117" t="s">
        <v>145</v>
      </c>
      <c r="J16" s="84">
        <v>55937468.999999993</v>
      </c>
      <c r="K16" s="118" t="s">
        <v>149</v>
      </c>
      <c r="L16" s="87">
        <f>+B16+D16-F16-H16+J16</f>
        <v>113251778</v>
      </c>
      <c r="M16" s="86"/>
      <c r="N16" s="88">
        <f>SUM('LS-Department Note Disclosure'!B13:B36)</f>
        <v>113251778</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160</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03" t="s">
        <v>142</v>
      </c>
      <c r="C21" s="203"/>
      <c r="D21" s="203"/>
      <c r="E21" s="203"/>
      <c r="F21" s="203"/>
      <c r="G21" s="203"/>
      <c r="H21" s="203"/>
      <c r="I21" s="203"/>
      <c r="J21" s="203"/>
      <c r="K21" s="203"/>
      <c r="L21" s="203"/>
      <c r="M21" s="76"/>
      <c r="N21" s="77" t="s">
        <v>143</v>
      </c>
      <c r="O21" s="78"/>
      <c r="P21" s="78"/>
      <c r="Q21" s="75"/>
    </row>
    <row r="22" spans="1:17" ht="15" customHeight="1" x14ac:dyDescent="0.3">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3">
      <c r="A23" s="75"/>
      <c r="B23" s="79" t="s">
        <v>144</v>
      </c>
      <c r="C23" s="80" t="s">
        <v>145</v>
      </c>
      <c r="D23" s="79" t="s">
        <v>156</v>
      </c>
      <c r="E23" s="79" t="s">
        <v>146</v>
      </c>
      <c r="F23" s="79" t="s">
        <v>151</v>
      </c>
      <c r="G23" s="79" t="s">
        <v>146</v>
      </c>
      <c r="H23" s="79" t="s">
        <v>1668</v>
      </c>
      <c r="I23" s="79" t="s">
        <v>145</v>
      </c>
      <c r="J23" s="79" t="s">
        <v>1671</v>
      </c>
      <c r="K23" s="80"/>
      <c r="L23" s="79"/>
      <c r="M23" s="80"/>
      <c r="N23" s="81" t="s">
        <v>147</v>
      </c>
      <c r="O23" s="78"/>
      <c r="P23" s="82" t="s">
        <v>148</v>
      </c>
      <c r="Q23" s="75"/>
    </row>
    <row r="24" spans="1:17" ht="15" customHeight="1" x14ac:dyDescent="0.3">
      <c r="A24" s="83"/>
      <c r="B24" s="84">
        <v>9846201</v>
      </c>
      <c r="C24" s="116" t="s">
        <v>145</v>
      </c>
      <c r="D24" s="84">
        <f>IF('LS-Fund #### JE'!$F$8="Proprietary - Internal Service Fund",'LS-Fund #### JE'!$K$48,0)</f>
        <v>0</v>
      </c>
      <c r="E24" s="118" t="s">
        <v>146</v>
      </c>
      <c r="F24" s="84">
        <v>2371970</v>
      </c>
      <c r="G24" s="117" t="s">
        <v>146</v>
      </c>
      <c r="H24" s="84">
        <f>IF('LS-Fund #### JE'!$F$8="Proprietary - Internal Service Fund",'LS-Fund #### JE'!$J$96,0)</f>
        <v>0</v>
      </c>
      <c r="I24" s="117" t="s">
        <v>145</v>
      </c>
      <c r="J24" s="84">
        <f>IF('LS-Fund #### JE'!$F$8="Proprietary - Internal Service Fund",'LS-Fund #### JE'!$K$113,0)</f>
        <v>0</v>
      </c>
      <c r="K24" s="118" t="s">
        <v>149</v>
      </c>
      <c r="L24" s="87">
        <f>+B24+D24-F24-H24+J24</f>
        <v>7474231</v>
      </c>
      <c r="M24" s="86"/>
      <c r="N24" s="88">
        <f>SUM('LS-Department Note Disclosure'!B44:B67)</f>
        <v>7474231</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161</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03" t="s">
        <v>142</v>
      </c>
      <c r="C30" s="203"/>
      <c r="D30" s="203"/>
      <c r="E30" s="203"/>
      <c r="F30" s="203"/>
      <c r="G30" s="203"/>
      <c r="H30" s="203"/>
      <c r="I30" s="203"/>
      <c r="J30" s="203"/>
      <c r="K30" s="203"/>
      <c r="L30" s="203"/>
      <c r="M30" s="76"/>
      <c r="N30" s="77" t="s">
        <v>143</v>
      </c>
      <c r="O30" s="78"/>
      <c r="P30" s="78"/>
      <c r="Q30" s="75"/>
    </row>
    <row r="31" spans="1:17" ht="15" customHeight="1" x14ac:dyDescent="0.3">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3">
      <c r="A32" s="75"/>
      <c r="B32" s="79" t="s">
        <v>144</v>
      </c>
      <c r="C32" s="80" t="s">
        <v>145</v>
      </c>
      <c r="D32" s="79" t="s">
        <v>156</v>
      </c>
      <c r="E32" s="79" t="s">
        <v>146</v>
      </c>
      <c r="F32" s="79" t="s">
        <v>151</v>
      </c>
      <c r="G32" s="79" t="s">
        <v>146</v>
      </c>
      <c r="H32" s="79" t="s">
        <v>1668</v>
      </c>
      <c r="I32" s="79" t="s">
        <v>145</v>
      </c>
      <c r="J32" s="79" t="s">
        <v>1671</v>
      </c>
      <c r="K32" s="80"/>
      <c r="L32" s="79"/>
      <c r="M32" s="80"/>
      <c r="N32" s="81" t="s">
        <v>147</v>
      </c>
      <c r="O32" s="78"/>
      <c r="P32" s="82" t="s">
        <v>148</v>
      </c>
      <c r="Q32" s="75"/>
    </row>
    <row r="33" spans="1:17" ht="15" customHeight="1" x14ac:dyDescent="0.3">
      <c r="A33" s="83"/>
      <c r="B33" s="84">
        <f>IF('LS-Fund #### JE'!$F$8="Proprietary - Enterprise Fund",'LS-Fund #### JE'!$K$23,0)</f>
        <v>0</v>
      </c>
      <c r="C33" s="116" t="s">
        <v>145</v>
      </c>
      <c r="D33" s="84">
        <f>IF('LS-Fund #### JE'!$F$8="Proprietary - Enterprise Fund",'LS-Fund #### JE'!$K$48,0)</f>
        <v>0</v>
      </c>
      <c r="E33" s="118" t="s">
        <v>146</v>
      </c>
      <c r="F33" s="84">
        <f>IF('LS-Fund #### JE'!$F$8="Proprietary - Enterprise Fund",'LS-Fund #### JE'!$J$68,0)</f>
        <v>0</v>
      </c>
      <c r="G33" s="117" t="s">
        <v>146</v>
      </c>
      <c r="H33" s="84">
        <f>IF('LS-Fund #### JE'!$F$8="Proprietary - Enterprise Fund",'LS-Fund #### JE'!$J$96,0)</f>
        <v>0</v>
      </c>
      <c r="I33" s="117" t="s">
        <v>145</v>
      </c>
      <c r="J33" s="84">
        <f>IF('LS-Fund #### JE'!$F$8="Proprietary - Enterprise Fund",'LS-Fund #### JE'!$K$113,0)</f>
        <v>0</v>
      </c>
      <c r="K33" s="118" t="s">
        <v>149</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150</v>
      </c>
      <c r="B37" s="72"/>
      <c r="C37" s="73"/>
      <c r="D37" s="72"/>
      <c r="E37" s="73"/>
      <c r="F37" s="72"/>
      <c r="G37" s="72"/>
      <c r="H37" s="72"/>
      <c r="I37" s="72"/>
      <c r="J37" s="72"/>
      <c r="K37" s="73"/>
      <c r="L37" s="72"/>
      <c r="M37" s="73"/>
      <c r="N37" s="72"/>
      <c r="O37" s="72"/>
      <c r="P37" s="72"/>
      <c r="Q37" s="72"/>
    </row>
    <row r="38" spans="1:17" ht="15" customHeight="1" x14ac:dyDescent="0.3">
      <c r="A38" s="75"/>
      <c r="B38" s="101" t="s">
        <v>159</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03" t="s">
        <v>142</v>
      </c>
      <c r="C40" s="203"/>
      <c r="D40" s="203"/>
      <c r="E40" s="101"/>
      <c r="F40" s="101"/>
      <c r="G40" s="101"/>
      <c r="H40" s="101"/>
      <c r="I40" s="101"/>
      <c r="J40" s="101"/>
      <c r="K40" s="101"/>
      <c r="L40" s="101"/>
      <c r="M40" s="76"/>
      <c r="N40" s="77" t="s">
        <v>143</v>
      </c>
      <c r="O40" s="78"/>
      <c r="P40" s="78"/>
      <c r="Q40" s="75"/>
    </row>
    <row r="41" spans="1:17" ht="15" customHeight="1" x14ac:dyDescent="0.3">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3">
      <c r="A42" s="75"/>
      <c r="B42" s="84">
        <v>16781590</v>
      </c>
      <c r="C42" s="92"/>
      <c r="E42" s="92"/>
      <c r="G42" s="115"/>
      <c r="H42" s="115"/>
      <c r="I42" s="115"/>
      <c r="J42" s="115"/>
      <c r="K42" s="92"/>
      <c r="L42" s="92"/>
      <c r="M42" s="93"/>
      <c r="N42" s="88">
        <f>'LS-Department Note Disclosure'!B13</f>
        <v>16781590</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160</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03" t="s">
        <v>142</v>
      </c>
      <c r="C47" s="203"/>
      <c r="D47" s="203"/>
      <c r="E47" s="101"/>
      <c r="F47" s="101"/>
      <c r="G47" s="101"/>
      <c r="H47" s="101"/>
      <c r="I47" s="101"/>
      <c r="J47" s="101"/>
      <c r="K47" s="101"/>
      <c r="L47" s="101"/>
      <c r="M47" s="76"/>
      <c r="N47" s="77" t="s">
        <v>143</v>
      </c>
      <c r="O47" s="78"/>
      <c r="P47" s="78"/>
      <c r="Q47" s="75"/>
    </row>
    <row r="48" spans="1:17" ht="15" customHeight="1" x14ac:dyDescent="0.3">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3">
      <c r="A49" s="75"/>
      <c r="B49" s="84">
        <v>2396068</v>
      </c>
      <c r="C49" s="92"/>
      <c r="E49" s="92"/>
      <c r="G49" s="115"/>
      <c r="H49" s="115"/>
      <c r="I49" s="115"/>
      <c r="J49" s="115"/>
      <c r="K49" s="92"/>
      <c r="L49" s="92"/>
      <c r="M49" s="93"/>
      <c r="N49" s="88">
        <f>'LS-Department Note Disclosure'!B44</f>
        <v>2396068</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161</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03" t="s">
        <v>142</v>
      </c>
      <c r="C55" s="203"/>
      <c r="D55" s="203"/>
      <c r="E55" s="101"/>
      <c r="F55" s="101"/>
      <c r="G55" s="101"/>
      <c r="H55" s="101"/>
      <c r="I55" s="101"/>
      <c r="J55" s="101"/>
      <c r="K55" s="101"/>
      <c r="L55" s="101"/>
      <c r="M55" s="76"/>
      <c r="N55" s="77" t="s">
        <v>143</v>
      </c>
      <c r="O55" s="78"/>
      <c r="P55" s="78"/>
      <c r="Q55" s="75"/>
    </row>
    <row r="56" spans="1:17" ht="15" customHeight="1" x14ac:dyDescent="0.3">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3">
      <c r="A57" s="75"/>
      <c r="B57" s="84">
        <f>IF('LS-Fund #### JE'!$F$8="Proprietary - Enterprise Fund",'LS-Fund #### JE'!$K$76,0)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158</v>
      </c>
      <c r="B61" s="72"/>
      <c r="C61" s="73"/>
      <c r="D61" s="72"/>
      <c r="E61" s="73"/>
      <c r="F61" s="72"/>
      <c r="G61" s="72"/>
      <c r="H61" s="72"/>
      <c r="I61" s="72"/>
      <c r="J61" s="72"/>
      <c r="K61" s="73"/>
      <c r="L61" s="72"/>
      <c r="M61" s="73"/>
      <c r="N61" s="72"/>
      <c r="O61" s="72"/>
      <c r="P61" s="72"/>
      <c r="Q61" s="72"/>
    </row>
    <row r="62" spans="1:17" ht="15" customHeight="1" x14ac:dyDescent="0.3">
      <c r="A62" s="75"/>
      <c r="B62" s="101" t="s">
        <v>159</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04" t="s">
        <v>142</v>
      </c>
      <c r="C64" s="204"/>
      <c r="D64" s="204"/>
      <c r="E64" s="204"/>
      <c r="F64" s="204"/>
      <c r="G64" s="204"/>
      <c r="H64" s="204"/>
      <c r="I64" s="95"/>
      <c r="J64" s="77" t="s">
        <v>1627</v>
      </c>
      <c r="K64" s="95"/>
      <c r="L64" s="204" t="s">
        <v>11</v>
      </c>
      <c r="M64" s="204"/>
      <c r="N64" s="204"/>
      <c r="O64" s="95"/>
      <c r="P64" s="95"/>
      <c r="Q64" s="75"/>
    </row>
    <row r="65" spans="1:17" x14ac:dyDescent="0.3">
      <c r="A65" s="75"/>
      <c r="B65" s="75"/>
      <c r="C65" s="75"/>
      <c r="D65" s="75"/>
      <c r="E65" s="75"/>
      <c r="F65" s="75"/>
      <c r="G65" s="75"/>
      <c r="H65" s="75"/>
      <c r="I65" s="75"/>
      <c r="J65" s="75"/>
      <c r="K65" s="75"/>
      <c r="L65" s="75"/>
      <c r="M65" s="75"/>
      <c r="N65" s="75"/>
      <c r="O65" s="75"/>
      <c r="P65" s="82" t="s">
        <v>148</v>
      </c>
      <c r="Q65" s="75"/>
    </row>
    <row r="66" spans="1:17" x14ac:dyDescent="0.3">
      <c r="B66" s="79" t="s">
        <v>144</v>
      </c>
      <c r="D66" s="97">
        <f>$B$16</f>
        <v>75430981</v>
      </c>
      <c r="J66" s="97">
        <f>SUM(D66)</f>
        <v>75430981</v>
      </c>
      <c r="L66" s="98" t="str">
        <f>CONCATENATE("Balance July 1, ",LEFT('LS-Department Note Disclosure'!$B$8,4))</f>
        <v>Balance July 1, 2023</v>
      </c>
      <c r="N66" s="97">
        <f>'LS-Lease Liabilities'!F10</f>
        <v>75430981</v>
      </c>
      <c r="P66" s="89">
        <f>J66-N66</f>
        <v>0</v>
      </c>
    </row>
    <row r="67" spans="1:17" x14ac:dyDescent="0.3">
      <c r="B67" s="79" t="s">
        <v>156</v>
      </c>
      <c r="D67" s="97">
        <f>$D$16</f>
        <v>117572</v>
      </c>
      <c r="E67" s="119" t="s">
        <v>145</v>
      </c>
      <c r="F67" s="79" t="s">
        <v>1671</v>
      </c>
      <c r="H67" s="97">
        <f>$J$16</f>
        <v>55937468.999999993</v>
      </c>
      <c r="J67" s="97">
        <f>SUM(D67,H67)</f>
        <v>56055040.999999993</v>
      </c>
      <c r="L67" s="98" t="s">
        <v>12</v>
      </c>
      <c r="N67" s="97">
        <f>'LS-Lease Liabilities'!H10</f>
        <v>56055041</v>
      </c>
      <c r="P67" s="89">
        <f t="shared" ref="P67:P69" si="0">J67-N67</f>
        <v>0</v>
      </c>
    </row>
    <row r="68" spans="1:17" x14ac:dyDescent="0.3">
      <c r="B68" s="79" t="s">
        <v>151</v>
      </c>
      <c r="D68" s="97">
        <f>$F$16</f>
        <v>18234244</v>
      </c>
      <c r="E68" s="119" t="s">
        <v>145</v>
      </c>
      <c r="F68" s="79" t="s">
        <v>1668</v>
      </c>
      <c r="H68" s="97">
        <f>$H$16</f>
        <v>0</v>
      </c>
      <c r="J68" s="97">
        <f>SUM(D68,H68)</f>
        <v>18234244</v>
      </c>
      <c r="L68" s="98" t="s">
        <v>13</v>
      </c>
      <c r="N68" s="97">
        <f>'LS-Lease Liabilities'!J10</f>
        <v>18234244</v>
      </c>
      <c r="P68" s="89">
        <f t="shared" si="0"/>
        <v>0</v>
      </c>
    </row>
    <row r="69" spans="1:17" x14ac:dyDescent="0.3">
      <c r="B69" s="79" t="s">
        <v>155</v>
      </c>
      <c r="D69" s="97">
        <f>$B$42</f>
        <v>16781590</v>
      </c>
      <c r="J69" s="97">
        <f>SUM(D69)</f>
        <v>16781590</v>
      </c>
      <c r="L69" s="98" t="s">
        <v>14</v>
      </c>
      <c r="N69" s="97">
        <f>'LS-Lease Liabilities'!N10</f>
        <v>16781590</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160</v>
      </c>
      <c r="C73" s="100"/>
    </row>
    <row r="74" spans="1:17" x14ac:dyDescent="0.3">
      <c r="B74" s="100"/>
    </row>
    <row r="75" spans="1:17" ht="15" customHeight="1" x14ac:dyDescent="0.3">
      <c r="B75" s="204" t="s">
        <v>142</v>
      </c>
      <c r="C75" s="204"/>
      <c r="D75" s="204"/>
      <c r="E75" s="204"/>
      <c r="F75" s="204"/>
      <c r="G75" s="204"/>
      <c r="H75" s="204"/>
      <c r="I75" s="95"/>
      <c r="J75" s="77" t="s">
        <v>1627</v>
      </c>
      <c r="K75" s="95"/>
      <c r="L75" s="204" t="s">
        <v>11</v>
      </c>
      <c r="M75" s="204"/>
      <c r="N75" s="204"/>
    </row>
    <row r="76" spans="1:17" x14ac:dyDescent="0.3">
      <c r="L76" s="75"/>
      <c r="M76" s="75"/>
      <c r="N76" s="75"/>
      <c r="O76" s="75"/>
      <c r="P76" s="82" t="s">
        <v>148</v>
      </c>
    </row>
    <row r="77" spans="1:17" x14ac:dyDescent="0.3">
      <c r="B77" s="79" t="s">
        <v>144</v>
      </c>
      <c r="D77" s="97">
        <f>B24</f>
        <v>9846201</v>
      </c>
      <c r="J77" s="97">
        <f>SUM(D77)</f>
        <v>9846201</v>
      </c>
      <c r="L77" s="98" t="str">
        <f>CONCATENATE("Balance July 1, ",LEFT('LS-Department Note Disclosure'!$B$8,4))</f>
        <v>Balance July 1, 2023</v>
      </c>
      <c r="N77" s="97">
        <f>'LS-Lease Liabilities'!F14</f>
        <v>9846201</v>
      </c>
      <c r="P77" s="89">
        <f>J77-N77</f>
        <v>0</v>
      </c>
    </row>
    <row r="78" spans="1:17" x14ac:dyDescent="0.3">
      <c r="B78" s="79" t="s">
        <v>156</v>
      </c>
      <c r="D78" s="97">
        <f>D24</f>
        <v>0</v>
      </c>
      <c r="E78" s="119" t="s">
        <v>145</v>
      </c>
      <c r="F78" s="79" t="s">
        <v>1671</v>
      </c>
      <c r="H78" s="97">
        <f>$J$24</f>
        <v>0</v>
      </c>
      <c r="J78" s="97">
        <f>SUM(D78,H78)</f>
        <v>0</v>
      </c>
      <c r="L78" s="98" t="s">
        <v>12</v>
      </c>
      <c r="N78" s="97">
        <f>'LS-Lease Liabilities'!H14</f>
        <v>0</v>
      </c>
      <c r="P78" s="89">
        <f t="shared" ref="P78:P80" si="1">J78-N78</f>
        <v>0</v>
      </c>
    </row>
    <row r="79" spans="1:17" x14ac:dyDescent="0.3">
      <c r="B79" s="79" t="s">
        <v>151</v>
      </c>
      <c r="D79" s="97">
        <f>F24</f>
        <v>2371970</v>
      </c>
      <c r="E79" s="119" t="s">
        <v>145</v>
      </c>
      <c r="F79" s="79" t="s">
        <v>1668</v>
      </c>
      <c r="H79" s="97">
        <f>$H$24</f>
        <v>0</v>
      </c>
      <c r="J79" s="97">
        <f>SUM(D79,H79)</f>
        <v>2371970</v>
      </c>
      <c r="L79" s="98" t="s">
        <v>13</v>
      </c>
      <c r="N79" s="97">
        <f>'LS-Lease Liabilities'!J14</f>
        <v>2371970</v>
      </c>
      <c r="P79" s="89">
        <f t="shared" si="1"/>
        <v>0</v>
      </c>
    </row>
    <row r="80" spans="1:17" x14ac:dyDescent="0.3">
      <c r="B80" s="79" t="s">
        <v>155</v>
      </c>
      <c r="D80" s="97">
        <f>B49</f>
        <v>2396068</v>
      </c>
      <c r="J80" s="97">
        <f>SUM(D80)</f>
        <v>2396068</v>
      </c>
      <c r="L80" s="98" t="s">
        <v>14</v>
      </c>
      <c r="N80" s="97">
        <f>'LS-Lease Liabilities'!N14</f>
        <v>2396068</v>
      </c>
      <c r="P80" s="89">
        <f t="shared" si="1"/>
        <v>0</v>
      </c>
    </row>
    <row r="81" spans="2:16" x14ac:dyDescent="0.3"/>
    <row r="82" spans="2:16" x14ac:dyDescent="0.3"/>
    <row r="83" spans="2:16" ht="4.95" customHeight="1" x14ac:dyDescent="0.3"/>
    <row r="84" spans="2:16" x14ac:dyDescent="0.3">
      <c r="B84" s="100" t="s">
        <v>161</v>
      </c>
      <c r="C84" s="100"/>
    </row>
    <row r="85" spans="2:16" x14ac:dyDescent="0.3">
      <c r="B85" s="100"/>
    </row>
    <row r="86" spans="2:16" ht="15" customHeight="1" x14ac:dyDescent="0.3">
      <c r="B86" s="204" t="s">
        <v>142</v>
      </c>
      <c r="C86" s="204"/>
      <c r="D86" s="204"/>
      <c r="E86" s="204"/>
      <c r="F86" s="204"/>
      <c r="G86" s="204"/>
      <c r="H86" s="204"/>
      <c r="I86" s="95"/>
      <c r="J86" s="77" t="s">
        <v>1627</v>
      </c>
      <c r="K86" s="95"/>
      <c r="L86" s="204" t="s">
        <v>11</v>
      </c>
      <c r="M86" s="204"/>
      <c r="N86" s="204"/>
    </row>
    <row r="87" spans="2:16" x14ac:dyDescent="0.3">
      <c r="L87" s="75"/>
      <c r="M87" s="75"/>
      <c r="N87" s="75"/>
      <c r="O87" s="75"/>
      <c r="P87" s="82" t="s">
        <v>148</v>
      </c>
    </row>
    <row r="88" spans="2:16" x14ac:dyDescent="0.3">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3">
      <c r="B89" s="79" t="s">
        <v>156</v>
      </c>
      <c r="D89" s="97">
        <f>D33</f>
        <v>0</v>
      </c>
      <c r="E89" s="119" t="s">
        <v>145</v>
      </c>
      <c r="F89" s="79" t="s">
        <v>1671</v>
      </c>
      <c r="H89" s="97">
        <f>$J$33</f>
        <v>0</v>
      </c>
      <c r="J89" s="97">
        <f>SUM(D89,H89)</f>
        <v>0</v>
      </c>
      <c r="L89" s="98" t="s">
        <v>12</v>
      </c>
      <c r="N89" s="97">
        <f>'LS-Lease Liabilities'!H18</f>
        <v>0</v>
      </c>
      <c r="P89" s="89">
        <f t="shared" ref="P89:P91" si="2">J89-N89</f>
        <v>0</v>
      </c>
    </row>
    <row r="90" spans="2:16" x14ac:dyDescent="0.3">
      <c r="B90" s="79" t="s">
        <v>151</v>
      </c>
      <c r="D90" s="97">
        <f>F33</f>
        <v>0</v>
      </c>
      <c r="E90" s="119" t="s">
        <v>145</v>
      </c>
      <c r="F90" s="79" t="s">
        <v>1668</v>
      </c>
      <c r="H90" s="97">
        <f>$H$33</f>
        <v>0</v>
      </c>
      <c r="J90" s="97">
        <f>SUM(D90,H90)</f>
        <v>0</v>
      </c>
      <c r="L90" s="98" t="s">
        <v>13</v>
      </c>
      <c r="N90" s="97">
        <f>'LS-Lease Liabilities'!J18</f>
        <v>0</v>
      </c>
      <c r="P90" s="89">
        <f t="shared" si="2"/>
        <v>0</v>
      </c>
    </row>
    <row r="91" spans="2:16" x14ac:dyDescent="0.3">
      <c r="B91" s="79" t="s">
        <v>155</v>
      </c>
      <c r="D91" s="97">
        <f>B57</f>
        <v>0</v>
      </c>
      <c r="J91" s="97">
        <f>SUM(D91)</f>
        <v>0</v>
      </c>
      <c r="L91" s="98" t="s">
        <v>14</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24</vt:i4>
      </vt:variant>
    </vt:vector>
  </HeadingPairs>
  <TitlesOfParts>
    <vt:vector size="51" baseType="lpstr">
      <vt:lpstr>Drop Down Menus</vt:lpstr>
      <vt:lpstr>qryIndex02a</vt:lpstr>
      <vt:lpstr>LS-Fund #### JE</vt:lpstr>
      <vt:lpstr>LS-Fund 0001 Journal Entries</vt:lpstr>
      <vt:lpstr>LS-Fund 0012 Journal Entries</vt:lpstr>
      <vt:lpstr>LS-Fund 0017 Journal Entries</vt:lpstr>
      <vt:lpstr>LS-Fund 0044 Journal Entries</vt:lpstr>
      <vt:lpstr>LS-Fund 0142 Journal Entries</vt:lpstr>
      <vt:lpstr>LS-Fund 0256 Journal Entries</vt:lpstr>
      <vt:lpstr>LS-Fund 0367 Journal Entries</vt:lpstr>
      <vt:lpstr>LS-Fund 0378 Journal Entries</vt:lpstr>
      <vt:lpstr>LS-Fund 0460 Journal Entries</vt:lpstr>
      <vt:lpstr>LS-Fund 0566 Journal Entries</vt:lpstr>
      <vt:lpstr>LS-Fund 0567 Journal Entries</vt:lpstr>
      <vt:lpstr>LS-Fund 0569 Journal Entries</vt:lpstr>
      <vt:lpstr>LS-Fund 0890 Journal Entries</vt:lpstr>
      <vt:lpstr>LS-Fund 1008 Journal Entries</vt:lpstr>
      <vt:lpstr>LS-Fund 3016 Journal Entries</vt:lpstr>
      <vt:lpstr>LS-Fund 3053 Journal Entries</vt:lpstr>
      <vt:lpstr>LS-Fund 3086 Journal Entries</vt:lpstr>
      <vt:lpstr>LS-Fund 3087 Journal Entries</vt:lpstr>
      <vt:lpstr>LS-Fund 3320 Journal Entries</vt:lpstr>
      <vt:lpstr>LS-Fund 9731 Journal Entries</vt:lpstr>
      <vt:lpstr>LS-Fund 9740 Journal Entries</vt:lpstr>
      <vt:lpstr>LS-Department Note Disclosure</vt:lpstr>
      <vt:lpstr>LS-Lease Liabilities</vt:lpstr>
      <vt:lpstr>LS-Check Figures  </vt:lpstr>
      <vt:lpstr>'LS-Department Note Disclosure'!Print_Area</vt:lpstr>
      <vt:lpstr>'LS-Fund #### JE'!Print_Area</vt:lpstr>
      <vt:lpstr>'LS-Fund 0001 Journal Entries'!Print_Area</vt:lpstr>
      <vt:lpstr>'LS-Fund 0012 Journal Entries'!Print_Area</vt:lpstr>
      <vt:lpstr>'LS-Fund 0017 Journal Entries'!Print_Area</vt:lpstr>
      <vt:lpstr>'LS-Fund 0044 Journal Entries'!Print_Area</vt:lpstr>
      <vt:lpstr>'LS-Fund 0142 Journal Entries'!Print_Area</vt:lpstr>
      <vt:lpstr>'LS-Fund 0256 Journal Entries'!Print_Area</vt:lpstr>
      <vt:lpstr>'LS-Fund 0367 Journal Entries'!Print_Area</vt:lpstr>
      <vt:lpstr>'LS-Fund 0378 Journal Entries'!Print_Area</vt:lpstr>
      <vt:lpstr>'LS-Fund 0460 Journal Entries'!Print_Area</vt:lpstr>
      <vt:lpstr>'LS-Fund 0566 Journal Entries'!Print_Area</vt:lpstr>
      <vt:lpstr>'LS-Fund 0567 Journal Entries'!Print_Area</vt:lpstr>
      <vt:lpstr>'LS-Fund 0569 Journal Entries'!Print_Area</vt:lpstr>
      <vt:lpstr>'LS-Fund 0890 Journal Entries'!Print_Area</vt:lpstr>
      <vt:lpstr>'LS-Fund 1008 Journal Entries'!Print_Area</vt:lpstr>
      <vt:lpstr>'LS-Fund 3016 Journal Entries'!Print_Area</vt:lpstr>
      <vt:lpstr>'LS-Fund 3053 Journal Entries'!Print_Area</vt:lpstr>
      <vt:lpstr>'LS-Fund 3086 Journal Entries'!Print_Area</vt:lpstr>
      <vt:lpstr>'LS-Fund 3087 Journal Entries'!Print_Area</vt:lpstr>
      <vt:lpstr>'LS-Fund 3320 Journal Entries'!Print_Area</vt:lpstr>
      <vt:lpstr>'LS-Fund 9731 Journal Entries'!Print_Area</vt:lpstr>
      <vt:lpstr>'LS-Fund 9740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Christian Bennett</cp:lastModifiedBy>
  <cp:lastPrinted>2024-09-14T00:58:00Z</cp:lastPrinted>
  <dcterms:created xsi:type="dcterms:W3CDTF">2023-03-08T17:19:33Z</dcterms:created>
  <dcterms:modified xsi:type="dcterms:W3CDTF">2025-03-18T22:58:10Z</dcterms:modified>
</cp:coreProperties>
</file>