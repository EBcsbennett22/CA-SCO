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40190076-5273-4DE4-84D6-5F7718D4928E}" xr6:coauthVersionLast="47" xr6:coauthVersionMax="47" xr10:uidLastSave="{00000000-0000-0000-0000-000000000000}"/>
  <bookViews>
    <workbookView xWindow="-12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44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0044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K25" i="2" s="1"/>
  <c r="K17" i="5"/>
  <c r="K69" i="5" s="1"/>
  <c r="J14" i="5"/>
  <c r="S18" i="8"/>
  <c r="S24" i="8"/>
  <c r="S18" i="2"/>
  <c r="K23" i="8"/>
  <c r="K22" i="8"/>
  <c r="K21" i="8"/>
  <c r="J17" i="8"/>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<sst xmlns="http://schemas.openxmlformats.org/spreadsheetml/2006/main" count="8069" uniqueCount="1805">
  <si>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</si>
  <si>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</si>
  <si>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</si>
  <si>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</si>
  <si>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</si>
  <si>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</si>
  <si>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</si>
  <si>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</si>
  <si>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</si>
  <si>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</si>
  <si>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</si>
  <si>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</si>
  <si>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</si>
  <si>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</si>
  <si>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</si>
  <si>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</si>
  <si>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</si>
  <si>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</si>
  <si>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</si>
  <si>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</si>
  <si>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</si>
  <si>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</si>
  <si>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</si>
  <si>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</si>
  <si>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</si>
  <si>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</si>
  <si>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</si>
  <si>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</si>
  <si>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</si>
  <si>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</si>
  <si>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</si>
  <si>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</si>
  <si>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</si>
  <si>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</si>
  <si>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</si>
  <si>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</si>
  <si>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</si>
  <si>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</si>
  <si>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</si>
  <si>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</si>
  <si>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</si>
  <si>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</si>
  <si>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</si>
  <si>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</si>
  <si>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</si>
  <si>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</si>
  <si>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</si>
  <si>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</si>
  <si>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</si>
  <si>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</si>
  <si>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</si>
  <si>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</si>
  <si>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</si>
  <si>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</si>
  <si>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</si>
  <si>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</si>
  <si>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</si>
  <si>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</si>
  <si>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</si>
  <si>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</si>
  <si>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</si>
  <si>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</si>
  <si>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</si>
  <si>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</si>
  <si>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</si>
  <si>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</si>
  <si>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</si>
  <si>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</si>
  <si>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</si>
  <si>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</si>
  <si>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</si>
  <si>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</si>
  <si>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</si>
  <si>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</si>
  <si>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</si>
  <si>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</si>
  <si>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</si>
  <si>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</si>
  <si>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</si>
  <si>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</si>
  <si>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</si>
  <si>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</si>
  <si>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</si>
  <si>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</si>
  <si>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</si>
  <si>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</si>
  <si>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</si>
  <si>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</si>
  <si>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</si>
  <si>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</si>
  <si>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</si>
  <si>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</si>
  <si>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</si>
  <si>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</si>
  <si>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</si>
  <si>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</si>
  <si>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</si>
  <si>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</si>
  <si>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</si>
  <si>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</si>
  <si>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</si>
  <si>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</si>
  <si>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</si>
  <si>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</si>
  <si>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</si>
  <si>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</si>
  <si>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</si>
  <si>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</si>
  <si>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</si>
  <si>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</si>
  <si>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</si>
  <si>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</si>
  <si>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</si>
  <si>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</si>
  <si>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</si>
  <si>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</si>
  <si>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</si>
  <si>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</si>
  <si>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</si>
  <si>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</si>
  <si>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</si>
  <si>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</si>
  <si>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</si>
  <si>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</si>
  <si>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</si>
  <si>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</si>
  <si>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</si>
  <si>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</si>
  <si>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</si>
  <si>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</si>
  <si>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</si>
  <si>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</si>
  <si>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</si>
  <si>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</si>
  <si>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</si>
  <si>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</si>
  <si>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</si>
  <si>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</si>
  <si>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</si>
  <si>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</si>
  <si>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</si>
  <si>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</si>
  <si>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</si>
  <si>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</si>
  <si>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</si>
  <si>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</si>
  <si>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</si>
  <si>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</si>
  <si>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</si>
  <si>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</si>
  <si>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</si>
  <si>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</si>
  <si>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</si>
  <si>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</si>
  <si>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</si>
  <si>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</si>
  <si>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</si>
  <si>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</si>
  <si>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</si>
  <si>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</si>
  <si>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</si>
  <si>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</si>
  <si>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</si>
  <si>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</si>
  <si>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</si>
  <si>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</si>
  <si>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</si>
  <si>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</si>
  <si>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</si>
  <si>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</si>
  <si>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</si>
  <si>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</si>
  <si>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</si>
  <si>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</si>
  <si>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</si>
  <si>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</si>
  <si>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</si>
  <si>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</si>
  <si>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</si>
  <si>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</si>
  <si>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</si>
  <si>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</si>
  <si>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</si>
  <si>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</si>
  <si>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</si>
  <si>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</si>
  <si>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</si>
  <si>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</si>
  <si>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</si>
  <si>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</si>
  <si>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</si>
  <si>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</si>
  <si>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</si>
  <si>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</si>
  <si>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</si>
  <si>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</si>
  <si>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</si>
  <si>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</si>
  <si>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</si>
  <si>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</si>
  <si>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</si>
  <si>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</si>
  <si>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</si>
  <si>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</si>
  <si>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</si>
  <si>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</si>
  <si>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</si>
  <si>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</si>
  <si>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</si>
  <si>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</si>
  <si>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</si>
  <si>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</si>
  <si>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</si>
  <si>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</si>
  <si>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</si>
  <si>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</si>
  <si>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</si>
  <si>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</si>
  <si>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</si>
  <si>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</si>
  <si>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</si>
  <si>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</si>
  <si>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</si>
  <si>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</si>
  <si>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</si>
  <si>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</si>
  <si>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</si>
  <si>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</si>
  <si>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</si>
  <si>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</si>
  <si>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</si>
  <si>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</si>
  <si>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</si>
  <si>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</si>
  <si>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</si>
  <si>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</si>
  <si>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</si>
  <si>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</si>
  <si>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</si>
  <si>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</si>
  <si>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</si>
  <si>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</si>
  <si>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</si>
  <si>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</si>
  <si>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</si>
  <si>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</si>
  <si>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</si>
  <si>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</si>
  <si>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</si>
  <si>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</si>
  <si>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</si>
  <si>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</si>
  <si>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</si>
  <si>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</si>
  <si>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</si>
  <si>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</si>
  <si>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</si>
  <si>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</si>
  <si>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</si>
  <si>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</si>
  <si>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</si>
  <si>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</si>
  <si>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</si>
  <si>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</si>
  <si>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</si>
  <si>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</si>
  <si>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</si>
  <si>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</si>
  <si>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</si>
  <si>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</si>
  <si>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</si>
  <si>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</si>
  <si>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</si>
  <si>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</si>
  <si>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</si>
  <si>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</si>
  <si>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</si>
  <si>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</si>
  <si>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</si>
  <si>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</si>
  <si>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</si>
  <si>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</si>
  <si>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</si>
  <si>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</si>
  <si>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</si>
  <si>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</si>
  <si>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</si>
  <si>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</si>
  <si>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</si>
  <si>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</si>
  <si>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</si>
  <si>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</si>
  <si>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</si>
  <si>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</si>
  <si>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</si>
  <si>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</si>
  <si>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</si>
  <si>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</si>
  <si>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</si>
  <si>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</si>
  <si>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</si>
  <si>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</si>
  <si>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</si>
  <si>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</si>
  <si>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</si>
  <si>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</si>
  <si>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</si>
  <si>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</si>
  <si>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</si>
  <si>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</si>
  <si>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</si>
  <si>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</si>
  <si>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</si>
  <si>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</si>
  <si>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</si>
  <si>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</si>
  <si>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</si>
  <si>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</si>
  <si>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</si>
  <si>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</si>
  <si>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</si>
  <si>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</si>
  <si>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</si>
  <si>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</si>
  <si>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</si>
  <si>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</si>
  <si>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</si>
  <si>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</si>
  <si>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</si>
  <si>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</si>
  <si>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</si>
  <si>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</si>
  <si>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</si>
  <si>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</si>
  <si>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</si>
  <si>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</si>
  <si>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</si>
  <si>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</si>
  <si>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</si>
  <si>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</si>
  <si>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</si>
  <si>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</si>
  <si>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</si>
  <si>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</si>
  <si>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</si>
  <si>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</si>
  <si>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</si>
  <si>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</si>
  <si>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</si>
  <si>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</si>
  <si>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</si>
  <si>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</si>
  <si>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</si>
  <si>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</si>
  <si>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</si>
  <si>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</si>
  <si>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</si>
  <si>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</si>
  <si>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</si>
  <si>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</si>
  <si>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</si>
  <si>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</si>
  <si>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</si>
  <si>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</si>
  <si>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</si>
  <si>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</si>
  <si>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</si>
  <si>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</si>
  <si>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</si>
  <si>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</si>
  <si>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</si>
  <si>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</si>
  <si>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</si>
  <si>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</si>
  <si>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</si>
  <si>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</si>
  <si>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</si>
  <si>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</si>
  <si>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</si>
  <si>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</si>
  <si>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</si>
  <si>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</si>
  <si>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</si>
  <si>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</si>
  <si>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</si>
  <si>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</si>
  <si>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</si>
  <si>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</si>
  <si>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</si>
  <si>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</si>
  <si>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</si>
  <si>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</si>
  <si>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</si>
  <si>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</si>
  <si>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</si>
  <si>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</si>
  <si>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</si>
  <si>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</si>
  <si>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</si>
  <si>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</si>
  <si>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</si>
  <si>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</si>
  <si>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</si>
  <si>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</si>
  <si>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</si>
  <si>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</si>
  <si>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</si>
  <si>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</si>
  <si>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</si>
  <si>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</si>
  <si>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</si>
  <si>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</si>
  <si>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</si>
  <si>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</si>
  <si>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</si>
  <si>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</si>
  <si>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</si>
  <si>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</si>
  <si>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</si>
  <si>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</si>
  <si>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</si>
  <si>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</si>
  <si>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</si>
  <si>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</si>
  <si>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</si>
  <si>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</si>
  <si>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</si>
  <si>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</si>
  <si>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</si>
  <si>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</si>
  <si>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</si>
  <si>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</si>
  <si>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</si>
  <si>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</si>
  <si>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</si>
  <si>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</si>
  <si>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</si>
  <si>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</si>
  <si>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</si>
  <si>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</si>
  <si>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</si>
  <si>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</si>
  <si>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</si>
  <si>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</si>
  <si>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</si>
  <si>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</si>
  <si>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</si>
  <si>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</si>
  <si>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</si>
  <si>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</si>
  <si>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</si>
  <si>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</si>
  <si>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</si>
  <si>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</si>
  <si>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</si>
  <si>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</si>
  <si>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</si>
  <si>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</si>
  <si>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</si>
  <si>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</si>
  <si>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</si>
  <si>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</si>
  <si>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</si>
  <si>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</si>
  <si>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</si>
  <si>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</si>
  <si>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</si>
  <si>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</si>
  <si>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</si>
  <si>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</si>
  <si>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</si>
  <si>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</si>
  <si>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</si>
  <si>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</si>
  <si>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</si>
  <si>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</si>
  <si>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</si>
  <si>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</si>
  <si>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</si>
  <si>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</si>
  <si>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</si>
  <si>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</si>
  <si>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</si>
  <si>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</si>
  <si>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</si>
  <si>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</si>
  <si>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</si>
  <si>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</si>
  <si>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</si>
  <si>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</si>
  <si>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</si>
  <si>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</si>
  <si>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</si>
  <si>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</si>
  <si>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</si>
  <si>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</si>
  <si>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</si>
  <si>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</si>
  <si>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</si>
  <si>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</si>
  <si>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</si>
  <si>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</si>
  <si>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</si>
  <si>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</si>
  <si>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</si>
  <si>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</si>
  <si>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</si>
  <si>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</si>
  <si>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</si>
  <si>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</si>
  <si>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</si>
  <si>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</si>
  <si>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</si>
  <si>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</si>
  <si>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</si>
  <si>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</si>
  <si>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</si>
  <si>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</si>
  <si>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</si>
  <si>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</si>
  <si>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</si>
  <si>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</si>
  <si>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</si>
  <si>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</si>
  <si>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</si>
  <si>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</si>
  <si>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</si>
  <si>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</si>
  <si>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</si>
  <si>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</si>
  <si>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</si>
  <si>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</si>
  <si>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</si>
  <si>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</si>
  <si>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</si>
  <si>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</si>
  <si>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</si>
  <si>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</si>
  <si>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</si>
  <si>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</si>
  <si>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</si>
  <si>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</si>
  <si>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</si>
  <si>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</si>
  <si>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</si>
  <si>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</si>
  <si>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</si>
  <si>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</si>
  <si>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</si>
  <si>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</si>
  <si>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</si>
  <si>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</si>
  <si>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</si>
  <si>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</si>
  <si>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</si>
  <si>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</si>
  <si>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</si>
  <si>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</si>
  <si>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</si>
  <si>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</si>
  <si>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</si>
  <si>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</si>
  <si>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</si>
  <si>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</si>
  <si>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</si>
  <si>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</si>
  <si>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</si>
  <si>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</si>
  <si>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</si>
  <si>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</si>
  <si>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</si>
  <si>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</si>
  <si>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</si>
  <si>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</si>
  <si>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</si>
  <si>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</si>
  <si>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</si>
  <si>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</si>
  <si>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</si>
  <si>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</si>
  <si>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</si>
  <si>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</si>
  <si>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</si>
  <si>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</si>
  <si>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</si>
  <si>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</si>
  <si>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</si>
  <si>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</si>
  <si>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</si>
  <si>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</si>
  <si>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</si>
  <si>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</si>
  <si>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</si>
  <si>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</si>
  <si>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</si>
  <si>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</si>
  <si>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</si>
  <si>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</si>
  <si>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</si>
  <si>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</si>
  <si>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</si>
  <si>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</si>
  <si>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</si>
  <si>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</si>
  <si>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</si>
  <si>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</si>
  <si>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</si>
  <si>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</si>
  <si>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</si>
  <si>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</si>
  <si>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</si>
  <si>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</si>
  <si>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</si>
  <si>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</si>
  <si>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</si>
  <si>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</si>
  <si>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</si>
  <si>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</si>
  <si>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</si>
  <si>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</si>
  <si>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</si>
  <si>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</si>
  <si>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</si>
  <si>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</si>
  <si>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</si>
  <si>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</si>
  <si>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</si>
  <si>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</si>
  <si>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</si>
  <si>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</si>
  <si>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</si>
  <si>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</si>
  <si>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</si>
  <si>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</si>
  <si>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</si>
  <si>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</si>
  <si>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</si>
  <si>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</si>
  <si>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</si>
  <si>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</si>
  <si>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</si>
  <si>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</si>
  <si>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</si>
  <si>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</si>
  <si>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</si>
  <si>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</si>
  <si>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</si>
  <si>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</si>
  <si>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</si>
  <si>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</si>
  <si>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</si>
  <si>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</si>
  <si>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</si>
  <si>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</si>
  <si>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</si>
  <si>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</si>
  <si>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</si>
  <si>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</si>
  <si>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</si>
  <si>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</si>
  <si>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</si>
  <si>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</si>
  <si>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</si>
  <si>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</si>
  <si>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</si>
  <si>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</si>
  <si>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</si>
  <si>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</si>
  <si>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</si>
  <si>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</si>
  <si>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</si>
  <si>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</si>
  <si>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</si>
  <si>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</si>
  <si>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</si>
  <si>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</si>
  <si>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</si>
  <si>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</si>
  <si>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</si>
  <si>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</si>
  <si>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</si>
  <si>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</si>
  <si>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</si>
  <si>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</si>
  <si>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</si>
  <si>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</si>
  <si>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</si>
  <si>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</si>
  <si>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</si>
  <si>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</si>
  <si>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</si>
  <si>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</si>
  <si>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</si>
  <si>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</si>
  <si>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</si>
  <si>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</si>
  <si>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</si>
  <si>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</si>
  <si>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</si>
  <si>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</si>
  <si>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</si>
  <si>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</si>
  <si>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</si>
  <si>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</si>
  <si>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</si>
  <si>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</si>
  <si>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</si>
  <si>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</si>
  <si>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</si>
  <si>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</si>
  <si>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</si>
  <si>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</si>
  <si>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</si>
  <si>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</si>
  <si>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</si>
  <si>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</si>
  <si>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</si>
  <si>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</si>
  <si>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</si>
  <si>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</si>
  <si>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</si>
  <si>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</si>
  <si>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</si>
  <si>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</si>
  <si>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</si>
  <si>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</si>
  <si>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</si>
  <si>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</si>
  <si>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</si>
  <si>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</si>
  <si>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</si>
  <si>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</si>
  <si>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</si>
  <si>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</si>
  <si>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</si>
  <si>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</si>
  <si>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</si>
  <si>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</si>
  <si>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</si>
  <si>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</si>
  <si>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</si>
  <si>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</si>
  <si>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</si>
  <si>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</si>
  <si>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</si>
  <si>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</si>
  <si>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</si>
  <si>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</si>
  <si>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</si>
  <si>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</si>
  <si>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</si>
  <si>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</si>
  <si>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</si>
  <si>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</si>
  <si>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</si>
  <si>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</si>
  <si>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</si>
  <si>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</si>
  <si>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</si>
  <si>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</si>
  <si>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</si>
  <si>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</si>
  <si>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</si>
  <si>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</si>
  <si>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</si>
  <si>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</si>
  <si>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</si>
  <si>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</si>
  <si>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</si>
  <si>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</si>
  <si>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</si>
  <si>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</si>
  <si>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</si>
  <si>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</si>
  <si>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</si>
  <si>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</si>
  <si>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</si>
  <si>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</si>
  <si>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</si>
  <si>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</si>
  <si>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</si>
  <si>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</si>
  <si>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</si>
  <si>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</si>
  <si>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</si>
  <si>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</si>
  <si>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</si>
  <si>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</si>
  <si>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</si>
  <si>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</si>
  <si>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</si>
  <si>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</si>
  <si>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</si>
  <si>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</si>
  <si>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</si>
  <si>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</si>
  <si>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</si>
  <si>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</si>
  <si>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</si>
  <si>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</si>
  <si>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</si>
  <si>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</si>
  <si>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</si>
  <si>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</si>
  <si>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</si>
  <si>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</si>
  <si>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</si>
  <si>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</si>
  <si>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</si>
  <si>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</si>
  <si>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</si>
  <si>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</si>
  <si>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</si>
  <si>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</si>
  <si>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</si>
  <si>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</si>
  <si>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</si>
  <si>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</si>
  <si>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</si>
  <si>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</si>
  <si>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</si>
  <si>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</si>
  <si>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</si>
  <si>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</si>
  <si>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</si>
  <si>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</si>
  <si>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</si>
  <si>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</si>
  <si>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</si>
  <si>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</si>
  <si>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</si>
  <si>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</si>
  <si>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</si>
  <si>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</si>
  <si>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</si>
  <si>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</si>
  <si>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</si>
  <si>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</si>
  <si>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</si>
  <si>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</si>
  <si>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</si>
  <si>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</si>
  <si>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</si>
  <si>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</si>
  <si>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</si>
  <si>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</si>
  <si>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</si>
  <si>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</si>
  <si>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</si>
  <si>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</si>
  <si>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</si>
  <si>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</si>
  <si>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</si>
  <si>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</si>
  <si>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</si>
  <si>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</si>
  <si>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</si>
  <si>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</si>
  <si>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</si>
  <si>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</si>
  <si>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</si>
  <si>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</si>
  <si>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</si>
  <si>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</si>
  <si>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</si>
  <si>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</si>
  <si>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</si>
  <si>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</si>
  <si>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</si>
  <si>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</si>
  <si>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</si>
  <si>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</si>
  <si>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</si>
  <si>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</si>
  <si>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</si>
  <si>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</si>
  <si>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</si>
  <si>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</si>
  <si>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</si>
  <si>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</si>
  <si>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</si>
  <si>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</si>
  <si>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</si>
  <si>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</si>
  <si>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</si>
  <si>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</si>
  <si>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</si>
  <si>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</si>
  <si>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</si>
  <si>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</si>
  <si>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</si>
  <si>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</si>
  <si>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</si>
  <si>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</si>
  <si>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</si>
  <si>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</si>
  <si>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</si>
  <si>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</si>
  <si>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</si>
  <si>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</si>
  <si>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</si>
  <si>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</si>
  <si>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</si>
  <si>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</si>
  <si>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</si>
  <si>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</si>
  <si>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</si>
  <si>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</si>
  <si>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</si>
  <si>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</si>
  <si>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</si>
  <si>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</si>
  <si>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</si>
  <si>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</si>
  <si>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</si>
  <si>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</si>
  <si>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</si>
  <si>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</si>
  <si>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</si>
  <si>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</si>
  <si>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</si>
  <si>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</si>
  <si>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</si>
  <si>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</si>
  <si>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</si>
  <si>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</si>
  <si>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</si>
  <si>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</si>
  <si>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</si>
  <si>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</si>
  <si>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</si>
  <si>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</si>
  <si>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</si>
  <si>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</si>
  <si>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</si>
  <si>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</si>
  <si>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</si>
  <si>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</si>
  <si>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</si>
  <si>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</si>
  <si>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</si>
  <si>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</si>
  <si>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</si>
  <si>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</si>
  <si>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</si>
  <si>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</si>
  <si>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</si>
  <si>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</si>
  <si>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</si>
  <si>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</si>
  <si>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</si>
  <si>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</si>
  <si>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</si>
  <si>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</si>
  <si>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</si>
  <si>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</si>
  <si>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</si>
  <si>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</si>
  <si>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</si>
  <si>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</si>
  <si>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</si>
  <si>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</si>
  <si>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</si>
  <si>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</si>
  <si>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</si>
  <si>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</si>
  <si>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</si>
  <si>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</si>
  <si>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</si>
  <si>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</si>
  <si>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</si>
  <si>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</si>
  <si>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</si>
  <si>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</si>
  <si>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</si>
  <si>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</si>
  <si>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</si>
  <si>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</si>
  <si>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</si>
  <si>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</si>
  <si>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</si>
  <si>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</si>
  <si>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</si>
  <si>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</si>
  <si>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</si>
  <si>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</si>
  <si>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</si>
  <si>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</si>
  <si>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</si>
  <si>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</si>
  <si>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</si>
  <si>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</si>
  <si>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</si>
  <si>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</si>
  <si>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</si>
  <si>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</si>
  <si>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</si>
  <si>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</si>
  <si>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</si>
  <si>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</si>
  <si>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</si>
  <si>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</si>
  <si>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</si>
  <si>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</si>
  <si>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</si>
  <si>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</si>
  <si>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</si>
  <si>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</si>
  <si>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</si>
  <si>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</si>
  <si>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</si>
  <si>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</si>
  <si>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</si>
  <si>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</si>
  <si>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</si>
  <si>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</si>
  <si>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</si>
  <si>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</si>
  <si>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</si>
  <si>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</si>
  <si>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</si>
  <si>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</si>
  <si>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</si>
  <si>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</si>
  <si>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</si>
  <si>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</si>
  <si>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</si>
  <si>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</si>
  <si>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</si>
  <si>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</si>
  <si>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</si>
  <si>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</si>
  <si>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</si>
  <si>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</si>
  <si>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</si>
  <si>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</si>
  <si>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</si>
  <si>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</si>
  <si>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</si>
  <si>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</si>
  <si>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</si>
  <si>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</si>
  <si>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</si>
  <si>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</si>
  <si>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</si>
  <si>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</si>
  <si>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</si>
  <si>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</si>
  <si>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</si>
  <si>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</si>
  <si>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</si>
  <si>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</si>
  <si>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</si>
  <si>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</si>
  <si>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</si>
  <si>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</si>
  <si>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</si>
  <si>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</si>
  <si>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</si>
  <si>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</si>
  <si>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</si>
  <si>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</si>
  <si>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</si>
  <si>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</si>
  <si>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</si>
  <si>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</si>
  <si>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</si>
  <si>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</si>
  <si>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</si>
  <si>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</si>
  <si>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</si>
  <si>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</si>
  <si>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</si>
  <si>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</si>
  <si>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</si>
  <si>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</si>
  <si>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</si>
  <si>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</si>
  <si>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</si>
  <si>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</si>
  <si>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</si>
  <si>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</si>
  <si>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</si>
  <si>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</si>
  <si>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</si>
  <si>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</si>
  <si>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</si>
  <si>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</si>
  <si>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</si>
  <si>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</si>
  <si>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</si>
  <si>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</si>
  <si>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</si>
  <si>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</si>
  <si>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</si>
  <si>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</si>
  <si>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</si>
  <si>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</si>
  <si>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</si>
  <si>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</si>
  <si>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</si>
  <si>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</si>
  <si>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</si>
  <si>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</si>
  <si>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</si>
  <si>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</si>
  <si>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</si>
  <si>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</si>
  <si>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</si>
  <si>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</si>
  <si>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</si>
  <si>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</si>
  <si>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</si>
  <si>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</si>
  <si>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</si>
  <si>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</si>
  <si>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</si>
  <si>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</si>
  <si>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</si>
  <si>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</si>
  <si>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</si>
  <si>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</si>
  <si>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</si>
  <si>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</si>
  <si>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</si>
  <si>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</si>
  <si>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</si>
  <si>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</si>
  <si>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</si>
  <si>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</si>
  <si>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</si>
  <si>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</si>
  <si>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</si>
  <si>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</si>
  <si>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</si>
  <si>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</si>
  <si>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</si>
  <si>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</si>
  <si>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</si>
  <si>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</si>
  <si>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</si>
  <si>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</si>
  <si>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</si>
  <si>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</si>
  <si>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</si>
  <si>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</si>
  <si>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</si>
  <si>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</si>
  <si>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</si>
  <si>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</si>
  <si>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</si>
  <si>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</si>
  <si>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</si>
  <si>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</si>
  <si>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</si>
  <si>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</si>
  <si>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</si>
  <si>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</si>
  <si>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</si>
  <si>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</si>
  <si>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</si>
  <si>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</si>
  <si>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</si>
  <si>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</si>
  <si>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</si>
  <si>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</si>
  <si>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</si>
  <si>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</si>
  <si>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</si>
  <si>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</si>
  <si>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</si>
  <si>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</si>
  <si>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</si>
  <si>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</si>
  <si>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</si>
  <si>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</si>
  <si>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</si>
  <si>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</si>
  <si>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</si>
  <si>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</si>
  <si>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</si>
  <si>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</si>
  <si>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</si>
  <si>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</si>
  <si>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</si>
  <si>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</si>
  <si>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</si>
  <si>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</si>
  <si>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</si>
  <si>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</si>
  <si>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</si>
  <si>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</si>
  <si>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</si>
  <si>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</si>
  <si>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</si>
  <si>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</si>
  <si>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</si>
  <si>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</si>
  <si>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</si>
  <si>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</si>
  <si>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</si>
  <si>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</si>
  <si>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</si>
  <si>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</si>
  <si>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</si>
  <si>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</si>
  <si>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</si>
  <si>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</si>
  <si>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</si>
  <si>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</si>
  <si>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</si>
  <si>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</si>
  <si>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</si>
  <si>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</si>
  <si>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</si>
  <si>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</si>
  <si>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</si>
  <si>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</si>
  <si>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</si>
  <si>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</si>
  <si>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</si>
  <si>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</si>
  <si>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</si>
  <si>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</si>
  <si>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</si>
  <si>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</si>
  <si>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</si>
  <si>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</si>
  <si>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</si>
  <si>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</si>
  <si>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</si>
  <si>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</si>
  <si>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</si>
  <si>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</si>
  <si>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</si>
  <si>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</si>
  <si>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</si>
  <si>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</si>
  <si>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</si>
  <si>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</si>
  <si>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</si>
  <si>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</si>
  <si>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</si>
  <si>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</si>
  <si>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</si>
  <si>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</si>
  <si>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</si>
  <si>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</si>
  <si>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</si>
  <si>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</si>
  <si>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</si>
  <si>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</si>
  <si>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</si>
  <si>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</si>
  <si>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</si>
  <si>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</si>
  <si>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</si>
  <si>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</si>
  <si>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</si>
  <si>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</si>
  <si>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</si>
  <si>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</si>
  <si>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</si>
  <si>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</si>
  <si>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</si>
  <si>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</si>
  <si>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</si>
  <si>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</si>
  <si>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</si>
  <si>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</si>
  <si>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</si>
  <si>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</si>
  <si>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</si>
  <si>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</si>
  <si>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</si>
  <si>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</si>
  <si>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</si>
  <si>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</si>
  <si>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</si>
  <si>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</si>
  <si>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</si>
  <si>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</si>
  <si>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</si>
  <si>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</si>
  <si>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</si>
  <si>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</si>
  <si>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</si>
  <si>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</si>
  <si>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</si>
  <si>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</si>
  <si>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</si>
  <si>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</si>
  <si>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</si>
  <si>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</si>
  <si>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</si>
  <si>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</si>
  <si>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</si>
  <si>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</si>
  <si>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</si>
  <si>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</si>
  <si>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</si>
  <si>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</si>
  <si>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</si>
  <si>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</si>
  <si>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</si>
  <si>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</si>
  <si>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</si>
  <si>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</si>
  <si>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</si>
  <si>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</si>
  <si>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</si>
  <si>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</si>
  <si>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</si>
  <si>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</si>
  <si>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</si>
  <si>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</si>
  <si>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</si>
  <si>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</si>
  <si>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</si>
  <si>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</si>
  <si>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</si>
  <si>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</si>
  <si>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</si>
  <si>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</si>
  <si>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</si>
  <si>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</si>
  <si>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</si>
  <si>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</si>
  <si>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</si>
  <si>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</si>
  <si>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</si>
  <si>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</si>
  <si>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</si>
  <si>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</si>
  <si>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</si>
  <si>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</si>
  <si>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</si>
  <si>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</si>
  <si>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</si>
  <si>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</si>
  <si>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</si>
  <si>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</si>
  <si>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</si>
  <si>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</si>
  <si>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</si>
  <si>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</si>
  <si>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</si>
  <si>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</si>
  <si>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</si>
  <si>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</si>
  <si>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</si>
  <si>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</si>
  <si>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</si>
  <si>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</si>
  <si>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</si>
  <si>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</si>
  <si>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</si>
  <si>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</si>
  <si>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</si>
  <si>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</si>
  <si>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</si>
  <si>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</si>
  <si>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</si>
  <si>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</si>
  <si>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</si>
  <si>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</si>
  <si>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</si>
  <si>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</si>
  <si>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</si>
  <si>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</si>
  <si>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</si>
  <si>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</si>
  <si>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</si>
  <si>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</si>
  <si>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</si>
  <si>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</si>
  <si>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</si>
  <si>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</si>
  <si>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</si>
  <si>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</si>
  <si>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</si>
  <si>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</si>
  <si>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</si>
  <si>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</si>
  <si>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</si>
  <si>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</si>
  <si>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</si>
  <si>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</si>
  <si>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</si>
  <si>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</si>
  <si>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</si>
  <si>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</si>
  <si>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</si>
  <si>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</si>
  <si>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</si>
  <si>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</si>
  <si>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</si>
  <si>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</si>
  <si>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</si>
  <si>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</si>
  <si>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</si>
  <si>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</si>
  <si>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</si>
  <si>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</si>
  <si>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</si>
  <si>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</si>
  <si>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</si>
  <si>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</si>
  <si>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</si>
  <si>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</si>
  <si>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</si>
  <si>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</si>
  <si>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</si>
  <si>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</si>
  <si>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</si>
  <si>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</si>
  <si>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</si>
  <si>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</si>
  <si>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</si>
  <si>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</si>
  <si>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</si>
  <si>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</si>
  <si>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</si>
  <si>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</si>
  <si>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</si>
  <si>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</si>
  <si>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</si>
  <si>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</si>
  <si>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</si>
  <si>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</si>
  <si>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</si>
  <si>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</si>
  <si>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</si>
  <si>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</si>
  <si>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</si>
  <si>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</si>
  <si>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</si>
  <si>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</si>
  <si>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</si>
  <si>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</si>
  <si>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</si>
  <si>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</si>
  <si>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</si>
  <si>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</si>
  <si>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</si>
  <si>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</si>
  <si>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</si>
  <si>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</si>
  <si>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</si>
  <si>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</si>
  <si>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</si>
  <si>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</si>
  <si>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</si>
  <si>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</si>
  <si>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</si>
  <si>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</si>
  <si>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</si>
  <si>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</si>
  <si>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</si>
  <si>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</si>
  <si>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</si>
  <si>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</si>
  <si>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</si>
  <si>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</si>
  <si>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</si>
  <si>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</si>
  <si>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</si>
  <si>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</si>
  <si>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</si>
  <si>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</si>
  <si>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</si>
  <si>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</si>
  <si>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</si>
  <si>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</si>
  <si>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</si>
  <si>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</si>
  <si>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</si>
  <si>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</si>
  <si>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</si>
  <si>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</si>
  <si>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</si>
  <si>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</si>
  <si>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</si>
  <si>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</si>
  <si>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</si>
  <si>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</si>
  <si>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</si>
  <si>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</si>
  <si>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</si>
  <si>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</si>
  <si>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</si>
  <si>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</si>
  <si>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</si>
  <si>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</si>
  <si>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</si>
  <si>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</si>
  <si>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</si>
  <si>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</si>
  <si>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</si>
  <si>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</si>
  <si>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</si>
  <si>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</si>
  <si>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</si>
  <si>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</si>
  <si>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</si>
  <si>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</si>
  <si>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</si>
  <si>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</si>
  <si>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</si>
  <si>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</si>
  <si>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</si>
  <si>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</si>
  <si>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</si>
  <si>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</si>
  <si>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</si>
  <si>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</si>
  <si>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</si>
  <si>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</si>
  <si>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</si>
  <si>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</si>
  <si>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</si>
  <si>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</si>
  <si>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</si>
  <si>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</si>
  <si>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</si>
  <si>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</si>
  <si>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</si>
  <si>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</si>
  <si>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</si>
  <si>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</si>
  <si>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</si>
  <si>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</si>
  <si>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</si>
  <si>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</si>
  <si>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</si>
  <si>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</si>
  <si>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</si>
  <si>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</si>
  <si>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</si>
  <si>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</si>
  <si>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</si>
  <si>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</si>
  <si>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</si>
  <si>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</si>
  <si>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</si>
  <si>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</si>
  <si>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</si>
  <si>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</si>
  <si>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</si>
  <si>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</si>
  <si>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</si>
  <si>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</si>
  <si>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</si>
  <si>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</si>
  <si>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</si>
  <si>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</si>
  <si>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</si>
  <si>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</si>
  <si>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</si>
  <si>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</si>
  <si>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</si>
  <si>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</si>
  <si>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</si>
  <si>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</si>
  <si>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</si>
  <si>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</si>
  <si>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</si>
  <si>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</si>
  <si>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</si>
  <si>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</si>
  <si>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</si>
  <si>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</si>
  <si>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</si>
  <si>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</si>
  <si>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</si>
  <si>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</si>
  <si>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</si>
  <si>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</si>
  <si>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</si>
  <si>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</si>
  <si>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</si>
  <si>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</si>
  <si>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</si>
  <si>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</si>
  <si>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</si>
  <si>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</si>
  <si>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</si>
  <si>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</si>
  <si>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</si>
  <si>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</si>
  <si>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</si>
  <si>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</si>
  <si>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</si>
  <si>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</si>
  <si>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</si>
  <si>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</si>
  <si>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</si>
  <si>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</si>
  <si>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</si>
  <si>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</si>
  <si>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</si>
  <si>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</si>
  <si>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</si>
  <si>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</si>
  <si>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</si>
  <si>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</si>
  <si>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</si>
  <si>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</si>
  <si>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</si>
  <si>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</si>
  <si>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</si>
  <si>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</si>
  <si>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</si>
  <si>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</si>
  <si>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</si>
  <si>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</si>
  <si>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</si>
  <si>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</si>
  <si>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</si>
  <si>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</si>
  <si>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</si>
  <si>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</si>
  <si>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</si>
  <si>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</si>
  <si>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</si>
  <si>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</si>
  <si>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</si>
  <si>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</si>
  <si>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</si>
  <si>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</si>
  <si>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</si>
  <si>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</si>
  <si>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</si>
  <si>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</si>
  <si>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</si>
  <si>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</si>
  <si>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</si>
  <si>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</si>
  <si>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</si>
  <si>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</si>
  <si>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</si>
  <si>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</si>
  <si>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</si>
  <si>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</si>
  <si>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</si>
  <si>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</si>
  <si>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</si>
  <si>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</si>
  <si>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</si>
  <si>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</si>
  <si>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</si>
  <si>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</si>
  <si>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</si>
  <si>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</si>
  <si>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</si>
  <si>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</si>
  <si>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</si>
  <si>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</si>
  <si>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</si>
  <si>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</si>
  <si>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</si>
  <si>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</si>
  <si>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</si>
  <si>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</si>
  <si>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</si>
  <si>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</si>
  <si>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</si>
  <si>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</si>
  <si>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</si>
  <si>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</si>
  <si>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</si>
  <si>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</si>
  <si>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</si>
  <si>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</si>
  <si>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</si>
  <si>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</si>
  <si>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</si>
  <si>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</si>
  <si>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</si>
  <si>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</si>
  <si>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</si>
  <si>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</si>
  <si>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</si>
  <si>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</si>
  <si>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</si>
  <si>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</si>
  <si>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</si>
  <si>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</si>
  <si>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</si>
  <si>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</si>
  <si>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</si>
  <si>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</si>
  <si>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</si>
  <si>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</si>
  <si>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</si>
  <si>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</si>
  <si>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</si>
  <si>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</si>
  <si>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</si>
  <si>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</si>
  <si>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</si>
  <si>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</si>
  <si>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</si>
  <si>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</si>
  <si>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</si>
  <si>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</si>
  <si>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</si>
  <si>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</si>
  <si>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</si>
  <si>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</si>
  <si>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</si>
  <si>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</si>
  <si>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</si>
  <si>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</si>
  <si>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</si>
  <si>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</si>
  <si>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LR-Fund #### Journal Entries</t>
  </si>
  <si>
    <t>T14-T19</t>
  </si>
  <si>
    <t>Errors such as "Debits and Credits do not equal each other"  will populate in bold and be highlighted to assist with the identification of errors.</t>
  </si>
  <si>
    <t>Fixed Entry Description</t>
  </si>
  <si>
    <t>C18, C19</t>
  </si>
  <si>
    <t>Fixed wording of account description to properly note the entry as a credit, instead of a debit.</t>
  </si>
  <si>
    <t>Clarification only. No action required.</t>
  </si>
  <si>
    <t>A12, A43, A74</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</si>
  <si>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</si>
  <si>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</si>
  <si>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</si>
  <si>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</si>
  <si>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</si>
  <si>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</si>
  <si>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</si>
  <si>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</si>
  <si>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</si>
  <si>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</si>
  <si>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</si>
  <si>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</si>
  <si>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</si>
  <si>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</si>
  <si>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</si>
  <si>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</si>
  <si>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</si>
  <si>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</si>
  <si>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</si>
  <si>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</si>
  <si>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</si>
  <si>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</si>
  <si>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</si>
  <si>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</si>
  <si>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</si>
  <si>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</si>
  <si>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</si>
  <si>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</si>
  <si>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</si>
  <si>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</si>
  <si>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</si>
  <si>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</si>
  <si>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</si>
  <si>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</si>
  <si>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</si>
  <si>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</si>
  <si>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</si>
  <si>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</si>
  <si>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</si>
  <si>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</si>
  <si>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</si>
  <si>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FP-Fund #### Journal Entries</t>
  </si>
  <si>
    <t>FP-Lease Liabilities</t>
  </si>
  <si>
    <t>Reminder - Acct 0695 Only</t>
  </si>
  <si>
    <t>Added additional wording to remind users that the Schedule of Changes in Lease Liabilities is for Account 0695 only, and therefore will differ from the Report 18.</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</si>
  <si>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</si>
  <si>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</si>
  <si>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</si>
  <si>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</si>
  <si>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</si>
  <si>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</si>
  <si>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</si>
  <si>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</si>
  <si>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</si>
  <si>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</si>
  <si>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</si>
  <si>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</si>
  <si>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</si>
  <si>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</si>
  <si>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</si>
  <si>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</si>
  <si>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</si>
  <si>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</si>
  <si>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</si>
  <si>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</si>
  <si>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</si>
  <si>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</si>
  <si>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</si>
  <si>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</si>
  <si>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</si>
  <si>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</si>
  <si>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</si>
  <si>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</si>
  <si>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</si>
  <si>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</si>
  <si>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</si>
  <si>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</si>
  <si>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</si>
  <si>
    <t>THIS SCHEDULE IS FOR THE CHANGE IN OTHER NONCURRENT LIABILITIES (ACCOUNT 0695) ONLY. THESE AMOUNTS WILL DIFFER FROM THE REPORT 18 (ASSETS).</t>
  </si>
  <si>
    <t>CARB</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</si>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</sst>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8" fillId="0" borderId="0" xfId="0" applyFont="1" applyAlignment="1">
      <alignment vertical="top"/>
    </xf>
    <xf numFmtId="0" fontId="56" fillId="3" borderId="0" xfId="0" applyFont="1" applyFill="1"/>
    <xf numFmtId="44" fontId="6" fillId="0" borderId="0" xfId="2" applyFont="1"/>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7" fillId="0" borderId="0" xfId="0" applyFont="1" applyAlignment="1">
      <alignment horizontal="left"/>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2" fillId="0" borderId="0" xfId="0" applyFont="1" applyAlignment="1">
      <alignment horizontal="left"/>
    </xf>
    <xf numFmtId="0" fontId="3" fillId="0" borderId="0" xfId="0" applyFont="1"/>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2" fillId="0" borderId="0" xfId="0" applyFont="1" applyAlignment="1">
      <alignment horizontal="left"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8" fillId="0" borderId="0" xfId="0" applyFont="1"/>
    <xf numFmtId="0" fontId="3" fillId="0" borderId="0" xfId="0" applyFont="1"/>
    <xf numFmtId="0" fontId="38"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1" defaultTableStyle="TableStyleMedium2" defaultPivotStyle="PivotStyleLight16">
    <tableStyle name="Invisible" pivot="0" table="0" count="0" xr9:uid="{4852F6CC-9863-4A4D-92E1-676302032622}"/>
  </tableStyles>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47" t="s">
        <v>5</v>
      </c>
      <c r="G1" s="148" t="s">
        <v>6</v>
      </c>
    </row>
    <row r="2" spans="1:8" ht="15.75" x14ac:dyDescent="0.25">
      <c r="A2" s="1" t="s">
        <v>7</v>
      </c>
      <c r="B2" s="1" t="s">
        <v>8</v>
      </c>
      <c r="C2" s="1" t="s">
        <v>9</v>
      </c>
      <c r="D2" s="1" t="s">
        <v>10</v>
      </c>
      <c r="E2" s="1" t="s">
        <v>11</v>
      </c>
      <c r="F2" s="147" t="s">
        <v>12</v>
      </c>
      <c r="G2" t="s">
        <v>13</v>
      </c>
      <c r="H2" t="s">
        <v>14</v>
      </c>
    </row>
    <row r="3" spans="1:8" ht="15.75" x14ac:dyDescent="0.25">
      <c r="A3" s="1" t="s">
        <v>15</v>
      </c>
      <c r="E3" s="1" t="s">
        <v>16</v>
      </c>
      <c r="F3" s="147" t="s">
        <v>17</v>
      </c>
      <c r="G3" t="s">
        <v>18</v>
      </c>
      <c r="H3" t="s">
        <v>19</v>
      </c>
    </row>
    <row r="4" spans="1:8" ht="15.75" x14ac:dyDescent="0.25">
      <c r="A4" s="1" t="s">
        <v>20</v>
      </c>
      <c r="F4" s="147" t="s">
        <v>21</v>
      </c>
      <c r="G4" t="s">
        <v>22</v>
      </c>
      <c r="H4" t="s">
        <v>23</v>
      </c>
    </row>
    <row r="5" spans="1:8" ht="15.75" x14ac:dyDescent="0.25">
      <c r="A5" s="1" t="s">
        <v>24</v>
      </c>
      <c r="F5" s="147" t="s">
        <v>25</v>
      </c>
      <c r="G5" t="s">
        <v>26</v>
      </c>
      <c r="H5" t="s">
        <v>27</v>
      </c>
    </row>
    <row r="6" spans="1:8" ht="15.75" x14ac:dyDescent="0.25">
      <c r="A6" s="1" t="s">
        <v>28</v>
      </c>
      <c r="F6" s="253" t="s">
        <v>29</v>
      </c>
      <c r="G6" t="s">
        <v>30</v>
      </c>
      <c r="H6" t="s">
        <v>31</v>
      </c>
    </row>
    <row r="7" spans="1:8" ht="15.75" x14ac:dyDescent="0.25">
      <c r="A7" s="1" t="s">
        <v>32</v>
      </c>
      <c r="F7" s="147" t="s">
        <v>33</v>
      </c>
      <c r="G7" t="s">
        <v>34</v>
      </c>
      <c r="H7" t="s">
        <v>35</v>
      </c>
    </row>
    <row r="8" spans="1:8" ht="15.75" x14ac:dyDescent="0.25">
      <c r="A8" s="1" t="s">
        <v>36</v>
      </c>
      <c r="F8" s="147" t="s">
        <v>37</v>
      </c>
      <c r="G8" t="s">
        <v>38</v>
      </c>
      <c r="H8" t="s">
        <v>39</v>
      </c>
    </row>
    <row r="9" spans="1:8" ht="15.75" x14ac:dyDescent="0.25">
      <c r="A9" s="1" t="s">
        <v>40</v>
      </c>
      <c r="F9" s="147"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44" t="s">
        <v>139</v>
      </c>
      <c r="B1" s="144" t="s">
        <v>140</v>
      </c>
      <c r="C1" s="144" t="s">
        <v>141</v>
      </c>
      <c r="D1" s="144" t="s">
        <v>142</v>
      </c>
      <c r="E1" s="144" t="s">
        <v>143</v>
      </c>
      <c r="F1" s="144" t="s">
        <v>144</v>
      </c>
      <c r="G1" s="144" t="s">
        <v>145</v>
      </c>
      <c r="H1" s="144" t="s">
        <v>146</v>
      </c>
      <c r="I1" s="144" t="s">
        <v>147</v>
      </c>
      <c r="J1" s="144" t="s">
        <v>148</v>
      </c>
      <c r="K1" s="144" t="s">
        <v>149</v>
      </c>
    </row>
    <row r="2" spans="1:11" x14ac:dyDescent="0.25">
      <c r="A2" s="145" t="s">
        <v>150</v>
      </c>
      <c r="B2" s="145" t="s">
        <v>151</v>
      </c>
      <c r="C2" s="145" t="s">
        <v>152</v>
      </c>
      <c r="D2" s="145" t="s">
        <v>151</v>
      </c>
      <c r="E2" s="145" t="s">
        <v>5</v>
      </c>
      <c r="F2" s="145" t="s">
        <v>153</v>
      </c>
      <c r="G2" s="145" t="s">
        <v>154</v>
      </c>
      <c r="H2" s="145" t="s">
        <v>150</v>
      </c>
      <c r="I2" s="145" t="s">
        <v>150</v>
      </c>
      <c r="J2" s="145" t="s">
        <v>155</v>
      </c>
      <c r="K2" s="145" t="s">
        <v>156</v>
      </c>
    </row>
    <row r="3" spans="1:11" x14ac:dyDescent="0.25">
      <c r="A3" s="145" t="s">
        <v>157</v>
      </c>
      <c r="B3" s="145" t="s">
        <v>158</v>
      </c>
      <c r="C3" s="145" t="s">
        <v>159</v>
      </c>
      <c r="D3" s="145" t="s">
        <v>160</v>
      </c>
      <c r="E3" s="145" t="s">
        <v>5</v>
      </c>
      <c r="F3" s="145" t="s">
        <v>150</v>
      </c>
      <c r="G3" s="145" t="s">
        <v>150</v>
      </c>
      <c r="H3" s="145" t="s">
        <v>150</v>
      </c>
      <c r="I3" s="145" t="s">
        <v>150</v>
      </c>
      <c r="J3" s="145" t="s">
        <v>161</v>
      </c>
      <c r="K3" s="145" t="s">
        <v>156</v>
      </c>
    </row>
    <row r="4" spans="1:11" x14ac:dyDescent="0.25">
      <c r="A4" s="145" t="s">
        <v>162</v>
      </c>
      <c r="B4" s="145" t="s">
        <v>163</v>
      </c>
      <c r="C4" s="145" t="s">
        <v>159</v>
      </c>
      <c r="D4" s="145" t="s">
        <v>160</v>
      </c>
      <c r="E4" s="145" t="s">
        <v>5</v>
      </c>
      <c r="F4" s="145" t="s">
        <v>150</v>
      </c>
      <c r="G4" s="145" t="s">
        <v>150</v>
      </c>
      <c r="H4" s="145" t="s">
        <v>150</v>
      </c>
      <c r="I4" s="145" t="s">
        <v>150</v>
      </c>
      <c r="J4" s="145" t="s">
        <v>164</v>
      </c>
      <c r="K4" s="145" t="s">
        <v>156</v>
      </c>
    </row>
    <row r="5" spans="1:11" x14ac:dyDescent="0.25">
      <c r="A5" s="145" t="s">
        <v>165</v>
      </c>
      <c r="B5" s="145" t="s">
        <v>166</v>
      </c>
      <c r="C5" s="145" t="s">
        <v>159</v>
      </c>
      <c r="D5" s="145" t="s">
        <v>160</v>
      </c>
      <c r="E5" s="145" t="s">
        <v>5</v>
      </c>
      <c r="F5" s="145" t="s">
        <v>150</v>
      </c>
      <c r="G5" s="145" t="s">
        <v>150</v>
      </c>
      <c r="H5" s="145" t="s">
        <v>150</v>
      </c>
      <c r="I5" s="145" t="s">
        <v>150</v>
      </c>
      <c r="J5" s="145" t="s">
        <v>164</v>
      </c>
      <c r="K5" s="145" t="s">
        <v>156</v>
      </c>
    </row>
    <row r="6" spans="1:11" x14ac:dyDescent="0.25">
      <c r="A6" s="145" t="s">
        <v>167</v>
      </c>
      <c r="B6" s="145" t="s">
        <v>168</v>
      </c>
      <c r="C6" s="145" t="s">
        <v>159</v>
      </c>
      <c r="D6" s="145" t="s">
        <v>160</v>
      </c>
      <c r="E6" s="145" t="s">
        <v>5</v>
      </c>
      <c r="F6" s="145" t="s">
        <v>150</v>
      </c>
      <c r="G6" s="145" t="s">
        <v>150</v>
      </c>
      <c r="H6" s="145" t="s">
        <v>150</v>
      </c>
      <c r="I6" s="145" t="s">
        <v>150</v>
      </c>
      <c r="J6" s="145" t="s">
        <v>164</v>
      </c>
      <c r="K6" s="145" t="s">
        <v>156</v>
      </c>
    </row>
    <row r="7" spans="1:11" x14ac:dyDescent="0.25">
      <c r="A7" s="145" t="s">
        <v>169</v>
      </c>
      <c r="B7" s="145" t="s">
        <v>170</v>
      </c>
      <c r="C7" s="145" t="s">
        <v>159</v>
      </c>
      <c r="D7" s="145" t="s">
        <v>160</v>
      </c>
      <c r="E7" s="145" t="s">
        <v>5</v>
      </c>
      <c r="F7" s="145" t="s">
        <v>150</v>
      </c>
      <c r="G7" s="145" t="s">
        <v>150</v>
      </c>
      <c r="H7" s="145" t="s">
        <v>150</v>
      </c>
      <c r="I7" s="145" t="s">
        <v>150</v>
      </c>
      <c r="J7" s="145" t="s">
        <v>171</v>
      </c>
      <c r="K7" s="145" t="s">
        <v>156</v>
      </c>
    </row>
    <row r="8" spans="1:11" x14ac:dyDescent="0.25">
      <c r="A8" s="145" t="s">
        <v>172</v>
      </c>
      <c r="B8" s="145" t="s">
        <v>173</v>
      </c>
      <c r="C8" s="145" t="s">
        <v>159</v>
      </c>
      <c r="D8" s="145" t="s">
        <v>160</v>
      </c>
      <c r="E8" s="145" t="s">
        <v>5</v>
      </c>
      <c r="F8" s="145" t="s">
        <v>150</v>
      </c>
      <c r="G8" s="145" t="s">
        <v>150</v>
      </c>
      <c r="H8" s="145" t="s">
        <v>150</v>
      </c>
      <c r="I8" s="145" t="s">
        <v>150</v>
      </c>
      <c r="J8" s="145" t="s">
        <v>171</v>
      </c>
      <c r="K8" s="145" t="s">
        <v>156</v>
      </c>
    </row>
    <row r="9" spans="1:11" x14ac:dyDescent="0.25">
      <c r="A9" s="145" t="s">
        <v>174</v>
      </c>
      <c r="B9" s="145" t="s">
        <v>175</v>
      </c>
      <c r="C9" s="145" t="s">
        <v>159</v>
      </c>
      <c r="D9" s="145" t="s">
        <v>160</v>
      </c>
      <c r="E9" s="145" t="s">
        <v>5</v>
      </c>
      <c r="F9" s="145" t="s">
        <v>150</v>
      </c>
      <c r="G9" s="145" t="s">
        <v>150</v>
      </c>
      <c r="H9" s="145" t="s">
        <v>150</v>
      </c>
      <c r="I9" s="145" t="s">
        <v>150</v>
      </c>
      <c r="J9" s="145" t="s">
        <v>171</v>
      </c>
      <c r="K9" s="145" t="s">
        <v>156</v>
      </c>
    </row>
    <row r="10" spans="1:11" x14ac:dyDescent="0.25">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25">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25">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25">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25">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25">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25">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25">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25">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25">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25">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25">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25">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25">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25">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25">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25">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25">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25">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25">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25">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25">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25">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25">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25">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25">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25">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25">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25">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25">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25">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25">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25">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25">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25">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25">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25">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25">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25">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25">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25">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25">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25">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25">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25">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25">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25">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25">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25">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25">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25">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25">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25">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25">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25">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25">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25">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25">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25">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25">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25">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25">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25">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25">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25">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25">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25">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25">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25">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25">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25">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25">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25">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25">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25">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25">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25">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25">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25">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25">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25">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25">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25">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25">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25">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25">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25">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25">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25">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25">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25">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25">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25">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25">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25">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25">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25">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25">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25">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25">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25">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25">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25">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25">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25">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25">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25">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25">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25">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25">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25">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25">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25">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25">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25">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25">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25">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25">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25">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25">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25">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25">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25">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25">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25">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25">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25">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25">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25">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25">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25">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25">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25">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25">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25">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25">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25">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25">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25">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25">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25">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25">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25">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25">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25">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25">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25">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25">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25">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25">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25">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25">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25">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25">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25">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25">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25">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25">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25">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25">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25">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25">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25">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25">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25">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25">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25">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25">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25">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25">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25">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25">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25">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25">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25">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25">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25">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25">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25">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25">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25">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25">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25">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25">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25">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25">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25">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25">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25">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25">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25">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25">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25">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25">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25">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25">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25">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25">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25">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25">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25">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25">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25">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25">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25">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25">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25">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25">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25">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25">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25">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25">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25">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25">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25">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25">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25">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25">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25">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25">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25">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25">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25">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25">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25">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25">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25">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25">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25">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25">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25">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25">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25">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25">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25">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25">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25">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25">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25">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25">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25">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25">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25">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25">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25">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25">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25">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25">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25">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25">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25">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25">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25">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25">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25">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25">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25">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25">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25">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25">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25">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25">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25">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25">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25">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25">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25">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25">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25">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25">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25">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25">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25">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25">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25">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25">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25">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25">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25">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25">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25">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25">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25">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25">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25">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25">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25">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25">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25">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25">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25">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25">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25">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25">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25">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25">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25">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25">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25">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25">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25">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25">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25">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25">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25">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25">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25">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25">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25">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25">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25">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25">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25">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25">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25">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25">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25">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25">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25">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25">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25">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25">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25">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25">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25">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25">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25">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25">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25">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25">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25">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25">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25">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25">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25">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25">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25">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25">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25">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25">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25">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25">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25">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25">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25">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25">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25">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25">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25">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25">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25">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25">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25">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25">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25">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25">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25">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25">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25">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25">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25">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25">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25">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25">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25">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25">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25">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25">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25">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25">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25">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25">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25">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25">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25">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25">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25">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25">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25">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25">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25">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25">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25">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25">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25">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25">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25">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25">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25">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25">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25">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25">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25">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25">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25">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25">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25">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25">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25">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25">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25">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25">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25">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25">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25">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25">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25">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25">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25">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25">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25">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25">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25">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25">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25">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25">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25">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25">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25">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25">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25">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25">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25">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25">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25">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25">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25">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25">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25">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25">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25">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25">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25">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25">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25">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25">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25">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25">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25">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25">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25">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25">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25">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25">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25">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25">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25">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25">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25">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25">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25">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25">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25">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25">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25">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25">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25">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25">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25">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25">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25">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25">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25">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25">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25">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25">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25">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25">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25">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25">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25">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25">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25">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25">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25">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25">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25">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25">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25">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25">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25">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25">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25">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25">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25">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25">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25">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25">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25">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25">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25">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25">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25">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25">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25">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25">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25">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25">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25">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25">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25">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25">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25">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25">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25">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25">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25">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25">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25">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25">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25">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25">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25">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25">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25">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25">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25">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25">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25">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25">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25">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25">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25">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25">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25">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25">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25">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25">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25">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25">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25">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25">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25">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25">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25">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25">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25">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25">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25">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25">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25">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25">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25">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25">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25">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25">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25">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25">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25">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25">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25">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25">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25">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25">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25">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25">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25">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25">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25">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25">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25">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25">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25">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25">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25">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25">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25">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25">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25">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25">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25">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25">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25">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25">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25">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25">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25">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25">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25">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25">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25">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25">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25">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25">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25">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25">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25">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25">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25">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25">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25">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25">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25">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25">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25">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25">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25">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25">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25">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25">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25">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25">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25">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25">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25">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25">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25">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25">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25">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25">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25">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25">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25">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25">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25">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25">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25">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25">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25">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25">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25">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25">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25">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25">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25">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25">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25">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25">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25">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25">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25">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25">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25">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25">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25">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25">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25">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25">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25">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25">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25">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25">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25">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25">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25">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1538</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1551</v>
      </c>
      <c r="B11" s="224" t="s">
        <v>1552</v>
      </c>
      <c r="C11" s="224" t="s">
        <v>1553</v>
      </c>
      <c r="D11" s="224" t="s">
        <v>1554</v>
      </c>
      <c r="E11" s="224" t="s">
        <v>1555</v>
      </c>
      <c r="F11" s="224" t="s">
        <v>1556</v>
      </c>
    </row>
    <row r="12" spans="1:6" ht="42.75" x14ac:dyDescent="0.25">
      <c r="A12" s="224" t="s">
        <v>1551</v>
      </c>
      <c r="B12" s="224" t="s">
        <v>1557</v>
      </c>
      <c r="C12" s="224" t="s">
        <v>1558</v>
      </c>
      <c r="D12" s="224" t="s">
        <v>1558</v>
      </c>
      <c r="E12" s="224" t="s">
        <v>1559</v>
      </c>
      <c r="F12" s="224" t="s">
        <v>1560</v>
      </c>
    </row>
    <row r="13" spans="1:6" ht="28.5" x14ac:dyDescent="0.25">
      <c r="A13" s="224" t="s">
        <v>1561</v>
      </c>
      <c r="B13" s="224" t="s">
        <v>1562</v>
      </c>
      <c r="C13" s="224" t="s">
        <v>1563</v>
      </c>
      <c r="D13" s="224" t="s">
        <v>1563</v>
      </c>
      <c r="E13" s="224" t="s">
        <v>1564</v>
      </c>
      <c r="F13" s="224" t="s">
        <v>1565</v>
      </c>
    </row>
    <row r="14" spans="1:6" ht="28.5" x14ac:dyDescent="0.25">
      <c r="A14" s="224" t="s">
        <v>1561</v>
      </c>
      <c r="B14" s="224" t="s">
        <v>1566</v>
      </c>
      <c r="C14" s="224" t="s">
        <v>1567</v>
      </c>
      <c r="D14" s="224" t="s">
        <v>1567</v>
      </c>
      <c r="E14" s="224" t="s">
        <v>1568</v>
      </c>
      <c r="F14" s="224" t="s">
        <v>1569</v>
      </c>
    </row>
    <row r="15" spans="1:6" ht="42.75" x14ac:dyDescent="0.25">
      <c r="A15" s="224" t="s">
        <v>1570</v>
      </c>
      <c r="B15" s="224" t="s">
        <v>1571</v>
      </c>
      <c r="C15" s="224" t="s">
        <v>1553</v>
      </c>
      <c r="D15" s="224" t="s">
        <v>1572</v>
      </c>
      <c r="E15" s="224" t="s">
        <v>1573</v>
      </c>
      <c r="F15" s="224" t="s">
        <v>1574</v>
      </c>
    </row>
    <row r="16" spans="1:6" ht="85.5" x14ac:dyDescent="0.25">
      <c r="A16" s="224" t="s">
        <v>1570</v>
      </c>
      <c r="B16" s="224" t="s">
        <v>1575</v>
      </c>
      <c r="C16" s="224" t="s">
        <v>1558</v>
      </c>
      <c r="D16" s="224" t="s">
        <v>1558</v>
      </c>
      <c r="E16" s="224" t="s">
        <v>1576</v>
      </c>
      <c r="F16" s="224" t="s">
        <v>1577</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26" zoomScale="70" zoomScaleNormal="70" workbookViewId="0">
      <selection activeCell="K128" sqref="K128"/>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20" ht="45" customHeight="1" x14ac:dyDescent="0.25">
      <c r="A1" s="264" t="s">
        <v>1578</v>
      </c>
      <c r="B1" s="264"/>
      <c r="C1" s="264"/>
      <c r="D1" s="264"/>
      <c r="E1" s="264"/>
      <c r="F1" s="264"/>
      <c r="G1" s="264"/>
      <c r="H1" s="264"/>
      <c r="I1" s="264"/>
      <c r="J1" s="264"/>
      <c r="K1" s="264"/>
      <c r="L1" s="136"/>
      <c r="M1" s="136"/>
      <c r="N1" s="136"/>
      <c r="O1" s="136"/>
    </row>
    <row r="2" spans="1:20" ht="16.5" customHeight="1" x14ac:dyDescent="0.25">
      <c r="A2" s="139" t="s">
        <v>1579</v>
      </c>
      <c r="B2" s="135"/>
      <c r="C2" s="135"/>
      <c r="D2" s="135"/>
      <c r="E2" s="135"/>
      <c r="F2" s="135"/>
      <c r="G2" s="135"/>
      <c r="H2" s="135"/>
      <c r="I2" s="135"/>
      <c r="J2" s="135"/>
      <c r="K2" s="135"/>
      <c r="L2" s="135"/>
      <c r="M2" s="135"/>
      <c r="N2" s="135"/>
      <c r="O2" s="135"/>
    </row>
    <row r="3" spans="1:20" ht="16.5" customHeight="1" x14ac:dyDescent="0.25">
      <c r="A3" s="260" t="s">
        <v>1580</v>
      </c>
      <c r="B3" s="260"/>
      <c r="C3" s="260"/>
      <c r="D3" s="260"/>
      <c r="E3" s="260"/>
      <c r="F3" s="265" t="s">
        <v>15</v>
      </c>
      <c r="G3" s="265"/>
      <c r="H3" s="265"/>
      <c r="I3" s="265"/>
    </row>
    <row r="4" spans="1:20" ht="16.5" customHeight="1" x14ac:dyDescent="0.2">
      <c r="A4" s="260" t="s">
        <v>1581</v>
      </c>
      <c r="B4" s="260"/>
      <c r="C4" s="260"/>
      <c r="D4" s="260"/>
      <c r="E4" s="260"/>
      <c r="F4" s="266" t="s">
        <v>1803</v>
      </c>
      <c r="G4" s="266"/>
      <c r="H4" s="266"/>
      <c r="I4" s="266"/>
    </row>
    <row r="5" spans="1:20" ht="16.5" customHeight="1" x14ac:dyDescent="0.2">
      <c r="A5" s="260" t="s">
        <v>1582</v>
      </c>
      <c r="B5" s="260"/>
      <c r="C5" s="260"/>
      <c r="D5" s="260"/>
      <c r="E5" s="260"/>
      <c r="F5" s="266" t="s">
        <v>729</v>
      </c>
      <c r="G5" s="266"/>
      <c r="H5" s="266"/>
      <c r="I5" s="266"/>
      <c r="L5" s="240"/>
      <c r="M5" s="240"/>
      <c r="N5" s="240"/>
      <c r="O5" s="240"/>
      <c r="P5" s="240"/>
      <c r="Q5" s="240"/>
    </row>
    <row r="6" spans="1:20" ht="16.5" customHeight="1" x14ac:dyDescent="0.25">
      <c r="A6" s="260" t="s">
        <v>1583</v>
      </c>
      <c r="B6" s="260"/>
      <c r="C6" s="260"/>
      <c r="D6" s="260"/>
      <c r="E6" s="260"/>
      <c r="F6" s="267">
        <v>44</v>
      </c>
      <c r="G6" s="267"/>
      <c r="H6" s="267"/>
      <c r="I6" s="267"/>
      <c r="L6" s="35"/>
      <c r="M6" s="35"/>
      <c r="N6" s="35"/>
      <c r="O6" s="35"/>
      <c r="P6" s="240"/>
      <c r="Q6" s="240"/>
    </row>
    <row r="7" spans="1:20" ht="16.5" customHeight="1" x14ac:dyDescent="0.25">
      <c r="A7" s="260" t="s">
        <v>1584</v>
      </c>
      <c r="B7" s="260"/>
      <c r="C7" s="260"/>
      <c r="D7" s="260"/>
      <c r="E7" s="260"/>
      <c r="F7" s="267" t="s">
        <v>1</v>
      </c>
      <c r="G7" s="267"/>
      <c r="H7" s="267"/>
      <c r="I7" s="267"/>
      <c r="K7" s="84"/>
      <c r="L7" s="35"/>
      <c r="M7" s="35"/>
      <c r="N7" s="35"/>
      <c r="O7" s="35"/>
      <c r="P7" s="240"/>
      <c r="Q7" s="240"/>
    </row>
    <row r="8" spans="1:20" ht="16.5" customHeight="1" x14ac:dyDescent="0.25">
      <c r="A8" s="260" t="s">
        <v>1585</v>
      </c>
      <c r="B8" s="260"/>
      <c r="C8" s="260"/>
      <c r="D8" s="260"/>
      <c r="E8" s="260"/>
      <c r="F8" s="267" t="s">
        <v>4</v>
      </c>
      <c r="G8" s="267"/>
      <c r="H8" s="267"/>
      <c r="I8" s="267"/>
      <c r="K8" s="84"/>
      <c r="L8" s="35"/>
      <c r="M8" s="35"/>
      <c r="N8" s="35"/>
      <c r="O8" s="35"/>
      <c r="P8" s="240"/>
      <c r="Q8" s="240"/>
    </row>
    <row r="9" spans="1:20" ht="16.5" customHeight="1" x14ac:dyDescent="0.25">
      <c r="A9" s="260" t="s">
        <v>1586</v>
      </c>
      <c r="B9" s="260"/>
      <c r="C9" s="260"/>
      <c r="D9" s="260"/>
      <c r="E9" s="260"/>
      <c r="F9" s="268" t="str">
        <f>IFERROR(IF(F7="Proprietary","Proprietary Fund",VLOOKUP(F5,qryIndex02a!$A$2:$K$654,4,FALSE)),"Unidentified")</f>
        <v>RESOURCES</v>
      </c>
      <c r="G9" s="268"/>
      <c r="H9" s="268"/>
      <c r="I9" s="268"/>
      <c r="K9" s="240"/>
      <c r="L9" s="240"/>
      <c r="M9" s="240"/>
      <c r="N9" s="240"/>
      <c r="O9" s="240"/>
      <c r="P9" s="240"/>
    </row>
    <row r="10" spans="1:20" ht="16.5" customHeight="1" x14ac:dyDescent="0.25">
      <c r="A10" s="238"/>
      <c r="B10" s="238"/>
      <c r="C10" s="238"/>
      <c r="D10" s="238"/>
      <c r="E10" s="35"/>
      <c r="F10" s="240"/>
      <c r="G10" s="240"/>
      <c r="H10" s="36"/>
      <c r="I10" s="240"/>
      <c r="J10" s="240"/>
      <c r="K10" s="240"/>
      <c r="L10" s="240"/>
      <c r="M10" s="240"/>
      <c r="N10" s="240"/>
      <c r="O10" s="240"/>
      <c r="P10" s="240"/>
    </row>
    <row r="11" spans="1:20" ht="16.5" customHeight="1" x14ac:dyDescent="0.25">
      <c r="A11" s="238"/>
      <c r="B11" s="238"/>
      <c r="C11" s="238"/>
      <c r="D11" s="238"/>
      <c r="E11" s="35"/>
      <c r="F11" s="240"/>
      <c r="G11" s="240"/>
      <c r="H11" s="36"/>
      <c r="I11" s="240"/>
      <c r="J11" s="240"/>
      <c r="K11" s="240"/>
      <c r="L11" s="240"/>
      <c r="M11" s="240"/>
      <c r="N11" s="240"/>
      <c r="O11" s="240"/>
      <c r="P11" s="240"/>
    </row>
    <row r="12" spans="1:20" s="162" customFormat="1" ht="21" customHeight="1" x14ac:dyDescent="0.3">
      <c r="A12" s="156" t="s">
        <v>1587</v>
      </c>
      <c r="B12" s="157"/>
      <c r="C12" s="158"/>
      <c r="D12" s="158"/>
      <c r="E12" s="158"/>
      <c r="F12" s="159"/>
      <c r="G12" s="159"/>
      <c r="H12" s="160"/>
      <c r="I12" s="160"/>
      <c r="J12" s="159"/>
      <c r="K12" s="159"/>
      <c r="L12" s="240"/>
      <c r="M12" s="240"/>
      <c r="N12" s="161"/>
      <c r="O12" s="161"/>
      <c r="P12" s="161"/>
    </row>
    <row r="13" spans="1:20" s="172" customFormat="1" ht="16.5" customHeight="1" x14ac:dyDescent="0.3">
      <c r="A13" s="169" t="s">
        <v>1588</v>
      </c>
      <c r="B13" s="199"/>
      <c r="D13" s="175"/>
      <c r="E13" s="175"/>
      <c r="F13" s="176"/>
      <c r="G13" s="176"/>
      <c r="H13" s="166"/>
      <c r="I13" s="166"/>
      <c r="J13" s="171"/>
      <c r="K13" s="171"/>
    </row>
    <row r="14" spans="1:20" ht="16.5" customHeight="1" x14ac:dyDescent="0.3">
      <c r="A14" s="133">
        <v>0</v>
      </c>
      <c r="B14" s="164" t="s">
        <v>1589</v>
      </c>
      <c r="C14" s="38"/>
      <c r="D14" s="38"/>
      <c r="E14" s="38"/>
      <c r="F14" s="39"/>
      <c r="G14" s="39"/>
      <c r="H14" s="40"/>
      <c r="I14" s="40"/>
      <c r="J14" s="171"/>
      <c r="K14" s="171"/>
      <c r="L14" s="172"/>
      <c r="M14" s="261" t="s">
        <v>1590</v>
      </c>
      <c r="N14" s="262"/>
      <c r="O14" s="172"/>
      <c r="P14" s="261" t="s">
        <v>1591</v>
      </c>
      <c r="Q14" s="262"/>
      <c r="R14" s="172"/>
      <c r="S14" s="206" t="s">
        <v>1592</v>
      </c>
    </row>
    <row r="15" spans="1:20" ht="16.5" customHeight="1" x14ac:dyDescent="0.25">
      <c r="A15" s="212" t="s">
        <v>1593</v>
      </c>
      <c r="B15" s="24" t="s">
        <v>1594</v>
      </c>
      <c r="C15" s="24"/>
      <c r="D15" s="24"/>
      <c r="E15" s="177"/>
      <c r="F15" s="178"/>
      <c r="G15" s="178"/>
      <c r="H15" s="179"/>
      <c r="I15" s="179"/>
      <c r="J15" s="232">
        <f>M15</f>
        <v>103256.06000000006</v>
      </c>
      <c r="M15" s="180">
        <v>103256.06000000006</v>
      </c>
      <c r="P15" s="180">
        <v>103256</v>
      </c>
      <c r="Q15" s="208"/>
      <c r="S15" s="207">
        <f t="shared" ref="S15:S19" si="0">P15-M15</f>
        <v>-6.0000000055879354E-2</v>
      </c>
      <c r="T15" s="235" t="s">
        <v>1595</v>
      </c>
    </row>
    <row r="16" spans="1:20" ht="16.5" customHeight="1" x14ac:dyDescent="0.25">
      <c r="A16" s="212" t="s">
        <v>1593</v>
      </c>
      <c r="B16" s="24" t="s">
        <v>1596</v>
      </c>
      <c r="C16" s="24"/>
      <c r="D16" s="24"/>
      <c r="E16" s="177"/>
      <c r="F16" s="178"/>
      <c r="G16" s="178"/>
      <c r="H16" s="179"/>
      <c r="I16" s="179"/>
      <c r="J16" s="232">
        <f>M16</f>
        <v>0</v>
      </c>
      <c r="M16" s="180"/>
      <c r="P16" s="180"/>
      <c r="Q16" s="208"/>
      <c r="S16" s="207">
        <f t="shared" si="0"/>
        <v>0</v>
      </c>
      <c r="T16" s="235" t="s">
        <v>1595</v>
      </c>
    </row>
    <row r="17" spans="1:20" ht="16.5" customHeight="1" x14ac:dyDescent="0.25">
      <c r="A17" s="212" t="s">
        <v>1593</v>
      </c>
      <c r="B17" s="24" t="s">
        <v>1597</v>
      </c>
      <c r="C17" s="24"/>
      <c r="D17" s="24"/>
      <c r="E17" s="177"/>
      <c r="F17" s="178"/>
      <c r="G17" s="178"/>
      <c r="H17" s="179"/>
      <c r="I17" s="179"/>
      <c r="J17" s="232">
        <f>M17</f>
        <v>25823914.810000006</v>
      </c>
      <c r="M17" s="180">
        <v>25823914.810000006</v>
      </c>
      <c r="P17" s="180">
        <v>25823915</v>
      </c>
      <c r="Q17" s="208"/>
      <c r="S17" s="207">
        <f t="shared" si="0"/>
        <v>0.18999999389052391</v>
      </c>
      <c r="T17" s="235" t="s">
        <v>1595</v>
      </c>
    </row>
    <row r="18" spans="1:20" ht="16.5" customHeight="1" x14ac:dyDescent="0.25">
      <c r="A18" s="86"/>
      <c r="B18" s="24" t="s">
        <v>1598</v>
      </c>
      <c r="C18" s="24"/>
      <c r="D18" s="24"/>
      <c r="E18" s="177"/>
      <c r="F18" s="178"/>
      <c r="G18" s="178"/>
      <c r="H18" s="179"/>
      <c r="I18" s="179"/>
      <c r="J18" s="232">
        <f>P18</f>
        <v>2259018</v>
      </c>
      <c r="M18" s="180"/>
      <c r="P18" s="205">
        <f>IF(SUM($Q$20:$Q$23)&gt;SUM($P$15:$P$17),SUM($Q$20:$Q$23)-SUM($P$15:$P$17),0)</f>
        <v>2259018</v>
      </c>
      <c r="Q18" s="208"/>
      <c r="S18" s="207">
        <f t="shared" si="0"/>
        <v>2259018</v>
      </c>
      <c r="T18" s="234" t="s">
        <v>1599</v>
      </c>
    </row>
    <row r="19" spans="1:20" ht="16.5" customHeight="1" x14ac:dyDescent="0.25">
      <c r="A19" s="86"/>
      <c r="B19" s="24" t="s">
        <v>1600</v>
      </c>
      <c r="C19" s="24"/>
      <c r="D19" s="24"/>
      <c r="E19" s="177"/>
      <c r="F19" s="178"/>
      <c r="G19" s="178"/>
      <c r="H19" s="179"/>
      <c r="I19" s="179"/>
      <c r="J19" s="232">
        <f>IF(SUM($K$20:$K$24)&gt;SUM($J$15:$J$18),SUM($K$20:$K$24)-SUM($J$15:$J$18),0)</f>
        <v>0.12999999523162842</v>
      </c>
      <c r="M19" s="180"/>
      <c r="P19" s="208"/>
      <c r="Q19" s="208"/>
      <c r="S19" s="207">
        <f t="shared" si="0"/>
        <v>0</v>
      </c>
      <c r="T19" s="234" t="s">
        <v>1599</v>
      </c>
    </row>
    <row r="20" spans="1:20" ht="16.5" customHeight="1" x14ac:dyDescent="0.25">
      <c r="A20" s="86"/>
      <c r="B20" s="24"/>
      <c r="C20" s="24" t="s">
        <v>1601</v>
      </c>
      <c r="D20" s="24"/>
      <c r="E20" s="177"/>
      <c r="F20" s="178"/>
      <c r="G20" s="178"/>
      <c r="H20" s="179"/>
      <c r="I20" s="179"/>
      <c r="J20" s="197"/>
      <c r="K20" s="232">
        <f>N20</f>
        <v>28816</v>
      </c>
      <c r="N20" s="180">
        <v>28816</v>
      </c>
      <c r="P20" s="208"/>
      <c r="Q20" s="180">
        <v>28816</v>
      </c>
      <c r="S20" s="207">
        <f>Q20-N20</f>
        <v>0</v>
      </c>
      <c r="T20" s="234" t="s">
        <v>1599</v>
      </c>
    </row>
    <row r="21" spans="1:20" ht="16.5" customHeight="1" x14ac:dyDescent="0.25">
      <c r="A21" s="86"/>
      <c r="B21" s="24"/>
      <c r="C21" s="24" t="s">
        <v>1602</v>
      </c>
      <c r="D21" s="24"/>
      <c r="E21" s="177"/>
      <c r="F21" s="178"/>
      <c r="G21" s="178"/>
      <c r="H21" s="179"/>
      <c r="I21" s="179"/>
      <c r="J21" s="197"/>
      <c r="K21" s="232">
        <f>N21</f>
        <v>0</v>
      </c>
      <c r="N21" s="180"/>
      <c r="P21" s="208"/>
      <c r="Q21" s="180"/>
      <c r="S21" s="207">
        <f>Q21-N21</f>
        <v>0</v>
      </c>
      <c r="T21" s="234" t="s">
        <v>1599</v>
      </c>
    </row>
    <row r="22" spans="1:20" ht="16.5" customHeight="1" x14ac:dyDescent="0.25">
      <c r="A22" s="86"/>
      <c r="B22" s="24"/>
      <c r="C22" s="24" t="s">
        <v>1603</v>
      </c>
      <c r="D22" s="24"/>
      <c r="E22" s="177"/>
      <c r="F22" s="178"/>
      <c r="G22" s="178"/>
      <c r="H22" s="179"/>
      <c r="I22" s="179"/>
      <c r="J22" s="197"/>
      <c r="K22" s="232">
        <f>N22</f>
        <v>4971464</v>
      </c>
      <c r="N22" s="180">
        <v>4971464</v>
      </c>
      <c r="P22" s="208"/>
      <c r="Q22" s="180">
        <v>4971464</v>
      </c>
      <c r="S22" s="207">
        <f t="shared" ref="S22:S25" si="1">Q22-N22</f>
        <v>0</v>
      </c>
      <c r="T22" s="234" t="s">
        <v>1599</v>
      </c>
    </row>
    <row r="23" spans="1:20" ht="16.5" customHeight="1" x14ac:dyDescent="0.25">
      <c r="A23" s="218" t="s">
        <v>1604</v>
      </c>
      <c r="B23" s="24"/>
      <c r="C23" s="24" t="s">
        <v>1605</v>
      </c>
      <c r="D23" s="24"/>
      <c r="E23" s="177"/>
      <c r="F23" s="178"/>
      <c r="G23" s="178"/>
      <c r="H23" s="179"/>
      <c r="I23" s="179"/>
      <c r="J23" s="197"/>
      <c r="K23" s="232">
        <f>N23</f>
        <v>23185909</v>
      </c>
      <c r="N23" s="180">
        <v>23185909</v>
      </c>
      <c r="P23" s="208"/>
      <c r="Q23" s="180">
        <v>23185909</v>
      </c>
      <c r="S23" s="207">
        <f t="shared" si="1"/>
        <v>0</v>
      </c>
      <c r="T23" s="234" t="s">
        <v>1599</v>
      </c>
    </row>
    <row r="24" spans="1:20" ht="16.5" customHeight="1" x14ac:dyDescent="0.25">
      <c r="A24" s="86"/>
      <c r="B24" s="24"/>
      <c r="C24" s="24" t="s">
        <v>1606</v>
      </c>
      <c r="D24" s="24"/>
      <c r="E24" s="177"/>
      <c r="F24" s="178"/>
      <c r="G24" s="178"/>
      <c r="H24" s="179"/>
      <c r="I24" s="179"/>
      <c r="J24" s="197"/>
      <c r="K24" s="232">
        <f>Q24</f>
        <v>0</v>
      </c>
      <c r="N24" s="180"/>
      <c r="P24" s="208"/>
      <c r="Q24" s="205">
        <f>IF(SUM($Q$20:$Q$23)&lt;SUM($P$15:$P$17),-SUM($Q$20:$Q$23)+SUM($P$15:$P$17),0)</f>
        <v>0</v>
      </c>
      <c r="S24" s="207">
        <f t="shared" si="1"/>
        <v>0</v>
      </c>
      <c r="T24" s="234" t="s">
        <v>1599</v>
      </c>
    </row>
    <row r="25" spans="1:20" ht="16.5" customHeight="1" x14ac:dyDescent="0.25">
      <c r="A25" s="86"/>
      <c r="B25" s="24"/>
      <c r="C25" s="24" t="s">
        <v>1607</v>
      </c>
      <c r="D25" s="24"/>
      <c r="E25" s="177"/>
      <c r="F25" s="178"/>
      <c r="G25" s="178"/>
      <c r="H25" s="179"/>
      <c r="I25" s="179"/>
      <c r="J25" s="197"/>
      <c r="K25" s="232">
        <f>IF(SUM($K$20:$K$24)&lt;SUM($J$15:$J$18),-SUM($K$20:$K$24)+SUM($J$15:$J$18),0)</f>
        <v>0</v>
      </c>
      <c r="N25" s="180"/>
      <c r="P25" s="208"/>
      <c r="Q25" s="208"/>
      <c r="S25" s="207">
        <f t="shared" si="1"/>
        <v>0</v>
      </c>
      <c r="T25" s="234" t="s">
        <v>1599</v>
      </c>
    </row>
    <row r="26" spans="1:20" ht="16.5" customHeight="1" x14ac:dyDescent="0.25">
      <c r="A26" s="86"/>
      <c r="C26" s="42"/>
      <c r="D26" s="42"/>
      <c r="E26" s="42"/>
      <c r="F26" s="163"/>
      <c r="G26" s="163"/>
      <c r="H26" s="44"/>
      <c r="I26" s="44"/>
      <c r="J26" s="140">
        <f>SUM(J15:J25)</f>
        <v>28186189</v>
      </c>
      <c r="K26" s="140">
        <f>SUM(K15:K25)</f>
        <v>28186189</v>
      </c>
      <c r="L26" s="48" t="str">
        <f>IF(J26=K26,"&lt;- Debits and Credits equal each other.","&lt;- Debits and Credits do not equal each other.")</f>
        <v>&lt;- Debits and Credits equal each other.</v>
      </c>
    </row>
    <row r="27" spans="1:20" ht="16.5" customHeight="1" x14ac:dyDescent="0.25">
      <c r="A27" s="1"/>
      <c r="B27" s="166" t="s">
        <v>1608</v>
      </c>
      <c r="C27" s="45"/>
      <c r="D27" s="42"/>
      <c r="E27" s="42"/>
      <c r="F27" s="43"/>
      <c r="G27" s="43"/>
      <c r="H27" s="44"/>
      <c r="I27" s="44"/>
      <c r="J27" s="41"/>
      <c r="K27" s="41"/>
      <c r="L27" s="19"/>
    </row>
    <row r="28" spans="1:20" ht="16.149999999999999" customHeight="1" x14ac:dyDescent="0.3">
      <c r="A28" s="1"/>
      <c r="B28" s="219" t="s">
        <v>1609</v>
      </c>
      <c r="C28" s="165"/>
      <c r="D28" s="42"/>
      <c r="E28" s="42"/>
      <c r="F28" s="163"/>
      <c r="G28" s="163"/>
      <c r="H28" s="44"/>
      <c r="I28" s="44"/>
      <c r="J28" s="41"/>
      <c r="K28" s="41"/>
      <c r="L28" s="19"/>
    </row>
    <row r="29" spans="1:20" ht="16.149999999999999" customHeight="1" x14ac:dyDescent="0.3">
      <c r="A29" s="1"/>
      <c r="B29" s="219"/>
      <c r="C29" s="165"/>
      <c r="D29" s="42"/>
      <c r="E29" s="42"/>
      <c r="F29" s="163"/>
      <c r="G29" s="163"/>
      <c r="H29" s="44"/>
      <c r="I29" s="44"/>
      <c r="J29" s="41"/>
      <c r="K29" s="41"/>
      <c r="L29" s="19"/>
    </row>
    <row r="30" spans="1:20" ht="16.5" customHeight="1" x14ac:dyDescent="0.25">
      <c r="A30" s="86"/>
      <c r="C30" s="42"/>
      <c r="D30" s="42"/>
      <c r="E30" s="42"/>
      <c r="F30" s="163"/>
      <c r="G30" s="163"/>
      <c r="H30" s="44"/>
      <c r="I30" s="44"/>
      <c r="J30" s="140"/>
      <c r="K30" s="140"/>
      <c r="L30" s="19"/>
    </row>
    <row r="31" spans="1:20" s="162" customFormat="1" ht="21" customHeight="1" x14ac:dyDescent="0.3">
      <c r="A31" s="156" t="s">
        <v>1610</v>
      </c>
      <c r="B31" s="157"/>
      <c r="C31" s="158"/>
      <c r="D31" s="158"/>
      <c r="E31" s="158"/>
      <c r="F31" s="159"/>
      <c r="G31" s="159"/>
      <c r="H31" s="160"/>
      <c r="I31" s="160"/>
      <c r="J31" s="159"/>
      <c r="K31" s="159"/>
      <c r="L31" s="240"/>
      <c r="M31" s="240"/>
      <c r="N31" s="161"/>
      <c r="O31" s="161"/>
      <c r="P31" s="161"/>
    </row>
    <row r="32" spans="1:20" s="172" customFormat="1" ht="16.5" customHeight="1" x14ac:dyDescent="0.3">
      <c r="A32" s="169">
        <v>1</v>
      </c>
      <c r="B32" s="199" t="s">
        <v>1611</v>
      </c>
      <c r="D32" s="175"/>
      <c r="E32" s="175"/>
      <c r="F32" s="176"/>
      <c r="G32" s="176"/>
      <c r="H32" s="166"/>
      <c r="I32" s="166"/>
      <c r="J32" s="171"/>
      <c r="K32" s="171"/>
    </row>
    <row r="33" spans="1:12" ht="16.5" customHeight="1" x14ac:dyDescent="0.25">
      <c r="B33" s="24" t="s">
        <v>1612</v>
      </c>
      <c r="C33" s="24"/>
      <c r="D33" s="177"/>
      <c r="E33" s="177"/>
      <c r="F33" s="178"/>
      <c r="G33" s="178"/>
      <c r="H33" s="179"/>
      <c r="I33" s="179"/>
      <c r="J33" s="180">
        <v>3919546.93</v>
      </c>
      <c r="K33" s="181"/>
    </row>
    <row r="34" spans="1:12" ht="16.5" customHeight="1" x14ac:dyDescent="0.25">
      <c r="A34" s="86"/>
      <c r="B34" s="24"/>
      <c r="C34" s="24" t="s">
        <v>1613</v>
      </c>
      <c r="D34" s="177"/>
      <c r="E34" s="177"/>
      <c r="F34" s="178"/>
      <c r="G34" s="178"/>
      <c r="H34" s="179"/>
      <c r="I34" s="179"/>
      <c r="J34" s="181"/>
      <c r="K34" s="180">
        <v>3919546.93</v>
      </c>
    </row>
    <row r="35" spans="1:12" ht="16.5" customHeight="1" x14ac:dyDescent="0.25">
      <c r="A35" s="86"/>
      <c r="B35" s="24"/>
      <c r="C35" s="24" t="str">
        <f>IF($F$7="Proprietary","Cr: Acct 0870 - SERVICES &amp; CHARGES (MG ADJ)",VLOOKUP($F$9,'Drop Down Menus'!$F$2:$G$10,2,FALSE))</f>
        <v>Cr: Acct 0820 - NAT RES &amp; ENVIRON (GAAP ADJ)</v>
      </c>
      <c r="D35" s="177"/>
      <c r="E35" s="177"/>
      <c r="F35" s="178"/>
      <c r="G35" s="178"/>
      <c r="H35" s="179"/>
      <c r="I35" s="179"/>
      <c r="J35" s="181"/>
      <c r="K35" s="180"/>
    </row>
    <row r="36" spans="1:12" ht="16.5" customHeight="1" x14ac:dyDescent="0.25">
      <c r="A36" s="86"/>
      <c r="C36" s="38"/>
      <c r="D36" s="38"/>
      <c r="E36" s="38"/>
      <c r="F36" s="39"/>
      <c r="G36" s="39"/>
      <c r="H36" s="40"/>
      <c r="I36" s="40"/>
      <c r="J36" s="140">
        <f>SUM(J33:J35)</f>
        <v>3919546.93</v>
      </c>
      <c r="K36" s="140">
        <f>SUM(K33:K35)</f>
        <v>3919546.93</v>
      </c>
      <c r="L36" s="48"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1614</v>
      </c>
      <c r="C38" s="38"/>
      <c r="D38" s="38"/>
      <c r="E38" s="38"/>
      <c r="F38" s="39"/>
      <c r="G38" s="39"/>
      <c r="H38" s="40"/>
      <c r="I38" s="40"/>
      <c r="J38" s="41"/>
      <c r="K38" s="41"/>
      <c r="L38" s="19"/>
    </row>
    <row r="39" spans="1:12" ht="16.5" customHeight="1" x14ac:dyDescent="0.25">
      <c r="A39" s="212" t="s">
        <v>1593</v>
      </c>
      <c r="B39" s="24" t="s">
        <v>1594</v>
      </c>
      <c r="C39" s="24"/>
      <c r="D39" s="177"/>
      <c r="E39" s="177"/>
      <c r="F39" s="178"/>
      <c r="G39" s="178"/>
      <c r="H39" s="179"/>
      <c r="I39" s="179"/>
      <c r="J39" s="180"/>
      <c r="K39" s="181"/>
    </row>
    <row r="40" spans="1:12" ht="16.5" customHeight="1" x14ac:dyDescent="0.25">
      <c r="A40" s="212" t="s">
        <v>1593</v>
      </c>
      <c r="B40" s="24" t="s">
        <v>1596</v>
      </c>
      <c r="C40" s="24"/>
      <c r="D40" s="177"/>
      <c r="E40" s="177"/>
      <c r="F40" s="178"/>
      <c r="G40" s="178"/>
      <c r="H40" s="179"/>
      <c r="I40" s="179"/>
      <c r="J40" s="180"/>
      <c r="K40" s="181"/>
    </row>
    <row r="41" spans="1:12" ht="16.5" customHeight="1" x14ac:dyDescent="0.25">
      <c r="A41" s="212" t="s">
        <v>1593</v>
      </c>
      <c r="B41" s="24" t="s">
        <v>1597</v>
      </c>
      <c r="C41" s="24"/>
      <c r="D41" s="177"/>
      <c r="E41" s="177"/>
      <c r="F41" s="178"/>
      <c r="G41" s="178"/>
      <c r="H41" s="179"/>
      <c r="I41" s="179"/>
      <c r="J41" s="180">
        <v>3919546.93</v>
      </c>
      <c r="K41" s="181"/>
    </row>
    <row r="42" spans="1:12" ht="16.5" customHeight="1" x14ac:dyDescent="0.25">
      <c r="A42" s="86"/>
      <c r="B42" s="24"/>
      <c r="C42" s="24" t="s">
        <v>1615</v>
      </c>
      <c r="D42" s="177"/>
      <c r="E42" s="177"/>
      <c r="F42" s="178"/>
      <c r="G42" s="178"/>
      <c r="H42" s="179"/>
      <c r="I42" s="179"/>
      <c r="J42" s="181"/>
      <c r="K42" s="180">
        <v>3919546.93</v>
      </c>
    </row>
    <row r="43" spans="1:12" ht="16.5" customHeight="1" x14ac:dyDescent="0.25">
      <c r="A43" s="86"/>
      <c r="B43" s="166" t="s">
        <v>1616</v>
      </c>
      <c r="C43" s="38"/>
      <c r="D43" s="38"/>
      <c r="E43" s="38"/>
      <c r="F43" s="39"/>
      <c r="G43" s="39"/>
      <c r="H43" s="40"/>
      <c r="I43" s="40"/>
      <c r="J43" s="140">
        <f>SUM(J39:J42)</f>
        <v>3919546.93</v>
      </c>
      <c r="K43" s="140">
        <f>SUM(K39:K42)</f>
        <v>3919546.93</v>
      </c>
      <c r="L43" s="48"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1617</v>
      </c>
      <c r="C46" s="175"/>
      <c r="D46" s="175"/>
      <c r="E46" s="175"/>
      <c r="F46" s="176"/>
      <c r="G46" s="176"/>
      <c r="H46" s="166"/>
      <c r="I46" s="166"/>
      <c r="J46" s="171"/>
      <c r="K46" s="171"/>
    </row>
    <row r="47" spans="1:12" ht="16.5" customHeight="1" x14ac:dyDescent="0.25">
      <c r="B47" s="24" t="s">
        <v>1618</v>
      </c>
      <c r="C47" s="24"/>
      <c r="D47" s="177"/>
      <c r="E47" s="177"/>
      <c r="F47" s="178"/>
      <c r="G47" s="178"/>
      <c r="H47" s="179"/>
      <c r="I47" s="179"/>
      <c r="J47" s="180">
        <v>3919546.93</v>
      </c>
      <c r="K47" s="181"/>
    </row>
    <row r="48" spans="1:12" ht="16.5" customHeight="1" x14ac:dyDescent="0.25">
      <c r="A48" s="218" t="s">
        <v>1604</v>
      </c>
      <c r="B48" s="24"/>
      <c r="C48" s="24" t="s">
        <v>1605</v>
      </c>
      <c r="D48" s="177"/>
      <c r="E48" s="177"/>
      <c r="F48" s="178"/>
      <c r="G48" s="178"/>
      <c r="H48" s="179"/>
      <c r="I48" s="179"/>
      <c r="J48" s="181"/>
      <c r="K48" s="180">
        <v>3919546.93</v>
      </c>
    </row>
    <row r="49" spans="1:16" ht="16.5" customHeight="1" x14ac:dyDescent="0.25">
      <c r="A49" s="86"/>
      <c r="C49" s="38"/>
      <c r="D49" s="38"/>
      <c r="E49" s="38"/>
      <c r="F49" s="39"/>
      <c r="G49" s="39"/>
      <c r="H49" s="40"/>
      <c r="I49" s="40"/>
      <c r="J49" s="140">
        <f>SUM(J47:J48)</f>
        <v>3919546.93</v>
      </c>
      <c r="K49" s="140">
        <f>SUM(K47:K48)</f>
        <v>3919546.93</v>
      </c>
      <c r="L49" s="48" t="str">
        <f>IF(J49=K49,"&lt;- Debits and Credits equal each other.","&lt;- Debits and Credits do not equal each other.")</f>
        <v>&lt;- Debits and Credits equal each other.</v>
      </c>
    </row>
    <row r="50" spans="1:16" ht="16.5" customHeight="1" x14ac:dyDescent="0.25">
      <c r="A50" s="86"/>
      <c r="B50" s="219" t="s">
        <v>1619</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1620</v>
      </c>
      <c r="B53" s="157"/>
      <c r="C53" s="158"/>
      <c r="D53" s="158"/>
      <c r="E53" s="158"/>
      <c r="F53" s="159"/>
      <c r="G53" s="159"/>
      <c r="H53" s="160"/>
      <c r="I53" s="160"/>
      <c r="J53" s="159"/>
      <c r="K53" s="159"/>
      <c r="L53" s="240"/>
      <c r="M53" s="240"/>
      <c r="N53" s="161"/>
      <c r="O53" s="161"/>
      <c r="P53" s="161"/>
    </row>
    <row r="54" spans="1:16" s="172" customFormat="1" ht="16.5" customHeight="1" x14ac:dyDescent="0.3">
      <c r="A54" s="169">
        <v>4</v>
      </c>
      <c r="B54" s="199" t="s">
        <v>1621</v>
      </c>
      <c r="C54" s="175"/>
      <c r="D54" s="175"/>
      <c r="E54" s="175"/>
      <c r="F54" s="176"/>
      <c r="G54" s="176"/>
      <c r="H54" s="166"/>
      <c r="I54" s="166"/>
      <c r="J54" s="171"/>
      <c r="K54" s="171"/>
    </row>
    <row r="55" spans="1:16" ht="16.5" customHeight="1" x14ac:dyDescent="0.25">
      <c r="B55" s="24" t="s">
        <v>1622</v>
      </c>
      <c r="C55" s="48"/>
      <c r="D55" s="177"/>
      <c r="E55" s="177"/>
      <c r="F55" s="178"/>
      <c r="G55" s="178"/>
      <c r="H55" s="179"/>
      <c r="I55" s="179"/>
      <c r="J55" s="180">
        <v>2619641.4300000006</v>
      </c>
      <c r="K55" s="181"/>
    </row>
    <row r="56" spans="1:16" ht="16.5" customHeight="1" x14ac:dyDescent="0.25">
      <c r="A56" s="86"/>
      <c r="B56" s="48"/>
      <c r="C56" s="24" t="s">
        <v>1601</v>
      </c>
      <c r="D56" s="177"/>
      <c r="E56" s="177"/>
      <c r="F56" s="178"/>
      <c r="G56" s="178"/>
      <c r="H56" s="179"/>
      <c r="I56" s="179"/>
      <c r="J56" s="182"/>
      <c r="K56" s="180">
        <v>14407.82</v>
      </c>
    </row>
    <row r="57" spans="1:16" ht="16.5" customHeight="1" x14ac:dyDescent="0.25">
      <c r="A57" s="86"/>
      <c r="B57" s="48"/>
      <c r="C57" s="24" t="s">
        <v>1602</v>
      </c>
      <c r="D57" s="177"/>
      <c r="E57" s="177"/>
      <c r="F57" s="178"/>
      <c r="G57" s="178"/>
      <c r="H57" s="179"/>
      <c r="I57" s="179"/>
      <c r="J57" s="182"/>
      <c r="K57" s="180"/>
    </row>
    <row r="58" spans="1:16" ht="16.5" customHeight="1" x14ac:dyDescent="0.25">
      <c r="A58" s="86"/>
      <c r="B58" s="24"/>
      <c r="C58" s="24" t="s">
        <v>1603</v>
      </c>
      <c r="D58" s="177"/>
      <c r="E58" s="177"/>
      <c r="F58" s="178"/>
      <c r="G58" s="178"/>
      <c r="H58" s="179"/>
      <c r="I58" s="179"/>
      <c r="J58" s="181"/>
      <c r="K58" s="180">
        <v>2605233.61</v>
      </c>
    </row>
    <row r="59" spans="1:16" ht="16.5" customHeight="1" x14ac:dyDescent="0.25">
      <c r="A59" s="86"/>
      <c r="C59" s="38"/>
      <c r="D59" s="38"/>
      <c r="E59" s="38"/>
      <c r="F59" s="39"/>
      <c r="G59" s="39"/>
      <c r="H59" s="40"/>
      <c r="I59" s="40"/>
      <c r="J59" s="140">
        <f>SUM(J55:J58)</f>
        <v>2619641.4300000006</v>
      </c>
      <c r="K59" s="140">
        <f>SUM(K55:K58)</f>
        <v>2619641.4299999997</v>
      </c>
      <c r="L59" s="48"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1623</v>
      </c>
      <c r="C61" s="175"/>
      <c r="D61" s="175"/>
      <c r="E61" s="175"/>
      <c r="F61" s="176"/>
      <c r="G61" s="176"/>
      <c r="H61" s="166"/>
      <c r="I61" s="166"/>
      <c r="J61" s="171"/>
      <c r="K61" s="171"/>
    </row>
    <row r="62" spans="1:16" ht="16.5" customHeight="1" x14ac:dyDescent="0.25">
      <c r="B62" s="24" t="s">
        <v>1624</v>
      </c>
      <c r="C62" s="24"/>
      <c r="D62" s="177"/>
      <c r="E62" s="177"/>
      <c r="F62" s="178"/>
      <c r="G62" s="178"/>
      <c r="H62" s="179"/>
      <c r="I62" s="179"/>
      <c r="J62" s="183">
        <v>2517514</v>
      </c>
      <c r="K62" s="184"/>
      <c r="L62" s="34" t="str">
        <f>IF($J$62=$K$69,"","&lt;- Accts 0848 must agree")</f>
        <v/>
      </c>
    </row>
    <row r="63" spans="1:16" ht="16.5" customHeight="1" x14ac:dyDescent="0.25">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297731</v>
      </c>
      <c r="K63" s="184"/>
    </row>
    <row r="64" spans="1:16" ht="16.5" customHeight="1" x14ac:dyDescent="0.25">
      <c r="A64" s="86"/>
      <c r="B64" s="24"/>
      <c r="C64" s="24" t="str">
        <f>IF($F$7="Proprietary","Cr: Acct 0870 - SERVICES &amp; CHARGES (MG ADJ)",VLOOKUP($F$9,'Drop Down Menus'!$F$2:$G$10,2,FALSE))</f>
        <v>Cr: Acct 0820 - NAT RES &amp; ENVIRON (GAAP ADJ)</v>
      </c>
      <c r="D64" s="177"/>
      <c r="E64" s="177"/>
      <c r="F64" s="178"/>
      <c r="G64" s="178"/>
      <c r="H64" s="179"/>
      <c r="I64" s="179"/>
      <c r="J64" s="184"/>
      <c r="K64" s="180">
        <v>2815245</v>
      </c>
    </row>
    <row r="65" spans="1:12" ht="16.5" customHeight="1" x14ac:dyDescent="0.25">
      <c r="A65" s="86"/>
      <c r="C65" s="38"/>
      <c r="D65" s="38"/>
      <c r="E65" s="38"/>
      <c r="F65" s="39"/>
      <c r="G65" s="39"/>
      <c r="H65" s="40"/>
      <c r="I65" s="40"/>
      <c r="J65" s="140">
        <f>SUM(J62:J64)</f>
        <v>2815245</v>
      </c>
      <c r="K65" s="140">
        <f>SUM(K62:K64)</f>
        <v>2815245</v>
      </c>
      <c r="L65" s="48"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1625</v>
      </c>
      <c r="C67" s="175"/>
      <c r="D67" s="175"/>
      <c r="E67" s="175"/>
      <c r="F67" s="176"/>
      <c r="G67" s="176"/>
      <c r="H67" s="166"/>
      <c r="I67" s="166"/>
      <c r="J67" s="171"/>
      <c r="K67" s="171"/>
    </row>
    <row r="68" spans="1:12" ht="16.5" customHeight="1" x14ac:dyDescent="0.25">
      <c r="A68" s="218" t="s">
        <v>1604</v>
      </c>
      <c r="B68" s="24" t="s">
        <v>1626</v>
      </c>
      <c r="C68" s="24"/>
      <c r="D68" s="177"/>
      <c r="E68" s="177"/>
      <c r="F68" s="178"/>
      <c r="G68" s="178"/>
      <c r="H68" s="179"/>
      <c r="I68" s="179"/>
      <c r="J68" s="180">
        <v>2517514</v>
      </c>
      <c r="K68" s="181"/>
    </row>
    <row r="69" spans="1:12" ht="16.5" customHeight="1" x14ac:dyDescent="0.25">
      <c r="A69" s="86"/>
      <c r="B69" s="24"/>
      <c r="C69" s="24" t="s">
        <v>1627</v>
      </c>
      <c r="D69" s="177"/>
      <c r="E69" s="177"/>
      <c r="F69" s="178"/>
      <c r="G69" s="178"/>
      <c r="H69" s="179"/>
      <c r="I69" s="179"/>
      <c r="J69" s="181"/>
      <c r="K69" s="180">
        <v>2517514</v>
      </c>
      <c r="L69" s="34" t="str">
        <f>IF($J$62=$K$69,"","&lt;- Accts 0848 must agree")</f>
        <v/>
      </c>
    </row>
    <row r="70" spans="1:12" ht="16.5" customHeight="1" x14ac:dyDescent="0.25">
      <c r="A70" s="86"/>
      <c r="C70" s="38"/>
      <c r="D70" s="38"/>
      <c r="E70" s="38"/>
      <c r="F70" s="39"/>
      <c r="G70" s="39"/>
      <c r="H70" s="40"/>
      <c r="I70" s="40"/>
      <c r="J70" s="140">
        <f>SUM(J68:J69)</f>
        <v>2517514</v>
      </c>
      <c r="K70" s="140">
        <f>SUM(K68:K69)</f>
        <v>2517514</v>
      </c>
      <c r="L70" s="48" t="str">
        <f>IF(J70=K70,"&lt;- Debits and Credits equal each other.","&lt;- Debits and Credits do not equal each other.")</f>
        <v>&lt;- Debits and Credits equal each other.</v>
      </c>
    </row>
    <row r="71" spans="1:12" ht="16.5" customHeight="1" x14ac:dyDescent="0.25">
      <c r="A71" s="86"/>
      <c r="B71" s="219" t="s">
        <v>1628</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1629</v>
      </c>
      <c r="C74" s="175"/>
      <c r="D74" s="175"/>
      <c r="E74" s="175"/>
      <c r="F74" s="176"/>
      <c r="G74" s="176"/>
      <c r="H74" s="166"/>
      <c r="I74" s="166"/>
      <c r="J74" s="171"/>
      <c r="K74" s="171"/>
    </row>
    <row r="75" spans="1:12" ht="16.5" customHeight="1" x14ac:dyDescent="0.25">
      <c r="A75" s="218" t="s">
        <v>1604</v>
      </c>
      <c r="B75" s="24" t="s">
        <v>1626</v>
      </c>
      <c r="C75" s="24"/>
      <c r="D75" s="177"/>
      <c r="E75" s="177"/>
      <c r="F75" s="178"/>
      <c r="G75" s="178"/>
      <c r="H75" s="179"/>
      <c r="I75" s="179"/>
      <c r="J75" s="180">
        <v>2802395.0100000007</v>
      </c>
      <c r="K75" s="181"/>
    </row>
    <row r="76" spans="1:12" ht="16.5" customHeight="1" x14ac:dyDescent="0.25">
      <c r="A76" s="86"/>
      <c r="B76" s="24"/>
      <c r="C76" s="24" t="s">
        <v>1630</v>
      </c>
      <c r="D76" s="177"/>
      <c r="E76" s="177"/>
      <c r="F76" s="178"/>
      <c r="G76" s="178"/>
      <c r="H76" s="179"/>
      <c r="I76" s="179"/>
      <c r="J76" s="181"/>
      <c r="K76" s="180">
        <v>2802395.0100000007</v>
      </c>
    </row>
    <row r="77" spans="1:12" ht="16.5" customHeight="1" x14ac:dyDescent="0.2">
      <c r="A77" s="86"/>
      <c r="B77" s="263" t="s">
        <v>1631</v>
      </c>
      <c r="C77" s="263"/>
      <c r="D77" s="263"/>
      <c r="E77" s="263"/>
      <c r="F77" s="263"/>
      <c r="G77" s="263"/>
      <c r="H77" s="263"/>
      <c r="I77" s="263"/>
      <c r="J77" s="140">
        <f>SUM(J75:J76)</f>
        <v>2802395.0100000007</v>
      </c>
      <c r="K77" s="140">
        <f>SUM(K75:K76)</f>
        <v>2802395.0100000007</v>
      </c>
      <c r="L77" s="48" t="str">
        <f>IF(J77=K77,"&lt;- Debits and Credits equal each other.","&lt;- Debits and Credits do not equal each other.")</f>
        <v>&lt;- Debits and Credits equal each other.</v>
      </c>
    </row>
    <row r="78" spans="1:12" ht="16.5" customHeight="1" x14ac:dyDescent="0.2">
      <c r="A78" s="86"/>
      <c r="B78" s="263"/>
      <c r="C78" s="263"/>
      <c r="D78" s="263"/>
      <c r="E78" s="263"/>
      <c r="F78" s="263"/>
      <c r="G78" s="263"/>
      <c r="H78" s="263"/>
      <c r="I78" s="263"/>
      <c r="J78" s="140"/>
      <c r="K78" s="140"/>
      <c r="L78" s="19"/>
    </row>
    <row r="79" spans="1:12" ht="24.6" customHeight="1" x14ac:dyDescent="0.2">
      <c r="A79" s="86"/>
      <c r="B79" s="263"/>
      <c r="C79" s="263"/>
      <c r="D79" s="263"/>
      <c r="E79" s="263"/>
      <c r="F79" s="263"/>
      <c r="G79" s="263"/>
      <c r="H79" s="263"/>
      <c r="I79" s="263"/>
      <c r="J79" s="140"/>
      <c r="K79" s="140"/>
      <c r="L79" s="19"/>
    </row>
    <row r="80" spans="1:12" ht="16.5" customHeight="1" x14ac:dyDescent="0.25">
      <c r="A80" s="1"/>
      <c r="B80" s="219" t="s">
        <v>1632</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1633</v>
      </c>
      <c r="B83" s="157"/>
      <c r="C83" s="158"/>
      <c r="D83" s="158"/>
      <c r="E83" s="158"/>
      <c r="F83" s="159"/>
      <c r="G83" s="159"/>
      <c r="H83" s="160"/>
      <c r="I83" s="160"/>
      <c r="J83" s="159"/>
      <c r="K83" s="159"/>
      <c r="L83" s="240"/>
      <c r="M83" s="240"/>
      <c r="N83" s="161"/>
      <c r="O83" s="161"/>
      <c r="P83" s="161"/>
    </row>
    <row r="84" spans="1:16" s="172" customFormat="1" ht="16.5" customHeight="1" x14ac:dyDescent="0.3">
      <c r="A84" s="169">
        <v>8</v>
      </c>
      <c r="B84" s="199" t="s">
        <v>1634</v>
      </c>
      <c r="H84" s="170"/>
    </row>
    <row r="85" spans="1:16" ht="16.5" customHeight="1" x14ac:dyDescent="0.25">
      <c r="B85" s="24" t="s">
        <v>1635</v>
      </c>
      <c r="C85" s="24"/>
      <c r="D85" s="177"/>
      <c r="E85" s="177"/>
      <c r="F85" s="178"/>
      <c r="G85" s="178"/>
      <c r="H85" s="179"/>
      <c r="I85" s="179"/>
      <c r="J85" s="180"/>
      <c r="K85" s="181"/>
      <c r="L85" s="19"/>
    </row>
    <row r="86" spans="1:16" ht="16.5" customHeight="1" x14ac:dyDescent="0.2">
      <c r="A86" s="86"/>
      <c r="B86" s="24" t="s">
        <v>1636</v>
      </c>
      <c r="C86" s="48"/>
      <c r="D86" s="48"/>
      <c r="E86" s="48"/>
      <c r="F86" s="48"/>
      <c r="G86" s="48"/>
      <c r="H86" s="48"/>
      <c r="I86" s="48"/>
      <c r="J86" s="180"/>
      <c r="K86" s="185"/>
    </row>
    <row r="87" spans="1:16" ht="16.5" customHeight="1" x14ac:dyDescent="0.2">
      <c r="A87" s="86"/>
      <c r="B87" s="24" t="s">
        <v>1637</v>
      </c>
      <c r="C87" s="48"/>
      <c r="D87" s="48"/>
      <c r="E87" s="48"/>
      <c r="F87" s="48"/>
      <c r="G87" s="48"/>
      <c r="H87" s="48"/>
      <c r="I87" s="48"/>
      <c r="J87" s="180">
        <v>623988</v>
      </c>
      <c r="K87" s="185"/>
    </row>
    <row r="88" spans="1:16" ht="16.5" customHeight="1" x14ac:dyDescent="0.2">
      <c r="A88" s="212" t="s">
        <v>1593</v>
      </c>
      <c r="B88" s="48"/>
      <c r="C88" s="24" t="s">
        <v>1638</v>
      </c>
      <c r="D88" s="48"/>
      <c r="E88" s="48"/>
      <c r="F88" s="48"/>
      <c r="G88" s="48"/>
      <c r="H88" s="48"/>
      <c r="I88" s="48"/>
      <c r="J88" s="185"/>
      <c r="K88" s="180"/>
    </row>
    <row r="89" spans="1:16" ht="16.5" customHeight="1" x14ac:dyDescent="0.2">
      <c r="A89" s="212" t="s">
        <v>1593</v>
      </c>
      <c r="B89" s="48"/>
      <c r="C89" s="24" t="s">
        <v>1639</v>
      </c>
      <c r="D89" s="48"/>
      <c r="E89" s="48"/>
      <c r="F89" s="48"/>
      <c r="G89" s="48"/>
      <c r="H89" s="48"/>
      <c r="I89" s="48"/>
      <c r="J89" s="185"/>
      <c r="K89" s="180"/>
    </row>
    <row r="90" spans="1:16" ht="16.5" customHeight="1" x14ac:dyDescent="0.2">
      <c r="A90" s="212" t="s">
        <v>1593</v>
      </c>
      <c r="B90" s="48"/>
      <c r="C90" s="24" t="s">
        <v>1640</v>
      </c>
      <c r="D90" s="48"/>
      <c r="E90" s="48"/>
      <c r="F90" s="48"/>
      <c r="G90" s="48"/>
      <c r="H90" s="48"/>
      <c r="I90" s="48"/>
      <c r="J90" s="185"/>
      <c r="K90" s="180">
        <v>623988</v>
      </c>
    </row>
    <row r="91" spans="1:16" ht="16.5" customHeight="1" x14ac:dyDescent="0.25">
      <c r="B91" s="166" t="s">
        <v>1641</v>
      </c>
      <c r="H91" s="34"/>
      <c r="J91" s="141">
        <f>SUM(J85:J90)</f>
        <v>623988</v>
      </c>
      <c r="K91" s="141">
        <f>SUM(K85:K90)</f>
        <v>623988</v>
      </c>
      <c r="L91" s="48"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1642</v>
      </c>
      <c r="B94" s="157"/>
      <c r="C94" s="158"/>
      <c r="D94" s="158"/>
      <c r="E94" s="158"/>
      <c r="F94" s="159"/>
      <c r="G94" s="159"/>
      <c r="H94" s="160"/>
      <c r="I94" s="160"/>
      <c r="J94" s="159"/>
      <c r="K94" s="159"/>
      <c r="L94" s="240"/>
      <c r="M94" s="240"/>
      <c r="N94" s="161"/>
      <c r="O94" s="161"/>
      <c r="P94" s="161"/>
    </row>
    <row r="95" spans="1:16" s="172" customFormat="1" ht="16.5" customHeight="1" x14ac:dyDescent="0.3">
      <c r="A95" s="168">
        <v>9</v>
      </c>
      <c r="B95" s="199" t="s">
        <v>1643</v>
      </c>
      <c r="C95" s="173"/>
      <c r="D95" s="173"/>
      <c r="E95" s="173"/>
      <c r="F95" s="173"/>
      <c r="G95" s="173"/>
      <c r="H95" s="173"/>
      <c r="I95" s="173"/>
      <c r="J95" s="174"/>
      <c r="K95" s="174"/>
    </row>
    <row r="96" spans="1:16" ht="16.5" customHeight="1" x14ac:dyDescent="0.2">
      <c r="A96" s="218" t="s">
        <v>1604</v>
      </c>
      <c r="B96" s="24" t="s">
        <v>1626</v>
      </c>
      <c r="C96" s="24"/>
      <c r="D96" s="250"/>
      <c r="E96" s="250"/>
      <c r="F96" s="250"/>
      <c r="G96" s="250"/>
      <c r="H96" s="250"/>
      <c r="I96" s="250"/>
      <c r="J96" s="180">
        <v>685674</v>
      </c>
      <c r="K96" s="186"/>
    </row>
    <row r="97" spans="1:12" ht="16.5" customHeight="1" x14ac:dyDescent="0.2">
      <c r="B97" s="24" t="s">
        <v>1635</v>
      </c>
      <c r="C97" s="48"/>
      <c r="D97" s="48"/>
      <c r="E97" s="48"/>
      <c r="F97" s="48"/>
      <c r="G97" s="48"/>
      <c r="H97" s="48"/>
      <c r="I97" s="48"/>
      <c r="J97" s="180"/>
      <c r="K97" s="48"/>
    </row>
    <row r="98" spans="1:12" ht="16.5" customHeight="1" x14ac:dyDescent="0.2">
      <c r="B98" s="24" t="s">
        <v>1636</v>
      </c>
      <c r="C98" s="48"/>
      <c r="D98" s="48"/>
      <c r="E98" s="48"/>
      <c r="F98" s="48"/>
      <c r="G98" s="48"/>
      <c r="H98" s="48"/>
      <c r="I98" s="48"/>
      <c r="J98" s="180"/>
      <c r="K98" s="48"/>
    </row>
    <row r="99" spans="1:12" ht="16.5" customHeight="1" x14ac:dyDescent="0.2">
      <c r="B99" s="24" t="s">
        <v>1637</v>
      </c>
      <c r="C99" s="48"/>
      <c r="D99" s="48"/>
      <c r="E99" s="48"/>
      <c r="F99" s="48"/>
      <c r="G99" s="48"/>
      <c r="H99" s="48"/>
      <c r="I99" s="48"/>
      <c r="J99" s="180">
        <v>862313</v>
      </c>
      <c r="K99" s="48"/>
    </row>
    <row r="100" spans="1:12" ht="16.5" customHeight="1" x14ac:dyDescent="0.2">
      <c r="B100" s="24" t="str">
        <f>IF($F$7="Proprietary","Dr: Acct 0870 - SERVICES &amp; CHARGES (MG ADJ)",VLOOKUP($F$9,'Drop Down Menus'!$F$2:$H$10,3,FALSE))</f>
        <v>Dr: Acct 0820 - NAT RES &amp; ENVIRON (GAAP ADJ)</v>
      </c>
      <c r="C100" s="48"/>
      <c r="D100" s="48"/>
      <c r="E100" s="48"/>
      <c r="F100" s="48"/>
      <c r="G100" s="48"/>
      <c r="H100" s="48"/>
      <c r="I100" s="48"/>
      <c r="J100" s="180"/>
      <c r="K100" s="48"/>
    </row>
    <row r="101" spans="1:12" ht="16.5" customHeight="1" x14ac:dyDescent="0.2">
      <c r="A101" s="212" t="s">
        <v>1593</v>
      </c>
      <c r="B101" s="48"/>
      <c r="C101" s="24" t="s">
        <v>1638</v>
      </c>
      <c r="D101" s="48"/>
      <c r="E101" s="48"/>
      <c r="F101" s="48"/>
      <c r="G101" s="48"/>
      <c r="H101" s="48"/>
      <c r="I101" s="48"/>
      <c r="J101" s="48"/>
      <c r="K101" s="180"/>
    </row>
    <row r="102" spans="1:12" ht="16.5" customHeight="1" x14ac:dyDescent="0.2">
      <c r="A102" s="212" t="s">
        <v>1593</v>
      </c>
      <c r="B102" s="48"/>
      <c r="C102" s="24" t="s">
        <v>1639</v>
      </c>
      <c r="D102" s="48"/>
      <c r="E102" s="48"/>
      <c r="F102" s="48"/>
      <c r="G102" s="48"/>
      <c r="H102" s="48"/>
      <c r="I102" s="48"/>
      <c r="J102" s="48"/>
      <c r="K102" s="180"/>
    </row>
    <row r="103" spans="1:12" ht="16.5" customHeight="1" x14ac:dyDescent="0.2">
      <c r="A103" s="212" t="s">
        <v>1593</v>
      </c>
      <c r="B103" s="48"/>
      <c r="C103" s="24" t="s">
        <v>1640</v>
      </c>
      <c r="D103" s="48"/>
      <c r="E103" s="48"/>
      <c r="F103" s="48"/>
      <c r="G103" s="48"/>
      <c r="H103" s="48"/>
      <c r="I103" s="48"/>
      <c r="J103" s="48"/>
      <c r="K103" s="180">
        <v>862313</v>
      </c>
    </row>
    <row r="104" spans="1:12" ht="16.5" customHeight="1" x14ac:dyDescent="0.2">
      <c r="B104" s="48"/>
      <c r="C104" s="24" t="str">
        <f>IF($F$7="Proprietary","Dr: Acct 0870 - SERVICES &amp; CHARGES (MG ADJ)",VLOOKUP($F$9,'Drop Down Menus'!$F$2:$G$10,2,FALSE))</f>
        <v>Cr: Acct 0820 - NAT RES &amp; ENVIRON (GAAP ADJ)</v>
      </c>
      <c r="D104" s="48"/>
      <c r="E104" s="48"/>
      <c r="F104" s="48"/>
      <c r="G104" s="48"/>
      <c r="H104" s="48"/>
      <c r="I104" s="48"/>
      <c r="J104" s="48"/>
      <c r="K104" s="180">
        <v>685674</v>
      </c>
    </row>
    <row r="105" spans="1:12" ht="16.5" customHeight="1" x14ac:dyDescent="0.25">
      <c r="B105" s="166" t="s">
        <v>1641</v>
      </c>
      <c r="H105" s="34"/>
      <c r="J105" s="141">
        <f>SUM(J96:J104)</f>
        <v>1547987</v>
      </c>
      <c r="K105" s="141">
        <f>SUM(K96:K104)</f>
        <v>1547987</v>
      </c>
      <c r="L105" s="48" t="str">
        <f>IF(J105=K105,"&lt;- Debits and Credits equal each other.","&lt;- Debits and Credits do not equal each other.")</f>
        <v>&lt;- Debits and Credits equal each other.</v>
      </c>
    </row>
    <row r="106" spans="1:12" ht="16.5" customHeight="1" x14ac:dyDescent="0.25">
      <c r="B106" s="219" t="s">
        <v>1628</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1644</v>
      </c>
      <c r="C109" s="173"/>
      <c r="D109" s="173"/>
    </row>
    <row r="110" spans="1:12" ht="16.5" customHeight="1" x14ac:dyDescent="0.2">
      <c r="A110" s="212" t="s">
        <v>1593</v>
      </c>
      <c r="B110" s="24" t="s">
        <v>1594</v>
      </c>
      <c r="C110" s="24"/>
      <c r="D110" s="250"/>
      <c r="E110" s="48"/>
      <c r="F110" s="48"/>
      <c r="G110" s="48"/>
      <c r="H110" s="48"/>
      <c r="I110" s="48"/>
      <c r="J110" s="180"/>
      <c r="K110" s="48"/>
    </row>
    <row r="111" spans="1:12" ht="16.5" customHeight="1" x14ac:dyDescent="0.2">
      <c r="A111" s="212" t="s">
        <v>1593</v>
      </c>
      <c r="B111" s="24" t="s">
        <v>1596</v>
      </c>
      <c r="C111" s="24"/>
      <c r="D111" s="250"/>
      <c r="E111" s="48"/>
      <c r="F111" s="48"/>
      <c r="G111" s="48"/>
      <c r="H111" s="48"/>
      <c r="I111" s="48"/>
      <c r="J111" s="180"/>
      <c r="K111" s="48"/>
    </row>
    <row r="112" spans="1:12" ht="16.5" customHeight="1" x14ac:dyDescent="0.2">
      <c r="A112" s="212" t="s">
        <v>1593</v>
      </c>
      <c r="B112" s="24" t="s">
        <v>1597</v>
      </c>
      <c r="C112" s="24"/>
      <c r="D112" s="250"/>
      <c r="E112" s="48"/>
      <c r="F112" s="48"/>
      <c r="G112" s="48"/>
      <c r="H112" s="48"/>
      <c r="I112" s="48"/>
      <c r="J112" s="180"/>
      <c r="K112" s="48"/>
    </row>
    <row r="113" spans="1:12" ht="16.5" customHeight="1" x14ac:dyDescent="0.2">
      <c r="A113" s="218" t="s">
        <v>1604</v>
      </c>
      <c r="B113" s="24"/>
      <c r="C113" s="24" t="s">
        <v>1605</v>
      </c>
      <c r="D113" s="250"/>
      <c r="E113" s="48"/>
      <c r="F113" s="48"/>
      <c r="G113" s="48"/>
      <c r="H113" s="48"/>
      <c r="I113" s="48"/>
      <c r="J113" s="48"/>
      <c r="K113" s="180"/>
    </row>
    <row r="114" spans="1:12" ht="16.5" customHeight="1" x14ac:dyDescent="0.25">
      <c r="A114" s="14"/>
      <c r="B114" s="166" t="s">
        <v>1616</v>
      </c>
      <c r="C114" s="150"/>
      <c r="D114" s="150"/>
      <c r="H114" s="34"/>
      <c r="J114" s="141">
        <f>SUM(J110:J113)</f>
        <v>0</v>
      </c>
      <c r="K114" s="141">
        <f>SUM(K110:K113)</f>
        <v>0</v>
      </c>
      <c r="L114" s="48" t="str">
        <f>IF(J114=K114,"&lt;- Debits and Credits equal each other.","&lt;- Debits and Credits do not equal each other.")</f>
        <v>&lt;- Debits and Credits equal each other.</v>
      </c>
    </row>
    <row r="115" spans="1:12" ht="16.5" customHeight="1" x14ac:dyDescent="0.25">
      <c r="A115" s="14"/>
      <c r="B115" s="219" t="s">
        <v>1619</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1645</v>
      </c>
      <c r="E120" s="214"/>
      <c r="F120" s="215"/>
      <c r="G120" s="215"/>
      <c r="H120" s="215"/>
      <c r="I120" s="216"/>
      <c r="J120" s="216"/>
      <c r="K120" s="217"/>
    </row>
    <row r="121" spans="1:12" ht="16.5" customHeight="1" x14ac:dyDescent="0.25">
      <c r="H121" s="34"/>
      <c r="K121" s="223" t="s">
        <v>1646</v>
      </c>
    </row>
    <row r="122" spans="1:12" ht="16.5" customHeight="1" x14ac:dyDescent="0.25">
      <c r="D122" s="177" t="s">
        <v>1647</v>
      </c>
      <c r="H122" s="34"/>
      <c r="K122" s="222">
        <f>J15+J39-K88-K101+J110</f>
        <v>103256.06000000006</v>
      </c>
    </row>
    <row r="123" spans="1:12" ht="16.5" customHeight="1" x14ac:dyDescent="0.25">
      <c r="D123" s="177" t="s">
        <v>1648</v>
      </c>
      <c r="H123" s="34"/>
      <c r="K123" s="222">
        <f>J16+J40-K89-K102+J111</f>
        <v>0</v>
      </c>
    </row>
    <row r="124" spans="1:12" ht="16.5" customHeight="1" x14ac:dyDescent="0.25">
      <c r="D124" s="177" t="s">
        <v>1649</v>
      </c>
      <c r="H124" s="34"/>
      <c r="K124" s="222">
        <f>J17+J41-K90-K103+J112</f>
        <v>28257160.740000006</v>
      </c>
    </row>
    <row r="125" spans="1:12" ht="16.5" customHeight="1" x14ac:dyDescent="0.25">
      <c r="D125" s="177" t="s">
        <v>1650</v>
      </c>
      <c r="H125" s="34"/>
      <c r="K125" s="222">
        <f>-K20-K56+J85+J97</f>
        <v>-43223.82</v>
      </c>
    </row>
    <row r="126" spans="1:12" ht="16.5" customHeight="1" x14ac:dyDescent="0.25">
      <c r="D126" s="177" t="s">
        <v>1651</v>
      </c>
      <c r="H126" s="34"/>
      <c r="K126" s="222">
        <f>-K21-K57+J86+J98</f>
        <v>0</v>
      </c>
    </row>
    <row r="127" spans="1:12" ht="16.5" customHeight="1" x14ac:dyDescent="0.25">
      <c r="D127" s="177" t="s">
        <v>1652</v>
      </c>
      <c r="H127" s="34"/>
      <c r="K127" s="222">
        <f>-K22-K58+J87+J99</f>
        <v>-6090396.6099999994</v>
      </c>
    </row>
    <row r="128" spans="1:12" ht="16.5" customHeight="1" x14ac:dyDescent="0.25">
      <c r="D128" s="177" t="s">
        <v>1653</v>
      </c>
      <c r="H128" s="34"/>
      <c r="K128" s="222">
        <f>-K23-K48+J68+J75+J96-K113</f>
        <v>-21099872.919999998</v>
      </c>
    </row>
    <row r="129" spans="4:11" ht="16.5" customHeight="1" x14ac:dyDescent="0.25">
      <c r="D129" s="177" t="s">
        <v>1654</v>
      </c>
      <c r="H129" s="34"/>
      <c r="K129" s="222">
        <f>-K76</f>
        <v>-2802395.0100000007</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5" zoomScale="70" zoomScaleNormal="70" workbookViewId="0">
      <selection activeCell="B20" sqref="B2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1655</v>
      </c>
      <c r="B1" s="278"/>
      <c r="C1" s="278"/>
      <c r="D1" s="278"/>
      <c r="E1" s="278"/>
      <c r="F1" s="278"/>
      <c r="G1" s="5"/>
      <c r="H1" s="5"/>
      <c r="I1" s="5"/>
      <c r="J1" s="5"/>
      <c r="K1" s="5"/>
      <c r="L1" s="5"/>
      <c r="M1" s="5"/>
    </row>
    <row r="2" spans="1:13" ht="64.150000000000006" customHeight="1" x14ac:dyDescent="0.25">
      <c r="A2" s="277" t="s">
        <v>1656</v>
      </c>
      <c r="B2" s="277"/>
      <c r="C2" s="277"/>
      <c r="D2" s="277"/>
      <c r="E2" s="277"/>
      <c r="F2" s="277"/>
      <c r="G2" s="5"/>
      <c r="H2" s="5"/>
      <c r="I2" s="5"/>
      <c r="J2" s="5"/>
      <c r="K2" s="5"/>
      <c r="L2" s="5"/>
      <c r="M2" s="5"/>
    </row>
    <row r="3" spans="1:13" ht="31.9" customHeight="1" x14ac:dyDescent="0.25">
      <c r="A3" s="271" t="s">
        <v>1657</v>
      </c>
      <c r="B3" s="271"/>
      <c r="C3" s="271"/>
      <c r="D3" s="47"/>
      <c r="E3" s="5"/>
      <c r="F3" s="5"/>
      <c r="G3" s="5"/>
      <c r="H3" s="5"/>
      <c r="I3" s="5"/>
      <c r="J3" s="5"/>
      <c r="K3" s="5"/>
      <c r="L3" s="5"/>
      <c r="M3" s="5"/>
    </row>
    <row r="4" spans="1:13" ht="31.15" customHeight="1" x14ac:dyDescent="0.25">
      <c r="A4" s="272" t="s">
        <v>1658</v>
      </c>
      <c r="B4" s="272"/>
      <c r="C4" s="272"/>
      <c r="D4" s="47"/>
      <c r="E4" s="5"/>
      <c r="F4" s="5"/>
      <c r="G4" s="5"/>
      <c r="H4" s="5"/>
      <c r="I4" s="5"/>
      <c r="J4" s="5"/>
      <c r="K4" s="5"/>
      <c r="L4" s="5"/>
      <c r="M4" s="5"/>
    </row>
    <row r="5" spans="1:13" ht="31.15" customHeight="1" x14ac:dyDescent="0.25">
      <c r="A5" s="272" t="s">
        <v>1659</v>
      </c>
      <c r="B5" s="272"/>
      <c r="C5" s="272"/>
      <c r="D5" s="47"/>
      <c r="E5" s="5"/>
      <c r="F5" s="5"/>
      <c r="G5" s="5"/>
      <c r="H5" s="5"/>
      <c r="I5" s="5"/>
      <c r="J5" s="5"/>
      <c r="K5" s="5"/>
      <c r="L5" s="5"/>
      <c r="M5" s="5"/>
    </row>
    <row r="6" spans="1:13" ht="15.75" x14ac:dyDescent="0.25">
      <c r="A6" s="47"/>
      <c r="B6" s="47"/>
      <c r="C6" s="47"/>
      <c r="D6" s="47"/>
      <c r="E6" s="5"/>
      <c r="F6" s="5"/>
      <c r="G6" s="5"/>
      <c r="H6" s="5"/>
      <c r="I6" s="5"/>
      <c r="J6" s="5"/>
      <c r="K6" s="5"/>
      <c r="L6" s="5"/>
      <c r="M6" s="5"/>
    </row>
    <row r="7" spans="1:13" ht="20.25" x14ac:dyDescent="0.3">
      <c r="A7" s="137" t="s">
        <v>1660</v>
      </c>
      <c r="B7" s="5"/>
      <c r="C7" s="5"/>
      <c r="D7" s="5"/>
      <c r="E7" s="5"/>
      <c r="F7" s="5"/>
      <c r="G7" s="5"/>
      <c r="H7" s="5"/>
      <c r="I7" s="5"/>
      <c r="J7" s="5"/>
      <c r="K7" s="5"/>
      <c r="L7" s="5"/>
      <c r="M7" s="5"/>
    </row>
    <row r="8" spans="1:13" ht="15.75" x14ac:dyDescent="0.25">
      <c r="A8" s="249" t="s">
        <v>1580</v>
      </c>
      <c r="B8" s="279" t="s">
        <v>15</v>
      </c>
      <c r="C8" s="279"/>
      <c r="D8" s="5"/>
      <c r="E8" s="5"/>
      <c r="F8" s="5"/>
    </row>
    <row r="9" spans="1:13" ht="15.75" x14ac:dyDescent="0.25">
      <c r="A9" s="249" t="s">
        <v>1661</v>
      </c>
      <c r="B9" s="281">
        <v>3900</v>
      </c>
      <c r="C9" s="281"/>
      <c r="D9" s="5"/>
      <c r="E9" s="5"/>
      <c r="F9" s="5"/>
    </row>
    <row r="10" spans="1:13" ht="15.75" x14ac:dyDescent="0.25">
      <c r="A10" s="249" t="s">
        <v>1581</v>
      </c>
      <c r="B10" s="282" t="s">
        <v>1803</v>
      </c>
      <c r="C10" s="282"/>
      <c r="D10" s="5"/>
      <c r="E10" s="5"/>
      <c r="F10" s="5"/>
      <c r="G10" s="241"/>
      <c r="H10" s="241"/>
      <c r="I10" s="241"/>
      <c r="J10" s="241"/>
      <c r="K10" s="241"/>
      <c r="L10" s="241"/>
      <c r="M10" s="241"/>
    </row>
    <row r="11" spans="1:13" ht="32.25" customHeight="1" x14ac:dyDescent="0.25">
      <c r="A11" s="283" t="s">
        <v>1662</v>
      </c>
      <c r="B11" s="284"/>
      <c r="C11" s="284"/>
      <c r="D11" s="5"/>
      <c r="E11" s="5"/>
      <c r="F11" s="5"/>
      <c r="G11" s="244"/>
      <c r="H11" s="244"/>
      <c r="I11" s="244"/>
      <c r="J11" s="244"/>
      <c r="K11" s="244"/>
      <c r="L11" s="244"/>
      <c r="M11" s="244"/>
    </row>
    <row r="12" spans="1:13" ht="15" customHeight="1" x14ac:dyDescent="0.25">
      <c r="A12" s="75"/>
      <c r="B12" s="76" t="s">
        <v>1663</v>
      </c>
      <c r="C12" s="76" t="s">
        <v>1664</v>
      </c>
      <c r="D12" s="280" t="str">
        <f>"All of the below questions are for Fiscal Year "&amp;$B$8&amp;":"</f>
        <v>All of the below questions are for Fiscal Year 2023–2024:</v>
      </c>
      <c r="E12" s="280"/>
      <c r="F12" s="280"/>
      <c r="G12" s="244"/>
      <c r="H12" s="244"/>
      <c r="I12" s="244"/>
      <c r="J12" s="244"/>
      <c r="K12" s="244"/>
      <c r="L12" s="244"/>
      <c r="M12" s="244"/>
    </row>
    <row r="13" spans="1:13" ht="15.6" customHeight="1" x14ac:dyDescent="0.25">
      <c r="A13" s="75" t="str">
        <f>RIGHT(B8,4)&amp;"–"&amp;RIGHT(B8,4)+1</f>
        <v>2024–2025</v>
      </c>
      <c r="B13" s="87">
        <v>2802395.0100000007</v>
      </c>
      <c r="C13" s="87">
        <v>275348.99000000005</v>
      </c>
      <c r="D13" s="274" t="s">
        <v>1665</v>
      </c>
      <c r="E13" s="275"/>
      <c r="F13" s="275"/>
      <c r="G13" s="244"/>
      <c r="H13" s="244"/>
      <c r="I13" s="244"/>
      <c r="J13" s="244"/>
      <c r="K13" s="244"/>
      <c r="L13" s="244"/>
      <c r="M13" s="244"/>
    </row>
    <row r="14" spans="1:13" x14ac:dyDescent="0.2">
      <c r="A14" s="75" t="str">
        <f>LEFT(A13,4)+1&amp;"–"&amp;RIGHT(A13,4)+1</f>
        <v>2025–2026</v>
      </c>
      <c r="B14" s="87">
        <v>2888245.4999999991</v>
      </c>
      <c r="C14" s="87">
        <v>246720.02999999991</v>
      </c>
      <c r="D14" s="274"/>
      <c r="E14" s="275"/>
      <c r="F14" s="275"/>
    </row>
    <row r="15" spans="1:13" ht="15.75" x14ac:dyDescent="0.2">
      <c r="A15" s="75" t="str">
        <f>LEFT(A14,4)+1&amp;"–"&amp;RIGHT(A14,4)+1</f>
        <v>2026–2027</v>
      </c>
      <c r="B15" s="87">
        <v>2967242.8000000003</v>
      </c>
      <c r="C15" s="87">
        <v>217248.63000000003</v>
      </c>
      <c r="D15" s="270" t="s">
        <v>10</v>
      </c>
      <c r="E15" s="270"/>
      <c r="F15" s="270"/>
      <c r="G15" s="51"/>
      <c r="H15" s="51"/>
      <c r="I15" s="51"/>
      <c r="J15" s="51"/>
      <c r="K15" s="51"/>
      <c r="L15" s="51"/>
      <c r="M15" s="51"/>
    </row>
    <row r="16" spans="1:13" x14ac:dyDescent="0.2">
      <c r="A16" s="75" t="str">
        <f>LEFT(A15,4)+1&amp;"–"&amp;RIGHT(A15,4)+1</f>
        <v>2027–2028</v>
      </c>
      <c r="B16" s="87">
        <v>2666236.6800000006</v>
      </c>
      <c r="C16" s="87">
        <v>187160.26000000004</v>
      </c>
      <c r="D16" s="273" t="str">
        <f>"If yes, record the dollar amount of variable payments below for fiscal year "&amp;$B$8&amp;":"</f>
        <v>If yes, record the dollar amount of variable payments below for fiscal year 2023–2024:</v>
      </c>
      <c r="E16" s="273"/>
      <c r="F16" s="273"/>
      <c r="G16" s="52"/>
      <c r="H16" s="52"/>
      <c r="I16" s="52"/>
      <c r="J16" s="52"/>
      <c r="K16" s="52"/>
    </row>
    <row r="17" spans="1:13" ht="15" customHeight="1" x14ac:dyDescent="0.2">
      <c r="A17" s="75" t="str">
        <f>LEFT(A16,4)+1&amp;"–"&amp;RIGHT(A16,4)+1</f>
        <v>2028–2029</v>
      </c>
      <c r="B17" s="87">
        <v>2537661.7899999986</v>
      </c>
      <c r="C17" s="87">
        <v>157319.1</v>
      </c>
      <c r="D17" s="270"/>
      <c r="E17" s="270"/>
      <c r="F17" s="270"/>
      <c r="G17" s="52"/>
      <c r="H17" s="52"/>
      <c r="I17" s="52"/>
      <c r="J17" s="52"/>
      <c r="K17" s="52"/>
    </row>
    <row r="18" spans="1:13" ht="15" customHeight="1" x14ac:dyDescent="0.25">
      <c r="A18" s="75" t="str">
        <f>LEFT(A17,4)+1&amp;"–"&amp;RIGHT(A17,4)+5</f>
        <v>2029–2034</v>
      </c>
      <c r="B18" s="87">
        <v>9342095.2799999993</v>
      </c>
      <c r="C18" s="87">
        <v>477714.41000000015</v>
      </c>
      <c r="D18" s="274" t="s">
        <v>1666</v>
      </c>
      <c r="E18" s="275"/>
      <c r="F18" s="275"/>
      <c r="G18" s="244"/>
      <c r="H18" s="244"/>
      <c r="I18" s="244"/>
      <c r="J18" s="244"/>
      <c r="K18" s="244"/>
      <c r="L18" s="244"/>
      <c r="M18" s="244"/>
    </row>
    <row r="19" spans="1:13" x14ac:dyDescent="0.2">
      <c r="A19" s="75" t="str">
        <f t="shared" ref="A19:A32" si="0">LEFT(A18,4)+5&amp;"–"&amp;RIGHT(A18,4)+5</f>
        <v>2034–2039</v>
      </c>
      <c r="B19" s="87">
        <v>650705.23999999987</v>
      </c>
      <c r="C19" s="87">
        <v>-15758.029999999999</v>
      </c>
      <c r="D19" s="274"/>
      <c r="E19" s="275"/>
      <c r="F19" s="275"/>
    </row>
    <row r="20" spans="1:13" ht="15.75" x14ac:dyDescent="0.2">
      <c r="A20" s="75" t="str">
        <f t="shared" si="0"/>
        <v>2039–2044</v>
      </c>
      <c r="B20" s="87">
        <v>47685.94</v>
      </c>
      <c r="C20" s="87">
        <v>1452.08</v>
      </c>
      <c r="D20" s="270" t="s">
        <v>10</v>
      </c>
      <c r="E20" s="270"/>
      <c r="F20" s="270"/>
      <c r="G20" s="51"/>
      <c r="H20" s="51"/>
      <c r="I20" s="51"/>
      <c r="J20" s="51"/>
      <c r="K20" s="51"/>
      <c r="L20" s="51"/>
      <c r="M20" s="51"/>
    </row>
    <row r="21" spans="1:13" ht="15" customHeight="1" x14ac:dyDescent="0.2">
      <c r="A21" s="75" t="str">
        <f t="shared" si="0"/>
        <v>2044–2049</v>
      </c>
      <c r="B21" s="87"/>
      <c r="C21" s="87"/>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75" t="str">
        <f t="shared" si="0"/>
        <v>2049–2054</v>
      </c>
      <c r="B22" s="87"/>
      <c r="C22" s="87"/>
      <c r="D22" s="276"/>
      <c r="E22" s="273"/>
      <c r="F22" s="273"/>
    </row>
    <row r="23" spans="1:13" x14ac:dyDescent="0.2">
      <c r="A23" s="75" t="str">
        <f t="shared" si="0"/>
        <v>2054–2059</v>
      </c>
      <c r="B23" s="87"/>
      <c r="C23" s="87"/>
      <c r="D23" s="270"/>
      <c r="E23" s="270"/>
      <c r="F23" s="270"/>
    </row>
    <row r="24" spans="1:13" x14ac:dyDescent="0.2">
      <c r="A24" s="75" t="str">
        <f t="shared" si="0"/>
        <v>2059–2064</v>
      </c>
      <c r="B24" s="87"/>
      <c r="C24" s="87"/>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75" t="str">
        <f t="shared" si="0"/>
        <v>2064–2069</v>
      </c>
      <c r="B25" s="87"/>
      <c r="C25" s="87"/>
      <c r="D25" s="276"/>
      <c r="E25" s="273"/>
      <c r="F25" s="273"/>
    </row>
    <row r="26" spans="1:13" x14ac:dyDescent="0.2">
      <c r="A26" s="75" t="str">
        <f t="shared" si="0"/>
        <v>2069–2074</v>
      </c>
      <c r="B26" s="87"/>
      <c r="C26" s="87"/>
      <c r="D26" s="270" t="s">
        <v>1804</v>
      </c>
      <c r="E26" s="270"/>
      <c r="F26" s="270"/>
    </row>
    <row r="27" spans="1:13" ht="15" customHeight="1" x14ac:dyDescent="0.2">
      <c r="A27" s="75" t="str">
        <f t="shared" si="0"/>
        <v>2074–2079</v>
      </c>
      <c r="B27" s="87"/>
      <c r="C27" s="87"/>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75" t="str">
        <f t="shared" si="0"/>
        <v>2079–2084</v>
      </c>
      <c r="B28" s="87"/>
      <c r="C28" s="87"/>
      <c r="D28" s="274"/>
      <c r="E28" s="275"/>
      <c r="F28" s="275"/>
      <c r="G28" s="53"/>
      <c r="H28" s="53"/>
      <c r="I28" s="53"/>
      <c r="J28" s="53"/>
      <c r="K28" s="53"/>
      <c r="L28" s="53"/>
      <c r="M28" s="53"/>
    </row>
    <row r="29" spans="1:13" ht="15.75" x14ac:dyDescent="0.2">
      <c r="A29" s="75" t="str">
        <f t="shared" si="0"/>
        <v>2084–2089</v>
      </c>
      <c r="B29" s="87"/>
      <c r="C29" s="87"/>
      <c r="D29" s="270" t="s">
        <v>1804</v>
      </c>
      <c r="E29" s="270"/>
      <c r="F29" s="270"/>
      <c r="G29" s="53"/>
      <c r="H29" s="53"/>
      <c r="I29" s="53"/>
      <c r="J29" s="53"/>
      <c r="K29" s="53"/>
      <c r="L29" s="53"/>
      <c r="M29" s="53"/>
    </row>
    <row r="30" spans="1:13" ht="15.75" x14ac:dyDescent="0.2">
      <c r="A30" s="75" t="str">
        <f t="shared" si="0"/>
        <v>2089–2094</v>
      </c>
      <c r="B30" s="87"/>
      <c r="C30" s="87"/>
      <c r="D30" s="1" t="str">
        <f>CONCATENATE("5. Are there any lease commitments known that have yet to commence as of June 30, ",RIGHT(B8,4),"?")</f>
        <v>5. Are there any lease commitments known that have yet to commence as of June 30, 2024?</v>
      </c>
      <c r="E30" s="243"/>
      <c r="F30" s="243"/>
      <c r="G30" s="53"/>
      <c r="H30" s="53"/>
      <c r="I30" s="53"/>
      <c r="J30" s="53"/>
      <c r="K30" s="53"/>
      <c r="L30" s="53"/>
      <c r="M30" s="53"/>
    </row>
    <row r="31" spans="1:13" ht="15" customHeight="1" x14ac:dyDescent="0.2">
      <c r="A31" s="75" t="str">
        <f t="shared" si="0"/>
        <v>2094–2099</v>
      </c>
      <c r="B31" s="87"/>
      <c r="C31" s="87"/>
      <c r="D31" s="270" t="s">
        <v>10</v>
      </c>
      <c r="E31" s="270"/>
      <c r="F31" s="270"/>
    </row>
    <row r="32" spans="1:13" x14ac:dyDescent="0.2">
      <c r="A32" s="75" t="str">
        <f t="shared" si="0"/>
        <v>2099–2104</v>
      </c>
      <c r="B32" s="87"/>
      <c r="C32" s="87"/>
      <c r="D32" s="88" t="str">
        <f>"If yes, record the dollar amount of any lease commitments not commenced below for fiscal year "&amp;A13&amp;"."</f>
        <v>If yes, record the dollar amount of any lease commitments not commenced below for fiscal year 2024–2025.</v>
      </c>
      <c r="E32" s="50"/>
      <c r="F32" s="50"/>
    </row>
    <row r="33" spans="1:13" x14ac:dyDescent="0.2">
      <c r="A33" s="75" t="str">
        <f>LEFT(A32,4)+5&amp;"–"&amp;RIGHT(A32,4)+5</f>
        <v>2104–2109</v>
      </c>
      <c r="B33" s="87"/>
      <c r="C33" s="87"/>
      <c r="D33" s="270"/>
      <c r="E33" s="270"/>
      <c r="F33" s="270"/>
    </row>
    <row r="34" spans="1:13" ht="15" customHeight="1" x14ac:dyDescent="0.2">
      <c r="A34" s="75" t="str">
        <f>LEFT(A33,4)+5&amp;"–"&amp;RIGHT(A33,4)+5</f>
        <v>2109–2114</v>
      </c>
      <c r="B34" s="87"/>
      <c r="C34" s="87"/>
      <c r="G34" s="241"/>
      <c r="H34" s="241"/>
      <c r="I34" s="241"/>
      <c r="J34" s="241"/>
      <c r="K34" s="241"/>
      <c r="L34" s="241"/>
      <c r="M34" s="241"/>
    </row>
    <row r="35" spans="1:13" ht="16.5" customHeight="1" x14ac:dyDescent="0.2">
      <c r="A35" s="75" t="str">
        <f>LEFT(A34,4)+5&amp;"–"&amp;RIGHT(A34,4)+5</f>
        <v>2114–2119</v>
      </c>
      <c r="B35" s="87"/>
      <c r="C35" s="87"/>
      <c r="G35" s="7"/>
      <c r="H35" s="7"/>
      <c r="I35" s="7"/>
      <c r="J35" s="7"/>
      <c r="K35" s="7"/>
      <c r="L35" s="7"/>
      <c r="M35" s="7"/>
    </row>
    <row r="36" spans="1:13" ht="15" customHeight="1" x14ac:dyDescent="0.2">
      <c r="A36" s="75" t="str">
        <f>LEFT(A35,4)+5&amp;"–"&amp;RIGHT(A35,4)+5</f>
        <v>2119–2124</v>
      </c>
      <c r="B36" s="87"/>
      <c r="C36" s="87"/>
      <c r="G36" s="7"/>
      <c r="H36" s="7"/>
      <c r="I36" s="7"/>
      <c r="J36" s="7"/>
      <c r="K36" s="7"/>
      <c r="L36" s="7"/>
      <c r="M36" s="7"/>
    </row>
    <row r="37" spans="1:13" ht="15.75" x14ac:dyDescent="0.2">
      <c r="B37" s="54"/>
      <c r="C37" s="54"/>
      <c r="F37" s="53"/>
    </row>
    <row r="38" spans="1:13" ht="20.25" x14ac:dyDescent="0.3">
      <c r="A38" s="137" t="s">
        <v>1667</v>
      </c>
      <c r="F38" s="53"/>
    </row>
    <row r="39" spans="1:13" ht="15.75" x14ac:dyDescent="0.25">
      <c r="A39" s="249" t="s">
        <v>1580</v>
      </c>
      <c r="B39" s="269" t="str">
        <f>B8</f>
        <v>2023–2024</v>
      </c>
      <c r="C39" s="269"/>
      <c r="E39" s="243"/>
    </row>
    <row r="40" spans="1:13" ht="15.6" customHeight="1" x14ac:dyDescent="0.25">
      <c r="A40" s="249" t="s">
        <v>1661</v>
      </c>
      <c r="B40" s="285">
        <f>B9</f>
        <v>3900</v>
      </c>
      <c r="C40" s="285"/>
      <c r="E40" s="243"/>
    </row>
    <row r="41" spans="1:13" ht="15.75" x14ac:dyDescent="0.25">
      <c r="A41" s="249" t="s">
        <v>1581</v>
      </c>
      <c r="B41" s="269" t="str">
        <f>B10</f>
        <v>CARB</v>
      </c>
      <c r="C41" s="269"/>
      <c r="E41" s="243"/>
    </row>
    <row r="42" spans="1:13" ht="32.25" customHeight="1" x14ac:dyDescent="0.25">
      <c r="A42" s="283" t="s">
        <v>1662</v>
      </c>
      <c r="B42" s="284"/>
      <c r="C42" s="284"/>
      <c r="D42" s="5"/>
      <c r="E42" s="5"/>
      <c r="F42" s="5"/>
      <c r="G42" s="244"/>
      <c r="H42" s="244"/>
      <c r="I42" s="244"/>
      <c r="J42" s="244"/>
      <c r="K42" s="244"/>
      <c r="L42" s="244"/>
      <c r="M42" s="244"/>
    </row>
    <row r="43" spans="1:13" ht="15" customHeight="1" x14ac:dyDescent="0.25">
      <c r="A43" s="75"/>
      <c r="B43" s="76" t="s">
        <v>1663</v>
      </c>
      <c r="C43" s="76" t="s">
        <v>1664</v>
      </c>
      <c r="D43" s="280" t="str">
        <f>"All of the below questions are for Fiscal Year "&amp;$B$8&amp;":"</f>
        <v>All of the below questions are for Fiscal Year 2023–2024:</v>
      </c>
      <c r="E43" s="280"/>
      <c r="F43" s="280"/>
    </row>
    <row r="44" spans="1:13" ht="15" customHeight="1" x14ac:dyDescent="0.2">
      <c r="A44" s="75" t="str">
        <f>RIGHT(B39,4)&amp;"–"&amp;RIGHT(B39,4)+1</f>
        <v>2024–2025</v>
      </c>
      <c r="B44" s="87"/>
      <c r="C44" s="87"/>
      <c r="D44" s="274" t="s">
        <v>1665</v>
      </c>
      <c r="E44" s="275"/>
      <c r="F44" s="275"/>
    </row>
    <row r="45" spans="1:13" ht="15" customHeight="1" x14ac:dyDescent="0.2">
      <c r="A45" s="75" t="str">
        <f>LEFT(A44,4)+1&amp;"–"&amp;RIGHT(A44,4)+1</f>
        <v>2025–2026</v>
      </c>
      <c r="B45" s="87"/>
      <c r="C45" s="87"/>
      <c r="D45" s="274"/>
      <c r="E45" s="275"/>
      <c r="F45" s="275"/>
    </row>
    <row r="46" spans="1:13" x14ac:dyDescent="0.2">
      <c r="A46" s="75" t="str">
        <f>LEFT(A45,4)+1&amp;"–"&amp;RIGHT(A45,4)+1</f>
        <v>2026–2027</v>
      </c>
      <c r="B46" s="87"/>
      <c r="C46" s="87"/>
      <c r="D46" s="270"/>
      <c r="E46" s="270"/>
      <c r="F46" s="270"/>
    </row>
    <row r="47" spans="1:13" ht="15" customHeight="1" x14ac:dyDescent="0.2">
      <c r="A47" s="75" t="str">
        <f>LEFT(A46,4)+1&amp;"–"&amp;RIGHT(A46,4)+1</f>
        <v>2027–2028</v>
      </c>
      <c r="B47" s="87"/>
      <c r="C47" s="87"/>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75" t="str">
        <f>LEFT(A47,4)+1&amp;"–"&amp;RIGHT(A47,4)+1</f>
        <v>2028–2029</v>
      </c>
      <c r="B48" s="87"/>
      <c r="C48" s="87"/>
      <c r="D48" s="270"/>
      <c r="E48" s="270"/>
      <c r="F48" s="270"/>
    </row>
    <row r="49" spans="1:6" ht="15" customHeight="1" x14ac:dyDescent="0.2">
      <c r="A49" s="75" t="str">
        <f>LEFT(A48,4)+1&amp;"–"&amp;RIGHT(A48,4)+5</f>
        <v>2029–2034</v>
      </c>
      <c r="B49" s="87"/>
      <c r="C49" s="87"/>
      <c r="D49" s="274" t="s">
        <v>1666</v>
      </c>
      <c r="E49" s="275"/>
      <c r="F49" s="275"/>
    </row>
    <row r="50" spans="1:6" x14ac:dyDescent="0.2">
      <c r="A50" s="75" t="str">
        <f t="shared" ref="A50:A63" si="1">LEFT(A49,4)+5&amp;"–"&amp;RIGHT(A49,4)+5</f>
        <v>2034–2039</v>
      </c>
      <c r="B50" s="87"/>
      <c r="C50" s="87"/>
      <c r="D50" s="274"/>
      <c r="E50" s="275"/>
      <c r="F50" s="275"/>
    </row>
    <row r="51" spans="1:6" ht="15" customHeight="1" x14ac:dyDescent="0.2">
      <c r="A51" s="75" t="str">
        <f t="shared" si="1"/>
        <v>2039–2044</v>
      </c>
      <c r="B51" s="87"/>
      <c r="C51" s="87"/>
      <c r="D51" s="270"/>
      <c r="E51" s="270"/>
      <c r="F51" s="270"/>
    </row>
    <row r="52" spans="1:6" ht="15" customHeight="1" x14ac:dyDescent="0.2">
      <c r="A52" s="75" t="str">
        <f t="shared" si="1"/>
        <v>2044–2049</v>
      </c>
      <c r="B52" s="87"/>
      <c r="C52" s="87"/>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75" t="str">
        <f t="shared" si="1"/>
        <v>2049–2054</v>
      </c>
      <c r="B53" s="87"/>
      <c r="C53" s="87"/>
      <c r="D53" s="276"/>
      <c r="E53" s="273"/>
      <c r="F53" s="273"/>
    </row>
    <row r="54" spans="1:6" x14ac:dyDescent="0.2">
      <c r="A54" s="75" t="str">
        <f t="shared" si="1"/>
        <v>2054–2059</v>
      </c>
      <c r="B54" s="87"/>
      <c r="C54" s="87"/>
      <c r="D54" s="270"/>
      <c r="E54" s="270"/>
      <c r="F54" s="270"/>
    </row>
    <row r="55" spans="1:6" ht="15" customHeight="1" x14ac:dyDescent="0.2">
      <c r="A55" s="75" t="str">
        <f t="shared" si="1"/>
        <v>2059–2064</v>
      </c>
      <c r="B55" s="87"/>
      <c r="C55" s="87"/>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75" t="str">
        <f t="shared" si="1"/>
        <v>2064–2069</v>
      </c>
      <c r="B56" s="87"/>
      <c r="C56" s="87"/>
      <c r="D56" s="276"/>
      <c r="E56" s="273"/>
      <c r="F56" s="273"/>
    </row>
    <row r="57" spans="1:6" x14ac:dyDescent="0.2">
      <c r="A57" s="75" t="str">
        <f t="shared" si="1"/>
        <v>2069–2074</v>
      </c>
      <c r="B57" s="87"/>
      <c r="C57" s="87"/>
      <c r="D57" s="270"/>
      <c r="E57" s="270"/>
      <c r="F57" s="270"/>
    </row>
    <row r="58" spans="1:6" x14ac:dyDescent="0.2">
      <c r="A58" s="75" t="str">
        <f t="shared" si="1"/>
        <v>2074–2079</v>
      </c>
      <c r="B58" s="87"/>
      <c r="C58" s="87"/>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75" t="str">
        <f t="shared" si="1"/>
        <v>2079–2084</v>
      </c>
      <c r="B59" s="87"/>
      <c r="C59" s="87"/>
      <c r="D59" s="274"/>
      <c r="E59" s="275"/>
      <c r="F59" s="275"/>
    </row>
    <row r="60" spans="1:6" ht="15" customHeight="1" x14ac:dyDescent="0.2">
      <c r="A60" s="75" t="str">
        <f t="shared" si="1"/>
        <v>2084–2089</v>
      </c>
      <c r="B60" s="87"/>
      <c r="C60" s="87"/>
      <c r="D60" s="270"/>
      <c r="E60" s="270"/>
      <c r="F60" s="270"/>
    </row>
    <row r="61" spans="1:6" x14ac:dyDescent="0.2">
      <c r="A61" s="75" t="str">
        <f t="shared" si="1"/>
        <v>2089–2094</v>
      </c>
      <c r="B61" s="87"/>
      <c r="C61" s="87"/>
      <c r="D61" s="1" t="str">
        <f>CONCATENATE("5. Are there any lease commitments known that have yet to commence as of June 30, ",RIGHT(B39,4),"?")</f>
        <v>5. Are there any lease commitments known that have yet to commence as of June 30, 2024?</v>
      </c>
      <c r="E61" s="243"/>
      <c r="F61" s="243"/>
    </row>
    <row r="62" spans="1:6" x14ac:dyDescent="0.2">
      <c r="A62" s="75" t="str">
        <f t="shared" si="1"/>
        <v>2094–2099</v>
      </c>
      <c r="B62" s="87"/>
      <c r="C62" s="87"/>
      <c r="D62" s="270"/>
      <c r="E62" s="270"/>
      <c r="F62" s="270"/>
    </row>
    <row r="63" spans="1:6" x14ac:dyDescent="0.2">
      <c r="A63" s="75" t="str">
        <f t="shared" si="1"/>
        <v>2099–2104</v>
      </c>
      <c r="B63" s="87"/>
      <c r="C63" s="87"/>
      <c r="D63" s="88" t="str">
        <f>"If yes, record the dollar amount of any lease commitments not commenced below for fiscal year "&amp;A44&amp;"."</f>
        <v>If yes, record the dollar amount of any lease commitments not commenced below for fiscal year 2024–2025.</v>
      </c>
      <c r="E63" s="50"/>
      <c r="F63" s="50"/>
    </row>
    <row r="64" spans="1:6" x14ac:dyDescent="0.2">
      <c r="A64" s="75" t="str">
        <f>LEFT(A63,4)+5&amp;"–"&amp;RIGHT(A63,4)+5</f>
        <v>2104–2109</v>
      </c>
      <c r="B64" s="87"/>
      <c r="C64" s="87"/>
      <c r="D64" s="270"/>
      <c r="E64" s="270"/>
      <c r="F64" s="270"/>
    </row>
    <row r="65" spans="1:13" x14ac:dyDescent="0.2">
      <c r="A65" s="75" t="str">
        <f>LEFT(A64,4)+5&amp;"–"&amp;RIGHT(A64,4)+5</f>
        <v>2109–2114</v>
      </c>
      <c r="B65" s="87"/>
      <c r="C65" s="87"/>
    </row>
    <row r="66" spans="1:13" x14ac:dyDescent="0.2">
      <c r="A66" s="75" t="str">
        <f>LEFT(A65,4)+5&amp;"–"&amp;RIGHT(A65,4)+5</f>
        <v>2114–2119</v>
      </c>
      <c r="B66" s="87"/>
      <c r="C66" s="87"/>
    </row>
    <row r="67" spans="1:13" x14ac:dyDescent="0.2">
      <c r="A67" s="75" t="str">
        <f>LEFT(A66,4)+5&amp;"–"&amp;RIGHT(A66,4)+5</f>
        <v>2119–2124</v>
      </c>
      <c r="B67" s="87"/>
      <c r="C67" s="87"/>
    </row>
    <row r="69" spans="1:13" ht="20.25" x14ac:dyDescent="0.3">
      <c r="A69" s="137" t="s">
        <v>1668</v>
      </c>
    </row>
    <row r="70" spans="1:13" ht="15.75" x14ac:dyDescent="0.25">
      <c r="A70" s="249" t="s">
        <v>1580</v>
      </c>
      <c r="B70" s="269" t="str">
        <f>B8</f>
        <v>2023–2024</v>
      </c>
      <c r="C70" s="269"/>
    </row>
    <row r="71" spans="1:13" ht="15.75" x14ac:dyDescent="0.25">
      <c r="A71" s="249" t="s">
        <v>1661</v>
      </c>
      <c r="B71" s="285">
        <f>B9</f>
        <v>3900</v>
      </c>
      <c r="C71" s="285"/>
    </row>
    <row r="72" spans="1:13" ht="15.75" x14ac:dyDescent="0.25">
      <c r="A72" s="249" t="s">
        <v>1581</v>
      </c>
      <c r="B72" s="269" t="str">
        <f>B10</f>
        <v>CARB</v>
      </c>
      <c r="C72" s="269"/>
    </row>
    <row r="73" spans="1:13" ht="32.25" customHeight="1" x14ac:dyDescent="0.25">
      <c r="A73" s="283" t="s">
        <v>1662</v>
      </c>
      <c r="B73" s="284"/>
      <c r="C73" s="284"/>
      <c r="D73" s="5"/>
      <c r="E73" s="5"/>
      <c r="F73" s="5"/>
      <c r="G73" s="244"/>
      <c r="H73" s="244"/>
      <c r="I73" s="244"/>
      <c r="J73" s="244"/>
      <c r="K73" s="244"/>
      <c r="L73" s="244"/>
      <c r="M73" s="244"/>
    </row>
    <row r="74" spans="1:13" ht="15.75" x14ac:dyDescent="0.25">
      <c r="A74" s="75"/>
      <c r="B74" s="76" t="s">
        <v>1663</v>
      </c>
      <c r="C74" s="76" t="s">
        <v>1664</v>
      </c>
      <c r="D74" s="280" t="str">
        <f>"All of the below questions are for Fiscal Year "&amp;$B$8&amp;":"</f>
        <v>All of the below questions are for Fiscal Year 2023–2024:</v>
      </c>
      <c r="E74" s="280"/>
      <c r="F74" s="280"/>
    </row>
    <row r="75" spans="1:13" ht="15" customHeight="1" x14ac:dyDescent="0.2">
      <c r="A75" s="75" t="str">
        <f>RIGHT(B70,4)&amp;"–"&amp;RIGHT(B70,4)+1</f>
        <v>2024–2025</v>
      </c>
      <c r="B75" s="87"/>
      <c r="C75" s="87"/>
      <c r="D75" s="274" t="s">
        <v>1665</v>
      </c>
      <c r="E75" s="275"/>
      <c r="F75" s="275"/>
    </row>
    <row r="76" spans="1:13" x14ac:dyDescent="0.2">
      <c r="A76" s="75" t="str">
        <f>LEFT(A75,4)+1&amp;"–"&amp;RIGHT(A75,4)+1</f>
        <v>2025–2026</v>
      </c>
      <c r="B76" s="87"/>
      <c r="C76" s="87"/>
      <c r="D76" s="274"/>
      <c r="E76" s="275"/>
      <c r="F76" s="275"/>
    </row>
    <row r="77" spans="1:13" x14ac:dyDescent="0.2">
      <c r="A77" s="75" t="str">
        <f>LEFT(A76,4)+1&amp;"–"&amp;RIGHT(A76,4)+1</f>
        <v>2026–2027</v>
      </c>
      <c r="B77" s="87"/>
      <c r="C77" s="87"/>
      <c r="D77" s="270"/>
      <c r="E77" s="270"/>
      <c r="F77" s="270"/>
    </row>
    <row r="78" spans="1:13" ht="15" customHeight="1" x14ac:dyDescent="0.2">
      <c r="A78" s="75" t="str">
        <f>LEFT(A77,4)+1&amp;"–"&amp;RIGHT(A77,4)+1</f>
        <v>2027–2028</v>
      </c>
      <c r="B78" s="87"/>
      <c r="C78" s="87"/>
      <c r="D78" s="273" t="str">
        <f>"If yes, record the dollar amount of variable payments below for fiscal year "&amp;$B$8&amp;":"</f>
        <v>If yes, record the dollar amount of variable payments below for fiscal year 2023–2024:</v>
      </c>
      <c r="E78" s="273"/>
      <c r="F78" s="273"/>
    </row>
    <row r="79" spans="1:13" x14ac:dyDescent="0.2">
      <c r="A79" s="75" t="str">
        <f>LEFT(A78,4)+1&amp;"–"&amp;RIGHT(A78,4)+1</f>
        <v>2028–2029</v>
      </c>
      <c r="B79" s="87"/>
      <c r="C79" s="87"/>
      <c r="D79" s="270"/>
      <c r="E79" s="270"/>
      <c r="F79" s="270"/>
    </row>
    <row r="80" spans="1:13" ht="15" customHeight="1" x14ac:dyDescent="0.2">
      <c r="A80" s="75" t="str">
        <f>LEFT(A79,4)+1&amp;"–"&amp;RIGHT(A79,4)+5</f>
        <v>2029–2034</v>
      </c>
      <c r="B80" s="87"/>
      <c r="C80" s="87"/>
      <c r="D80" s="274" t="s">
        <v>1666</v>
      </c>
      <c r="E80" s="275"/>
      <c r="F80" s="275"/>
    </row>
    <row r="81" spans="1:6" x14ac:dyDescent="0.2">
      <c r="A81" s="75" t="str">
        <f t="shared" ref="A81:A94" si="2">LEFT(A80,4)+5&amp;"–"&amp;RIGHT(A80,4)+5</f>
        <v>2034–2039</v>
      </c>
      <c r="B81" s="87"/>
      <c r="C81" s="87"/>
      <c r="D81" s="274"/>
      <c r="E81" s="275"/>
      <c r="F81" s="275"/>
    </row>
    <row r="82" spans="1:6" x14ac:dyDescent="0.2">
      <c r="A82" s="75" t="str">
        <f t="shared" si="2"/>
        <v>2039–2044</v>
      </c>
      <c r="B82" s="87"/>
      <c r="C82" s="87"/>
      <c r="D82" s="270"/>
      <c r="E82" s="270"/>
      <c r="F82" s="270"/>
    </row>
    <row r="83" spans="1:6" ht="15" customHeight="1" x14ac:dyDescent="0.2">
      <c r="A83" s="75" t="str">
        <f t="shared" si="2"/>
        <v>2044–2049</v>
      </c>
      <c r="B83" s="87"/>
      <c r="C83" s="87"/>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75" t="str">
        <f t="shared" si="2"/>
        <v>2049–2054</v>
      </c>
      <c r="B84" s="87"/>
      <c r="C84" s="87"/>
      <c r="D84" s="276"/>
      <c r="E84" s="273"/>
      <c r="F84" s="273"/>
    </row>
    <row r="85" spans="1:6" x14ac:dyDescent="0.2">
      <c r="A85" s="75" t="str">
        <f t="shared" si="2"/>
        <v>2054–2059</v>
      </c>
      <c r="B85" s="87"/>
      <c r="C85" s="87"/>
      <c r="D85" s="270"/>
      <c r="E85" s="270"/>
      <c r="F85" s="270"/>
    </row>
    <row r="86" spans="1:6" ht="15" customHeight="1" x14ac:dyDescent="0.2">
      <c r="A86" s="75" t="str">
        <f t="shared" si="2"/>
        <v>2059–2064</v>
      </c>
      <c r="B86" s="87"/>
      <c r="C86" s="87"/>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75" t="str">
        <f t="shared" si="2"/>
        <v>2064–2069</v>
      </c>
      <c r="B87" s="87"/>
      <c r="C87" s="87"/>
      <c r="D87" s="276"/>
      <c r="E87" s="273"/>
      <c r="F87" s="273"/>
    </row>
    <row r="88" spans="1:6" x14ac:dyDescent="0.2">
      <c r="A88" s="75" t="str">
        <f t="shared" si="2"/>
        <v>2069–2074</v>
      </c>
      <c r="B88" s="87"/>
      <c r="C88" s="87"/>
      <c r="D88" s="270"/>
      <c r="E88" s="270"/>
      <c r="F88" s="270"/>
    </row>
    <row r="89" spans="1:6" x14ac:dyDescent="0.2">
      <c r="A89" s="75" t="str">
        <f t="shared" si="2"/>
        <v>2074–2079</v>
      </c>
      <c r="B89" s="87"/>
      <c r="C89" s="87"/>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75" t="str">
        <f t="shared" si="2"/>
        <v>2079–2084</v>
      </c>
      <c r="B90" s="87"/>
      <c r="C90" s="87"/>
      <c r="D90" s="274"/>
      <c r="E90" s="275"/>
      <c r="F90" s="275"/>
    </row>
    <row r="91" spans="1:6" ht="15" customHeight="1" x14ac:dyDescent="0.2">
      <c r="A91" s="75" t="str">
        <f t="shared" si="2"/>
        <v>2084–2089</v>
      </c>
      <c r="B91" s="87"/>
      <c r="C91" s="87"/>
      <c r="D91" s="270"/>
      <c r="E91" s="270"/>
      <c r="F91" s="270"/>
    </row>
    <row r="92" spans="1:6" x14ac:dyDescent="0.2">
      <c r="A92" s="75" t="str">
        <f t="shared" si="2"/>
        <v>2089–2094</v>
      </c>
      <c r="B92" s="87"/>
      <c r="C92" s="87"/>
      <c r="D92" s="1" t="str">
        <f>CONCATENATE("5. Are there any lease commitments known that have yet to commence as of June 30, ",RIGHT(B70,4),"?")</f>
        <v>5. Are there any lease commitments known that have yet to commence as of June 30, 2024?</v>
      </c>
      <c r="E92" s="243"/>
      <c r="F92" s="243"/>
    </row>
    <row r="93" spans="1:6" x14ac:dyDescent="0.2">
      <c r="A93" s="75" t="str">
        <f t="shared" si="2"/>
        <v>2094–2099</v>
      </c>
      <c r="B93" s="87"/>
      <c r="C93" s="87"/>
      <c r="D93" s="270"/>
      <c r="E93" s="270"/>
      <c r="F93" s="270"/>
    </row>
    <row r="94" spans="1:6" x14ac:dyDescent="0.2">
      <c r="A94" s="75" t="str">
        <f t="shared" si="2"/>
        <v>2099–2104</v>
      </c>
      <c r="B94" s="87"/>
      <c r="C94" s="87"/>
      <c r="D94" s="88" t="str">
        <f>"If yes, record the dollar amount of any lease commitments not commenced below for fiscal year "&amp;A75&amp;"."</f>
        <v>If yes, record the dollar amount of any lease commitments not commenced below for fiscal year 2024–2025.</v>
      </c>
      <c r="E94" s="50"/>
      <c r="F94" s="50"/>
    </row>
    <row r="95" spans="1:6" x14ac:dyDescent="0.2">
      <c r="A95" s="75" t="str">
        <f>LEFT(A94,4)+5&amp;"–"&amp;RIGHT(A94,4)+5</f>
        <v>2104–2109</v>
      </c>
      <c r="B95" s="87"/>
      <c r="C95" s="87"/>
      <c r="D95" s="270"/>
      <c r="E95" s="270"/>
      <c r="F95" s="270"/>
    </row>
    <row r="96" spans="1:6" x14ac:dyDescent="0.2">
      <c r="A96" s="75" t="str">
        <f>LEFT(A95,4)+5&amp;"–"&amp;RIGHT(A95,4)+5</f>
        <v>2109–2114</v>
      </c>
      <c r="B96" s="87"/>
      <c r="C96" s="87"/>
    </row>
    <row r="97" spans="1:3" x14ac:dyDescent="0.2">
      <c r="A97" s="75" t="str">
        <f>LEFT(A96,4)+5&amp;"–"&amp;RIGHT(A96,4)+5</f>
        <v>2114–2119</v>
      </c>
      <c r="B97" s="87"/>
      <c r="C97" s="87"/>
    </row>
    <row r="98" spans="1:3" x14ac:dyDescent="0.2">
      <c r="A98" s="75" t="str">
        <f>LEFT(A97,4)+5&amp;"–"&amp;RIGHT(A97,4)+5</f>
        <v>2119–2124</v>
      </c>
      <c r="B98" s="87"/>
      <c r="C98" s="87"/>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N10" sqref="N10"/>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",'LS-Fund 0044 Journal Entries'!F3)</f>
        <v>FY 2023–2024</v>
      </c>
      <c r="K4" s="3"/>
      <c r="L4" s="3"/>
      <c r="M4" s="3"/>
      <c r="N4" s="3"/>
      <c r="O4" s="3"/>
      <c r="P4" s="3"/>
      <c r="Q4" s="63"/>
    </row>
    <row r="5" spans="2:17" ht="20.25" x14ac:dyDescent="0.3">
      <c r="B5" s="61"/>
      <c r="D5" s="3"/>
      <c r="E5" s="3"/>
      <c r="F5" s="3"/>
      <c r="G5" s="3"/>
      <c r="H5" s="3"/>
      <c r="I5" s="3"/>
      <c r="J5" s="89" t="str">
        <f>CONCATENATE("Business Unit ",'LS-Department Note Disclosure'!B9," - ",'LS-Department Note Disclosure'!B10)</f>
        <v>Business Unit 3900 - CARB</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1" t="s">
        <v>1675</v>
      </c>
      <c r="I8" s="65"/>
      <c r="J8" s="211" t="s">
        <v>1676</v>
      </c>
      <c r="K8" s="65"/>
      <c r="L8" s="211"/>
      <c r="M8" s="65"/>
      <c r="N8" s="211" t="s">
        <v>1677</v>
      </c>
      <c r="O8" s="65"/>
      <c r="P8" s="209"/>
      <c r="Q8" s="63"/>
    </row>
    <row r="9" spans="2:17" x14ac:dyDescent="0.25">
      <c r="B9" s="61"/>
      <c r="C9" s="65" t="s">
        <v>1678</v>
      </c>
      <c r="Q9" s="63"/>
    </row>
    <row r="10" spans="2:17" ht="18.75" thickBot="1" x14ac:dyDescent="0.3">
      <c r="B10" s="61"/>
      <c r="D10" s="55" t="s">
        <v>1679</v>
      </c>
      <c r="F10" s="94">
        <f>IF('LS-Fund 0044 Journal Entries'!$F$8="Governmental Fund",'LS-Fund 0044 Journal Entries'!$K$23,0)</f>
        <v>23185909</v>
      </c>
      <c r="G10" s="90"/>
      <c r="H10" s="94">
        <f>IF('LS-Fund 0044 Journal Entries'!$F$8="Governmental Fund",SUM('LS-Fund 0044 Journal Entries'!$K$48,'LS-Fund 0044 Journal Entries'!K113),0)</f>
        <v>3919546.93</v>
      </c>
      <c r="I10" s="90"/>
      <c r="J10" s="94">
        <f>IF('LS-Fund 0044 Journal Entries'!$F$8="Governmental Fund",SUM('LS-Fund 0044 Journal Entries'!$J$68,'LS-Fund 0044 Journal Entries'!J96),0)</f>
        <v>3203188</v>
      </c>
      <c r="K10" s="90"/>
      <c r="L10" s="96">
        <f>SUM(F10+H10-J10)</f>
        <v>23902267.93</v>
      </c>
      <c r="M10" s="90"/>
      <c r="N10" s="94">
        <f>IF('LS-Fund 0044 Journal Entries'!$F$8="Governmental Fund",'LS-Fund 0044 Journal Entries'!$K$76,0)</f>
        <v>2802395.0100000007</v>
      </c>
      <c r="O10" s="90"/>
      <c r="P10" s="96">
        <f>L10-N10</f>
        <v>21099872.919999998</v>
      </c>
      <c r="Q10" s="63"/>
    </row>
    <row r="11" spans="2:17" ht="19.5" thickTop="1" thickBot="1" x14ac:dyDescent="0.3">
      <c r="B11" s="61"/>
      <c r="C11" s="65" t="s">
        <v>1680</v>
      </c>
      <c r="F11" s="95">
        <f>SUM(F10:F10)</f>
        <v>23185909</v>
      </c>
      <c r="G11" s="90"/>
      <c r="H11" s="95">
        <f>SUM(H10:H10)</f>
        <v>3919546.93</v>
      </c>
      <c r="I11" s="90"/>
      <c r="J11" s="95">
        <f>SUM(J10:J10)</f>
        <v>3203188</v>
      </c>
      <c r="K11" s="90"/>
      <c r="L11" s="95">
        <f>SUM(L10:L10)</f>
        <v>23902267.93</v>
      </c>
      <c r="M11" s="90"/>
      <c r="N11" s="95">
        <f>SUM(N10:N10)</f>
        <v>2802395.0100000007</v>
      </c>
      <c r="O11" s="90"/>
      <c r="P11" s="95">
        <f>SUM(P10:P10)</f>
        <v>21099872.919999998</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18.75" thickBot="1" x14ac:dyDescent="0.3">
      <c r="B14" s="61"/>
      <c r="D14" s="55" t="s">
        <v>1679</v>
      </c>
      <c r="F14" s="94">
        <f>IF('LS-Fund 0044 Journal Entries'!$F$8="Proprietary - Internal Service Fund",'LS-Fund 0044 Journal Entries'!$K$23,0)</f>
        <v>0</v>
      </c>
      <c r="G14" s="90"/>
      <c r="H14" s="94">
        <f>IF('LS-Fund 0044 Journal Entries'!$F$8="Proprietary - Internal Service Fund",SUM('LS-Fund 0044 Journal Entries'!$K$48,'LS-Fund 0044 Journal Entries'!K113),0)</f>
        <v>0</v>
      </c>
      <c r="I14" s="90"/>
      <c r="J14" s="94">
        <f>IF('LS-Fund 0044 Journal Entries'!$F$8="Proprietary - Internal Service Fund",SUM('LS-Fund 0044 Journal Entries'!$J$68,'LS-Fund 0044 Journal Entries'!J96),0)</f>
        <v>0</v>
      </c>
      <c r="K14" s="90"/>
      <c r="L14" s="96">
        <f>SUM(F14+H14-J14)</f>
        <v>0</v>
      </c>
      <c r="M14" s="90"/>
      <c r="N14" s="94">
        <f>IF('LS-Fund 0044 Journal Entries'!$F$8="Proprietary - Internal Service Fund",'LS-Fund 0044 Journal Entries'!$K$76,0)</f>
        <v>0</v>
      </c>
      <c r="O14" s="90"/>
      <c r="P14" s="96">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18.75" thickBot="1" x14ac:dyDescent="0.3">
      <c r="B18" s="61"/>
      <c r="D18" s="55" t="s">
        <v>1679</v>
      </c>
      <c r="F18" s="94">
        <f>IF('LS-Fund 0044 Journal Entries'!$F$8="Proprietary - Enterprise Fund",'LS-Fund 0044 Journal Entries'!$K$23,0)</f>
        <v>0</v>
      </c>
      <c r="G18" s="90"/>
      <c r="H18" s="94">
        <f>IF('LS-Fund 0044 Journal Entries'!$F$8="Proprietary - Enterprise Fund",SUM('LS-Fund 0044 Journal Entries'!$K$48,'LS-Fund 0044 Journal Entries'!K113),0)</f>
        <v>0</v>
      </c>
      <c r="I18" s="90"/>
      <c r="J18" s="94">
        <f>IF('LS-Fund 0044 Journal Entries'!$F$8="Proprietary - Enterprise Fund",SUM('LS-Fund 0044 Journal Entries'!$J$68,'LS-Fund 0044 Journal Entries'!J96),0)</f>
        <v>0</v>
      </c>
      <c r="K18" s="90"/>
      <c r="L18" s="96">
        <f>SUM(F18+H18-J18)</f>
        <v>0</v>
      </c>
      <c r="M18" s="90"/>
      <c r="N18" s="94">
        <f>IF('LS-Fund 0044 Journal Entries'!$F$8="Proprietary - Enterprise Fund",'LS-Fund 0044 Journal Entries'!$K$76,0)</f>
        <v>0</v>
      </c>
      <c r="O18" s="90"/>
      <c r="P18" s="96">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1685</v>
      </c>
    </row>
    <row r="23" spans="2:17" x14ac:dyDescent="0.25">
      <c r="B23" s="236" t="s">
        <v>1686</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N41" sqref="N41"/>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1687</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1690</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1691</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1700</v>
      </c>
      <c r="E15" s="110" t="s">
        <v>1701</v>
      </c>
      <c r="F15" s="110" t="s">
        <v>1702</v>
      </c>
      <c r="G15" s="110" t="s">
        <v>1701</v>
      </c>
      <c r="H15" s="110" t="s">
        <v>1703</v>
      </c>
      <c r="I15" s="110" t="s">
        <v>1699</v>
      </c>
      <c r="J15" s="110" t="s">
        <v>1704</v>
      </c>
      <c r="K15" s="111"/>
      <c r="L15" s="110"/>
      <c r="M15" s="111"/>
      <c r="N15" s="112" t="s">
        <v>1705</v>
      </c>
      <c r="O15" s="109"/>
      <c r="P15" s="113" t="s">
        <v>1706</v>
      </c>
      <c r="Q15" s="247"/>
    </row>
    <row r="16" spans="1:17" ht="15" customHeight="1" x14ac:dyDescent="0.25">
      <c r="A16" s="114"/>
      <c r="B16" s="115">
        <f>IF('LS-Fund 0044 Journal Entries'!$F$8="Governmental Fund",'LS-Fund 0044 Journal Entries'!$K$23,0)</f>
        <v>23185909</v>
      </c>
      <c r="C16" s="152" t="s">
        <v>1699</v>
      </c>
      <c r="D16" s="115">
        <f>IF('LS-Fund 0044 Journal Entries'!$F$8="Governmental Fund",'LS-Fund 0044 Journal Entries'!$K$48,0)</f>
        <v>3919546.93</v>
      </c>
      <c r="E16" s="154" t="s">
        <v>1701</v>
      </c>
      <c r="F16" s="115">
        <f>IF('LS-Fund 0044 Journal Entries'!$F$8="Governmental Fund",'LS-Fund 0044 Journal Entries'!$J$68,0)</f>
        <v>2517514</v>
      </c>
      <c r="G16" s="153" t="s">
        <v>1701</v>
      </c>
      <c r="H16" s="115">
        <f>IF('LS-Fund 0044 Journal Entries'!$F$8="Governmental Fund",'LS-Fund 0044 Journal Entries'!$J$96,0)</f>
        <v>685674</v>
      </c>
      <c r="I16" s="153" t="s">
        <v>1699</v>
      </c>
      <c r="J16" s="115">
        <f>IF('LS-Fund 0044 Journal Entries'!$F$8="Governmental Fund",'LS-Fund 0044 Journal Entries'!$K$113,0)</f>
        <v>0</v>
      </c>
      <c r="K16" s="154" t="s">
        <v>1707</v>
      </c>
      <c r="L16" s="118">
        <f>+B16+D16-F16-H16+J16</f>
        <v>23902267.93</v>
      </c>
      <c r="M16" s="117"/>
      <c r="N16" s="119">
        <f>SUM('LS-Department Note Disclosure'!B13:B36)</f>
        <v>23902268.240000002</v>
      </c>
      <c r="O16" s="116"/>
      <c r="P16" s="120">
        <f>L16-N16</f>
        <v>-0.31000000238418579</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Please review and correct the variance.</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1700</v>
      </c>
      <c r="E23" s="110" t="s">
        <v>1701</v>
      </c>
      <c r="F23" s="110" t="s">
        <v>1702</v>
      </c>
      <c r="G23" s="110" t="s">
        <v>1701</v>
      </c>
      <c r="H23" s="110" t="s">
        <v>1703</v>
      </c>
      <c r="I23" s="110" t="s">
        <v>1699</v>
      </c>
      <c r="J23" s="110" t="s">
        <v>1704</v>
      </c>
      <c r="K23" s="111"/>
      <c r="L23" s="110"/>
      <c r="M23" s="111"/>
      <c r="N23" s="112" t="s">
        <v>1705</v>
      </c>
      <c r="O23" s="109"/>
      <c r="P23" s="113" t="s">
        <v>1706</v>
      </c>
      <c r="Q23" s="247"/>
    </row>
    <row r="24" spans="1:17" ht="15" customHeight="1" x14ac:dyDescent="0.25">
      <c r="A24" s="114"/>
      <c r="B24" s="115">
        <f>IF('LS-Fund 0044 Journal Entries'!$F$8="Proprietary - Internal Service Fund",'LS-Fund 0044 Journal Entries'!$K$23,0)</f>
        <v>0</v>
      </c>
      <c r="C24" s="152" t="s">
        <v>1699</v>
      </c>
      <c r="D24" s="115">
        <f>IF('LS-Fund 0044 Journal Entries'!$F$8="Proprietary - Internal Service Fund",'LS-Fund 0044 Journal Entries'!$K$48,0)</f>
        <v>0</v>
      </c>
      <c r="E24" s="154" t="s">
        <v>1701</v>
      </c>
      <c r="F24" s="115">
        <f>IF('LS-Fund 0044 Journal Entries'!$F$8="Proprietary - Internal Service Fund",'LS-Fund 0044 Journal Entries'!$J$68,0)</f>
        <v>0</v>
      </c>
      <c r="G24" s="153" t="s">
        <v>1701</v>
      </c>
      <c r="H24" s="115">
        <f>IF('LS-Fund 0044 Journal Entries'!$F$8="Proprietary - Internal Service Fund",'LS-Fund 0044 Journal Entries'!$J$96,0)</f>
        <v>0</v>
      </c>
      <c r="I24" s="153" t="s">
        <v>1699</v>
      </c>
      <c r="J24" s="115">
        <f>IF('LS-Fund 0044 Journal Entries'!$F$8="Proprietary - Internal Service Fund",'LS-Fund 0044 Journal Entries'!$K$113,0)</f>
        <v>0</v>
      </c>
      <c r="K24" s="154" t="s">
        <v>1707</v>
      </c>
      <c r="L24" s="118">
        <f>+B24+D24-F24-H24+J24</f>
        <v>0</v>
      </c>
      <c r="M24" s="117"/>
      <c r="N24" s="119">
        <f>SUM('LS-Department Note Disclosure'!B44:B67)</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1700</v>
      </c>
      <c r="E32" s="110" t="s">
        <v>1701</v>
      </c>
      <c r="F32" s="110" t="s">
        <v>1702</v>
      </c>
      <c r="G32" s="110" t="s">
        <v>1701</v>
      </c>
      <c r="H32" s="110" t="s">
        <v>1703</v>
      </c>
      <c r="I32" s="110" t="s">
        <v>1699</v>
      </c>
      <c r="J32" s="110" t="s">
        <v>1704</v>
      </c>
      <c r="K32" s="111"/>
      <c r="L32" s="110"/>
      <c r="M32" s="111"/>
      <c r="N32" s="112" t="s">
        <v>1705</v>
      </c>
      <c r="O32" s="109"/>
      <c r="P32" s="113" t="s">
        <v>1706</v>
      </c>
      <c r="Q32" s="247"/>
    </row>
    <row r="33" spans="1:17" ht="15" customHeight="1" x14ac:dyDescent="0.25">
      <c r="A33" s="114"/>
      <c r="B33" s="115">
        <f>IF('LS-Fund 0044 Journal Entries'!$F$8="Proprietary - Enterprise Fund",'LS-Fund 0044 Journal Entries'!$K$23,0)</f>
        <v>0</v>
      </c>
      <c r="C33" s="152" t="s">
        <v>1699</v>
      </c>
      <c r="D33" s="115">
        <f>IF('LS-Fund 0044 Journal Entries'!$F$8="Proprietary - Enterprise Fund",'LS-Fund 0044 Journal Entries'!$K$48,0)</f>
        <v>0</v>
      </c>
      <c r="E33" s="154" t="s">
        <v>1701</v>
      </c>
      <c r="F33" s="115">
        <f>IF('LS-Fund 0044 Journal Entries'!$F$8="Proprietary - Enterprise Fund",'LS-Fund 0044 Journal Entries'!$J$68,0)</f>
        <v>0</v>
      </c>
      <c r="G33" s="153" t="s">
        <v>1701</v>
      </c>
      <c r="H33" s="115">
        <f>IF('LS-Fund 0044 Journal Entries'!$F$8="Proprietary - Enterprise Fund",'LS-Fund 0044 Journal Entries'!$J$96,0)</f>
        <v>0</v>
      </c>
      <c r="I33" s="153" t="s">
        <v>1699</v>
      </c>
      <c r="J33" s="115">
        <f>IF('LS-Fund 0044 Journal Entries'!$F$8="Proprietary - Enterprise Fund",'LS-Fund 0044 Journal Entries'!$K$113,0)</f>
        <v>0</v>
      </c>
      <c r="K33" s="154" t="s">
        <v>1707</v>
      </c>
      <c r="L33" s="118">
        <f>+B33+D33-F33-H33+J33</f>
        <v>0</v>
      </c>
      <c r="M33" s="117"/>
      <c r="N33" s="119">
        <f>SUM('LS-Department Note Disclosure'!B75:B98)</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1710</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1711</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IF('LS-Fund 0044 Journal Entries'!$F$8="Governmental Fund",'LS-Fund 0044 Journal Entries'!$K$76,0)</f>
        <v>2802395.0100000007</v>
      </c>
      <c r="C42" s="123"/>
      <c r="E42" s="123"/>
      <c r="G42" s="151"/>
      <c r="H42" s="151"/>
      <c r="I42" s="151"/>
      <c r="J42" s="151"/>
      <c r="K42" s="123"/>
      <c r="L42" s="123"/>
      <c r="M42" s="124"/>
      <c r="N42" s="119">
        <f>'LS-Department Note Disclosure'!B13</f>
        <v>2802395.0100000007</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1711</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IF('LS-Fund 0044 Journal Entries'!$F$8="Proprietary - Internal Service Fund",'LS-Fund 0044 Journal Entries'!$K$76,0)</f>
        <v>0</v>
      </c>
      <c r="C49" s="123"/>
      <c r="E49" s="123"/>
      <c r="G49" s="151"/>
      <c r="H49" s="151"/>
      <c r="I49" s="151"/>
      <c r="J49" s="151"/>
      <c r="K49" s="123"/>
      <c r="L49" s="123"/>
      <c r="M49" s="124"/>
      <c r="N49" s="119">
        <f>'LS-Department Note Disclosure'!B44</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1711</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IF('LS-Fund 0044 Journal Entries'!$F$8="Proprietary - Enterprise Fund",'LS-Fund 0044 Journal Entries'!$K$76,0)</f>
        <v>0</v>
      </c>
      <c r="C57" s="123"/>
      <c r="E57" s="123"/>
      <c r="G57" s="151"/>
      <c r="H57" s="151"/>
      <c r="I57" s="151"/>
      <c r="J57" s="151"/>
      <c r="K57" s="123"/>
      <c r="L57" s="123"/>
      <c r="M57" s="124"/>
      <c r="N57" s="119">
        <f>'LS-Department Note Disclosure'!B75</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ht="17.25" x14ac:dyDescent="0.25">
      <c r="A59" s="247"/>
      <c r="B59" s="247"/>
      <c r="C59" s="247"/>
      <c r="D59" s="122" t="str">
        <f>IF(OR(P57&gt;0, (P57&lt;0)), "Please review and correct the variance.","")</f>
        <v/>
      </c>
      <c r="E59" s="247"/>
      <c r="F59" s="247"/>
      <c r="G59" s="247"/>
      <c r="H59" s="247"/>
      <c r="I59" s="247"/>
      <c r="J59" s="247"/>
      <c r="K59" s="247"/>
      <c r="L59" s="247"/>
      <c r="M59" s="247"/>
      <c r="N59" s="247"/>
      <c r="O59" s="247"/>
      <c r="P59" s="247"/>
      <c r="Q59" s="247"/>
    </row>
    <row r="60" spans="1:17" ht="6" customHeight="1" x14ac:dyDescent="0.25">
      <c r="A60" s="247"/>
      <c r="B60" s="123"/>
      <c r="C60" s="108"/>
      <c r="D60" s="123"/>
      <c r="E60" s="108"/>
      <c r="F60" s="123"/>
      <c r="G60" s="123"/>
      <c r="H60" s="123"/>
      <c r="I60" s="123"/>
      <c r="J60" s="123"/>
      <c r="K60" s="108"/>
      <c r="L60" s="123"/>
      <c r="M60" s="108"/>
      <c r="N60" s="123"/>
      <c r="O60" s="123"/>
      <c r="P60" s="123"/>
      <c r="Q60" s="247"/>
    </row>
    <row r="61" spans="1:17" x14ac:dyDescent="0.25">
      <c r="A61" s="104" t="s">
        <v>1713</v>
      </c>
      <c r="B61" s="105"/>
      <c r="C61" s="106"/>
      <c r="D61" s="105"/>
      <c r="E61" s="106"/>
      <c r="F61" s="105"/>
      <c r="G61" s="105"/>
      <c r="H61" s="105"/>
      <c r="I61" s="105"/>
      <c r="J61" s="105"/>
      <c r="K61" s="106"/>
      <c r="L61" s="105"/>
      <c r="M61" s="106"/>
      <c r="N61" s="105"/>
      <c r="O61" s="105"/>
      <c r="P61" s="105"/>
      <c r="Q61" s="105"/>
    </row>
    <row r="62" spans="1:17" ht="15" customHeight="1" x14ac:dyDescent="0.25">
      <c r="A62" s="247"/>
      <c r="B62" s="132" t="s">
        <v>1692</v>
      </c>
      <c r="C62" s="132"/>
      <c r="D62" s="109"/>
      <c r="E62" s="109"/>
      <c r="F62" s="109"/>
      <c r="G62" s="109"/>
      <c r="H62" s="109"/>
      <c r="I62" s="109"/>
      <c r="J62" s="109"/>
      <c r="K62" s="109"/>
      <c r="L62" s="109"/>
      <c r="M62" s="109"/>
      <c r="N62" s="109"/>
      <c r="O62" s="109"/>
      <c r="P62" s="109"/>
      <c r="Q62" s="247"/>
    </row>
    <row r="63" spans="1:17" x14ac:dyDescent="0.25">
      <c r="A63" s="247"/>
      <c r="B63" s="126"/>
      <c r="C63" s="126"/>
      <c r="D63" s="126"/>
      <c r="E63" s="126"/>
      <c r="F63" s="126"/>
      <c r="G63" s="126"/>
      <c r="H63" s="126"/>
      <c r="I63" s="126"/>
      <c r="J63" s="126"/>
      <c r="K63" s="126"/>
      <c r="L63" s="126"/>
      <c r="M63" s="126"/>
      <c r="N63" s="126"/>
      <c r="O63" s="126"/>
      <c r="P63" s="126"/>
      <c r="Q63" s="247"/>
    </row>
    <row r="64" spans="1:17" ht="15" customHeight="1" x14ac:dyDescent="0.25">
      <c r="A64" s="247"/>
      <c r="B64" s="289" t="s">
        <v>1693</v>
      </c>
      <c r="C64" s="289"/>
      <c r="D64" s="289"/>
      <c r="E64" s="289"/>
      <c r="F64" s="289"/>
      <c r="G64" s="289"/>
      <c r="H64" s="289"/>
      <c r="I64" s="126"/>
      <c r="J64" s="248" t="s">
        <v>1714</v>
      </c>
      <c r="K64" s="126"/>
      <c r="L64" s="289" t="s">
        <v>1669</v>
      </c>
      <c r="M64" s="289"/>
      <c r="N64" s="289"/>
      <c r="O64" s="126"/>
      <c r="P64" s="126"/>
      <c r="Q64" s="247"/>
    </row>
    <row r="65" spans="1:17" x14ac:dyDescent="0.25">
      <c r="A65" s="247"/>
      <c r="B65" s="247"/>
      <c r="C65" s="247"/>
      <c r="D65" s="247"/>
      <c r="E65" s="247"/>
      <c r="F65" s="247"/>
      <c r="G65" s="247"/>
      <c r="H65" s="247"/>
      <c r="I65" s="247"/>
      <c r="J65" s="247"/>
      <c r="K65" s="247"/>
      <c r="L65" s="247"/>
      <c r="M65" s="247"/>
      <c r="N65" s="247"/>
      <c r="O65" s="247"/>
      <c r="P65" s="113" t="s">
        <v>1706</v>
      </c>
      <c r="Q65" s="247"/>
    </row>
    <row r="66" spans="1:17" x14ac:dyDescent="0.25">
      <c r="B66" s="110" t="s">
        <v>1698</v>
      </c>
      <c r="D66" s="128">
        <f>$B$16</f>
        <v>23185909</v>
      </c>
      <c r="J66" s="128">
        <f>SUM(D66)</f>
        <v>23185909</v>
      </c>
      <c r="L66" s="129" t="str">
        <f>CONCATENATE("Balance July 1, ",LEFT('LS-Department Note Disclosure'!$B$8,4))</f>
        <v>Balance July 1, 2023</v>
      </c>
      <c r="N66" s="128">
        <f>'LS-Lease Liabilities'!F10</f>
        <v>23185909</v>
      </c>
      <c r="P66" s="120">
        <f>J66-N66</f>
        <v>0</v>
      </c>
    </row>
    <row r="67" spans="1:17" x14ac:dyDescent="0.25">
      <c r="B67" s="110" t="s">
        <v>1700</v>
      </c>
      <c r="D67" s="128">
        <f>$D$16</f>
        <v>3919546.93</v>
      </c>
      <c r="E67" s="155" t="s">
        <v>1699</v>
      </c>
      <c r="F67" s="110" t="s">
        <v>1704</v>
      </c>
      <c r="H67" s="128">
        <f>$J$16</f>
        <v>0</v>
      </c>
      <c r="J67" s="128">
        <f>SUM(D67,H67)</f>
        <v>3919546.93</v>
      </c>
      <c r="L67" s="129" t="s">
        <v>1670</v>
      </c>
      <c r="N67" s="128">
        <f>'LS-Lease Liabilities'!H10</f>
        <v>3919546.93</v>
      </c>
      <c r="P67" s="120">
        <f t="shared" ref="P67:P69" si="0">J67-N67</f>
        <v>0</v>
      </c>
    </row>
    <row r="68" spans="1:17" x14ac:dyDescent="0.25">
      <c r="B68" s="110" t="s">
        <v>1702</v>
      </c>
      <c r="D68" s="128">
        <f>$F$16</f>
        <v>2517514</v>
      </c>
      <c r="E68" s="155" t="s">
        <v>1699</v>
      </c>
      <c r="F68" s="110" t="s">
        <v>1703</v>
      </c>
      <c r="H68" s="128">
        <f>$H$16</f>
        <v>685674</v>
      </c>
      <c r="J68" s="128">
        <f>SUM(D68,H68)</f>
        <v>3203188</v>
      </c>
      <c r="L68" s="129" t="s">
        <v>1671</v>
      </c>
      <c r="N68" s="128">
        <f>'LS-Lease Liabilities'!J10</f>
        <v>3203188</v>
      </c>
      <c r="P68" s="120">
        <f t="shared" si="0"/>
        <v>0</v>
      </c>
    </row>
    <row r="69" spans="1:17" x14ac:dyDescent="0.25">
      <c r="B69" s="110" t="s">
        <v>1711</v>
      </c>
      <c r="D69" s="128">
        <f>$B$42</f>
        <v>2802395.0100000007</v>
      </c>
      <c r="J69" s="128">
        <f>SUM(D69)</f>
        <v>2802395.0100000007</v>
      </c>
      <c r="L69" s="129" t="s">
        <v>1672</v>
      </c>
      <c r="N69" s="128">
        <f>'LS-Lease Liabilities'!N10</f>
        <v>2802395.0100000007</v>
      </c>
      <c r="P69" s="120">
        <f t="shared" si="0"/>
        <v>0</v>
      </c>
    </row>
    <row r="70" spans="1:17" x14ac:dyDescent="0.25">
      <c r="D70" s="130"/>
    </row>
    <row r="71" spans="1:17" ht="15.95" customHeight="1" x14ac:dyDescent="0.25">
      <c r="D71" s="122" t="str">
        <f>IF(OR(P66&gt;0, (P66&lt;0),P67&gt;0,P67&lt;0,P68&gt;0,P68&lt;0,P69&gt;0,P69&lt;0), "Please review and correct the variance.","")</f>
        <v/>
      </c>
    </row>
    <row r="72" spans="1:17" ht="6" customHeight="1" x14ac:dyDescent="0.25">
      <c r="D72" s="130"/>
    </row>
    <row r="73" spans="1:17" x14ac:dyDescent="0.25">
      <c r="B73" s="131" t="s">
        <v>1708</v>
      </c>
      <c r="C73" s="131"/>
    </row>
    <row r="74" spans="1:17" x14ac:dyDescent="0.25">
      <c r="B74" s="131"/>
    </row>
    <row r="75" spans="1:17" ht="15" customHeight="1" x14ac:dyDescent="0.25">
      <c r="B75" s="289" t="s">
        <v>1693</v>
      </c>
      <c r="C75" s="289"/>
      <c r="D75" s="289"/>
      <c r="E75" s="289"/>
      <c r="F75" s="289"/>
      <c r="G75" s="289"/>
      <c r="H75" s="289"/>
      <c r="I75" s="126"/>
      <c r="J75" s="248" t="s">
        <v>1714</v>
      </c>
      <c r="K75" s="126"/>
      <c r="L75" s="289" t="s">
        <v>1669</v>
      </c>
      <c r="M75" s="289"/>
      <c r="N75" s="289"/>
    </row>
    <row r="76" spans="1:17" x14ac:dyDescent="0.25">
      <c r="L76" s="247"/>
      <c r="M76" s="247"/>
      <c r="N76" s="247"/>
      <c r="O76" s="247"/>
      <c r="P76" s="113" t="s">
        <v>1706</v>
      </c>
    </row>
    <row r="77" spans="1:17" x14ac:dyDescent="0.25">
      <c r="B77" s="110" t="s">
        <v>1698</v>
      </c>
      <c r="D77" s="128">
        <f>B24</f>
        <v>0</v>
      </c>
      <c r="J77" s="128">
        <f>SUM(D77)</f>
        <v>0</v>
      </c>
      <c r="L77" s="129" t="str">
        <f>CONCATENATE("Balance July 1, ",LEFT('LS-Department Note Disclosure'!$B$8,4))</f>
        <v>Balance July 1, 2023</v>
      </c>
      <c r="N77" s="128">
        <f>'LS-Lease Liabilities'!F14</f>
        <v>0</v>
      </c>
      <c r="P77" s="120">
        <f>J77-N77</f>
        <v>0</v>
      </c>
    </row>
    <row r="78" spans="1:17" x14ac:dyDescent="0.25">
      <c r="B78" s="110" t="s">
        <v>1700</v>
      </c>
      <c r="D78" s="128">
        <f>D24</f>
        <v>0</v>
      </c>
      <c r="E78" s="155" t="s">
        <v>1699</v>
      </c>
      <c r="F78" s="110" t="s">
        <v>1704</v>
      </c>
      <c r="H78" s="128">
        <f>$J$24</f>
        <v>0</v>
      </c>
      <c r="J78" s="128">
        <f>SUM(D78,H78)</f>
        <v>0</v>
      </c>
      <c r="L78" s="129" t="s">
        <v>1670</v>
      </c>
      <c r="N78" s="128">
        <f>'LS-Lease Liabilities'!H14</f>
        <v>0</v>
      </c>
      <c r="P78" s="120">
        <f t="shared" ref="P78:P80" si="1">J78-N78</f>
        <v>0</v>
      </c>
    </row>
    <row r="79" spans="1:17" x14ac:dyDescent="0.25">
      <c r="B79" s="110" t="s">
        <v>1702</v>
      </c>
      <c r="D79" s="128">
        <f>F24</f>
        <v>0</v>
      </c>
      <c r="E79" s="155" t="s">
        <v>1699</v>
      </c>
      <c r="F79" s="110" t="s">
        <v>1703</v>
      </c>
      <c r="H79" s="128">
        <f>$H$24</f>
        <v>0</v>
      </c>
      <c r="J79" s="128">
        <f>SUM(D79,H79)</f>
        <v>0</v>
      </c>
      <c r="L79" s="129" t="s">
        <v>1671</v>
      </c>
      <c r="N79" s="128">
        <f>'LS-Lease Liabilities'!J14</f>
        <v>0</v>
      </c>
      <c r="P79" s="120">
        <f t="shared" si="1"/>
        <v>0</v>
      </c>
    </row>
    <row r="80" spans="1:17" x14ac:dyDescent="0.25">
      <c r="B80" s="110" t="s">
        <v>1711</v>
      </c>
      <c r="D80" s="128">
        <f>B49</f>
        <v>0</v>
      </c>
      <c r="J80" s="128">
        <f>SUM(D80)</f>
        <v>0</v>
      </c>
      <c r="L80" s="129" t="s">
        <v>1672</v>
      </c>
      <c r="N80" s="128">
        <f>'LS-Lease Liabilities'!N14</f>
        <v>0</v>
      </c>
      <c r="P80" s="120">
        <f t="shared" si="1"/>
        <v>0</v>
      </c>
    </row>
    <row r="81" spans="2:16" x14ac:dyDescent="0.25"/>
    <row r="82" spans="2:16" x14ac:dyDescent="0.25"/>
    <row r="83" spans="2:16" ht="4.9000000000000004" customHeight="1" x14ac:dyDescent="0.25"/>
    <row r="84" spans="2:16" x14ac:dyDescent="0.25">
      <c r="B84" s="131" t="s">
        <v>1709</v>
      </c>
      <c r="C84" s="131"/>
    </row>
    <row r="85" spans="2:16" x14ac:dyDescent="0.25">
      <c r="B85" s="131"/>
    </row>
    <row r="86" spans="2:16" ht="15" customHeight="1" x14ac:dyDescent="0.25">
      <c r="B86" s="289" t="s">
        <v>1693</v>
      </c>
      <c r="C86" s="289"/>
      <c r="D86" s="289"/>
      <c r="E86" s="289"/>
      <c r="F86" s="289"/>
      <c r="G86" s="289"/>
      <c r="H86" s="289"/>
      <c r="I86" s="126"/>
      <c r="J86" s="248" t="s">
        <v>1714</v>
      </c>
      <c r="K86" s="126"/>
      <c r="L86" s="289" t="s">
        <v>1669</v>
      </c>
      <c r="M86" s="289"/>
      <c r="N86" s="289"/>
    </row>
    <row r="87" spans="2:16" x14ac:dyDescent="0.25">
      <c r="L87" s="247"/>
      <c r="M87" s="247"/>
      <c r="N87" s="247"/>
      <c r="O87" s="247"/>
      <c r="P87" s="113" t="s">
        <v>1706</v>
      </c>
    </row>
    <row r="88" spans="2:16" x14ac:dyDescent="0.25">
      <c r="B88" s="110" t="s">
        <v>1698</v>
      </c>
      <c r="D88" s="128">
        <f>B33</f>
        <v>0</v>
      </c>
      <c r="J88" s="128">
        <f>SUM(D88)</f>
        <v>0</v>
      </c>
      <c r="L88" s="129" t="str">
        <f>CONCATENATE("Balance July 1, ",LEFT('LS-Department Note Disclosure'!$B$8,4))</f>
        <v>Balance July 1, 2023</v>
      </c>
      <c r="N88" s="128">
        <f>'LS-Lease Liabilities'!F18</f>
        <v>0</v>
      </c>
      <c r="P88" s="120">
        <f>J88-N88</f>
        <v>0</v>
      </c>
    </row>
    <row r="89" spans="2:16" x14ac:dyDescent="0.25">
      <c r="B89" s="110" t="s">
        <v>1700</v>
      </c>
      <c r="D89" s="128">
        <f>D33</f>
        <v>0</v>
      </c>
      <c r="E89" s="155" t="s">
        <v>1699</v>
      </c>
      <c r="F89" s="110" t="s">
        <v>1704</v>
      </c>
      <c r="H89" s="128">
        <f>$J$33</f>
        <v>0</v>
      </c>
      <c r="J89" s="128">
        <f>SUM(D89,H89)</f>
        <v>0</v>
      </c>
      <c r="L89" s="129" t="s">
        <v>1670</v>
      </c>
      <c r="N89" s="128">
        <f>'LS-Lease Liabilities'!H18</f>
        <v>0</v>
      </c>
      <c r="P89" s="120">
        <f t="shared" ref="P89:P91" si="2">J89-N89</f>
        <v>0</v>
      </c>
    </row>
    <row r="90" spans="2:16" x14ac:dyDescent="0.25">
      <c r="B90" s="110" t="s">
        <v>1702</v>
      </c>
      <c r="D90" s="128">
        <f>F33</f>
        <v>0</v>
      </c>
      <c r="E90" s="155" t="s">
        <v>1699</v>
      </c>
      <c r="F90" s="110" t="s">
        <v>1703</v>
      </c>
      <c r="H90" s="128">
        <f>$H$33</f>
        <v>0</v>
      </c>
      <c r="J90" s="128">
        <f>SUM(D90,H90)</f>
        <v>0</v>
      </c>
      <c r="L90" s="129" t="s">
        <v>1671</v>
      </c>
      <c r="N90" s="128">
        <f>'LS-Lease Liabilities'!J18</f>
        <v>0</v>
      </c>
      <c r="P90" s="120">
        <f t="shared" si="2"/>
        <v>0</v>
      </c>
    </row>
    <row r="91" spans="2:16" x14ac:dyDescent="0.25">
      <c r="B91" s="110" t="s">
        <v>1711</v>
      </c>
      <c r="D91" s="128">
        <f>B57</f>
        <v>0</v>
      </c>
      <c r="J91" s="128">
        <f>SUM(D91)</f>
        <v>0</v>
      </c>
      <c r="L91" s="129" t="s">
        <v>1672</v>
      </c>
      <c r="N91" s="128">
        <f>'LS-Lease Liabilities'!N18</f>
        <v>0</v>
      </c>
      <c r="P91" s="120">
        <f t="shared" si="2"/>
        <v>0</v>
      </c>
    </row>
    <row r="92" spans="2:16" x14ac:dyDescent="0.25"/>
    <row r="93" spans="2:16" ht="17.25" x14ac:dyDescent="0.25">
      <c r="D93" s="12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D19" sqref="D19"/>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1715</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1716</v>
      </c>
      <c r="B11" s="224" t="s">
        <v>1552</v>
      </c>
      <c r="C11" s="224" t="s">
        <v>1553</v>
      </c>
      <c r="D11" s="224" t="s">
        <v>1717</v>
      </c>
      <c r="E11" s="224" t="s">
        <v>1555</v>
      </c>
      <c r="F11" s="224" t="s">
        <v>1556</v>
      </c>
    </row>
    <row r="12" spans="1:6" ht="42.75" x14ac:dyDescent="0.25">
      <c r="A12" s="224" t="s">
        <v>1716</v>
      </c>
      <c r="B12" s="224" t="s">
        <v>1557</v>
      </c>
      <c r="C12" s="224" t="s">
        <v>1558</v>
      </c>
      <c r="D12" s="224" t="s">
        <v>1558</v>
      </c>
      <c r="E12" s="224" t="s">
        <v>1718</v>
      </c>
      <c r="F12" s="224" t="s">
        <v>1560</v>
      </c>
    </row>
    <row r="13" spans="1:6" ht="28.5" x14ac:dyDescent="0.25">
      <c r="A13" s="224" t="s">
        <v>1716</v>
      </c>
      <c r="B13" s="224" t="s">
        <v>1719</v>
      </c>
      <c r="C13" s="224" t="s">
        <v>1720</v>
      </c>
      <c r="D13" s="224" t="s">
        <v>1720</v>
      </c>
      <c r="E13" s="224" t="s">
        <v>1721</v>
      </c>
      <c r="F13" s="224" t="s">
        <v>1722</v>
      </c>
    </row>
    <row r="14" spans="1:6" ht="28.5" x14ac:dyDescent="0.25">
      <c r="A14" s="224" t="s">
        <v>1561</v>
      </c>
      <c r="B14" s="224" t="s">
        <v>1562</v>
      </c>
      <c r="C14" s="224" t="s">
        <v>1723</v>
      </c>
      <c r="D14" s="224" t="s">
        <v>1723</v>
      </c>
      <c r="E14" s="224" t="s">
        <v>1564</v>
      </c>
      <c r="F14" s="224" t="s">
        <v>1565</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M16" sqref="M1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1724</v>
      </c>
      <c r="B1" s="264"/>
      <c r="C1" s="264"/>
      <c r="D1" s="264"/>
      <c r="E1" s="264"/>
      <c r="F1" s="264"/>
      <c r="G1" s="264"/>
      <c r="H1" s="264"/>
      <c r="I1" s="264"/>
      <c r="J1" s="264"/>
      <c r="K1" s="264"/>
      <c r="L1" s="5"/>
      <c r="M1" s="5"/>
      <c r="N1" s="5"/>
      <c r="O1" s="5"/>
      <c r="P1" s="5"/>
      <c r="Q1" s="5"/>
      <c r="R1" s="5"/>
      <c r="S1" s="5"/>
    </row>
    <row r="2" spans="1:20" ht="17.45" customHeight="1" x14ac:dyDescent="0.25">
      <c r="A2" s="291" t="s">
        <v>1579</v>
      </c>
      <c r="B2" s="291"/>
      <c r="C2" s="291"/>
      <c r="D2" s="291"/>
      <c r="E2" s="291"/>
      <c r="F2" s="291"/>
      <c r="G2" s="291"/>
      <c r="H2" s="291"/>
      <c r="I2" s="291"/>
      <c r="J2" s="33"/>
      <c r="L2" s="5"/>
      <c r="M2" s="5"/>
      <c r="N2" s="5"/>
      <c r="O2" s="5"/>
      <c r="P2" s="5"/>
      <c r="Q2" s="5"/>
      <c r="R2" s="5"/>
      <c r="S2" s="5"/>
    </row>
    <row r="3" spans="1:20" ht="17.45" customHeight="1" x14ac:dyDescent="0.25">
      <c r="A3" s="290" t="s">
        <v>1725</v>
      </c>
      <c r="B3" s="290"/>
      <c r="C3" s="290"/>
      <c r="D3" s="290"/>
      <c r="E3" s="239" t="s">
        <v>15</v>
      </c>
      <c r="H3" s="7"/>
      <c r="I3" s="7"/>
      <c r="J3" s="7"/>
      <c r="K3" s="7"/>
      <c r="L3" s="7"/>
      <c r="M3" s="7"/>
      <c r="N3" s="7"/>
      <c r="O3" s="7"/>
      <c r="P3" s="7"/>
      <c r="Q3" s="7"/>
      <c r="R3" s="7"/>
    </row>
    <row r="4" spans="1:20" ht="17.45" customHeight="1" x14ac:dyDescent="0.25">
      <c r="A4" s="290" t="s">
        <v>1581</v>
      </c>
      <c r="B4" s="290"/>
      <c r="C4" s="290"/>
      <c r="D4" s="290"/>
      <c r="E4" s="85"/>
      <c r="H4" s="7"/>
      <c r="I4" s="7"/>
      <c r="J4" s="7"/>
      <c r="K4" s="7"/>
      <c r="L4" s="7"/>
      <c r="M4" s="7"/>
      <c r="N4" s="7"/>
      <c r="O4" s="7"/>
      <c r="P4" s="7"/>
      <c r="Q4" s="7"/>
      <c r="R4" s="7"/>
    </row>
    <row r="5" spans="1:20" ht="17.45" customHeight="1" x14ac:dyDescent="0.25">
      <c r="A5" s="290" t="s">
        <v>1726</v>
      </c>
      <c r="B5" s="290"/>
      <c r="C5" s="290"/>
      <c r="D5" s="290"/>
      <c r="E5" s="146"/>
      <c r="H5" s="7"/>
      <c r="I5" s="7"/>
      <c r="J5" s="8"/>
      <c r="K5" s="8"/>
      <c r="L5" s="8"/>
      <c r="M5" s="8"/>
      <c r="N5" s="8"/>
      <c r="O5" s="8"/>
      <c r="P5" s="8"/>
      <c r="Q5" s="7"/>
      <c r="R5" s="7"/>
    </row>
    <row r="6" spans="1:20" ht="17.45" customHeight="1" x14ac:dyDescent="0.25">
      <c r="A6" s="290" t="s">
        <v>1727</v>
      </c>
      <c r="B6" s="290"/>
      <c r="C6" s="290"/>
      <c r="D6" s="290"/>
      <c r="E6" s="85"/>
      <c r="G6" s="8"/>
      <c r="H6" s="8"/>
      <c r="I6" s="8"/>
      <c r="J6" s="8"/>
      <c r="K6" s="8"/>
      <c r="L6" s="8"/>
      <c r="M6" s="8"/>
      <c r="N6" s="8"/>
      <c r="O6" s="8"/>
      <c r="P6" s="8"/>
      <c r="Q6" s="7"/>
      <c r="R6" s="7"/>
    </row>
    <row r="7" spans="1:20" ht="17.45" customHeight="1" x14ac:dyDescent="0.25">
      <c r="A7" s="290" t="s">
        <v>1584</v>
      </c>
      <c r="B7" s="290"/>
      <c r="C7" s="290"/>
      <c r="D7" s="290"/>
      <c r="E7" s="251"/>
      <c r="G7" s="8"/>
      <c r="H7" s="8"/>
      <c r="I7" s="8"/>
      <c r="J7" s="8"/>
      <c r="K7" s="8"/>
      <c r="L7" s="8"/>
      <c r="M7" s="8"/>
      <c r="N7" s="8"/>
      <c r="O7" s="8"/>
      <c r="P7" s="8"/>
      <c r="Q7" s="7"/>
      <c r="R7" s="7"/>
    </row>
    <row r="8" spans="1:20" ht="17.45" customHeight="1" x14ac:dyDescent="0.25">
      <c r="A8" s="290" t="s">
        <v>1585</v>
      </c>
      <c r="B8" s="290"/>
      <c r="C8" s="290"/>
      <c r="D8" s="290"/>
      <c r="E8" s="251"/>
      <c r="G8" s="8"/>
      <c r="H8" s="8"/>
      <c r="I8" s="8"/>
      <c r="J8" s="8"/>
      <c r="K8" s="8"/>
      <c r="L8" s="8"/>
      <c r="M8" s="8"/>
      <c r="N8" s="8"/>
      <c r="O8" s="8"/>
      <c r="P8" s="8"/>
      <c r="Q8" s="7"/>
      <c r="R8" s="7"/>
    </row>
    <row r="9" spans="1:20" ht="17.45" customHeight="1" x14ac:dyDescent="0.25">
      <c r="A9" s="6"/>
      <c r="B9" s="6"/>
      <c r="C9" s="6"/>
      <c r="D9" s="6"/>
      <c r="E9" s="12"/>
      <c r="G9" s="7"/>
      <c r="H9" s="7"/>
      <c r="I9" s="7"/>
      <c r="J9" s="6"/>
      <c r="K9" s="9"/>
      <c r="L9" s="9"/>
      <c r="M9" s="9"/>
      <c r="N9" s="10"/>
      <c r="O9" s="10"/>
      <c r="P9" s="7"/>
      <c r="Q9" s="7"/>
    </row>
    <row r="10" spans="1:20" ht="17.45" customHeight="1" x14ac:dyDescent="0.25">
      <c r="A10" s="6"/>
      <c r="B10" s="6"/>
      <c r="C10" s="6"/>
      <c r="D10" s="6"/>
      <c r="E10" s="12"/>
      <c r="G10" s="7"/>
      <c r="H10" s="7"/>
      <c r="I10" s="7"/>
      <c r="J10" s="6"/>
      <c r="K10" s="9"/>
      <c r="L10" s="9"/>
      <c r="M10" s="9"/>
      <c r="N10" s="10"/>
      <c r="O10" s="10"/>
      <c r="P10" s="7"/>
      <c r="Q10" s="7"/>
    </row>
    <row r="11" spans="1:20" s="162" customFormat="1" ht="21" customHeight="1" x14ac:dyDescent="0.3">
      <c r="A11" s="156" t="s">
        <v>1587</v>
      </c>
      <c r="B11" s="157"/>
      <c r="C11" s="158"/>
      <c r="D11" s="158"/>
      <c r="E11" s="158"/>
      <c r="F11" s="159"/>
      <c r="G11" s="159"/>
      <c r="H11" s="160"/>
      <c r="I11" s="160"/>
      <c r="J11" s="159"/>
      <c r="K11" s="159"/>
      <c r="L11" s="240"/>
      <c r="M11" s="240"/>
      <c r="N11" s="161"/>
      <c r="O11" s="161"/>
      <c r="P11" s="161"/>
    </row>
    <row r="12" spans="1:20" ht="17.45" customHeight="1" x14ac:dyDescent="0.25">
      <c r="A12" s="14" t="s">
        <v>1588</v>
      </c>
      <c r="B12" s="6"/>
      <c r="C12" s="138"/>
      <c r="D12" s="138"/>
      <c r="E12" s="138"/>
      <c r="F12" s="138"/>
      <c r="G12" s="138"/>
      <c r="H12" s="138"/>
      <c r="I12" s="138"/>
      <c r="J12" s="6"/>
      <c r="K12" s="9"/>
      <c r="L12" s="9"/>
      <c r="M12" s="9"/>
      <c r="N12" s="10"/>
      <c r="O12" s="10"/>
      <c r="P12" s="7"/>
      <c r="Q12" s="7"/>
    </row>
    <row r="13" spans="1:20" s="173" customFormat="1" ht="17.45" customHeight="1" x14ac:dyDescent="0.3">
      <c r="A13" s="168">
        <v>0</v>
      </c>
      <c r="B13" s="199" t="s">
        <v>1728</v>
      </c>
      <c r="C13" s="188"/>
      <c r="D13" s="188"/>
      <c r="E13" s="188"/>
      <c r="F13" s="188"/>
      <c r="G13" s="188"/>
      <c r="H13" s="188"/>
      <c r="I13" s="188"/>
      <c r="J13" s="189"/>
      <c r="M13" s="261" t="s">
        <v>1729</v>
      </c>
      <c r="N13" s="262"/>
      <c r="O13" s="172"/>
      <c r="P13" s="261" t="s">
        <v>1591</v>
      </c>
      <c r="Q13" s="262"/>
      <c r="R13" s="172"/>
      <c r="S13" s="206" t="s">
        <v>1592</v>
      </c>
    </row>
    <row r="14" spans="1:20" ht="17.45" customHeight="1" x14ac:dyDescent="0.2">
      <c r="B14" s="250" t="s">
        <v>1730</v>
      </c>
      <c r="C14" s="136"/>
      <c r="D14" s="136"/>
      <c r="E14" s="136"/>
      <c r="F14" s="136"/>
      <c r="G14" s="136"/>
      <c r="H14" s="136"/>
      <c r="I14" s="136"/>
      <c r="J14" s="232">
        <f>M14</f>
        <v>0</v>
      </c>
      <c r="K14" s="34"/>
      <c r="L14" s="34"/>
      <c r="M14" s="180"/>
      <c r="N14" s="34"/>
      <c r="O14" s="34"/>
      <c r="P14" s="180"/>
      <c r="Q14" s="208"/>
      <c r="R14" s="34"/>
      <c r="S14" s="207">
        <f>P14-M14</f>
        <v>0</v>
      </c>
      <c r="T14" s="234" t="s">
        <v>1599</v>
      </c>
    </row>
    <row r="15" spans="1:20" ht="17.45" customHeight="1" x14ac:dyDescent="0.2">
      <c r="A15" s="14"/>
      <c r="B15" s="250" t="s">
        <v>1598</v>
      </c>
      <c r="C15" s="136"/>
      <c r="D15" s="136"/>
      <c r="E15" s="136"/>
      <c r="F15" s="136"/>
      <c r="G15" s="136"/>
      <c r="H15" s="136"/>
      <c r="I15" s="136"/>
      <c r="J15" s="232">
        <f>P15</f>
        <v>0</v>
      </c>
      <c r="K15" s="34"/>
      <c r="L15" s="34"/>
      <c r="M15" s="180"/>
      <c r="N15" s="34"/>
      <c r="O15" s="34"/>
      <c r="P15" s="205">
        <f>IF(SUM($Q$17)&gt;SUM($P$14),SUM($Q$17)-SUM($P$14),0)</f>
        <v>0</v>
      </c>
      <c r="Q15" s="208"/>
      <c r="R15" s="34"/>
      <c r="S15" s="207">
        <f>P15-M15</f>
        <v>0</v>
      </c>
      <c r="T15" s="234" t="s">
        <v>1599</v>
      </c>
    </row>
    <row r="16" spans="1:20" ht="17.45" customHeight="1" x14ac:dyDescent="0.2">
      <c r="A16" s="14"/>
      <c r="B16" s="250" t="s">
        <v>1600</v>
      </c>
      <c r="C16" s="136"/>
      <c r="D16" s="136"/>
      <c r="E16" s="136"/>
      <c r="F16" s="136"/>
      <c r="G16" s="136"/>
      <c r="H16" s="136"/>
      <c r="I16" s="136"/>
      <c r="J16" s="232">
        <f>IF(SUM($K$17:$K$18)&gt;SUM($J$14:$J$15),SUM($K$17:$K$18)-SUM($J$14:$J$15),0)</f>
        <v>0</v>
      </c>
      <c r="K16" s="34"/>
      <c r="L16" s="34"/>
      <c r="M16" s="180"/>
      <c r="N16" s="34"/>
      <c r="O16" s="34"/>
      <c r="P16" s="208"/>
      <c r="Q16" s="208"/>
      <c r="R16" s="34"/>
      <c r="S16" s="207">
        <f>P16-M16</f>
        <v>0</v>
      </c>
      <c r="T16" s="234" t="s">
        <v>1599</v>
      </c>
    </row>
    <row r="17" spans="1:22" ht="17.45" customHeight="1" x14ac:dyDescent="0.2">
      <c r="A17" s="14"/>
      <c r="B17" s="136"/>
      <c r="C17" s="250" t="s">
        <v>1731</v>
      </c>
      <c r="D17" s="136"/>
      <c r="E17" s="136"/>
      <c r="F17" s="136"/>
      <c r="G17" s="136"/>
      <c r="H17" s="136"/>
      <c r="I17" s="136"/>
      <c r="J17" s="250"/>
      <c r="K17" s="232">
        <f>N17</f>
        <v>0</v>
      </c>
      <c r="L17" s="34"/>
      <c r="M17" s="34"/>
      <c r="N17" s="180"/>
      <c r="O17" s="34"/>
      <c r="P17" s="208"/>
      <c r="Q17" s="180"/>
      <c r="R17" s="34"/>
      <c r="S17" s="207">
        <f t="shared" ref="S17:S19" si="0">Q17-N17</f>
        <v>0</v>
      </c>
      <c r="T17" s="234" t="s">
        <v>1599</v>
      </c>
    </row>
    <row r="18" spans="1:22" ht="17.45" customHeight="1" x14ac:dyDescent="0.2">
      <c r="A18" s="14"/>
      <c r="B18" s="136"/>
      <c r="C18" s="250" t="s">
        <v>1606</v>
      </c>
      <c r="D18" s="136"/>
      <c r="E18" s="136"/>
      <c r="F18" s="136"/>
      <c r="G18" s="136"/>
      <c r="H18" s="136"/>
      <c r="I18" s="136"/>
      <c r="J18" s="250"/>
      <c r="K18" s="232">
        <f>Q18</f>
        <v>0</v>
      </c>
      <c r="L18" s="34"/>
      <c r="M18" s="34"/>
      <c r="N18" s="180"/>
      <c r="O18" s="34"/>
      <c r="P18" s="208"/>
      <c r="Q18" s="205">
        <f>IF(SUM($Q$17)&lt;SUM($P$14),-SUM($Q$17)+SUM($P$14),0)</f>
        <v>0</v>
      </c>
      <c r="R18" s="34"/>
      <c r="S18" s="207">
        <f t="shared" si="0"/>
        <v>0</v>
      </c>
      <c r="T18" s="234" t="s">
        <v>1599</v>
      </c>
    </row>
    <row r="19" spans="1:22" ht="17.45" customHeight="1" x14ac:dyDescent="0.2">
      <c r="A19" s="14"/>
      <c r="B19" s="136"/>
      <c r="C19" s="250" t="s">
        <v>1607</v>
      </c>
      <c r="D19" s="136"/>
      <c r="E19" s="136"/>
      <c r="F19" s="136"/>
      <c r="G19" s="136"/>
      <c r="H19" s="136"/>
      <c r="I19" s="136"/>
      <c r="J19" s="250"/>
      <c r="K19" s="232">
        <f>IF(SUM($K$17:$K$18)&lt;SUM($J$14:$J$15),-SUM($K$17:$K$18)+SUM($J$14:$J$15),0)</f>
        <v>0</v>
      </c>
      <c r="L19" s="34"/>
      <c r="M19" s="34"/>
      <c r="N19" s="180"/>
      <c r="O19" s="34"/>
      <c r="P19" s="208"/>
      <c r="Q19" s="208"/>
      <c r="R19" s="34"/>
      <c r="S19" s="207">
        <f t="shared" si="0"/>
        <v>0</v>
      </c>
      <c r="T19" s="234" t="s">
        <v>1599</v>
      </c>
    </row>
    <row r="20" spans="1:22" ht="17.45" customHeight="1" x14ac:dyDescent="0.2">
      <c r="A20" s="14"/>
      <c r="C20" s="13"/>
      <c r="D20" s="138"/>
      <c r="E20" s="138"/>
      <c r="F20" s="138"/>
      <c r="G20" s="138"/>
      <c r="H20" s="138"/>
      <c r="I20" s="138"/>
      <c r="J20" s="140">
        <f>SUM(J14:J19)</f>
        <v>0</v>
      </c>
      <c r="K20" s="140">
        <f>SUM(K14:K19)</f>
        <v>0</v>
      </c>
      <c r="L20" s="48"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2"/>
      <c r="G21" s="7"/>
      <c r="H21" s="7"/>
      <c r="I21" s="7"/>
      <c r="J21" s="6"/>
      <c r="K21" s="9"/>
      <c r="L21" s="9"/>
      <c r="M21" s="9"/>
      <c r="N21" s="10"/>
      <c r="O21" s="10"/>
      <c r="P21" s="7"/>
      <c r="Q21" s="7"/>
    </row>
    <row r="22" spans="1:22" s="162" customFormat="1" ht="21" customHeight="1" x14ac:dyDescent="0.3">
      <c r="A22" s="156" t="s">
        <v>1610</v>
      </c>
      <c r="B22" s="157"/>
      <c r="C22" s="158"/>
      <c r="D22" s="158"/>
      <c r="E22" s="158"/>
      <c r="F22" s="159"/>
      <c r="G22" s="159"/>
      <c r="H22" s="160"/>
      <c r="I22" s="160"/>
      <c r="J22" s="159"/>
      <c r="K22" s="159"/>
      <c r="L22" s="240"/>
      <c r="M22" s="240"/>
      <c r="N22" s="161"/>
      <c r="O22" s="161"/>
      <c r="P22" s="161"/>
    </row>
    <row r="23" spans="1:22" s="173" customFormat="1" ht="17.45" customHeight="1" x14ac:dyDescent="0.3">
      <c r="A23" s="168">
        <v>1</v>
      </c>
      <c r="B23" s="199" t="s">
        <v>1732</v>
      </c>
      <c r="C23" s="192"/>
      <c r="D23" s="192"/>
      <c r="E23" s="192"/>
      <c r="F23" s="193"/>
      <c r="G23" s="191"/>
      <c r="H23" s="191"/>
      <c r="I23" s="194"/>
      <c r="J23" s="191"/>
      <c r="K23" s="191"/>
      <c r="L23" s="191"/>
      <c r="M23" s="191"/>
      <c r="R23" s="190"/>
      <c r="S23" s="190"/>
      <c r="T23" s="191"/>
      <c r="U23" s="191"/>
    </row>
    <row r="24" spans="1:22" ht="17.45" customHeight="1" x14ac:dyDescent="0.2">
      <c r="B24" s="250" t="s">
        <v>1730</v>
      </c>
      <c r="C24" s="250"/>
      <c r="D24" s="250"/>
      <c r="E24" s="250"/>
      <c r="F24" s="197"/>
      <c r="G24" s="197"/>
      <c r="H24" s="198"/>
      <c r="I24" s="186"/>
      <c r="J24" s="180"/>
      <c r="K24" s="197"/>
      <c r="L24" s="9"/>
      <c r="N24" s="17"/>
      <c r="O24" s="13"/>
      <c r="P24" s="9"/>
      <c r="Q24" s="9"/>
      <c r="R24" s="10"/>
      <c r="S24" s="10"/>
    </row>
    <row r="25" spans="1:22" ht="17.45" customHeight="1" x14ac:dyDescent="0.2">
      <c r="B25" s="250"/>
      <c r="C25" s="250" t="s">
        <v>1731</v>
      </c>
      <c r="D25" s="250"/>
      <c r="E25" s="250"/>
      <c r="F25" s="197"/>
      <c r="G25" s="197"/>
      <c r="H25" s="198"/>
      <c r="I25" s="186"/>
      <c r="J25" s="197"/>
      <c r="K25" s="180"/>
      <c r="M25" s="18"/>
      <c r="N25" s="4"/>
      <c r="O25" s="9"/>
      <c r="P25" s="9"/>
      <c r="Q25" s="9"/>
      <c r="R25" s="10"/>
      <c r="S25" s="10"/>
    </row>
    <row r="26" spans="1:22" ht="17.45" customHeight="1" x14ac:dyDescent="0.2">
      <c r="A26" s="14"/>
      <c r="C26" s="250"/>
      <c r="D26" s="9"/>
      <c r="E26" s="9"/>
      <c r="F26" s="10"/>
      <c r="G26" s="10"/>
      <c r="H26" s="15"/>
      <c r="J26" s="140">
        <f>J24</f>
        <v>0</v>
      </c>
      <c r="K26" s="141">
        <f>K25</f>
        <v>0</v>
      </c>
      <c r="L26" s="48" t="str">
        <f>IF(J26=K26,"&lt;- Debits and Credits equal each other.","&lt;- Debits and Credits do not equal each other.")</f>
        <v>&lt;- Debits and Credits equal each other.</v>
      </c>
      <c r="M26" s="18"/>
    </row>
    <row r="27" spans="1:22" ht="17.45" customHeight="1" x14ac:dyDescent="0.2">
      <c r="A27" s="14"/>
    </row>
    <row r="28" spans="1:22" s="162" customFormat="1" ht="21" customHeight="1" x14ac:dyDescent="0.3">
      <c r="A28" s="156" t="s">
        <v>1620</v>
      </c>
      <c r="B28" s="157"/>
      <c r="C28" s="158"/>
      <c r="D28" s="158"/>
      <c r="E28" s="158"/>
      <c r="F28" s="159"/>
      <c r="G28" s="159"/>
      <c r="H28" s="160"/>
      <c r="I28" s="160"/>
      <c r="J28" s="159"/>
      <c r="K28" s="159"/>
      <c r="L28" s="240"/>
      <c r="M28" s="240"/>
      <c r="N28" s="161"/>
      <c r="O28" s="161"/>
      <c r="P28" s="161"/>
    </row>
    <row r="29" spans="1:22" s="173" customFormat="1" ht="17.45" customHeight="1" x14ac:dyDescent="0.3">
      <c r="A29" s="168">
        <v>2</v>
      </c>
      <c r="B29" s="199" t="s">
        <v>1733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80"/>
      <c r="K30" s="30"/>
      <c r="L30" s="9"/>
      <c r="N30" s="20"/>
      <c r="O30" s="9"/>
      <c r="P30" s="13"/>
      <c r="Q30" s="9"/>
      <c r="R30" s="9"/>
      <c r="S30" s="9"/>
      <c r="T30" s="9"/>
      <c r="U30" s="9"/>
      <c r="V30" s="9"/>
    </row>
    <row r="31" spans="1:22" ht="17.45" customHeight="1" x14ac:dyDescent="0.2">
      <c r="A31" s="14"/>
      <c r="B31" s="196"/>
      <c r="C31" s="250" t="s">
        <v>1734</v>
      </c>
      <c r="D31" s="250"/>
      <c r="E31" s="250"/>
      <c r="F31" s="250"/>
      <c r="G31" s="196"/>
      <c r="H31" s="196"/>
      <c r="I31" s="196"/>
      <c r="J31" s="30"/>
      <c r="K31" s="180"/>
      <c r="M31" s="18"/>
      <c r="N31" s="20"/>
      <c r="O31" s="9"/>
      <c r="P31" s="13"/>
      <c r="Q31" s="9"/>
      <c r="R31" s="9"/>
      <c r="S31" s="9"/>
      <c r="T31" s="9"/>
      <c r="U31" s="9"/>
      <c r="V31" s="9"/>
    </row>
    <row r="32" spans="1:22" ht="17.45" customHeight="1" x14ac:dyDescent="0.2">
      <c r="B32" s="250"/>
      <c r="C32" s="250" t="str">
        <f>IF($E$7="Governmental","Cr: Acct 0740 - INTEREST INCOME","Cr: Acct 0765 - INVESTMENT AND INTEREST")</f>
        <v>Cr: Acct 0765 - INVESTMENT AND INTEREST</v>
      </c>
      <c r="D32" s="250"/>
      <c r="E32" s="250"/>
      <c r="F32" s="250"/>
      <c r="G32" s="250"/>
      <c r="H32" s="250"/>
      <c r="I32" s="250"/>
      <c r="J32" s="30"/>
      <c r="K32" s="180"/>
      <c r="N32" s="20"/>
      <c r="O32" s="21"/>
    </row>
    <row r="33" spans="1:22" ht="17.45" customHeight="1" x14ac:dyDescent="0.3">
      <c r="A33" s="14"/>
      <c r="C33" s="167"/>
      <c r="D33" s="167"/>
      <c r="E33" s="167"/>
      <c r="F33" s="167"/>
      <c r="G33" s="167"/>
      <c r="H33" s="167"/>
      <c r="I33" s="167"/>
      <c r="J33" s="141">
        <f>J30</f>
        <v>0</v>
      </c>
      <c r="K33" s="237">
        <f>SUM(K31:K32)</f>
        <v>0</v>
      </c>
      <c r="L33" s="48" t="str">
        <f>IF(J33=K33,"&lt;- Debits and Credits equal each other.","&lt;- Debits and Credits do not equal each other.")</f>
        <v>&lt;- Debits and Credits equal each other.</v>
      </c>
      <c r="M33" s="18"/>
      <c r="O33" s="9"/>
      <c r="P33" s="13"/>
      <c r="Q33" s="9"/>
      <c r="R33" s="9"/>
      <c r="S33" s="9"/>
      <c r="T33" s="9"/>
      <c r="U33" s="9"/>
      <c r="V33" s="9"/>
    </row>
    <row r="34" spans="1:22" ht="17.45" customHeight="1" x14ac:dyDescent="0.3">
      <c r="A34" s="14"/>
      <c r="C34" s="167"/>
      <c r="D34" s="167"/>
      <c r="E34" s="167"/>
      <c r="F34" s="167"/>
      <c r="G34" s="167"/>
      <c r="H34" s="167"/>
      <c r="I34" s="167"/>
      <c r="J34" s="22"/>
      <c r="K34" s="142"/>
      <c r="L34" s="19"/>
      <c r="M34" s="18"/>
      <c r="O34" s="9"/>
      <c r="P34" s="13"/>
      <c r="Q34" s="9"/>
      <c r="R34" s="9"/>
      <c r="S34" s="9"/>
      <c r="T34" s="9"/>
      <c r="U34" s="9"/>
      <c r="V34" s="9"/>
    </row>
    <row r="35" spans="1:22" ht="17.45" customHeight="1" x14ac:dyDescent="0.3">
      <c r="A35" s="168">
        <v>3</v>
      </c>
      <c r="B35" s="199" t="s">
        <v>1735</v>
      </c>
      <c r="C35" s="250"/>
      <c r="D35" s="9"/>
      <c r="E35" s="9"/>
      <c r="F35" s="9"/>
      <c r="G35" s="9"/>
      <c r="H35" s="9"/>
      <c r="I35" s="1"/>
      <c r="J35" s="9"/>
      <c r="K35" s="22"/>
      <c r="L35" s="9"/>
      <c r="O35" s="20"/>
      <c r="R35" s="9"/>
      <c r="S35" s="9"/>
      <c r="T35" s="9"/>
      <c r="U35" s="9"/>
      <c r="V35" s="9"/>
    </row>
    <row r="36" spans="1:22" ht="17.45" customHeight="1" x14ac:dyDescent="0.2">
      <c r="B36" s="269" t="s">
        <v>1736</v>
      </c>
      <c r="C36" s="269" t="s">
        <v>1731</v>
      </c>
      <c r="D36" s="269" t="s">
        <v>1731</v>
      </c>
      <c r="E36" s="269" t="s">
        <v>1731</v>
      </c>
      <c r="F36" s="250"/>
      <c r="G36" s="250"/>
      <c r="H36" s="250"/>
      <c r="I36" s="250"/>
      <c r="J36" s="180"/>
      <c r="K36" s="30"/>
      <c r="M36" s="18"/>
      <c r="R36" s="9"/>
      <c r="S36" s="9"/>
      <c r="T36" s="9"/>
      <c r="U36" s="9"/>
      <c r="V36" s="9"/>
    </row>
    <row r="37" spans="1:22" ht="17.45" customHeight="1" x14ac:dyDescent="0.2">
      <c r="A37" s="14"/>
      <c r="B37" s="250"/>
      <c r="C37" s="250" t="str">
        <f>IF($E$7="Governmental","Cr: Acct 0775 - OTHER INCOME","Cr: Acct 0778 - RENT")</f>
        <v>Cr: Acct 0778 - RENT</v>
      </c>
      <c r="D37" s="250"/>
      <c r="E37" s="250"/>
      <c r="F37" s="250"/>
      <c r="G37" s="250"/>
      <c r="H37" s="250"/>
      <c r="I37" s="250"/>
      <c r="J37" s="30"/>
      <c r="K37" s="180"/>
      <c r="R37" s="9"/>
      <c r="S37" s="9"/>
      <c r="T37" s="9"/>
      <c r="U37" s="9"/>
      <c r="V37" s="9"/>
    </row>
    <row r="38" spans="1:22" ht="17.45" customHeight="1" x14ac:dyDescent="0.2">
      <c r="A38" s="14"/>
      <c r="C38" s="13"/>
      <c r="D38" s="9"/>
      <c r="E38" s="9"/>
      <c r="F38" s="9"/>
      <c r="G38" s="9"/>
      <c r="H38" s="9"/>
      <c r="I38" s="1"/>
      <c r="J38" s="237">
        <f>J36</f>
        <v>0</v>
      </c>
      <c r="K38" s="141">
        <f>K37</f>
        <v>0</v>
      </c>
      <c r="L38" s="48" t="str">
        <f>IF(J38=K38,"&lt;- Debits and Credits equal each other.","&lt;- Debits and Credits do not equal each other.")</f>
        <v>&lt;- Debits and Credits equal each other.</v>
      </c>
      <c r="R38" s="9"/>
      <c r="S38" s="9"/>
      <c r="T38" s="9"/>
      <c r="U38" s="9"/>
      <c r="V38" s="9"/>
    </row>
    <row r="39" spans="1:22" ht="17.45" customHeight="1" x14ac:dyDescent="0.2">
      <c r="A39" s="14"/>
      <c r="C39" s="13"/>
      <c r="D39" s="9"/>
      <c r="E39" s="9"/>
      <c r="F39" s="9"/>
      <c r="G39" s="9"/>
      <c r="H39" s="9"/>
      <c r="I39" s="1"/>
      <c r="J39" s="142"/>
      <c r="K39" s="22"/>
      <c r="L39" s="19"/>
      <c r="R39" s="9"/>
      <c r="S39" s="9"/>
      <c r="T39" s="9"/>
      <c r="U39" s="9"/>
      <c r="V39" s="9"/>
    </row>
    <row r="40" spans="1:22" s="173" customFormat="1" ht="17.45" customHeight="1" x14ac:dyDescent="0.3">
      <c r="A40" s="168">
        <v>4</v>
      </c>
      <c r="B40" s="199" t="s">
        <v>1737</v>
      </c>
      <c r="K40" s="195"/>
    </row>
    <row r="41" spans="1:22" ht="17.45" customHeight="1" x14ac:dyDescent="0.2">
      <c r="B41" s="269" t="s">
        <v>1738</v>
      </c>
      <c r="C41" s="269"/>
      <c r="D41" s="269"/>
      <c r="E41" s="269"/>
      <c r="F41" s="250"/>
      <c r="G41" s="250"/>
      <c r="H41" s="250"/>
      <c r="I41" s="250"/>
      <c r="J41" s="180"/>
      <c r="K41" s="30"/>
      <c r="L41" s="9"/>
      <c r="R41" s="9"/>
      <c r="S41" s="9"/>
      <c r="T41" s="9"/>
      <c r="U41" s="9"/>
      <c r="V41" s="9"/>
    </row>
    <row r="42" spans="1:22" ht="17.45" customHeight="1" x14ac:dyDescent="0.2">
      <c r="A42" s="14"/>
      <c r="B42" s="250"/>
      <c r="C42" s="269" t="s">
        <v>1734</v>
      </c>
      <c r="D42" s="269" t="s">
        <v>1739</v>
      </c>
      <c r="E42" s="269" t="s">
        <v>1739</v>
      </c>
      <c r="F42" s="250"/>
      <c r="G42" s="250"/>
      <c r="H42" s="250"/>
      <c r="I42" s="250"/>
      <c r="J42" s="30"/>
      <c r="K42" s="180"/>
      <c r="O42" s="9"/>
      <c r="P42" s="9"/>
      <c r="Q42" s="9"/>
      <c r="R42" s="9"/>
      <c r="S42" s="9"/>
      <c r="T42" s="9"/>
      <c r="U42" s="9"/>
      <c r="V42" s="9"/>
    </row>
    <row r="43" spans="1:22" ht="17.45" customHeight="1" x14ac:dyDescent="0.2">
      <c r="A43" s="14"/>
      <c r="B43" s="294" t="s">
        <v>1740</v>
      </c>
      <c r="C43" s="294"/>
      <c r="D43" s="294"/>
      <c r="E43" s="294"/>
      <c r="F43" s="294"/>
      <c r="G43" s="294"/>
      <c r="H43" s="294"/>
      <c r="I43" s="294"/>
      <c r="J43" s="237">
        <f>J41</f>
        <v>0</v>
      </c>
      <c r="K43" s="141">
        <f>K42</f>
        <v>0</v>
      </c>
      <c r="L43" s="48" t="str">
        <f>IF(J43=K43,"&lt;- Debits and Credits equal each other.","&lt;- Debits and Credits do not equal each other.")</f>
        <v>&lt;- Debits and Credits equal each other.</v>
      </c>
      <c r="M43" s="18"/>
    </row>
    <row r="44" spans="1:22" ht="17.45" customHeight="1" x14ac:dyDescent="0.25">
      <c r="A44" s="14"/>
      <c r="B44" s="294"/>
      <c r="C44" s="294"/>
      <c r="D44" s="294"/>
      <c r="E44" s="294"/>
      <c r="F44" s="294"/>
      <c r="G44" s="294"/>
      <c r="H44" s="294"/>
      <c r="I44" s="294"/>
      <c r="K44" s="25"/>
      <c r="L44" s="9"/>
      <c r="M44" s="18"/>
      <c r="O44" s="26"/>
    </row>
    <row r="45" spans="1:22" ht="17.45" customHeight="1" x14ac:dyDescent="0.25">
      <c r="A45" s="14"/>
      <c r="B45" s="294"/>
      <c r="C45" s="294"/>
      <c r="D45" s="294"/>
      <c r="E45" s="294"/>
      <c r="F45" s="294"/>
      <c r="G45" s="294"/>
      <c r="H45" s="294"/>
      <c r="I45" s="294"/>
      <c r="K45" s="25"/>
      <c r="M45" s="18"/>
      <c r="O45" s="26"/>
    </row>
    <row r="46" spans="1:22" ht="17.45" customHeight="1" x14ac:dyDescent="0.25">
      <c r="A46" s="14"/>
      <c r="B46" s="11"/>
      <c r="C46" s="9"/>
      <c r="K46" s="25"/>
      <c r="M46" s="18"/>
      <c r="O46" s="26"/>
    </row>
    <row r="47" spans="1:22" s="162" customFormat="1" ht="21" customHeight="1" x14ac:dyDescent="0.3">
      <c r="A47" s="156" t="s">
        <v>1642</v>
      </c>
      <c r="B47" s="157"/>
      <c r="C47" s="158"/>
      <c r="D47" s="158"/>
      <c r="E47" s="158"/>
      <c r="F47" s="159"/>
      <c r="G47" s="159"/>
      <c r="H47" s="160"/>
      <c r="I47" s="160"/>
      <c r="J47" s="159"/>
      <c r="K47" s="159"/>
      <c r="L47" s="240"/>
      <c r="M47" s="240"/>
      <c r="N47" s="161"/>
      <c r="O47" s="161"/>
      <c r="P47" s="161"/>
    </row>
    <row r="48" spans="1:22" ht="17.45" customHeight="1" x14ac:dyDescent="0.3">
      <c r="A48" s="168">
        <v>5</v>
      </c>
      <c r="B48" s="199" t="s">
        <v>1741</v>
      </c>
      <c r="F48" s="9"/>
      <c r="G48" s="9"/>
      <c r="H48" s="9"/>
      <c r="I48" s="1"/>
      <c r="J48" s="27"/>
      <c r="K48" s="28"/>
      <c r="M48" s="18"/>
    </row>
    <row r="49" spans="1:15" ht="17.45" customHeight="1" x14ac:dyDescent="0.25">
      <c r="B49" s="250" t="s">
        <v>1736</v>
      </c>
      <c r="C49" s="24"/>
      <c r="D49" s="250"/>
      <c r="E49" s="250"/>
      <c r="F49" s="250"/>
      <c r="G49" s="250"/>
      <c r="H49" s="250"/>
      <c r="I49" s="250"/>
      <c r="J49" s="180"/>
      <c r="K49" s="6"/>
    </row>
    <row r="50" spans="1:15" ht="17.45" customHeight="1" x14ac:dyDescent="0.2">
      <c r="A50" s="14"/>
      <c r="B50" s="250" t="s">
        <v>1742</v>
      </c>
      <c r="C50" s="250"/>
      <c r="D50" s="250"/>
      <c r="E50" s="250"/>
      <c r="F50" s="250"/>
      <c r="G50" s="250"/>
      <c r="H50" s="250"/>
      <c r="I50" s="186"/>
      <c r="J50" s="180"/>
      <c r="K50" s="250"/>
      <c r="O50" s="26"/>
    </row>
    <row r="51" spans="1:15" ht="17.45" customHeight="1" x14ac:dyDescent="0.2">
      <c r="A51" s="14"/>
      <c r="B51" s="269" t="s">
        <v>1743</v>
      </c>
      <c r="C51" s="269" t="s">
        <v>1744</v>
      </c>
      <c r="D51" s="269" t="s">
        <v>1744</v>
      </c>
      <c r="E51" s="250"/>
      <c r="F51" s="250"/>
      <c r="G51" s="250"/>
      <c r="H51" s="250"/>
      <c r="I51" s="186"/>
      <c r="J51" s="180"/>
      <c r="K51" s="250"/>
      <c r="O51" s="26"/>
    </row>
    <row r="52" spans="1:15" ht="17.45" customHeight="1" x14ac:dyDescent="0.2">
      <c r="A52" s="14"/>
      <c r="B52" s="241"/>
      <c r="C52" s="241" t="s">
        <v>1734</v>
      </c>
      <c r="D52" s="241"/>
      <c r="E52" s="250"/>
      <c r="F52" s="250"/>
      <c r="G52" s="250"/>
      <c r="H52" s="250"/>
      <c r="I52" s="186"/>
      <c r="J52" s="250"/>
      <c r="K52" s="180"/>
      <c r="O52" s="26"/>
    </row>
    <row r="53" spans="1:15" ht="17.45" customHeight="1" x14ac:dyDescent="0.2">
      <c r="A53" s="14"/>
      <c r="B53" s="241"/>
      <c r="C53" s="241" t="s">
        <v>1745</v>
      </c>
      <c r="D53" s="241"/>
      <c r="E53" s="250"/>
      <c r="F53" s="250"/>
      <c r="G53" s="250"/>
      <c r="H53" s="250"/>
      <c r="I53" s="186"/>
      <c r="J53" s="250"/>
      <c r="K53" s="180"/>
      <c r="O53" s="26"/>
    </row>
    <row r="54" spans="1:15" ht="17.45" customHeight="1" x14ac:dyDescent="0.25">
      <c r="A54" s="14"/>
      <c r="B54" s="177"/>
      <c r="C54" s="241" t="s">
        <v>1746</v>
      </c>
      <c r="D54" s="241"/>
      <c r="E54" s="241"/>
      <c r="F54" s="250"/>
      <c r="G54" s="250"/>
      <c r="H54" s="250"/>
      <c r="I54" s="24"/>
      <c r="J54" s="30"/>
      <c r="K54" s="180"/>
    </row>
    <row r="55" spans="1:15" ht="17.45" customHeight="1" x14ac:dyDescent="0.3">
      <c r="A55" s="14"/>
      <c r="B55" s="167"/>
      <c r="C55" s="150"/>
      <c r="D55" s="150"/>
      <c r="E55" s="150"/>
      <c r="F55" s="250"/>
      <c r="G55" s="250"/>
      <c r="H55" s="250"/>
      <c r="I55" s="24"/>
      <c r="J55" s="140">
        <f>SUM(J49:J54)</f>
        <v>0</v>
      </c>
      <c r="K55" s="140">
        <f>SUM(K49:K54)</f>
        <v>0</v>
      </c>
      <c r="L55" s="48" t="str">
        <f>IF(J55=K55,"&lt;- Debits and Credits equal each other.","&lt;- Debits and Credits do not equal each other.")</f>
        <v>&lt;- Debits and Credits equal each other.</v>
      </c>
    </row>
    <row r="56" spans="1:15" ht="17.45" customHeight="1" x14ac:dyDescent="0.2">
      <c r="A56" s="14"/>
      <c r="B56" s="250"/>
      <c r="C56" s="250"/>
      <c r="D56" s="250"/>
      <c r="E56" s="250"/>
      <c r="F56" s="250"/>
      <c r="G56" s="250"/>
      <c r="H56" s="250"/>
      <c r="I56" s="24"/>
      <c r="J56" s="30"/>
      <c r="K56" s="22"/>
    </row>
    <row r="57" spans="1:15" ht="17.45" customHeight="1" x14ac:dyDescent="0.3">
      <c r="A57" s="168">
        <v>6</v>
      </c>
      <c r="B57" s="199" t="s">
        <v>1747</v>
      </c>
      <c r="D57" s="250"/>
      <c r="E57" s="250"/>
      <c r="F57" s="250"/>
      <c r="G57" s="250"/>
      <c r="H57" s="250"/>
      <c r="I57" s="24"/>
      <c r="J57" s="30"/>
      <c r="K57" s="22"/>
    </row>
    <row r="58" spans="1:15" ht="17.45" customHeight="1" x14ac:dyDescent="0.2">
      <c r="B58" s="250" t="s">
        <v>1730</v>
      </c>
      <c r="C58" s="24"/>
      <c r="D58" s="250"/>
      <c r="E58" s="250"/>
      <c r="F58" s="250"/>
      <c r="G58" s="250"/>
      <c r="H58" s="250"/>
      <c r="I58" s="24"/>
      <c r="J58" s="180"/>
      <c r="K58" s="30"/>
    </row>
    <row r="59" spans="1:15" ht="17.45" customHeight="1" x14ac:dyDescent="0.25">
      <c r="A59" s="14"/>
      <c r="B59" s="177"/>
      <c r="C59" s="250" t="s">
        <v>1731</v>
      </c>
      <c r="D59" s="250"/>
      <c r="E59" s="250"/>
      <c r="F59" s="250"/>
      <c r="G59" s="250"/>
      <c r="H59" s="250"/>
      <c r="I59" s="24"/>
      <c r="J59" s="30"/>
      <c r="K59" s="180"/>
    </row>
    <row r="60" spans="1:15" ht="17.45" customHeight="1" x14ac:dyDescent="0.3">
      <c r="A60" s="14"/>
      <c r="B60" s="167"/>
      <c r="C60" s="150"/>
      <c r="D60" s="250"/>
      <c r="E60" s="250"/>
      <c r="F60" s="250"/>
      <c r="G60" s="250"/>
      <c r="H60" s="250"/>
      <c r="I60" s="24"/>
      <c r="J60" s="237">
        <f>J58</f>
        <v>0</v>
      </c>
      <c r="K60" s="141">
        <f>K59</f>
        <v>0</v>
      </c>
      <c r="L60" s="48" t="str">
        <f>IF(J60=K60,"&lt;- Debits and Credits equal each other.","&lt;- Debits and Credits do not equal each other.")</f>
        <v>&lt;- Debits and Credits equal each other.</v>
      </c>
    </row>
    <row r="61" spans="1:15" ht="17.45" customHeight="1" x14ac:dyDescent="0.25">
      <c r="B61" s="250"/>
      <c r="C61" s="250"/>
      <c r="D61" s="250"/>
      <c r="E61" s="250"/>
      <c r="F61" s="250"/>
      <c r="G61" s="250"/>
      <c r="H61" s="250"/>
      <c r="I61" s="23"/>
      <c r="J61" s="31"/>
      <c r="K61" s="30"/>
    </row>
    <row r="62" spans="1:15" ht="17.45" customHeight="1" x14ac:dyDescent="0.2">
      <c r="B62" s="32"/>
      <c r="C62" s="250"/>
      <c r="D62" s="250"/>
      <c r="E62" s="250"/>
      <c r="F62" s="250"/>
      <c r="G62" s="250"/>
      <c r="H62" s="250"/>
      <c r="I62" s="250"/>
    </row>
    <row r="63" spans="1:15" ht="17.45" customHeight="1" x14ac:dyDescent="0.25">
      <c r="B63" s="29"/>
      <c r="C63" s="250"/>
      <c r="D63" s="250"/>
      <c r="E63" s="250"/>
      <c r="F63" s="250"/>
      <c r="G63" s="250"/>
      <c r="H63" s="250"/>
      <c r="I63" s="250"/>
    </row>
    <row r="64" spans="1:15" ht="17.45" customHeight="1" x14ac:dyDescent="0.2">
      <c r="B64" s="32"/>
      <c r="C64" s="250"/>
      <c r="D64" s="250"/>
      <c r="E64" s="250"/>
      <c r="F64" s="250"/>
      <c r="G64" s="250"/>
      <c r="H64" s="250"/>
      <c r="I64" s="30"/>
      <c r="L64" s="9"/>
      <c r="M64" s="18"/>
    </row>
    <row r="65" spans="2:11" ht="20.25" x14ac:dyDescent="0.3">
      <c r="B65" s="250"/>
      <c r="C65" s="250"/>
      <c r="D65" s="213" t="s">
        <v>1748</v>
      </c>
      <c r="E65" s="214"/>
      <c r="F65" s="215"/>
      <c r="G65" s="215"/>
      <c r="H65" s="215"/>
      <c r="I65" s="216"/>
      <c r="J65" s="216"/>
      <c r="K65" s="217"/>
    </row>
    <row r="66" spans="2:11" ht="17.45" customHeight="1" x14ac:dyDescent="0.2">
      <c r="B66" s="250"/>
      <c r="C66" s="250"/>
      <c r="D66" s="34"/>
      <c r="E66" s="34"/>
      <c r="F66" s="34"/>
      <c r="G66" s="34"/>
      <c r="H66" s="34"/>
      <c r="I66" s="34"/>
      <c r="J66" s="34"/>
      <c r="K66" s="223" t="s">
        <v>1646</v>
      </c>
    </row>
    <row r="67" spans="2:11" ht="17.45" customHeight="1" x14ac:dyDescent="0.25">
      <c r="B67" s="27"/>
      <c r="D67" s="177" t="s">
        <v>1749</v>
      </c>
      <c r="E67" s="34"/>
      <c r="F67" s="34"/>
      <c r="G67" s="34"/>
      <c r="H67" s="34"/>
      <c r="I67" s="34"/>
      <c r="J67" s="34"/>
      <c r="K67" s="222">
        <f>J14+J24-K31-K42-K52+J58</f>
        <v>0</v>
      </c>
    </row>
    <row r="68" spans="2:11" ht="17.45" customHeight="1" x14ac:dyDescent="0.25">
      <c r="D68" s="177" t="s">
        <v>1750</v>
      </c>
      <c r="E68" s="34"/>
      <c r="F68" s="34"/>
      <c r="G68" s="34"/>
      <c r="H68" s="34"/>
      <c r="I68" s="34"/>
      <c r="J68" s="34"/>
      <c r="K68" s="222">
        <f>J41</f>
        <v>0</v>
      </c>
    </row>
    <row r="69" spans="2:11" ht="17.45" customHeight="1" x14ac:dyDescent="0.25">
      <c r="D69" s="177" t="s">
        <v>1751</v>
      </c>
      <c r="E69" s="34"/>
      <c r="F69" s="34"/>
      <c r="G69" s="34"/>
      <c r="H69" s="34"/>
      <c r="I69" s="34"/>
      <c r="J69" s="34"/>
      <c r="K69" s="222">
        <f>-K17-K25+J36+J49-K59</f>
        <v>0</v>
      </c>
    </row>
    <row r="70" spans="2:11" ht="17.45" customHeight="1" x14ac:dyDescent="0.2">
      <c r="I70" s="22"/>
    </row>
    <row r="71" spans="2:11" ht="17.45" customHeight="1" x14ac:dyDescent="0.2">
      <c r="I71" s="22"/>
    </row>
    <row r="72" spans="2:11" ht="17.45" customHeight="1" x14ac:dyDescent="0.2">
      <c r="I72" s="22"/>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topLeftCell="A4" zoomScale="70" zoomScaleNormal="70" workbookViewId="0">
      <selection activeCell="F34" sqref="F34"/>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1655</v>
      </c>
      <c r="B1" s="278"/>
      <c r="C1" s="278"/>
      <c r="D1" s="278"/>
      <c r="E1" s="278"/>
      <c r="F1" s="143"/>
      <c r="G1" s="5"/>
      <c r="H1" s="5"/>
      <c r="I1" s="5"/>
      <c r="J1" s="5"/>
      <c r="K1" s="5"/>
      <c r="L1" s="5"/>
      <c r="M1" s="5"/>
      <c r="N1" s="5"/>
      <c r="O1" s="5"/>
      <c r="P1" s="5"/>
      <c r="Q1" s="5"/>
      <c r="R1" s="5"/>
      <c r="S1" s="5"/>
    </row>
    <row r="2" spans="1:19" ht="48" customHeight="1" x14ac:dyDescent="0.25">
      <c r="A2" s="277" t="s">
        <v>1656</v>
      </c>
      <c r="B2" s="277"/>
      <c r="C2" s="277"/>
      <c r="D2" s="277"/>
      <c r="E2" s="277"/>
      <c r="F2" s="86"/>
      <c r="G2" s="5"/>
      <c r="H2" s="5"/>
      <c r="I2" s="5"/>
      <c r="J2" s="5"/>
      <c r="K2" s="5"/>
      <c r="L2" s="5"/>
      <c r="M2" s="5"/>
      <c r="N2" s="5"/>
      <c r="O2" s="5"/>
      <c r="P2" s="5"/>
      <c r="Q2" s="5"/>
      <c r="R2" s="5"/>
      <c r="S2" s="5"/>
    </row>
    <row r="3" spans="1:19" ht="33" customHeight="1" x14ac:dyDescent="0.25">
      <c r="A3" s="299" t="s">
        <v>1657</v>
      </c>
      <c r="B3" s="299"/>
      <c r="C3" s="299"/>
      <c r="E3" s="244"/>
      <c r="F3" s="244"/>
      <c r="G3" s="244"/>
      <c r="H3" s="244"/>
      <c r="I3" s="244"/>
      <c r="J3" s="244"/>
      <c r="K3" s="244"/>
      <c r="L3" s="244"/>
      <c r="M3" s="244"/>
      <c r="N3" s="244"/>
      <c r="O3" s="244"/>
      <c r="P3" s="6"/>
      <c r="Q3" s="6"/>
      <c r="R3" s="6"/>
      <c r="S3" s="6"/>
    </row>
    <row r="4" spans="1:19" ht="31.15" customHeight="1" x14ac:dyDescent="0.25">
      <c r="A4" s="272" t="s">
        <v>1658</v>
      </c>
      <c r="B4" s="272"/>
      <c r="C4" s="272"/>
      <c r="E4" s="244"/>
      <c r="F4" s="244"/>
      <c r="G4" s="244"/>
      <c r="H4" s="244"/>
      <c r="I4" s="244"/>
      <c r="J4" s="244"/>
      <c r="K4" s="244"/>
      <c r="L4" s="244"/>
      <c r="M4" s="244"/>
      <c r="N4" s="244"/>
      <c r="O4" s="244"/>
      <c r="P4" s="6"/>
      <c r="Q4" s="6"/>
      <c r="R4" s="6"/>
      <c r="S4" s="6"/>
    </row>
    <row r="5" spans="1:19" ht="30.6" customHeight="1" x14ac:dyDescent="0.25">
      <c r="A5" s="272" t="s">
        <v>1659</v>
      </c>
      <c r="B5" s="272"/>
      <c r="C5" s="272"/>
      <c r="E5" s="244"/>
      <c r="F5" s="244"/>
      <c r="G5" s="244"/>
      <c r="H5" s="244"/>
      <c r="I5" s="244"/>
      <c r="J5" s="244"/>
      <c r="K5" s="244"/>
      <c r="L5" s="244"/>
      <c r="M5" s="244"/>
      <c r="N5" s="244"/>
      <c r="O5" s="244"/>
      <c r="P5" s="6"/>
      <c r="Q5" s="6"/>
      <c r="R5" s="6"/>
      <c r="S5" s="6"/>
    </row>
    <row r="6" spans="1:19" ht="15.75" x14ac:dyDescent="0.25">
      <c r="E6" s="244"/>
      <c r="F6" s="244"/>
      <c r="G6" s="244"/>
      <c r="H6" s="244"/>
      <c r="I6" s="244"/>
      <c r="J6" s="244"/>
      <c r="K6" s="244"/>
      <c r="L6" s="244"/>
      <c r="M6" s="244"/>
      <c r="N6" s="244"/>
      <c r="O6" s="244"/>
      <c r="P6" s="6"/>
      <c r="Q6" s="6"/>
      <c r="R6" s="6"/>
      <c r="S6" s="6"/>
    </row>
    <row r="7" spans="1:19" ht="15.75" x14ac:dyDescent="0.25">
      <c r="D7" s="7"/>
      <c r="F7" s="73"/>
      <c r="G7" s="73"/>
      <c r="H7" s="73"/>
      <c r="I7" s="73"/>
      <c r="J7" s="73"/>
      <c r="K7" s="73"/>
      <c r="L7" s="73"/>
      <c r="M7" s="73"/>
      <c r="N7" s="73"/>
      <c r="O7" s="73"/>
      <c r="P7" s="6"/>
      <c r="Q7" s="6"/>
      <c r="R7" s="6"/>
      <c r="S7" s="6"/>
    </row>
    <row r="8" spans="1:19" ht="20.25" x14ac:dyDescent="0.3">
      <c r="A8" s="137" t="s">
        <v>1660</v>
      </c>
      <c r="B8" s="5"/>
      <c r="C8" s="5"/>
      <c r="D8" s="7"/>
      <c r="F8" s="73"/>
      <c r="G8" s="73"/>
      <c r="H8" s="73"/>
      <c r="I8" s="73"/>
      <c r="J8" s="73"/>
      <c r="K8" s="73"/>
      <c r="L8" s="73"/>
      <c r="M8" s="73"/>
      <c r="N8" s="73"/>
      <c r="O8" s="73"/>
      <c r="P8" s="6"/>
      <c r="Q8" s="6"/>
      <c r="R8" s="6"/>
      <c r="S8" s="6"/>
    </row>
    <row r="9" spans="1:19" ht="15.75" x14ac:dyDescent="0.25">
      <c r="A9" s="249" t="s">
        <v>1580</v>
      </c>
      <c r="B9" s="295" t="s">
        <v>15</v>
      </c>
      <c r="C9" s="295"/>
      <c r="D9" s="47"/>
      <c r="F9" s="73"/>
      <c r="G9" s="73"/>
      <c r="H9" s="73"/>
      <c r="I9" s="73"/>
      <c r="J9" s="73"/>
      <c r="K9" s="73"/>
      <c r="L9" s="73"/>
      <c r="M9" s="73"/>
      <c r="N9" s="73"/>
      <c r="O9" s="73"/>
      <c r="P9" s="6"/>
      <c r="Q9" s="6"/>
      <c r="R9" s="6"/>
      <c r="S9" s="6"/>
    </row>
    <row r="10" spans="1:19" ht="15.75" x14ac:dyDescent="0.25">
      <c r="A10" s="249" t="s">
        <v>1661</v>
      </c>
      <c r="B10" s="296"/>
      <c r="C10" s="296"/>
      <c r="D10" s="74"/>
      <c r="F10" s="238"/>
      <c r="G10" s="238"/>
      <c r="H10" s="238"/>
      <c r="I10" s="238"/>
      <c r="J10" s="238"/>
      <c r="K10" s="238"/>
      <c r="L10" s="238"/>
      <c r="M10" s="238"/>
      <c r="N10" s="238"/>
      <c r="O10" s="238"/>
      <c r="P10" s="6"/>
      <c r="Q10" s="6"/>
      <c r="R10" s="6"/>
      <c r="S10" s="6"/>
    </row>
    <row r="11" spans="1:19" ht="15.75" x14ac:dyDescent="0.25">
      <c r="A11" s="249" t="s">
        <v>1581</v>
      </c>
      <c r="B11" s="295"/>
      <c r="C11" s="295"/>
      <c r="D11" s="74"/>
      <c r="F11" s="5"/>
      <c r="G11" s="5"/>
      <c r="H11" s="5"/>
      <c r="I11" s="5"/>
      <c r="J11" s="5"/>
      <c r="K11" s="5"/>
      <c r="L11" s="5"/>
      <c r="M11" s="5"/>
      <c r="N11" s="5"/>
      <c r="O11" s="5"/>
      <c r="P11" s="5"/>
      <c r="Q11" s="5"/>
      <c r="R11" s="5"/>
      <c r="S11" s="5"/>
    </row>
    <row r="12" spans="1:19" ht="30" customHeight="1" x14ac:dyDescent="0.25">
      <c r="A12" s="297" t="s">
        <v>1662</v>
      </c>
      <c r="B12" s="298"/>
      <c r="C12" s="298"/>
      <c r="D12" s="245"/>
      <c r="F12" s="5"/>
      <c r="G12" s="5"/>
      <c r="H12" s="5"/>
      <c r="I12" s="5"/>
      <c r="J12" s="5"/>
      <c r="K12" s="5"/>
      <c r="L12" s="5"/>
      <c r="M12" s="5"/>
      <c r="N12" s="5"/>
      <c r="O12" s="5"/>
      <c r="P12" s="5"/>
      <c r="Q12" s="5"/>
      <c r="R12" s="5"/>
      <c r="S12" s="5"/>
    </row>
    <row r="13" spans="1:19" ht="15.6" customHeight="1" x14ac:dyDescent="0.25">
      <c r="A13" s="75"/>
      <c r="B13" s="76" t="s">
        <v>1752</v>
      </c>
      <c r="C13" s="76" t="s">
        <v>1753</v>
      </c>
      <c r="D13" s="77"/>
      <c r="E13" s="244"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75" t="str">
        <f>RIGHT(B9,4)&amp;"–"&amp;RIGHT(B9,4)+1</f>
        <v>2024–2025</v>
      </c>
      <c r="B14" s="2"/>
      <c r="C14" s="2"/>
      <c r="D14" s="78"/>
      <c r="E14" s="273" t="s">
        <v>1754</v>
      </c>
      <c r="F14" s="5"/>
      <c r="G14" s="5"/>
      <c r="H14" s="5"/>
      <c r="I14" s="5"/>
      <c r="J14" s="5"/>
      <c r="K14" s="5"/>
      <c r="L14" s="5"/>
      <c r="M14" s="5"/>
      <c r="N14" s="5"/>
      <c r="O14" s="5"/>
      <c r="P14" s="5"/>
      <c r="Q14" s="5"/>
      <c r="R14" s="5"/>
      <c r="S14" s="5"/>
    </row>
    <row r="15" spans="1:19" ht="15.75" x14ac:dyDescent="0.25">
      <c r="A15" s="75" t="str">
        <f>LEFT(A14,4)+1&amp;"–"&amp;RIGHT(A14,4)+1</f>
        <v>2025–2026</v>
      </c>
      <c r="B15" s="2"/>
      <c r="C15" s="2"/>
      <c r="D15" s="54"/>
      <c r="E15" s="273"/>
      <c r="F15" s="5"/>
      <c r="G15" s="5"/>
      <c r="H15" s="5"/>
      <c r="I15" s="5"/>
      <c r="J15" s="5"/>
      <c r="K15" s="5"/>
      <c r="L15" s="5"/>
      <c r="M15" s="5"/>
      <c r="N15" s="5"/>
      <c r="O15" s="5"/>
      <c r="P15" s="5"/>
      <c r="Q15" s="5"/>
      <c r="R15" s="5"/>
      <c r="S15" s="5"/>
    </row>
    <row r="16" spans="1:19" ht="15.75" x14ac:dyDescent="0.25">
      <c r="A16" s="75" t="str">
        <f>LEFT(A15,4)+1&amp;"–"&amp;RIGHT(A15,4)+1</f>
        <v>2026–2027</v>
      </c>
      <c r="B16" s="2"/>
      <c r="C16" s="2"/>
      <c r="D16" s="54"/>
      <c r="E16" s="273"/>
      <c r="F16" s="5"/>
      <c r="G16" s="5"/>
      <c r="H16" s="5"/>
      <c r="I16" s="5"/>
      <c r="J16" s="5"/>
      <c r="K16" s="5"/>
      <c r="L16" s="5"/>
      <c r="M16" s="5"/>
      <c r="N16" s="5"/>
      <c r="O16" s="5"/>
      <c r="P16" s="5"/>
      <c r="Q16" s="5"/>
      <c r="R16" s="5"/>
      <c r="S16" s="5"/>
    </row>
    <row r="17" spans="1:19" ht="15.75" x14ac:dyDescent="0.25">
      <c r="A17" s="75" t="str">
        <f>LEFT(A16,4)+1&amp;"–"&amp;RIGHT(A16,4)+1</f>
        <v>2027–2028</v>
      </c>
      <c r="B17" s="2"/>
      <c r="C17" s="2"/>
      <c r="D17" s="54"/>
      <c r="E17" s="273"/>
      <c r="F17" s="5"/>
      <c r="G17" s="5"/>
      <c r="H17" s="5"/>
      <c r="I17" s="5"/>
      <c r="J17" s="5"/>
      <c r="K17" s="5"/>
      <c r="L17" s="5"/>
      <c r="M17" s="5"/>
      <c r="N17" s="5"/>
      <c r="O17" s="5"/>
      <c r="P17" s="5"/>
      <c r="Q17" s="5"/>
      <c r="R17" s="5"/>
      <c r="S17" s="5"/>
    </row>
    <row r="18" spans="1:19" ht="15.75" x14ac:dyDescent="0.25">
      <c r="A18" s="75" t="str">
        <f>LEFT(A17,4)+1&amp;"–"&amp;RIGHT(A17,4)+1</f>
        <v>2028–2029</v>
      </c>
      <c r="B18" s="2"/>
      <c r="C18" s="2"/>
      <c r="D18" s="54"/>
      <c r="E18" s="242"/>
      <c r="F18" s="5"/>
      <c r="G18" s="79"/>
      <c r="H18" s="79"/>
      <c r="I18" s="5"/>
      <c r="J18" s="79"/>
      <c r="K18" s="79"/>
      <c r="L18" s="5"/>
      <c r="M18" s="5"/>
      <c r="N18" s="5"/>
      <c r="O18" s="5"/>
      <c r="P18" s="5"/>
      <c r="Q18" s="5"/>
      <c r="R18" s="5"/>
      <c r="S18" s="5"/>
    </row>
    <row r="19" spans="1:19" ht="15.75" x14ac:dyDescent="0.25">
      <c r="A19" s="75" t="str">
        <f>LEFT(A18,4)+1&amp;"–"&amp;RIGHT(A18,4)+5</f>
        <v>2029–2034</v>
      </c>
      <c r="B19" s="2"/>
      <c r="C19" s="2"/>
      <c r="D19" s="54"/>
      <c r="E19" s="52" t="str">
        <f>"If yes, record the dollar amount of variable receipts below for fiscal year "&amp;$B$9&amp;":"</f>
        <v>If yes, record the dollar amount of variable receipts below for fiscal year 2023–2024:</v>
      </c>
      <c r="F19" s="5"/>
      <c r="G19" s="79"/>
      <c r="H19" s="79"/>
      <c r="I19" s="5"/>
      <c r="J19" s="79"/>
      <c r="K19" s="79"/>
      <c r="L19" s="5"/>
      <c r="M19" s="5"/>
      <c r="N19" s="5"/>
      <c r="O19" s="5"/>
      <c r="P19" s="5"/>
      <c r="Q19" s="5"/>
      <c r="R19" s="5"/>
      <c r="S19" s="5"/>
    </row>
    <row r="20" spans="1:19" ht="15.6" customHeight="1" x14ac:dyDescent="0.25">
      <c r="A20" s="75" t="str">
        <f t="shared" ref="A20:A37" si="0">LEFT(A19,4)+5&amp;"–"&amp;RIGHT(A19,4)+5</f>
        <v>2034–2039</v>
      </c>
      <c r="B20" s="2"/>
      <c r="C20" s="2"/>
      <c r="D20" s="54"/>
      <c r="E20" s="242"/>
      <c r="F20" s="5"/>
      <c r="G20" s="79"/>
      <c r="H20" s="79"/>
      <c r="I20" s="5"/>
      <c r="J20" s="5"/>
      <c r="K20" s="5"/>
      <c r="L20" s="5"/>
      <c r="M20" s="5"/>
      <c r="N20" s="5"/>
      <c r="O20" s="5"/>
      <c r="P20" s="5"/>
      <c r="Q20" s="5"/>
      <c r="R20" s="5"/>
      <c r="S20" s="5"/>
    </row>
    <row r="21" spans="1:19" x14ac:dyDescent="0.2">
      <c r="A21" s="75" t="str">
        <f t="shared" si="0"/>
        <v>2039–2044</v>
      </c>
      <c r="B21" s="2"/>
      <c r="C21" s="2"/>
      <c r="D21" s="54"/>
      <c r="E21" s="273" t="str">
        <f>"2. Did you grant any lease incentives to the lessee during fiscal year "&amp;$B$9&amp;"? If so, record the amount below:"</f>
        <v>2. Did you grant any lease incentives to the lessee during fiscal year 2023–2024? If so, record the amount below:</v>
      </c>
      <c r="G21" s="20"/>
      <c r="H21" s="20"/>
    </row>
    <row r="22" spans="1:19" x14ac:dyDescent="0.2">
      <c r="A22" s="75" t="str">
        <f t="shared" si="0"/>
        <v>2044–2049</v>
      </c>
      <c r="B22" s="2"/>
      <c r="C22" s="2"/>
      <c r="D22" s="54"/>
      <c r="E22" s="273"/>
      <c r="G22" s="20"/>
      <c r="H22" s="20"/>
    </row>
    <row r="23" spans="1:19" x14ac:dyDescent="0.2">
      <c r="A23" s="75" t="str">
        <f t="shared" si="0"/>
        <v>2049–2054</v>
      </c>
      <c r="B23" s="2"/>
      <c r="C23" s="2"/>
      <c r="D23" s="54"/>
      <c r="E23" s="242"/>
      <c r="G23" s="20"/>
      <c r="H23" s="20"/>
    </row>
    <row r="24" spans="1:19" x14ac:dyDescent="0.2">
      <c r="A24" s="75" t="str">
        <f t="shared" si="0"/>
        <v>2054–2059</v>
      </c>
      <c r="B24" s="2"/>
      <c r="C24" s="2"/>
      <c r="D24" s="54"/>
      <c r="E24" s="52"/>
      <c r="G24" s="20"/>
    </row>
    <row r="25" spans="1:19" x14ac:dyDescent="0.2">
      <c r="A25" s="75" t="str">
        <f t="shared" si="0"/>
        <v>2059–2064</v>
      </c>
      <c r="B25" s="2"/>
      <c r="C25" s="2"/>
      <c r="D25" s="54"/>
      <c r="E25" s="52"/>
    </row>
    <row r="26" spans="1:19" ht="15.75" x14ac:dyDescent="0.25">
      <c r="A26" s="75" t="str">
        <f t="shared" si="0"/>
        <v>2064–2069</v>
      </c>
      <c r="B26" s="2"/>
      <c r="C26" s="2"/>
      <c r="D26" s="54"/>
      <c r="E26" s="5"/>
      <c r="F26" s="5"/>
      <c r="G26" s="5"/>
      <c r="H26" s="5"/>
      <c r="I26" s="5"/>
      <c r="J26" s="5"/>
      <c r="K26" s="5"/>
      <c r="L26" s="5"/>
      <c r="M26" s="5"/>
      <c r="N26" s="5"/>
      <c r="O26" s="5"/>
      <c r="P26" s="5"/>
      <c r="Q26" s="5"/>
      <c r="R26" s="5"/>
      <c r="S26" s="5"/>
    </row>
    <row r="27" spans="1:19" ht="15.75" x14ac:dyDescent="0.25">
      <c r="A27" s="75" t="str">
        <f t="shared" si="0"/>
        <v>2069–2074</v>
      </c>
      <c r="B27" s="2"/>
      <c r="C27" s="2"/>
      <c r="D27" s="54"/>
      <c r="E27" s="5"/>
      <c r="F27" s="5"/>
      <c r="G27" s="5"/>
      <c r="H27" s="5"/>
      <c r="I27" s="5"/>
      <c r="J27" s="5"/>
      <c r="K27" s="5"/>
      <c r="L27" s="5"/>
      <c r="M27" s="5"/>
      <c r="N27" s="5"/>
      <c r="O27" s="5"/>
      <c r="P27" s="5"/>
      <c r="Q27" s="5"/>
      <c r="R27" s="5"/>
      <c r="S27" s="5"/>
    </row>
    <row r="28" spans="1:19" x14ac:dyDescent="0.2">
      <c r="A28" s="75" t="str">
        <f t="shared" si="0"/>
        <v>2074–2079</v>
      </c>
      <c r="B28" s="2"/>
      <c r="C28" s="2"/>
      <c r="D28" s="54"/>
      <c r="E28" s="11"/>
    </row>
    <row r="29" spans="1:19" x14ac:dyDescent="0.2">
      <c r="A29" s="75" t="str">
        <f t="shared" si="0"/>
        <v>2079–2084</v>
      </c>
      <c r="B29" s="2"/>
      <c r="C29" s="2"/>
      <c r="D29" s="54"/>
      <c r="E29" s="72"/>
    </row>
    <row r="30" spans="1:19" x14ac:dyDescent="0.2">
      <c r="A30" s="75" t="str">
        <f t="shared" si="0"/>
        <v>2084–2089</v>
      </c>
      <c r="B30" s="2"/>
      <c r="C30" s="2"/>
      <c r="D30" s="54"/>
      <c r="E30" s="7"/>
      <c r="F30" s="241"/>
      <c r="G30" s="241"/>
      <c r="H30" s="241"/>
      <c r="I30" s="241"/>
      <c r="J30" s="241"/>
      <c r="K30" s="241"/>
      <c r="L30" s="241"/>
      <c r="M30" s="241"/>
      <c r="N30" s="241"/>
      <c r="O30" s="241"/>
      <c r="P30" s="241"/>
    </row>
    <row r="31" spans="1:19" x14ac:dyDescent="0.2">
      <c r="A31" s="75" t="str">
        <f t="shared" si="0"/>
        <v>2089–2094</v>
      </c>
      <c r="B31" s="2"/>
      <c r="C31" s="2"/>
      <c r="D31" s="54"/>
      <c r="E31" s="7"/>
      <c r="F31" s="241"/>
      <c r="G31" s="241"/>
      <c r="H31" s="241"/>
      <c r="I31" s="241"/>
      <c r="J31" s="241"/>
      <c r="K31" s="241"/>
      <c r="L31" s="241"/>
      <c r="M31" s="241"/>
      <c r="N31" s="241"/>
      <c r="O31" s="241"/>
      <c r="P31" s="241"/>
    </row>
    <row r="32" spans="1:19" x14ac:dyDescent="0.2">
      <c r="A32" s="75" t="str">
        <f t="shared" si="0"/>
        <v>2094–2099</v>
      </c>
      <c r="B32" s="2"/>
      <c r="C32" s="2"/>
      <c r="D32" s="54"/>
      <c r="E32" s="7"/>
      <c r="F32" s="7"/>
      <c r="G32" s="7"/>
      <c r="H32" s="7"/>
      <c r="I32" s="7"/>
      <c r="J32" s="7"/>
      <c r="K32" s="7"/>
      <c r="L32" s="7"/>
      <c r="M32" s="7"/>
      <c r="N32" s="7"/>
      <c r="O32" s="7"/>
      <c r="P32" s="7"/>
      <c r="Q32" s="7"/>
      <c r="R32" s="7"/>
      <c r="S32" s="7"/>
    </row>
    <row r="33" spans="1:19" x14ac:dyDescent="0.2">
      <c r="A33" s="75" t="str">
        <f t="shared" si="0"/>
        <v>2099–2104</v>
      </c>
      <c r="B33" s="2"/>
      <c r="C33" s="2"/>
      <c r="D33" s="54"/>
      <c r="E33" s="7"/>
      <c r="F33" s="7"/>
      <c r="G33" s="7"/>
      <c r="H33" s="7"/>
      <c r="I33" s="7"/>
      <c r="J33" s="7"/>
      <c r="K33" s="7"/>
      <c r="L33" s="7"/>
      <c r="M33" s="7"/>
      <c r="N33" s="7"/>
      <c r="O33" s="7"/>
      <c r="P33" s="7"/>
      <c r="Q33" s="7"/>
      <c r="R33" s="7"/>
      <c r="S33" s="7"/>
    </row>
    <row r="34" spans="1:19" x14ac:dyDescent="0.2">
      <c r="A34" s="75" t="str">
        <f t="shared" si="0"/>
        <v>2104–2109</v>
      </c>
      <c r="B34" s="2"/>
      <c r="C34" s="2"/>
      <c r="D34" s="54"/>
    </row>
    <row r="35" spans="1:19" x14ac:dyDescent="0.2">
      <c r="A35" s="75" t="str">
        <f t="shared" si="0"/>
        <v>2109–2114</v>
      </c>
      <c r="B35" s="2"/>
      <c r="C35" s="2"/>
      <c r="D35" s="54"/>
    </row>
    <row r="36" spans="1:19" x14ac:dyDescent="0.2">
      <c r="A36" s="75" t="str">
        <f t="shared" si="0"/>
        <v>2114–2119</v>
      </c>
      <c r="B36" s="2"/>
      <c r="C36" s="2"/>
      <c r="D36" s="54"/>
    </row>
    <row r="37" spans="1:19" x14ac:dyDescent="0.2">
      <c r="A37" s="75" t="str">
        <f t="shared" si="0"/>
        <v>2119–2124</v>
      </c>
      <c r="B37" s="2"/>
      <c r="C37" s="2"/>
      <c r="D37" s="54"/>
      <c r="F37" s="80"/>
      <c r="G37" s="80"/>
      <c r="H37" s="80"/>
      <c r="I37" s="80"/>
    </row>
    <row r="38" spans="1:19" x14ac:dyDescent="0.2">
      <c r="E38" s="81"/>
      <c r="F38" s="80"/>
      <c r="G38" s="80"/>
      <c r="H38" s="80"/>
      <c r="I38" s="80"/>
    </row>
    <row r="39" spans="1:19" ht="20.25" x14ac:dyDescent="0.3">
      <c r="A39" s="137" t="s">
        <v>1667</v>
      </c>
      <c r="F39" s="80"/>
      <c r="G39" s="80"/>
      <c r="H39" s="80"/>
      <c r="I39" s="80"/>
    </row>
    <row r="40" spans="1:19" ht="15.75" x14ac:dyDescent="0.25">
      <c r="A40" s="249" t="s">
        <v>1580</v>
      </c>
      <c r="B40" s="269" t="str">
        <f>B9</f>
        <v>2023–2024</v>
      </c>
      <c r="C40" s="269"/>
      <c r="D40" s="250"/>
      <c r="F40" s="80"/>
      <c r="G40" s="80"/>
      <c r="H40" s="80"/>
      <c r="I40" s="80"/>
    </row>
    <row r="41" spans="1:19" ht="15.75" x14ac:dyDescent="0.25">
      <c r="A41" s="249" t="s">
        <v>1661</v>
      </c>
      <c r="B41" s="285">
        <f>B10</f>
        <v>0</v>
      </c>
      <c r="C41" s="285"/>
      <c r="D41" s="246"/>
    </row>
    <row r="42" spans="1:19" ht="15.75" x14ac:dyDescent="0.25">
      <c r="A42" s="249" t="s">
        <v>1581</v>
      </c>
      <c r="B42" s="269">
        <f>B11</f>
        <v>0</v>
      </c>
      <c r="C42" s="269"/>
      <c r="D42" s="241"/>
    </row>
    <row r="43" spans="1:19" ht="30" customHeight="1" x14ac:dyDescent="0.25">
      <c r="A43" s="297" t="s">
        <v>1662</v>
      </c>
      <c r="B43" s="298"/>
      <c r="C43" s="298"/>
      <c r="D43" s="245"/>
      <c r="F43" s="5"/>
      <c r="G43" s="5"/>
      <c r="H43" s="5"/>
      <c r="I43" s="5"/>
      <c r="J43" s="5"/>
      <c r="K43" s="5"/>
      <c r="L43" s="5"/>
      <c r="M43" s="5"/>
      <c r="N43" s="5"/>
      <c r="O43" s="5"/>
      <c r="P43" s="5"/>
      <c r="Q43" s="5"/>
      <c r="R43" s="5"/>
      <c r="S43" s="5"/>
    </row>
    <row r="44" spans="1:19" ht="15.75" x14ac:dyDescent="0.25">
      <c r="A44" s="75"/>
      <c r="B44" s="76" t="s">
        <v>1752</v>
      </c>
      <c r="C44" s="76" t="s">
        <v>1753</v>
      </c>
      <c r="D44" s="82"/>
      <c r="E44" s="244" t="str">
        <f>"All of this worksheet's questions are for Fiscal Year "&amp;$B$9&amp;":"</f>
        <v>All of this worksheet's questions are for Fiscal Year 2023–2024:</v>
      </c>
    </row>
    <row r="45" spans="1:19" ht="15" customHeight="1" x14ac:dyDescent="0.2">
      <c r="A45" s="75" t="str">
        <f>RIGHT(B40,4)&amp;"–"&amp;RIGHT(B40,4)+1</f>
        <v>2024–2025</v>
      </c>
      <c r="B45" s="2"/>
      <c r="C45" s="2"/>
      <c r="D45" s="54"/>
      <c r="E45" s="273" t="s">
        <v>1754</v>
      </c>
    </row>
    <row r="46" spans="1:19" x14ac:dyDescent="0.2">
      <c r="A46" s="75" t="str">
        <f>LEFT(A45,4)+1&amp;"–"&amp;RIGHT(A45,4)+1</f>
        <v>2025–2026</v>
      </c>
      <c r="B46" s="2"/>
      <c r="C46" s="2"/>
      <c r="D46" s="54"/>
      <c r="E46" s="273"/>
    </row>
    <row r="47" spans="1:19" x14ac:dyDescent="0.2">
      <c r="A47" s="75" t="str">
        <f>LEFT(A46,4)+1&amp;"–"&amp;RIGHT(A46,4)+1</f>
        <v>2026–2027</v>
      </c>
      <c r="B47" s="2"/>
      <c r="C47" s="2"/>
      <c r="D47" s="54"/>
      <c r="E47" s="273"/>
    </row>
    <row r="48" spans="1:19" ht="15" customHeight="1" x14ac:dyDescent="0.2">
      <c r="A48" s="75" t="str">
        <f>LEFT(A47,4)+1&amp;"–"&amp;RIGHT(A47,4)+1</f>
        <v>2027–2028</v>
      </c>
      <c r="B48" s="2"/>
      <c r="C48" s="2"/>
      <c r="D48" s="78"/>
      <c r="E48" s="273"/>
    </row>
    <row r="49" spans="1:19" x14ac:dyDescent="0.2">
      <c r="A49" s="75" t="str">
        <f>LEFT(A48,4)+1&amp;"–"&amp;RIGHT(A48,4)+1</f>
        <v>2028–2029</v>
      </c>
      <c r="B49" s="2"/>
      <c r="C49" s="2"/>
      <c r="D49" s="78"/>
      <c r="E49" s="242"/>
    </row>
    <row r="50" spans="1:19" x14ac:dyDescent="0.2">
      <c r="A50" s="75" t="str">
        <f>LEFT(A49,4)+1&amp;"–"&amp;RIGHT(A49,4)+5</f>
        <v>2029–2034</v>
      </c>
      <c r="B50" s="2"/>
      <c r="C50" s="2"/>
      <c r="D50" s="54"/>
      <c r="E50" s="52" t="str">
        <f>"If yes, record the dollar amount of variable receipts below for fiscal year "&amp;$B$9&amp;":"</f>
        <v>If yes, record the dollar amount of variable receipts below for fiscal year 2023–2024:</v>
      </c>
    </row>
    <row r="51" spans="1:19" x14ac:dyDescent="0.2">
      <c r="A51" s="75" t="str">
        <f t="shared" ref="A51:A68" si="1">LEFT(A50,4)+5&amp;"–"&amp;RIGHT(A50,4)+5</f>
        <v>2034–2039</v>
      </c>
      <c r="B51" s="2"/>
      <c r="C51" s="2"/>
      <c r="D51" s="54"/>
      <c r="E51" s="242"/>
    </row>
    <row r="52" spans="1:19" x14ac:dyDescent="0.2">
      <c r="A52" s="75" t="str">
        <f t="shared" si="1"/>
        <v>2039–2044</v>
      </c>
      <c r="B52" s="2"/>
      <c r="C52" s="2"/>
      <c r="D52" s="54"/>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75" t="str">
        <f t="shared" si="1"/>
        <v>2044–2049</v>
      </c>
      <c r="B53" s="2"/>
      <c r="C53" s="2"/>
      <c r="D53" s="54"/>
      <c r="E53" s="273"/>
    </row>
    <row r="54" spans="1:19" ht="15" customHeight="1" x14ac:dyDescent="0.2">
      <c r="A54" s="75" t="str">
        <f t="shared" si="1"/>
        <v>2049–2054</v>
      </c>
      <c r="B54" s="2"/>
      <c r="C54" s="2"/>
      <c r="D54" s="54"/>
      <c r="E54" s="242"/>
    </row>
    <row r="55" spans="1:19" x14ac:dyDescent="0.2">
      <c r="A55" s="75" t="str">
        <f t="shared" si="1"/>
        <v>2054–2059</v>
      </c>
      <c r="B55" s="2"/>
      <c r="C55" s="2"/>
      <c r="D55" s="54"/>
      <c r="E55" s="52"/>
    </row>
    <row r="56" spans="1:19" x14ac:dyDescent="0.2">
      <c r="A56" s="75" t="str">
        <f t="shared" si="1"/>
        <v>2059–2064</v>
      </c>
      <c r="B56" s="2"/>
      <c r="C56" s="2"/>
      <c r="D56" s="54"/>
      <c r="E56" s="52"/>
    </row>
    <row r="57" spans="1:19" ht="15.75" x14ac:dyDescent="0.25">
      <c r="A57" s="75" t="str">
        <f t="shared" si="1"/>
        <v>2064–2069</v>
      </c>
      <c r="B57" s="2"/>
      <c r="C57" s="2"/>
      <c r="D57" s="54"/>
      <c r="E57" s="5"/>
    </row>
    <row r="58" spans="1:19" ht="15.75" x14ac:dyDescent="0.25">
      <c r="A58" s="75" t="str">
        <f t="shared" si="1"/>
        <v>2069–2074</v>
      </c>
      <c r="B58" s="2"/>
      <c r="C58" s="2"/>
      <c r="D58" s="54"/>
      <c r="E58" s="5"/>
      <c r="F58" s="83"/>
      <c r="G58" s="83"/>
      <c r="H58" s="250"/>
      <c r="I58" s="250"/>
      <c r="J58" s="250"/>
      <c r="K58" s="250"/>
      <c r="L58" s="250"/>
      <c r="M58" s="250"/>
      <c r="N58" s="250"/>
      <c r="O58" s="250"/>
      <c r="P58" s="250"/>
      <c r="Q58" s="250"/>
      <c r="R58" s="250"/>
      <c r="S58" s="250"/>
    </row>
    <row r="59" spans="1:19" x14ac:dyDescent="0.2">
      <c r="A59" s="75" t="str">
        <f t="shared" si="1"/>
        <v>2074–2079</v>
      </c>
      <c r="B59" s="2"/>
      <c r="C59" s="2"/>
      <c r="D59" s="54"/>
      <c r="E59" s="11"/>
      <c r="F59" s="250"/>
      <c r="G59" s="250"/>
      <c r="H59" s="250"/>
      <c r="I59" s="250"/>
      <c r="J59" s="250"/>
      <c r="K59" s="250"/>
      <c r="L59" s="250"/>
      <c r="M59" s="250"/>
      <c r="N59" s="250"/>
      <c r="O59" s="250"/>
      <c r="P59" s="250"/>
      <c r="Q59" s="250"/>
      <c r="R59" s="250"/>
      <c r="S59" s="250"/>
    </row>
    <row r="60" spans="1:19" x14ac:dyDescent="0.2">
      <c r="A60" s="75" t="str">
        <f t="shared" si="1"/>
        <v>2079–2084</v>
      </c>
      <c r="B60" s="2"/>
      <c r="C60" s="2"/>
      <c r="D60" s="54"/>
      <c r="F60" s="250"/>
      <c r="G60" s="250"/>
      <c r="H60" s="250"/>
      <c r="I60" s="250"/>
      <c r="J60" s="250"/>
      <c r="K60" s="250"/>
      <c r="L60" s="250"/>
      <c r="M60" s="250"/>
      <c r="N60" s="250"/>
      <c r="O60" s="250"/>
      <c r="P60" s="250"/>
      <c r="Q60" s="250"/>
      <c r="R60" s="250"/>
      <c r="S60" s="250"/>
    </row>
    <row r="61" spans="1:19" ht="15.75" x14ac:dyDescent="0.25">
      <c r="A61" s="75" t="str">
        <f t="shared" si="1"/>
        <v>2084–2089</v>
      </c>
      <c r="B61" s="2"/>
      <c r="C61" s="2"/>
      <c r="D61" s="54"/>
      <c r="F61" s="6"/>
      <c r="G61" s="6"/>
      <c r="H61" s="6"/>
      <c r="I61" s="6"/>
      <c r="J61" s="6"/>
      <c r="K61" s="6"/>
      <c r="L61" s="6"/>
      <c r="M61" s="6"/>
      <c r="N61" s="6"/>
      <c r="O61" s="6"/>
      <c r="P61" s="6"/>
      <c r="Q61" s="6"/>
      <c r="R61" s="6"/>
      <c r="S61" s="6"/>
    </row>
    <row r="62" spans="1:19" x14ac:dyDescent="0.2">
      <c r="A62" s="75" t="str">
        <f t="shared" si="1"/>
        <v>2089–2094</v>
      </c>
      <c r="B62" s="2"/>
      <c r="C62" s="2"/>
      <c r="D62" s="54"/>
    </row>
    <row r="63" spans="1:19" ht="15.75" x14ac:dyDescent="0.25">
      <c r="A63" s="75" t="str">
        <f t="shared" si="1"/>
        <v>2094–2099</v>
      </c>
      <c r="B63" s="2"/>
      <c r="C63" s="2"/>
      <c r="D63" s="54"/>
      <c r="E63" s="249"/>
    </row>
    <row r="64" spans="1:19" ht="15.75" x14ac:dyDescent="0.25">
      <c r="A64" s="75" t="str">
        <f t="shared" si="1"/>
        <v>2099–2104</v>
      </c>
      <c r="B64" s="2"/>
      <c r="C64" s="2"/>
      <c r="D64" s="54"/>
      <c r="E64" s="249"/>
    </row>
    <row r="65" spans="1:19" ht="15.75" x14ac:dyDescent="0.25">
      <c r="A65" s="75" t="str">
        <f t="shared" si="1"/>
        <v>2104–2109</v>
      </c>
      <c r="B65" s="2"/>
      <c r="C65" s="2"/>
      <c r="D65" s="54"/>
      <c r="E65" s="249"/>
    </row>
    <row r="66" spans="1:19" x14ac:dyDescent="0.2">
      <c r="A66" s="75" t="str">
        <f t="shared" si="1"/>
        <v>2109–2114</v>
      </c>
      <c r="B66" s="2"/>
      <c r="C66" s="2"/>
      <c r="D66" s="54"/>
    </row>
    <row r="67" spans="1:19" x14ac:dyDescent="0.2">
      <c r="A67" s="75" t="str">
        <f t="shared" si="1"/>
        <v>2114–2119</v>
      </c>
      <c r="B67" s="2"/>
      <c r="C67" s="2"/>
      <c r="D67" s="54"/>
    </row>
    <row r="68" spans="1:19" x14ac:dyDescent="0.2">
      <c r="A68" s="75" t="str">
        <f t="shared" si="1"/>
        <v>2119–2124</v>
      </c>
      <c r="B68" s="2"/>
      <c r="C68" s="2"/>
      <c r="D68" s="54"/>
    </row>
    <row r="69" spans="1:19" x14ac:dyDescent="0.2">
      <c r="E69" s="81"/>
    </row>
    <row r="70" spans="1:19" ht="20.25" x14ac:dyDescent="0.3">
      <c r="A70" s="137" t="s">
        <v>1668</v>
      </c>
    </row>
    <row r="71" spans="1:19" ht="15.75" x14ac:dyDescent="0.25">
      <c r="A71" s="249" t="s">
        <v>1580</v>
      </c>
      <c r="B71" s="269" t="str">
        <f>B40</f>
        <v>2023–2024</v>
      </c>
      <c r="C71" s="269"/>
      <c r="D71" s="250"/>
    </row>
    <row r="72" spans="1:19" ht="15.75" x14ac:dyDescent="0.25">
      <c r="A72" s="249" t="s">
        <v>1661</v>
      </c>
      <c r="B72" s="285">
        <f>B41</f>
        <v>0</v>
      </c>
      <c r="C72" s="285"/>
      <c r="D72" s="246"/>
    </row>
    <row r="73" spans="1:19" ht="15.75" x14ac:dyDescent="0.25">
      <c r="A73" s="249" t="s">
        <v>1581</v>
      </c>
      <c r="B73" s="269">
        <f>B42</f>
        <v>0</v>
      </c>
      <c r="C73" s="269"/>
      <c r="D73" s="241"/>
    </row>
    <row r="74" spans="1:19" ht="30" customHeight="1" x14ac:dyDescent="0.25">
      <c r="A74" s="297" t="s">
        <v>1662</v>
      </c>
      <c r="B74" s="298"/>
      <c r="C74" s="298"/>
      <c r="D74" s="245"/>
      <c r="F74" s="5"/>
      <c r="G74" s="5"/>
      <c r="H74" s="5"/>
      <c r="I74" s="5"/>
      <c r="J74" s="5"/>
      <c r="K74" s="5"/>
      <c r="L74" s="5"/>
      <c r="M74" s="5"/>
      <c r="N74" s="5"/>
      <c r="O74" s="5"/>
      <c r="P74" s="5"/>
      <c r="Q74" s="5"/>
      <c r="R74" s="5"/>
      <c r="S74" s="5"/>
    </row>
    <row r="75" spans="1:19" ht="15.75" x14ac:dyDescent="0.25">
      <c r="A75" s="75"/>
      <c r="B75" s="76" t="s">
        <v>1752</v>
      </c>
      <c r="C75" s="76" t="s">
        <v>1753</v>
      </c>
      <c r="D75" s="82"/>
      <c r="E75" s="244" t="str">
        <f>"All of this worksheet's questions are for Fiscal Year "&amp;$B$9&amp;":"</f>
        <v>All of this worksheet's questions are for Fiscal Year 2023–2024:</v>
      </c>
    </row>
    <row r="76" spans="1:19" ht="15" customHeight="1" x14ac:dyDescent="0.2">
      <c r="A76" s="75" t="str">
        <f>RIGHT(B71,4)&amp;"–"&amp;RIGHT(B71,4)+1</f>
        <v>2024–2025</v>
      </c>
      <c r="B76" s="2"/>
      <c r="C76" s="2"/>
      <c r="D76" s="54"/>
      <c r="E76" s="273" t="s">
        <v>1754</v>
      </c>
    </row>
    <row r="77" spans="1:19" x14ac:dyDescent="0.2">
      <c r="A77" s="75" t="str">
        <f>LEFT(A76,4)+1&amp;"–"&amp;RIGHT(A76,4)+1</f>
        <v>2025–2026</v>
      </c>
      <c r="B77" s="2"/>
      <c r="C77" s="2"/>
      <c r="D77" s="54"/>
      <c r="E77" s="273"/>
    </row>
    <row r="78" spans="1:19" x14ac:dyDescent="0.2">
      <c r="A78" s="75" t="str">
        <f>LEFT(A77,4)+1&amp;"–"&amp;RIGHT(A77,4)+1</f>
        <v>2026–2027</v>
      </c>
      <c r="B78" s="2"/>
      <c r="C78" s="2"/>
      <c r="D78" s="54"/>
      <c r="E78" s="273"/>
    </row>
    <row r="79" spans="1:19" x14ac:dyDescent="0.2">
      <c r="A79" s="75" t="str">
        <f>LEFT(A78,4)+1&amp;"–"&amp;RIGHT(A78,4)+1</f>
        <v>2027–2028</v>
      </c>
      <c r="B79" s="2"/>
      <c r="C79" s="2"/>
      <c r="D79" s="78"/>
      <c r="E79" s="273"/>
    </row>
    <row r="80" spans="1:19" x14ac:dyDescent="0.2">
      <c r="A80" s="75" t="str">
        <f>LEFT(A79,4)+1&amp;"–"&amp;RIGHT(A79,4)+1</f>
        <v>2028–2029</v>
      </c>
      <c r="B80" s="2"/>
      <c r="C80" s="2"/>
      <c r="D80" s="78"/>
      <c r="E80" s="242"/>
    </row>
    <row r="81" spans="1:5" x14ac:dyDescent="0.2">
      <c r="A81" s="75" t="str">
        <f>LEFT(A80,4)+1&amp;"–"&amp;RIGHT(A80,4)+5</f>
        <v>2029–2034</v>
      </c>
      <c r="B81" s="2"/>
      <c r="C81" s="2"/>
      <c r="D81" s="54"/>
      <c r="E81" s="52" t="str">
        <f>"If yes, record the dollar amount of variable receipts below for fiscal year "&amp;$B$9&amp;":"</f>
        <v>If yes, record the dollar amount of variable receipts below for fiscal year 2023–2024:</v>
      </c>
    </row>
    <row r="82" spans="1:5" x14ac:dyDescent="0.2">
      <c r="A82" s="75" t="str">
        <f t="shared" ref="A82:A99" si="2">LEFT(A81,4)+5&amp;"–"&amp;RIGHT(A81,4)+5</f>
        <v>2034–2039</v>
      </c>
      <c r="B82" s="2"/>
      <c r="C82" s="2"/>
      <c r="D82" s="54"/>
      <c r="E82" s="242"/>
    </row>
    <row r="83" spans="1:5" x14ac:dyDescent="0.2">
      <c r="A83" s="75" t="str">
        <f t="shared" si="2"/>
        <v>2039–2044</v>
      </c>
      <c r="B83" s="2"/>
      <c r="C83" s="2"/>
      <c r="D83" s="54"/>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75" t="str">
        <f t="shared" si="2"/>
        <v>2044–2049</v>
      </c>
      <c r="B84" s="2"/>
      <c r="C84" s="2"/>
      <c r="D84" s="54"/>
      <c r="E84" s="273"/>
    </row>
    <row r="85" spans="1:5" ht="15" customHeight="1" x14ac:dyDescent="0.2">
      <c r="A85" s="75" t="str">
        <f t="shared" si="2"/>
        <v>2049–2054</v>
      </c>
      <c r="B85" s="2"/>
      <c r="C85" s="2"/>
      <c r="D85" s="54"/>
      <c r="E85" s="242"/>
    </row>
    <row r="86" spans="1:5" x14ac:dyDescent="0.2">
      <c r="A86" s="75" t="str">
        <f t="shared" si="2"/>
        <v>2054–2059</v>
      </c>
      <c r="B86" s="2"/>
      <c r="C86" s="2"/>
      <c r="D86" s="54"/>
      <c r="E86" s="52"/>
    </row>
    <row r="87" spans="1:5" x14ac:dyDescent="0.2">
      <c r="A87" s="75" t="str">
        <f t="shared" si="2"/>
        <v>2059–2064</v>
      </c>
      <c r="B87" s="2"/>
      <c r="C87" s="2"/>
      <c r="D87" s="54"/>
      <c r="E87" s="52"/>
    </row>
    <row r="88" spans="1:5" ht="15.75" x14ac:dyDescent="0.25">
      <c r="A88" s="75" t="str">
        <f t="shared" si="2"/>
        <v>2064–2069</v>
      </c>
      <c r="B88" s="2"/>
      <c r="C88" s="2"/>
      <c r="D88" s="54"/>
      <c r="E88" s="5"/>
    </row>
    <row r="89" spans="1:5" ht="15.75" x14ac:dyDescent="0.25">
      <c r="A89" s="75" t="str">
        <f t="shared" si="2"/>
        <v>2069–2074</v>
      </c>
      <c r="B89" s="2"/>
      <c r="C89" s="2"/>
      <c r="D89" s="54"/>
      <c r="E89" s="5"/>
    </row>
    <row r="90" spans="1:5" x14ac:dyDescent="0.2">
      <c r="A90" s="75" t="str">
        <f t="shared" si="2"/>
        <v>2074–2079</v>
      </c>
      <c r="B90" s="2"/>
      <c r="C90" s="2"/>
      <c r="D90" s="54"/>
      <c r="E90" s="11"/>
    </row>
    <row r="91" spans="1:5" x14ac:dyDescent="0.2">
      <c r="A91" s="75" t="str">
        <f t="shared" si="2"/>
        <v>2079–2084</v>
      </c>
      <c r="B91" s="2"/>
      <c r="C91" s="2"/>
      <c r="D91" s="54"/>
    </row>
    <row r="92" spans="1:5" x14ac:dyDescent="0.2">
      <c r="A92" s="75" t="str">
        <f t="shared" si="2"/>
        <v>2084–2089</v>
      </c>
      <c r="B92" s="2"/>
      <c r="C92" s="2"/>
      <c r="D92" s="54"/>
    </row>
    <row r="93" spans="1:5" x14ac:dyDescent="0.2">
      <c r="A93" s="75" t="str">
        <f t="shared" si="2"/>
        <v>2089–2094</v>
      </c>
      <c r="B93" s="2"/>
      <c r="C93" s="2"/>
      <c r="D93" s="54"/>
    </row>
    <row r="94" spans="1:5" ht="15.75" x14ac:dyDescent="0.25">
      <c r="A94" s="75" t="str">
        <f t="shared" si="2"/>
        <v>2094–2099</v>
      </c>
      <c r="B94" s="2"/>
      <c r="C94" s="2"/>
      <c r="D94" s="54"/>
      <c r="E94" s="249"/>
    </row>
    <row r="95" spans="1:5" ht="15.75" x14ac:dyDescent="0.25">
      <c r="A95" s="75" t="str">
        <f t="shared" si="2"/>
        <v>2099–2104</v>
      </c>
      <c r="B95" s="2"/>
      <c r="C95" s="2"/>
      <c r="D95" s="54"/>
      <c r="E95" s="249"/>
    </row>
    <row r="96" spans="1:5" ht="15.75" x14ac:dyDescent="0.25">
      <c r="A96" s="75" t="str">
        <f t="shared" si="2"/>
        <v>2104–2109</v>
      </c>
      <c r="B96" s="2"/>
      <c r="C96" s="2"/>
      <c r="D96" s="54"/>
      <c r="E96" s="249"/>
    </row>
    <row r="97" spans="1:4" x14ac:dyDescent="0.2">
      <c r="A97" s="75" t="str">
        <f t="shared" si="2"/>
        <v>2109–2114</v>
      </c>
      <c r="B97" s="2"/>
      <c r="C97" s="2"/>
      <c r="D97" s="54"/>
    </row>
    <row r="98" spans="1:4" x14ac:dyDescent="0.2">
      <c r="A98" s="75" t="str">
        <f t="shared" si="2"/>
        <v>2114–2119</v>
      </c>
      <c r="B98" s="2"/>
      <c r="C98" s="2"/>
      <c r="D98" s="54"/>
    </row>
    <row r="99" spans="1:4" x14ac:dyDescent="0.2">
      <c r="A99" s="75" t="str">
        <f t="shared" si="2"/>
        <v>2119–2124</v>
      </c>
      <c r="B99" s="2"/>
      <c r="C99" s="2"/>
      <c r="D99" s="54"/>
    </row>
    <row r="100" spans="1:4" x14ac:dyDescent="0.2">
      <c r="A100" s="250"/>
      <c r="B100" s="250"/>
      <c r="C100" s="250"/>
      <c r="D100" s="250"/>
    </row>
    <row r="101" spans="1:4" x14ac:dyDescent="0.2">
      <c r="A101" s="252"/>
      <c r="B101" s="252"/>
      <c r="C101" s="252"/>
      <c r="D101" s="252"/>
    </row>
    <row r="102" spans="1:4" x14ac:dyDescent="0.2">
      <c r="A102" s="243"/>
    </row>
    <row r="103" spans="1:4" x14ac:dyDescent="0.2">
      <c r="A103" s="243"/>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A5" sqref="A5:Q7"/>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1755</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1756</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1757</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1758</v>
      </c>
      <c r="E15" s="110" t="s">
        <v>1701</v>
      </c>
      <c r="F15" s="110" t="s">
        <v>1759</v>
      </c>
      <c r="G15" s="110" t="s">
        <v>1701</v>
      </c>
      <c r="H15" s="110" t="s">
        <v>1760</v>
      </c>
      <c r="I15" s="110" t="s">
        <v>1699</v>
      </c>
      <c r="J15" s="110" t="s">
        <v>1702</v>
      </c>
      <c r="K15" s="111"/>
      <c r="L15" s="110"/>
      <c r="M15" s="111"/>
      <c r="N15" s="112" t="s">
        <v>1761</v>
      </c>
      <c r="O15" s="109"/>
      <c r="P15" s="113" t="s">
        <v>1706</v>
      </c>
      <c r="Q15" s="247"/>
    </row>
    <row r="16" spans="1:17" ht="15" customHeight="1" x14ac:dyDescent="0.25">
      <c r="A16" s="114"/>
      <c r="B16" s="115">
        <f>IF('LR-Fund #### Journal Entries'!$E$8="Governmental Fund",'LR-Fund #### Journal Entries'!$J$14,0)</f>
        <v>0</v>
      </c>
      <c r="C16" s="152" t="s">
        <v>1699</v>
      </c>
      <c r="D16" s="115">
        <f>IF('LR-Fund #### Journal Entries'!$E$8="Governmental Fund",'LR-Fund #### Journal Entries'!$J$24,0)</f>
        <v>0</v>
      </c>
      <c r="E16" s="154" t="s">
        <v>1701</v>
      </c>
      <c r="F16" s="115">
        <f>IF('LR-Fund #### Journal Entries'!$E$8="Governmental Fund",'LR-Fund #### Journal Entries'!$K$31,0)</f>
        <v>0</v>
      </c>
      <c r="G16" s="153" t="s">
        <v>1701</v>
      </c>
      <c r="H16" s="115">
        <f>IF('LR-Fund #### Journal Entries'!$E$8="Governmental Fund",'LR-Fund #### Journal Entries'!$K$52,0)</f>
        <v>0</v>
      </c>
      <c r="I16" s="153" t="s">
        <v>1699</v>
      </c>
      <c r="J16" s="115">
        <f>IF('LR-Fund #### Journal Entries'!$E$8="Governmental Fund",'LR-Fund #### Journal Entries'!$J$58,0)</f>
        <v>0</v>
      </c>
      <c r="K16" s="154" t="s">
        <v>1707</v>
      </c>
      <c r="L16" s="118">
        <f>+B16+D16-F16-H16+J16</f>
        <v>0</v>
      </c>
      <c r="M16" s="117"/>
      <c r="N16" s="119">
        <f>SUM('LR-Department Note Disclosure'!B14:B37)</f>
        <v>0</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1758</v>
      </c>
      <c r="E23" s="110" t="s">
        <v>1701</v>
      </c>
      <c r="F23" s="110" t="s">
        <v>1759</v>
      </c>
      <c r="G23" s="110" t="s">
        <v>1701</v>
      </c>
      <c r="H23" s="110" t="s">
        <v>1760</v>
      </c>
      <c r="I23" s="110" t="s">
        <v>1699</v>
      </c>
      <c r="J23" s="110" t="s">
        <v>1702</v>
      </c>
      <c r="K23" s="111"/>
      <c r="L23" s="110"/>
      <c r="M23" s="111"/>
      <c r="N23" s="112" t="s">
        <v>1761</v>
      </c>
      <c r="O23" s="109"/>
      <c r="P23" s="113" t="s">
        <v>1706</v>
      </c>
      <c r="Q23" s="247"/>
    </row>
    <row r="24" spans="1:17" ht="15" customHeight="1" x14ac:dyDescent="0.25">
      <c r="A24" s="114"/>
      <c r="B24" s="115">
        <f>IF('LR-Fund #### Journal Entries'!$E$8="Proprietary - Internal Service Fund",'LR-Fund #### Journal Entries'!$J$14,0)</f>
        <v>0</v>
      </c>
      <c r="C24" s="152" t="s">
        <v>1699</v>
      </c>
      <c r="D24" s="115">
        <f>IF('LR-Fund #### Journal Entries'!$E$8="Proprietary - Internal Service Fund",'LR-Fund #### Journal Entries'!$J$24,0)</f>
        <v>0</v>
      </c>
      <c r="E24" s="154" t="s">
        <v>1701</v>
      </c>
      <c r="F24" s="115">
        <f>IF('LR-Fund #### Journal Entries'!$E$8="Proprietary - Internal Service Fund",'LR-Fund #### Journal Entries'!$K$31,0)</f>
        <v>0</v>
      </c>
      <c r="G24" s="153" t="s">
        <v>1701</v>
      </c>
      <c r="H24" s="115">
        <f>IF('LR-Fund #### Journal Entries'!$E$8="Proprietary - Internal Service Fund",'LR-Fund #### Journal Entries'!$K$52,0)</f>
        <v>0</v>
      </c>
      <c r="I24" s="153" t="s">
        <v>1699</v>
      </c>
      <c r="J24" s="115">
        <f>IF('LR-Fund #### Journal Entries'!$E$8="Proprietary - Internal Service Fund",'LR-Fund #### Journal Entries'!$J$58,0)</f>
        <v>0</v>
      </c>
      <c r="K24" s="154" t="s">
        <v>1707</v>
      </c>
      <c r="L24" s="118">
        <f>+B24+D24-F24-H24+J24</f>
        <v>0</v>
      </c>
      <c r="M24" s="117"/>
      <c r="N24" s="119">
        <f>SUM('LR-Department Note Disclosure'!B45:B68)</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1758</v>
      </c>
      <c r="E32" s="110" t="s">
        <v>1701</v>
      </c>
      <c r="F32" s="110" t="s">
        <v>1759</v>
      </c>
      <c r="G32" s="110" t="s">
        <v>1701</v>
      </c>
      <c r="H32" s="110" t="s">
        <v>1760</v>
      </c>
      <c r="I32" s="110" t="s">
        <v>1699</v>
      </c>
      <c r="J32" s="110" t="s">
        <v>1702</v>
      </c>
      <c r="K32" s="111"/>
      <c r="L32" s="110"/>
      <c r="M32" s="111"/>
      <c r="N32" s="112" t="s">
        <v>1761</v>
      </c>
      <c r="O32" s="109"/>
      <c r="P32" s="113" t="s">
        <v>1706</v>
      </c>
      <c r="Q32" s="247"/>
    </row>
    <row r="33" spans="1:17" ht="15" customHeight="1" x14ac:dyDescent="0.25">
      <c r="A33" s="114"/>
      <c r="B33" s="115">
        <f>IF('LR-Fund #### Journal Entries'!$E$8="Proprietary - Enterprise Fund",'LR-Fund #### Journal Entries'!$J$14,0)</f>
        <v>0</v>
      </c>
      <c r="C33" s="152" t="s">
        <v>1699</v>
      </c>
      <c r="D33" s="115">
        <f>IF('LR-Fund #### Journal Entries'!$E$8="Proprietary - Enterprise Fund",'LR-Fund #### Journal Entries'!$J$24,0)</f>
        <v>0</v>
      </c>
      <c r="E33" s="154" t="s">
        <v>1701</v>
      </c>
      <c r="F33" s="115">
        <f>IF('LR-Fund #### Journal Entries'!$E$8="Proprietary - Enterprise Fund",'LR-Fund #### Journal Entries'!$K$31,0)</f>
        <v>0</v>
      </c>
      <c r="G33" s="153" t="s">
        <v>1701</v>
      </c>
      <c r="H33" s="115">
        <f>IF('LR-Fund #### Journal Entries'!$E$8="Proprietary - Enterprise Fund",'LR-Fund #### Journal Entries'!$K$52,0)</f>
        <v>0</v>
      </c>
      <c r="I33" s="153" t="s">
        <v>1699</v>
      </c>
      <c r="J33" s="115">
        <f>IF('LR-Fund #### Journal Entries'!$E$8="Proprietary - Enterprise Fund",'LR-Fund #### Journal Entries'!$J$58,0)</f>
        <v>0</v>
      </c>
      <c r="K33" s="154" t="s">
        <v>1707</v>
      </c>
      <c r="L33" s="118">
        <f>+B33+D33-F33-H33+J33</f>
        <v>0</v>
      </c>
      <c r="M33" s="117"/>
      <c r="N33" s="119">
        <f>SUM('LR-Department Note Disclosure'!B76:B99)</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1762</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1763</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1763</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1763</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1764</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1765</v>
      </c>
      <c r="B11" s="224" t="s">
        <v>1552</v>
      </c>
      <c r="C11" s="224" t="s">
        <v>1553</v>
      </c>
      <c r="D11" s="224" t="s">
        <v>1554</v>
      </c>
      <c r="E11" s="224" t="s">
        <v>1555</v>
      </c>
      <c r="F11" s="224" t="s">
        <v>1556</v>
      </c>
    </row>
    <row r="12" spans="1:6" ht="42.75" x14ac:dyDescent="0.25">
      <c r="A12" s="224" t="s">
        <v>1765</v>
      </c>
      <c r="B12" s="224" t="s">
        <v>1557</v>
      </c>
      <c r="C12" s="224" t="s">
        <v>1558</v>
      </c>
      <c r="D12" s="224" t="s">
        <v>1558</v>
      </c>
      <c r="E12" s="224" t="s">
        <v>1559</v>
      </c>
      <c r="F12" s="224" t="s">
        <v>1560</v>
      </c>
    </row>
    <row r="13" spans="1:6" ht="42.75" x14ac:dyDescent="0.25">
      <c r="A13" s="224" t="s">
        <v>1766</v>
      </c>
      <c r="B13" s="224" t="s">
        <v>1767</v>
      </c>
      <c r="C13" s="224" t="s">
        <v>1553</v>
      </c>
      <c r="D13" s="224" t="s">
        <v>1572</v>
      </c>
      <c r="E13" s="224" t="s">
        <v>1768</v>
      </c>
      <c r="F13" s="224" t="s">
        <v>1574</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K7" sqref="K7"/>
    </sheetView>
  </sheetViews>
  <sheetFormatPr defaultColWidth="9.140625" defaultRowHeight="15" x14ac:dyDescent="0.25"/>
  <cols>
    <col min="1" max="7" width="14.28515625" style="34" customWidth="1"/>
    <col min="8" max="8" width="14.28515625" style="49" customWidth="1"/>
    <col min="9" max="9" width="19.7109375" style="34" customWidth="1"/>
    <col min="10" max="11" width="19.85546875" style="34" customWidth="1"/>
    <col min="12" max="12" width="9.140625" style="34"/>
    <col min="13" max="14" width="16" style="34" customWidth="1"/>
    <col min="15" max="15" width="4.7109375" style="34" customWidth="1"/>
    <col min="16" max="17" width="16" style="34" customWidth="1"/>
    <col min="18" max="18" width="5.7109375" style="34" customWidth="1"/>
    <col min="19" max="19" width="15.85546875" style="34" customWidth="1"/>
    <col min="20" max="16384" width="9.140625" style="34"/>
  </cols>
  <sheetData>
    <row r="1" spans="1:20" ht="44.45" customHeight="1" x14ac:dyDescent="0.25">
      <c r="A1" s="264" t="s">
        <v>1769</v>
      </c>
      <c r="B1" s="264"/>
      <c r="C1" s="264"/>
      <c r="D1" s="264"/>
      <c r="E1" s="264"/>
      <c r="F1" s="264"/>
      <c r="G1" s="264"/>
      <c r="H1" s="264"/>
      <c r="I1" s="264"/>
      <c r="J1" s="264"/>
      <c r="K1" s="264"/>
      <c r="L1" s="136"/>
      <c r="M1" s="136"/>
      <c r="N1" s="136"/>
      <c r="O1" s="136"/>
    </row>
    <row r="2" spans="1:20" ht="15" customHeight="1" x14ac:dyDescent="0.25">
      <c r="A2" s="291" t="s">
        <v>1579</v>
      </c>
      <c r="B2" s="291"/>
      <c r="C2" s="291"/>
      <c r="D2" s="291"/>
      <c r="E2" s="291"/>
      <c r="F2" s="291"/>
      <c r="G2" s="291"/>
      <c r="H2" s="291"/>
      <c r="I2" s="291"/>
      <c r="J2" s="291"/>
      <c r="K2" s="291"/>
      <c r="L2" s="149"/>
      <c r="M2" s="149"/>
      <c r="N2" s="149"/>
      <c r="O2" s="149"/>
    </row>
    <row r="3" spans="1:20" ht="15.75" x14ac:dyDescent="0.25">
      <c r="A3" s="260" t="s">
        <v>1580</v>
      </c>
      <c r="B3" s="260"/>
      <c r="C3" s="260"/>
      <c r="D3" s="260"/>
      <c r="E3" s="260"/>
      <c r="F3" s="265" t="s">
        <v>15</v>
      </c>
      <c r="G3" s="265"/>
      <c r="H3" s="265"/>
      <c r="I3" s="265"/>
    </row>
    <row r="4" spans="1:20" ht="15.75" x14ac:dyDescent="0.2">
      <c r="A4" s="260" t="s">
        <v>1581</v>
      </c>
      <c r="B4" s="260"/>
      <c r="C4" s="260"/>
      <c r="D4" s="260"/>
      <c r="E4" s="260"/>
      <c r="F4" s="266"/>
      <c r="G4" s="266"/>
      <c r="H4" s="266"/>
      <c r="I4" s="266"/>
      <c r="L4" s="240"/>
      <c r="M4" s="240"/>
      <c r="N4" s="240"/>
      <c r="O4" s="240"/>
      <c r="P4" s="240"/>
      <c r="Q4" s="240"/>
    </row>
    <row r="5" spans="1:20" ht="15.75" x14ac:dyDescent="0.2">
      <c r="A5" s="260" t="s">
        <v>1582</v>
      </c>
      <c r="B5" s="260"/>
      <c r="C5" s="260"/>
      <c r="D5" s="260"/>
      <c r="E5" s="260"/>
      <c r="F5" s="266"/>
      <c r="G5" s="266"/>
      <c r="H5" s="266"/>
      <c r="I5" s="266"/>
      <c r="L5" s="35"/>
      <c r="M5" s="35"/>
      <c r="N5" s="35"/>
      <c r="O5" s="35"/>
      <c r="P5" s="240"/>
      <c r="Q5" s="240"/>
    </row>
    <row r="6" spans="1:20" ht="18" x14ac:dyDescent="0.25">
      <c r="A6" s="260" t="s">
        <v>1770</v>
      </c>
      <c r="B6" s="260"/>
      <c r="C6" s="260"/>
      <c r="D6" s="260"/>
      <c r="E6" s="260"/>
      <c r="F6" s="267"/>
      <c r="G6" s="267"/>
      <c r="H6" s="267"/>
      <c r="I6" s="267"/>
      <c r="K6" s="84"/>
      <c r="L6" s="35"/>
      <c r="M6" s="35"/>
      <c r="N6" s="35"/>
      <c r="O6" s="35"/>
      <c r="P6" s="240"/>
      <c r="Q6" s="240"/>
    </row>
    <row r="7" spans="1:20" ht="18" x14ac:dyDescent="0.25">
      <c r="A7" s="260" t="s">
        <v>1584</v>
      </c>
      <c r="B7" s="260"/>
      <c r="C7" s="260"/>
      <c r="D7" s="260"/>
      <c r="E7" s="260"/>
      <c r="F7" s="267"/>
      <c r="G7" s="267"/>
      <c r="H7" s="267"/>
      <c r="I7" s="267"/>
      <c r="K7" s="84"/>
      <c r="L7" s="35"/>
      <c r="M7" s="35"/>
      <c r="N7" s="35"/>
      <c r="O7" s="35"/>
      <c r="P7" s="240"/>
      <c r="Q7" s="240"/>
    </row>
    <row r="8" spans="1:20" ht="18" x14ac:dyDescent="0.25">
      <c r="A8" s="260" t="s">
        <v>1585</v>
      </c>
      <c r="B8" s="260"/>
      <c r="C8" s="260"/>
      <c r="D8" s="260"/>
      <c r="E8" s="260"/>
      <c r="F8" s="267"/>
      <c r="G8" s="267"/>
      <c r="H8" s="267"/>
      <c r="I8" s="267"/>
      <c r="K8" s="84"/>
      <c r="L8" s="35"/>
      <c r="M8" s="35"/>
      <c r="N8" s="35"/>
      <c r="O8" s="35"/>
      <c r="P8" s="240"/>
      <c r="Q8" s="240"/>
    </row>
    <row r="9" spans="1:20" ht="15.75" x14ac:dyDescent="0.25">
      <c r="A9" s="260" t="s">
        <v>1586</v>
      </c>
      <c r="B9" s="260"/>
      <c r="C9" s="260"/>
      <c r="D9" s="260"/>
      <c r="E9" s="260"/>
      <c r="F9" s="268" t="str">
        <f>IFERROR(IF(F7="Proprietary","Proprietary Fund",VLOOKUP(F5,qryIndex02a!$A$2:$K$654,4,FALSE)),"Unidentified")</f>
        <v>Unidentified</v>
      </c>
      <c r="G9" s="268"/>
      <c r="H9" s="268"/>
      <c r="I9" s="268"/>
      <c r="J9" s="19"/>
      <c r="K9" s="240"/>
      <c r="L9" s="240"/>
      <c r="M9" s="240"/>
      <c r="N9" s="240"/>
      <c r="O9" s="240"/>
      <c r="P9" s="240"/>
      <c r="Q9" s="240"/>
    </row>
    <row r="10" spans="1:20" ht="15.75" x14ac:dyDescent="0.25">
      <c r="A10" s="238"/>
      <c r="B10" s="238"/>
      <c r="C10" s="238"/>
      <c r="D10" s="238"/>
      <c r="E10" s="238"/>
      <c r="F10" s="240"/>
      <c r="G10" s="240"/>
      <c r="H10" s="36"/>
      <c r="I10" s="240"/>
      <c r="J10" s="240"/>
      <c r="K10" s="240"/>
      <c r="L10" s="240"/>
      <c r="M10" s="240"/>
      <c r="N10" s="240"/>
      <c r="O10" s="240"/>
      <c r="P10" s="240"/>
      <c r="Q10" s="240"/>
    </row>
    <row r="11" spans="1:20" ht="15.75" x14ac:dyDescent="0.25">
      <c r="A11" s="238"/>
      <c r="B11" s="238"/>
      <c r="C11" s="238"/>
      <c r="D11" s="238"/>
      <c r="E11" s="35"/>
      <c r="F11" s="240"/>
      <c r="G11" s="240"/>
      <c r="H11" s="36"/>
      <c r="I11" s="240"/>
      <c r="J11" s="240"/>
      <c r="K11" s="240"/>
      <c r="L11" s="240"/>
      <c r="M11" s="240"/>
      <c r="N11" s="240"/>
      <c r="O11" s="240"/>
      <c r="P11" s="240"/>
      <c r="Q11" s="240"/>
    </row>
    <row r="12" spans="1:20" s="162" customFormat="1" ht="21" customHeight="1" x14ac:dyDescent="0.3">
      <c r="A12" s="156" t="s">
        <v>1771</v>
      </c>
      <c r="B12" s="157"/>
      <c r="C12" s="158"/>
      <c r="D12" s="158"/>
      <c r="E12" s="158"/>
      <c r="F12" s="159"/>
      <c r="G12" s="159"/>
      <c r="H12" s="160"/>
      <c r="I12" s="160"/>
      <c r="J12" s="159"/>
      <c r="K12" s="159"/>
      <c r="L12" s="240"/>
      <c r="M12" s="240"/>
      <c r="N12" s="161"/>
      <c r="O12" s="161"/>
      <c r="P12" s="161"/>
    </row>
    <row r="13" spans="1:20" s="172" customFormat="1" ht="16.5" customHeight="1" x14ac:dyDescent="0.25">
      <c r="A13" s="187" t="s">
        <v>1588</v>
      </c>
      <c r="B13" s="189"/>
      <c r="C13" s="175"/>
      <c r="D13" s="175"/>
      <c r="E13" s="175"/>
      <c r="F13" s="176"/>
      <c r="G13" s="176"/>
      <c r="H13" s="166"/>
      <c r="I13" s="166"/>
      <c r="J13" s="171"/>
      <c r="K13" s="171"/>
    </row>
    <row r="14" spans="1:20" s="172" customFormat="1" ht="16.5" customHeight="1" x14ac:dyDescent="0.3">
      <c r="A14" s="168">
        <v>0</v>
      </c>
      <c r="B14" s="199" t="s">
        <v>1772</v>
      </c>
      <c r="C14" s="175"/>
      <c r="D14" s="175"/>
      <c r="E14" s="175"/>
      <c r="F14" s="176"/>
      <c r="G14" s="176"/>
      <c r="H14" s="166"/>
      <c r="I14" s="166"/>
      <c r="J14" s="171"/>
      <c r="K14" s="171"/>
      <c r="M14" s="261" t="s">
        <v>1773</v>
      </c>
      <c r="N14" s="262"/>
      <c r="P14" s="261" t="s">
        <v>1591</v>
      </c>
      <c r="Q14" s="262"/>
      <c r="S14" s="206" t="s">
        <v>1592</v>
      </c>
    </row>
    <row r="15" spans="1:20" ht="16.5" customHeight="1" x14ac:dyDescent="0.25">
      <c r="B15" s="24" t="s">
        <v>1774</v>
      </c>
      <c r="C15" s="177"/>
      <c r="D15" s="177"/>
      <c r="E15" s="177"/>
      <c r="F15" s="178"/>
      <c r="G15" s="178"/>
      <c r="H15" s="179"/>
      <c r="I15" s="179"/>
      <c r="J15" s="232">
        <f>M15</f>
        <v>0</v>
      </c>
      <c r="M15" s="180"/>
      <c r="P15" s="180"/>
      <c r="Q15" s="208"/>
      <c r="S15" s="207">
        <f>P15-M15</f>
        <v>0</v>
      </c>
      <c r="T15" s="235" t="s">
        <v>1595</v>
      </c>
    </row>
    <row r="16" spans="1:20" ht="16.5" customHeight="1" x14ac:dyDescent="0.25">
      <c r="A16" s="86"/>
      <c r="B16" s="24" t="s">
        <v>1775</v>
      </c>
      <c r="C16" s="177"/>
      <c r="D16" s="177"/>
      <c r="E16" s="177"/>
      <c r="F16" s="178"/>
      <c r="G16" s="178"/>
      <c r="H16" s="179"/>
      <c r="I16" s="179"/>
      <c r="J16" s="232">
        <f>M16</f>
        <v>0</v>
      </c>
      <c r="M16" s="180"/>
      <c r="P16" s="180"/>
      <c r="Q16" s="208"/>
      <c r="S16" s="207">
        <f>P16-M16</f>
        <v>0</v>
      </c>
      <c r="T16" s="235" t="s">
        <v>1595</v>
      </c>
    </row>
    <row r="17" spans="1:20" ht="16.5" customHeight="1" x14ac:dyDescent="0.25">
      <c r="A17" s="86"/>
      <c r="B17" s="24" t="s">
        <v>1776</v>
      </c>
      <c r="C17" s="177"/>
      <c r="D17" s="177"/>
      <c r="E17" s="177"/>
      <c r="F17" s="178"/>
      <c r="G17" s="178"/>
      <c r="H17" s="179"/>
      <c r="I17" s="179"/>
      <c r="J17" s="232">
        <f>M17</f>
        <v>0</v>
      </c>
      <c r="M17" s="180"/>
      <c r="P17" s="180"/>
      <c r="Q17" s="208"/>
      <c r="S17" s="207">
        <f>P17-M17</f>
        <v>0</v>
      </c>
      <c r="T17" s="235" t="s">
        <v>1595</v>
      </c>
    </row>
    <row r="18" spans="1:20" ht="16.5" customHeight="1" x14ac:dyDescent="0.25">
      <c r="A18" s="86"/>
      <c r="B18" s="24" t="s">
        <v>1598</v>
      </c>
      <c r="C18" s="177"/>
      <c r="D18" s="177"/>
      <c r="E18" s="177"/>
      <c r="F18" s="178"/>
      <c r="G18" s="178"/>
      <c r="H18" s="179"/>
      <c r="I18" s="179"/>
      <c r="J18" s="232">
        <f>P18</f>
        <v>0</v>
      </c>
      <c r="M18" s="180"/>
      <c r="P18" s="233">
        <f>IF(SUM($Q$21:$Q$23)&gt;SUM($P$15:$P$17),SUM($Q$21:$Q$23)-SUM($P$15:$P$17),0)</f>
        <v>0</v>
      </c>
      <c r="Q18" s="208"/>
      <c r="S18" s="207">
        <f>P18-M18</f>
        <v>0</v>
      </c>
      <c r="T18" s="234" t="s">
        <v>1599</v>
      </c>
    </row>
    <row r="19" spans="1:20" ht="16.5" customHeight="1" x14ac:dyDescent="0.25">
      <c r="A19" s="86"/>
      <c r="B19" s="24" t="s">
        <v>1600</v>
      </c>
      <c r="C19" s="177"/>
      <c r="D19" s="177"/>
      <c r="E19" s="177"/>
      <c r="F19" s="178"/>
      <c r="G19" s="178"/>
      <c r="H19" s="179"/>
      <c r="I19" s="179"/>
      <c r="J19" s="232">
        <f>IF(SUM($K$21:$K$24)&gt;SUM($J$15:$J$18),SUM($K$21:$K$24)-SUM($J$15:$J$18),0)</f>
        <v>0</v>
      </c>
      <c r="M19" s="180"/>
      <c r="P19" s="208"/>
      <c r="Q19" s="208"/>
      <c r="S19" s="207">
        <f>P19-M19</f>
        <v>0</v>
      </c>
      <c r="T19" s="234" t="s">
        <v>1599</v>
      </c>
    </row>
    <row r="20" spans="1:20" ht="16.5" customHeight="1" x14ac:dyDescent="0.25">
      <c r="A20" s="86"/>
      <c r="B20" s="201"/>
      <c r="C20" s="24" t="s">
        <v>1777</v>
      </c>
      <c r="D20" s="177"/>
      <c r="E20" s="177"/>
      <c r="F20" s="202"/>
      <c r="G20" s="202"/>
      <c r="H20" s="179"/>
      <c r="I20" s="179"/>
      <c r="J20" s="197"/>
      <c r="K20" s="231"/>
      <c r="P20" s="208"/>
      <c r="Q20" s="208"/>
    </row>
    <row r="21" spans="1:20" ht="16.5" customHeight="1" x14ac:dyDescent="0.25">
      <c r="A21" s="86"/>
      <c r="B21" s="201"/>
      <c r="C21" s="24" t="s">
        <v>1778</v>
      </c>
      <c r="D21" s="177"/>
      <c r="E21" s="177"/>
      <c r="F21" s="202"/>
      <c r="G21" s="202"/>
      <c r="H21" s="179"/>
      <c r="I21" s="179"/>
      <c r="J21" s="197"/>
      <c r="K21" s="232">
        <f>N21</f>
        <v>0</v>
      </c>
      <c r="N21" s="180"/>
      <c r="P21" s="208"/>
      <c r="Q21" s="180"/>
      <c r="S21" s="207">
        <f>Q21-N21</f>
        <v>0</v>
      </c>
      <c r="T21" s="234" t="s">
        <v>1599</v>
      </c>
    </row>
    <row r="22" spans="1:20" ht="16.5" customHeight="1" x14ac:dyDescent="0.25">
      <c r="A22" s="86"/>
      <c r="B22" s="201"/>
      <c r="C22" s="24" t="s">
        <v>1779</v>
      </c>
      <c r="D22" s="177"/>
      <c r="E22" s="177"/>
      <c r="F22" s="202"/>
      <c r="G22" s="202"/>
      <c r="H22" s="179"/>
      <c r="I22" s="179"/>
      <c r="J22" s="197"/>
      <c r="K22" s="232">
        <f>N22</f>
        <v>0</v>
      </c>
      <c r="N22" s="180"/>
      <c r="P22" s="208"/>
      <c r="Q22" s="180"/>
      <c r="S22" s="207">
        <f t="shared" ref="S22:S25" si="0">Q22-N22</f>
        <v>0</v>
      </c>
      <c r="T22" s="234" t="s">
        <v>1599</v>
      </c>
    </row>
    <row r="23" spans="1:20" ht="16.5" customHeight="1" x14ac:dyDescent="0.25">
      <c r="A23" s="86"/>
      <c r="B23" s="201"/>
      <c r="C23" s="24" t="s">
        <v>1780</v>
      </c>
      <c r="D23" s="177"/>
      <c r="E23" s="177"/>
      <c r="F23" s="202"/>
      <c r="G23" s="202"/>
      <c r="H23" s="179"/>
      <c r="I23" s="179"/>
      <c r="J23" s="197"/>
      <c r="K23" s="232">
        <f>N23</f>
        <v>0</v>
      </c>
      <c r="N23" s="180"/>
      <c r="P23" s="208"/>
      <c r="Q23" s="180"/>
      <c r="S23" s="207">
        <f t="shared" si="0"/>
        <v>0</v>
      </c>
      <c r="T23" s="234" t="s">
        <v>1599</v>
      </c>
    </row>
    <row r="24" spans="1:20" ht="16.5" customHeight="1" x14ac:dyDescent="0.25">
      <c r="A24" s="86"/>
      <c r="B24" s="201"/>
      <c r="C24" s="24" t="s">
        <v>1606</v>
      </c>
      <c r="D24" s="177"/>
      <c r="E24" s="177"/>
      <c r="F24" s="202"/>
      <c r="G24" s="202"/>
      <c r="H24" s="179"/>
      <c r="I24" s="179"/>
      <c r="J24" s="197"/>
      <c r="K24" s="232">
        <f>Q24</f>
        <v>0</v>
      </c>
      <c r="N24" s="180"/>
      <c r="P24" s="208"/>
      <c r="Q24" s="233">
        <f>IF(SUM($Q$21:$Q$23)&lt;SUM($P$15:$P$17),-SUM($Q$21:$Q$23)+SUM($P$15:$P$17),0)</f>
        <v>0</v>
      </c>
      <c r="S24" s="207">
        <f t="shared" si="0"/>
        <v>0</v>
      </c>
      <c r="T24" s="234" t="s">
        <v>1599</v>
      </c>
    </row>
    <row r="25" spans="1:20" ht="16.5" customHeight="1" x14ac:dyDescent="0.25">
      <c r="A25" s="86"/>
      <c r="B25" s="201"/>
      <c r="C25" s="24" t="s">
        <v>1607</v>
      </c>
      <c r="D25" s="177"/>
      <c r="E25" s="177"/>
      <c r="F25" s="202"/>
      <c r="G25" s="202"/>
      <c r="H25" s="179"/>
      <c r="I25" s="179"/>
      <c r="J25" s="197"/>
      <c r="K25" s="232">
        <f>IF(SUM($K$21:$K$24)&lt;SUM($J$15:$J$18),-SUM($K$21:$K$24)+SUM($J$15:$J$18),0)</f>
        <v>0</v>
      </c>
      <c r="N25" s="180"/>
      <c r="P25" s="208"/>
      <c r="Q25" s="208"/>
      <c r="S25" s="207">
        <f t="shared" si="0"/>
        <v>0</v>
      </c>
      <c r="T25" s="234" t="s">
        <v>1599</v>
      </c>
    </row>
    <row r="26" spans="1:20" ht="16.5" customHeight="1" x14ac:dyDescent="0.25">
      <c r="A26" s="86"/>
      <c r="C26" s="42"/>
      <c r="D26" s="42"/>
      <c r="E26" s="42"/>
      <c r="F26" s="43"/>
      <c r="G26" s="43"/>
      <c r="H26" s="44"/>
      <c r="I26" s="44"/>
      <c r="J26" s="140">
        <f>SUM(J15:J25)</f>
        <v>0</v>
      </c>
      <c r="K26" s="140">
        <f>SUM(K15:K25)</f>
        <v>0</v>
      </c>
      <c r="L26" s="48" t="str">
        <f>IF(J26=K26,"&lt;- Debits and Credits equal each other.","&lt;- Debits and Credits do not equal each other.")</f>
        <v>&lt;- Debits and Credits equal each other.</v>
      </c>
    </row>
    <row r="27" spans="1:20" ht="16.5" customHeight="1" x14ac:dyDescent="0.25">
      <c r="A27" s="1"/>
      <c r="B27" s="24"/>
      <c r="C27" s="45"/>
      <c r="D27" s="42"/>
      <c r="E27" s="42"/>
      <c r="F27" s="43"/>
      <c r="G27" s="43"/>
      <c r="H27" s="44"/>
      <c r="I27" s="44"/>
      <c r="J27" s="140"/>
      <c r="K27" s="140"/>
      <c r="L27" s="19"/>
    </row>
    <row r="28" spans="1:20" ht="16.5" customHeight="1" x14ac:dyDescent="0.25">
      <c r="A28" s="1"/>
      <c r="B28" s="24"/>
      <c r="C28" s="45"/>
      <c r="D28" s="42"/>
      <c r="E28" s="42"/>
      <c r="F28" s="43"/>
      <c r="G28" s="43"/>
      <c r="H28" s="44"/>
      <c r="I28" s="44"/>
      <c r="J28" s="41"/>
      <c r="K28" s="41"/>
      <c r="L28" s="19"/>
    </row>
    <row r="29" spans="1:20" s="162" customFormat="1" ht="21" customHeight="1" x14ac:dyDescent="0.3">
      <c r="A29" s="156" t="s">
        <v>1781</v>
      </c>
      <c r="B29" s="157"/>
      <c r="C29" s="158"/>
      <c r="D29" s="158"/>
      <c r="E29" s="158"/>
      <c r="F29" s="159"/>
      <c r="G29" s="159"/>
      <c r="H29" s="160"/>
      <c r="I29" s="160"/>
      <c r="J29" s="159"/>
      <c r="K29" s="159"/>
      <c r="L29" s="240"/>
      <c r="M29" s="240"/>
      <c r="N29" s="161"/>
      <c r="O29" s="161"/>
      <c r="P29" s="161"/>
    </row>
    <row r="30" spans="1:20" s="172" customFormat="1" ht="16.5" customHeight="1" x14ac:dyDescent="0.3">
      <c r="A30" s="168">
        <v>1</v>
      </c>
      <c r="B30" s="199" t="s">
        <v>1782</v>
      </c>
      <c r="C30" s="175"/>
      <c r="D30" s="175"/>
      <c r="E30" s="175"/>
      <c r="F30" s="176"/>
      <c r="G30" s="176"/>
      <c r="H30" s="166"/>
      <c r="I30" s="166"/>
      <c r="J30" s="171"/>
      <c r="K30" s="171"/>
    </row>
    <row r="31" spans="1:20" ht="16.5" customHeight="1" x14ac:dyDescent="0.25">
      <c r="B31" s="24" t="s">
        <v>1612</v>
      </c>
      <c r="C31" s="177"/>
      <c r="D31" s="177"/>
      <c r="E31" s="177"/>
      <c r="F31" s="178"/>
      <c r="G31" s="178"/>
      <c r="H31" s="179"/>
      <c r="I31" s="179"/>
      <c r="J31" s="180"/>
      <c r="K31" s="203"/>
    </row>
    <row r="32" spans="1:20" ht="16.5" customHeight="1" x14ac:dyDescent="0.25">
      <c r="A32" s="86"/>
      <c r="B32" s="177"/>
      <c r="C32" s="24" t="s">
        <v>1613</v>
      </c>
      <c r="D32" s="177"/>
      <c r="E32" s="177"/>
      <c r="F32" s="178"/>
      <c r="G32" s="178"/>
      <c r="H32" s="179"/>
      <c r="I32" s="179"/>
      <c r="J32" s="200"/>
      <c r="K32" s="180"/>
    </row>
    <row r="33" spans="1:16" ht="16.5" customHeight="1" x14ac:dyDescent="0.25">
      <c r="A33" s="86"/>
      <c r="B33" s="177"/>
      <c r="C33" s="24" t="str">
        <f>IF($F$7="Proprietary","Cr: Acct 0870 - SERVICES &amp; CHARGES (MG ADJ)",VLOOKUP($F$9,'Drop Down Menus'!$F$2:$G$10,2,FALSE))</f>
        <v>Cr: Acct 0XXX - FUNCTIONAL EXPENSE</v>
      </c>
      <c r="D33" s="177"/>
      <c r="E33" s="177"/>
      <c r="F33" s="178"/>
      <c r="G33" s="178"/>
      <c r="H33" s="179"/>
      <c r="I33" s="179"/>
      <c r="J33" s="200"/>
      <c r="K33" s="180"/>
    </row>
    <row r="34" spans="1:16" ht="16.5" customHeight="1" x14ac:dyDescent="0.25">
      <c r="A34" s="86"/>
      <c r="C34" s="38"/>
      <c r="D34" s="38"/>
      <c r="E34" s="38"/>
      <c r="F34" s="39"/>
      <c r="G34" s="39"/>
      <c r="H34" s="40"/>
      <c r="I34" s="40"/>
      <c r="J34" s="140">
        <f>SUM(J31:J33)</f>
        <v>0</v>
      </c>
      <c r="K34" s="140">
        <f>SUM(K31:K33)</f>
        <v>0</v>
      </c>
      <c r="L34" s="48" t="str">
        <f>IF(J34=K34,"&lt;- Debits and Credits equal each other.","&lt;- Debits and Credits do not equal each other.")</f>
        <v>&lt;- Debits and Credits equal each other.</v>
      </c>
    </row>
    <row r="35" spans="1:16" ht="16.5" customHeight="1" x14ac:dyDescent="0.25">
      <c r="A35" s="1"/>
      <c r="B35" s="37"/>
      <c r="C35" s="38"/>
      <c r="D35" s="38"/>
      <c r="E35" s="38"/>
      <c r="F35" s="39"/>
      <c r="G35" s="39"/>
      <c r="H35" s="40"/>
      <c r="I35" s="40"/>
      <c r="J35" s="41"/>
      <c r="K35" s="41"/>
      <c r="L35" s="19"/>
    </row>
    <row r="36" spans="1:16" s="172" customFormat="1" ht="16.5" customHeight="1" x14ac:dyDescent="0.3">
      <c r="A36" s="168">
        <v>2</v>
      </c>
      <c r="B36" s="199" t="s">
        <v>1783</v>
      </c>
      <c r="C36" s="175"/>
      <c r="D36" s="175"/>
      <c r="E36" s="175"/>
      <c r="F36" s="176"/>
      <c r="G36" s="176"/>
      <c r="H36" s="166"/>
      <c r="I36" s="166"/>
      <c r="J36" s="171"/>
      <c r="K36" s="171"/>
    </row>
    <row r="37" spans="1:16" ht="16.5" customHeight="1" x14ac:dyDescent="0.25">
      <c r="B37" s="24" t="s">
        <v>1774</v>
      </c>
      <c r="C37" s="177"/>
      <c r="D37" s="177"/>
      <c r="E37" s="177"/>
      <c r="F37" s="178"/>
      <c r="G37" s="178"/>
      <c r="H37" s="179"/>
      <c r="I37" s="179"/>
      <c r="J37" s="180"/>
      <c r="K37" s="200"/>
    </row>
    <row r="38" spans="1:16" ht="16.5" customHeight="1" x14ac:dyDescent="0.25">
      <c r="A38" s="86"/>
      <c r="B38" s="24" t="s">
        <v>1775</v>
      </c>
      <c r="C38" s="177"/>
      <c r="D38" s="177"/>
      <c r="E38" s="177"/>
      <c r="F38" s="178"/>
      <c r="G38" s="178"/>
      <c r="H38" s="179"/>
      <c r="I38" s="179"/>
      <c r="J38" s="180"/>
      <c r="K38" s="200"/>
    </row>
    <row r="39" spans="1:16" ht="16.5" customHeight="1" x14ac:dyDescent="0.25">
      <c r="A39" s="86"/>
      <c r="B39" s="24" t="s">
        <v>1776</v>
      </c>
      <c r="C39" s="177"/>
      <c r="D39" s="177"/>
      <c r="E39" s="177"/>
      <c r="F39" s="178"/>
      <c r="G39" s="178"/>
      <c r="H39" s="179"/>
      <c r="I39" s="179"/>
      <c r="J39" s="180"/>
      <c r="K39" s="200"/>
    </row>
    <row r="40" spans="1:16" ht="16.5" customHeight="1" x14ac:dyDescent="0.25">
      <c r="A40" s="86"/>
      <c r="B40" s="201"/>
      <c r="C40" s="24" t="s">
        <v>1615</v>
      </c>
      <c r="D40" s="177"/>
      <c r="E40" s="177"/>
      <c r="F40" s="178"/>
      <c r="G40" s="178"/>
      <c r="H40" s="179"/>
      <c r="I40" s="179"/>
      <c r="J40" s="200"/>
      <c r="K40" s="180"/>
    </row>
    <row r="41" spans="1:16" ht="16.5" customHeight="1" x14ac:dyDescent="0.25">
      <c r="A41" s="86"/>
      <c r="C41" s="42"/>
      <c r="D41" s="42"/>
      <c r="E41" s="42"/>
      <c r="F41" s="43"/>
      <c r="G41" s="43"/>
      <c r="H41" s="44"/>
      <c r="I41" s="44"/>
      <c r="J41" s="140">
        <f>SUM(J37:J40)</f>
        <v>0</v>
      </c>
      <c r="K41" s="140">
        <f>SUM(K37:K40)</f>
        <v>0</v>
      </c>
      <c r="L41" s="48" t="str">
        <f>IF(J41=K41,"&lt;- Debits and Credits equal each other.","&lt;- Debits and Credits do not equal each other.")</f>
        <v>&lt;- Debits and Credits equal each other.</v>
      </c>
    </row>
    <row r="42" spans="1:16" ht="16.5" customHeight="1" x14ac:dyDescent="0.25">
      <c r="A42" s="1"/>
      <c r="B42" s="24"/>
      <c r="C42" s="45"/>
      <c r="D42" s="42"/>
      <c r="E42" s="42"/>
      <c r="F42" s="43"/>
      <c r="G42" s="43"/>
      <c r="H42" s="44"/>
      <c r="I42" s="44"/>
      <c r="J42" s="140"/>
      <c r="K42" s="140"/>
      <c r="L42" s="19"/>
    </row>
    <row r="43" spans="1:16" s="172" customFormat="1" ht="16.5" customHeight="1" x14ac:dyDescent="0.3">
      <c r="A43" s="168">
        <v>3</v>
      </c>
      <c r="B43" s="199" t="s">
        <v>1784</v>
      </c>
      <c r="C43" s="175"/>
      <c r="D43" s="175"/>
      <c r="E43" s="175"/>
      <c r="F43" s="176"/>
      <c r="G43" s="176"/>
      <c r="H43" s="166"/>
      <c r="I43" s="166"/>
      <c r="J43" s="171"/>
      <c r="K43" s="171"/>
    </row>
    <row r="44" spans="1:16" ht="16.5" customHeight="1" x14ac:dyDescent="0.25">
      <c r="B44" s="24" t="s">
        <v>1618</v>
      </c>
      <c r="C44" s="177"/>
      <c r="D44" s="177"/>
      <c r="E44" s="177"/>
      <c r="F44" s="178"/>
      <c r="G44" s="178"/>
      <c r="H44" s="179"/>
      <c r="I44" s="179"/>
      <c r="J44" s="180"/>
      <c r="K44" s="200"/>
    </row>
    <row r="45" spans="1:16" ht="16.5" customHeight="1" x14ac:dyDescent="0.25">
      <c r="A45" s="86"/>
      <c r="B45" s="177"/>
      <c r="C45" s="24" t="s">
        <v>1785</v>
      </c>
      <c r="D45" s="177"/>
      <c r="E45" s="177"/>
      <c r="F45" s="178"/>
      <c r="G45" s="178"/>
      <c r="H45" s="179"/>
      <c r="I45" s="179"/>
      <c r="J45" s="200"/>
      <c r="K45" s="180"/>
    </row>
    <row r="46" spans="1:16" ht="16.5" customHeight="1" x14ac:dyDescent="0.25">
      <c r="A46" s="86"/>
      <c r="C46" s="38"/>
      <c r="D46" s="38"/>
      <c r="E46" s="38"/>
      <c r="F46" s="39"/>
      <c r="G46" s="39"/>
      <c r="H46" s="40"/>
      <c r="I46" s="40"/>
      <c r="J46" s="140">
        <f>SUM(J44:J45)</f>
        <v>0</v>
      </c>
      <c r="K46" s="140">
        <f>SUM(K44:K45)</f>
        <v>0</v>
      </c>
      <c r="L46" s="48" t="str">
        <f>IF(J46=K46,"&lt;- Debits and Credits equal each other.","&lt;- Debits and Credits do not equal each other.")</f>
        <v>&lt;- Debits and Credits equal each other.</v>
      </c>
    </row>
    <row r="47" spans="1:16" ht="16.5" customHeight="1" x14ac:dyDescent="0.25">
      <c r="A47" s="1"/>
      <c r="B47" s="24"/>
      <c r="C47" s="38"/>
      <c r="D47" s="38"/>
      <c r="E47" s="38"/>
      <c r="F47" s="39"/>
      <c r="G47" s="39"/>
      <c r="H47" s="40"/>
      <c r="I47" s="40"/>
    </row>
    <row r="48" spans="1:16" s="162" customFormat="1" ht="21" customHeight="1" x14ac:dyDescent="0.3">
      <c r="A48" s="156" t="s">
        <v>1786</v>
      </c>
      <c r="B48" s="157"/>
      <c r="C48" s="158"/>
      <c r="D48" s="158"/>
      <c r="E48" s="158"/>
      <c r="F48" s="159"/>
      <c r="G48" s="159"/>
      <c r="H48" s="160"/>
      <c r="I48" s="160"/>
      <c r="J48" s="159"/>
      <c r="K48" s="159"/>
      <c r="L48" s="240"/>
      <c r="M48" s="240"/>
      <c r="N48" s="161"/>
      <c r="O48" s="161"/>
      <c r="P48" s="161"/>
    </row>
    <row r="49" spans="1:12" s="172" customFormat="1" ht="16.5" customHeight="1" x14ac:dyDescent="0.3">
      <c r="A49" s="168">
        <v>4</v>
      </c>
      <c r="B49" s="199" t="s">
        <v>1787</v>
      </c>
      <c r="C49" s="175"/>
      <c r="D49" s="175"/>
      <c r="E49" s="175"/>
      <c r="F49" s="176"/>
      <c r="G49" s="176"/>
      <c r="H49" s="166"/>
      <c r="I49" s="166"/>
      <c r="J49" s="171"/>
      <c r="K49" s="171"/>
    </row>
    <row r="50" spans="1:12" ht="16.5" customHeight="1" x14ac:dyDescent="0.25">
      <c r="A50" s="86"/>
      <c r="B50" s="24" t="s">
        <v>1622</v>
      </c>
      <c r="C50" s="48"/>
      <c r="D50" s="177"/>
      <c r="E50" s="177"/>
      <c r="F50" s="178"/>
      <c r="G50" s="178"/>
      <c r="H50" s="179"/>
      <c r="I50" s="179"/>
      <c r="J50" s="180"/>
      <c r="K50" s="200"/>
    </row>
    <row r="51" spans="1:12" ht="16.5" customHeight="1" x14ac:dyDescent="0.25">
      <c r="A51" s="86"/>
      <c r="B51" s="48"/>
      <c r="C51" s="24" t="s">
        <v>1779</v>
      </c>
      <c r="D51" s="177"/>
      <c r="E51" s="177"/>
      <c r="F51" s="178"/>
      <c r="G51" s="178"/>
      <c r="H51" s="179"/>
      <c r="I51" s="179"/>
      <c r="J51" s="203"/>
      <c r="K51" s="180"/>
    </row>
    <row r="52" spans="1:12" ht="16.5" customHeight="1" x14ac:dyDescent="0.25">
      <c r="A52" s="86"/>
      <c r="B52" s="48"/>
      <c r="C52" s="24" t="s">
        <v>1778</v>
      </c>
      <c r="D52" s="177"/>
      <c r="E52" s="177"/>
      <c r="F52" s="178"/>
      <c r="G52" s="178"/>
      <c r="H52" s="179"/>
      <c r="I52" s="179"/>
      <c r="J52" s="203"/>
      <c r="K52" s="180"/>
    </row>
    <row r="53" spans="1:12" ht="16.5" customHeight="1" x14ac:dyDescent="0.25">
      <c r="A53" s="86"/>
      <c r="C53" s="42"/>
      <c r="D53" s="42"/>
      <c r="E53" s="42"/>
      <c r="F53" s="43"/>
      <c r="G53" s="43"/>
      <c r="H53" s="44"/>
      <c r="I53" s="44"/>
      <c r="J53" s="140">
        <f>SUM(J50:J52)</f>
        <v>0</v>
      </c>
      <c r="K53" s="140">
        <f>SUM(K50:K52)</f>
        <v>0</v>
      </c>
      <c r="L53" s="48" t="str">
        <f>IF(J53=K53,"&lt;- Debits and Credits equal each other.","&lt;- Debits and Credits do not equal each other.")</f>
        <v>&lt;- Debits and Credits equal each other.</v>
      </c>
    </row>
    <row r="54" spans="1:12" ht="16.5" customHeight="1" x14ac:dyDescent="0.25">
      <c r="A54" s="134"/>
      <c r="B54" s="46"/>
      <c r="C54" s="42"/>
      <c r="D54" s="42"/>
      <c r="E54" s="42"/>
      <c r="F54" s="43"/>
      <c r="G54" s="43"/>
      <c r="H54" s="44"/>
      <c r="I54" s="44"/>
      <c r="J54" s="140"/>
      <c r="K54" s="140"/>
      <c r="L54" s="19"/>
    </row>
    <row r="55" spans="1:12" s="172" customFormat="1" ht="16.5" customHeight="1" x14ac:dyDescent="0.3">
      <c r="A55" s="168">
        <v>5</v>
      </c>
      <c r="B55" s="199" t="s">
        <v>1788</v>
      </c>
      <c r="C55" s="175"/>
      <c r="D55" s="175"/>
      <c r="E55" s="175"/>
      <c r="F55" s="176"/>
      <c r="G55" s="176"/>
      <c r="H55" s="166"/>
      <c r="I55" s="166"/>
      <c r="J55" s="171"/>
      <c r="K55" s="171"/>
    </row>
    <row r="56" spans="1:12" ht="16.5" customHeight="1" x14ac:dyDescent="0.25">
      <c r="B56" s="24" t="s">
        <v>1624</v>
      </c>
      <c r="C56" s="177"/>
      <c r="D56" s="177"/>
      <c r="E56" s="177"/>
      <c r="F56" s="178"/>
      <c r="G56" s="178"/>
      <c r="H56" s="179"/>
      <c r="I56" s="179"/>
      <c r="J56" s="180"/>
      <c r="K56" s="204"/>
      <c r="L56" s="34" t="str">
        <f>IF($J$56=$K$63,"","&lt;- Accts 0848 must agree")</f>
        <v/>
      </c>
    </row>
    <row r="57" spans="1:12" ht="16.5" customHeight="1" x14ac:dyDescent="0.25">
      <c r="A57" s="86"/>
      <c r="B57" s="24" t="str">
        <f>IF($F$7="Governmental","Dr: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25">
      <c r="A58" s="86"/>
      <c r="B58" s="177"/>
      <c r="C58" s="24" t="str">
        <f>IF($F$7="Proprietary","Cr: Acct 0870 - SERVICES &amp; CHARGES (MG ADJ)",VLOOKUP($F$9,'Drop Down Menus'!$F$2:$G$10,2,FALSE))</f>
        <v>Cr: Acct 0XXX - FUNCTIONAL EXPENSE</v>
      </c>
      <c r="D58" s="177"/>
      <c r="E58" s="177"/>
      <c r="F58" s="178"/>
      <c r="G58" s="178"/>
      <c r="H58" s="179"/>
      <c r="I58" s="179"/>
      <c r="J58" s="204"/>
      <c r="K58" s="180"/>
    </row>
    <row r="59" spans="1:12" ht="16.5" customHeight="1" x14ac:dyDescent="0.25">
      <c r="A59" s="86"/>
      <c r="C59" s="38"/>
      <c r="D59" s="38"/>
      <c r="E59" s="38"/>
      <c r="F59" s="39"/>
      <c r="G59" s="39"/>
      <c r="H59" s="40"/>
      <c r="I59" s="40"/>
      <c r="J59" s="140">
        <f>SUM(J56:J58)</f>
        <v>0</v>
      </c>
      <c r="K59" s="140">
        <f>SUM(K56:K58)</f>
        <v>0</v>
      </c>
      <c r="L59" s="48" t="str">
        <f>IF(J59=K59,"&lt;- Debits and Credits equal each other.","&lt;- Debits and Credits do not equal each other.")</f>
        <v>&lt;- Debits and Credits equal each other.</v>
      </c>
    </row>
    <row r="60" spans="1:12" ht="16.5" customHeight="1" x14ac:dyDescent="0.25">
      <c r="A60" s="1"/>
      <c r="B60" s="38"/>
      <c r="C60" s="38"/>
      <c r="D60" s="38"/>
      <c r="E60" s="38"/>
      <c r="F60" s="39"/>
      <c r="G60" s="39"/>
      <c r="H60" s="40"/>
      <c r="I60" s="40"/>
      <c r="J60" s="140"/>
      <c r="K60" s="140"/>
      <c r="L60" s="19"/>
    </row>
    <row r="61" spans="1:12" s="172" customFormat="1" ht="16.5" customHeight="1" x14ac:dyDescent="0.3">
      <c r="A61" s="168">
        <v>6</v>
      </c>
      <c r="B61" s="199" t="s">
        <v>1789</v>
      </c>
      <c r="C61" s="175"/>
      <c r="D61" s="175"/>
      <c r="E61" s="175"/>
      <c r="F61" s="176"/>
      <c r="G61" s="176"/>
      <c r="H61" s="166"/>
      <c r="I61" s="166"/>
      <c r="J61" s="171"/>
      <c r="K61" s="171"/>
    </row>
    <row r="62" spans="1:12" ht="16.5" customHeight="1" x14ac:dyDescent="0.25">
      <c r="B62" s="24" t="s">
        <v>1790</v>
      </c>
      <c r="C62" s="177"/>
      <c r="D62" s="177"/>
      <c r="E62" s="177"/>
      <c r="F62" s="178"/>
      <c r="G62" s="178"/>
      <c r="H62" s="179"/>
      <c r="I62" s="179"/>
      <c r="J62" s="180"/>
      <c r="K62" s="204"/>
    </row>
    <row r="63" spans="1:12" ht="16.5" customHeight="1" x14ac:dyDescent="0.25">
      <c r="A63" s="86"/>
      <c r="B63" s="177"/>
      <c r="C63" s="24" t="s">
        <v>1627</v>
      </c>
      <c r="D63" s="177"/>
      <c r="E63" s="177"/>
      <c r="F63" s="178"/>
      <c r="G63" s="178"/>
      <c r="H63" s="179"/>
      <c r="I63" s="179"/>
      <c r="J63" s="204"/>
      <c r="K63" s="180"/>
      <c r="L63" s="34" t="str">
        <f>IF($J$56=$K$63,"","&lt;- Accts 0848 must agree")</f>
        <v/>
      </c>
    </row>
    <row r="64" spans="1:12" ht="16.5" customHeight="1" x14ac:dyDescent="0.25">
      <c r="A64" s="86"/>
      <c r="C64" s="38"/>
      <c r="D64" s="38"/>
      <c r="E64" s="38"/>
      <c r="F64" s="39"/>
      <c r="G64" s="39"/>
      <c r="H64" s="40"/>
      <c r="I64" s="40"/>
      <c r="J64" s="140">
        <f>SUM(J62:J63)</f>
        <v>0</v>
      </c>
      <c r="K64" s="140">
        <f>SUM(K62:K63)</f>
        <v>0</v>
      </c>
      <c r="L64" s="48" t="str">
        <f>IF(J64=K64,"&lt;- Debits and Credits equal each other.","&lt;- Debits and Credits do not equal each other.")</f>
        <v>&lt;- Debits and Credits equal each other.</v>
      </c>
    </row>
    <row r="65" spans="1:12" ht="16.5" customHeight="1" x14ac:dyDescent="0.25">
      <c r="A65" s="1"/>
      <c r="B65" s="38"/>
      <c r="C65" s="38"/>
      <c r="D65" s="38"/>
      <c r="E65" s="38"/>
      <c r="F65" s="39"/>
      <c r="G65" s="39"/>
      <c r="H65" s="40"/>
      <c r="I65" s="40"/>
      <c r="J65" s="140"/>
      <c r="K65" s="140"/>
      <c r="L65" s="19"/>
    </row>
    <row r="66" spans="1:12" s="172" customFormat="1" ht="16.5" customHeight="1" x14ac:dyDescent="0.3">
      <c r="A66" s="168">
        <v>7</v>
      </c>
      <c r="B66" s="199" t="s">
        <v>1629</v>
      </c>
      <c r="C66" s="175"/>
      <c r="D66" s="175"/>
      <c r="E66" s="175"/>
      <c r="F66" s="176"/>
      <c r="G66" s="176"/>
      <c r="H66" s="166"/>
      <c r="I66" s="166"/>
      <c r="J66" s="171"/>
      <c r="K66" s="171"/>
    </row>
    <row r="67" spans="1:12" ht="16.5" customHeight="1" x14ac:dyDescent="0.25">
      <c r="B67" s="24" t="s">
        <v>1790</v>
      </c>
      <c r="C67" s="177"/>
      <c r="D67" s="177"/>
      <c r="E67" s="177"/>
      <c r="F67" s="178"/>
      <c r="G67" s="178"/>
      <c r="H67" s="179"/>
      <c r="I67" s="179"/>
      <c r="J67" s="180"/>
      <c r="K67" s="204"/>
    </row>
    <row r="68" spans="1:12" ht="16.5" customHeight="1" x14ac:dyDescent="0.25">
      <c r="A68" s="86"/>
      <c r="B68" s="177"/>
      <c r="C68" s="24" t="s">
        <v>1791</v>
      </c>
      <c r="D68" s="177"/>
      <c r="E68" s="177"/>
      <c r="F68" s="178"/>
      <c r="G68" s="178"/>
      <c r="H68" s="179"/>
      <c r="I68" s="179"/>
      <c r="J68" s="204"/>
      <c r="K68" s="180"/>
    </row>
    <row r="69" spans="1:12" ht="16.5" customHeight="1" x14ac:dyDescent="0.2">
      <c r="A69" s="86"/>
      <c r="B69" s="300" t="s">
        <v>1631</v>
      </c>
      <c r="C69" s="300"/>
      <c r="D69" s="300"/>
      <c r="E69" s="300"/>
      <c r="F69" s="300"/>
      <c r="G69" s="300"/>
      <c r="H69" s="300"/>
      <c r="I69" s="300"/>
      <c r="J69" s="140">
        <f>SUM(J67:J68)</f>
        <v>0</v>
      </c>
      <c r="K69" s="140">
        <f>SUM(K67:K68)</f>
        <v>0</v>
      </c>
      <c r="L69" s="48" t="str">
        <f>IF(J69=K69,"&lt;- Debits and Credits equal each other.","&lt;- Debits and Credits do not equal each other.")</f>
        <v>&lt;- Debits and Credits equal each other.</v>
      </c>
    </row>
    <row r="70" spans="1:12" ht="19.899999999999999" customHeight="1" x14ac:dyDescent="0.25">
      <c r="A70" s="86"/>
      <c r="B70" s="300"/>
      <c r="C70" s="300"/>
      <c r="D70" s="300"/>
      <c r="E70" s="300"/>
      <c r="F70" s="300"/>
      <c r="G70" s="300"/>
      <c r="H70" s="300"/>
      <c r="I70" s="300"/>
    </row>
    <row r="71" spans="1:12" ht="16.5" customHeight="1" x14ac:dyDescent="0.25">
      <c r="A71" s="1"/>
      <c r="B71" s="24"/>
      <c r="C71" s="38"/>
      <c r="D71" s="38"/>
      <c r="E71" s="38"/>
      <c r="F71" s="39"/>
      <c r="G71" s="39"/>
      <c r="H71" s="40"/>
      <c r="I71" s="40"/>
    </row>
    <row r="72" spans="1:12" ht="16.5" customHeight="1" x14ac:dyDescent="0.25">
      <c r="A72" s="1"/>
      <c r="B72" s="24"/>
      <c r="C72" s="38"/>
      <c r="D72" s="38"/>
      <c r="E72" s="38"/>
      <c r="F72" s="39"/>
      <c r="G72" s="39"/>
      <c r="H72" s="40"/>
      <c r="I72" s="40"/>
      <c r="J72" s="41"/>
      <c r="K72" s="41"/>
      <c r="L72" s="19"/>
    </row>
    <row r="73" spans="1:12" x14ac:dyDescent="0.25">
      <c r="H73" s="34"/>
    </row>
    <row r="74" spans="1:12" ht="16.5" customHeight="1" x14ac:dyDescent="0.25">
      <c r="H74" s="34"/>
    </row>
    <row r="75" spans="1:12" ht="20.25" x14ac:dyDescent="0.3">
      <c r="D75" s="213" t="s">
        <v>1645</v>
      </c>
      <c r="E75" s="214"/>
      <c r="F75" s="215"/>
      <c r="G75" s="215"/>
      <c r="H75" s="215"/>
      <c r="I75" s="216"/>
      <c r="J75" s="216"/>
      <c r="K75" s="217"/>
    </row>
    <row r="76" spans="1:12" ht="16.5" customHeight="1" x14ac:dyDescent="0.25">
      <c r="H76" s="34"/>
      <c r="K76" s="223" t="s">
        <v>1646</v>
      </c>
    </row>
    <row r="77" spans="1:12" ht="16.5" customHeight="1" x14ac:dyDescent="0.25">
      <c r="D77" s="177" t="s">
        <v>1792</v>
      </c>
      <c r="H77" s="34"/>
      <c r="K77" s="222">
        <f>J15+J37</f>
        <v>0</v>
      </c>
    </row>
    <row r="78" spans="1:12" ht="16.5" customHeight="1" x14ac:dyDescent="0.25">
      <c r="D78" s="177" t="s">
        <v>1793</v>
      </c>
      <c r="H78" s="34"/>
      <c r="K78" s="222">
        <f>J16+J38</f>
        <v>0</v>
      </c>
    </row>
    <row r="79" spans="1:12" ht="16.5" customHeight="1" x14ac:dyDescent="0.25">
      <c r="D79" s="177" t="s">
        <v>1794</v>
      </c>
      <c r="H79" s="34"/>
      <c r="K79" s="222">
        <f>J17+J39</f>
        <v>0</v>
      </c>
    </row>
    <row r="80" spans="1:12" ht="16.5" customHeight="1" x14ac:dyDescent="0.25">
      <c r="D80" s="177" t="s">
        <v>1795</v>
      </c>
      <c r="H80" s="34"/>
      <c r="K80" s="222">
        <f>-K21-K52</f>
        <v>0</v>
      </c>
    </row>
    <row r="81" spans="4:11" ht="15.75" x14ac:dyDescent="0.25">
      <c r="D81" s="177" t="s">
        <v>1796</v>
      </c>
      <c r="H81" s="34"/>
      <c r="K81" s="222">
        <f>-K22-K51</f>
        <v>0</v>
      </c>
    </row>
    <row r="82" spans="4:11" ht="16.5" customHeight="1" x14ac:dyDescent="0.25">
      <c r="D82" s="177" t="s">
        <v>1797</v>
      </c>
      <c r="H82" s="34"/>
      <c r="K82" s="222">
        <f>-K23-K45+J62+J67</f>
        <v>0</v>
      </c>
    </row>
    <row r="83" spans="4:11" ht="16.5" customHeight="1" x14ac:dyDescent="0.25">
      <c r="D83" s="177" t="s">
        <v>1798</v>
      </c>
      <c r="H83" s="34"/>
      <c r="K83" s="222">
        <f>-K68</f>
        <v>0</v>
      </c>
    </row>
    <row r="84" spans="4:11" ht="16.5" customHeight="1" x14ac:dyDescent="0.25">
      <c r="D84" s="177"/>
      <c r="H84" s="34"/>
    </row>
    <row r="85" spans="4:11" ht="16.5" customHeight="1" x14ac:dyDescent="0.25">
      <c r="H85" s="34"/>
    </row>
    <row r="86" spans="4:11" ht="16.5" customHeight="1" x14ac:dyDescent="0.25">
      <c r="H86" s="34"/>
    </row>
    <row r="87" spans="4:11" ht="16.5" customHeight="1" x14ac:dyDescent="0.25">
      <c r="H87" s="34"/>
    </row>
    <row r="88" spans="4:11" ht="16.5" customHeight="1" x14ac:dyDescent="0.25">
      <c r="H88" s="34"/>
    </row>
    <row r="89" spans="4:11" ht="16.5" customHeight="1" x14ac:dyDescent="0.25">
      <c r="H89" s="34"/>
    </row>
    <row r="90" spans="4:11" ht="16.5" customHeight="1" x14ac:dyDescent="0.25">
      <c r="H90" s="34"/>
    </row>
    <row r="91" spans="4:11" x14ac:dyDescent="0.25">
      <c r="H91" s="34"/>
    </row>
    <row r="92" spans="4:11" ht="16.5" customHeight="1" x14ac:dyDescent="0.25">
      <c r="H92" s="34"/>
    </row>
    <row r="93" spans="4:11" ht="16.5" customHeight="1" x14ac:dyDescent="0.25">
      <c r="H93" s="34"/>
    </row>
    <row r="94" spans="4:11" ht="16.5" customHeight="1" x14ac:dyDescent="0.25">
      <c r="H94" s="34"/>
    </row>
    <row r="95" spans="4:11" ht="16.5" customHeight="1" x14ac:dyDescent="0.25">
      <c r="H95" s="34"/>
    </row>
    <row r="96" spans="4:11" ht="16.5" customHeight="1" x14ac:dyDescent="0.25">
      <c r="H96" s="34"/>
    </row>
    <row r="97" spans="8:8" ht="16.5" customHeight="1" x14ac:dyDescent="0.25">
      <c r="H97" s="34"/>
    </row>
    <row r="98" spans="8:8" ht="16.5" customHeight="1" x14ac:dyDescent="0.25">
      <c r="H98" s="34"/>
    </row>
    <row r="99" spans="8:8" ht="16.5" customHeight="1" x14ac:dyDescent="0.25">
      <c r="H99" s="34"/>
    </row>
    <row r="100" spans="8:8" ht="16.5" customHeight="1" x14ac:dyDescent="0.25">
      <c r="H100" s="34"/>
    </row>
    <row r="101" spans="8:8" ht="16.5" customHeight="1" x14ac:dyDescent="0.25">
      <c r="H101" s="34"/>
    </row>
    <row r="102" spans="8:8" ht="16.5" customHeight="1" x14ac:dyDescent="0.25">
      <c r="H102" s="34"/>
    </row>
    <row r="103" spans="8:8" ht="16.5" customHeight="1" x14ac:dyDescent="0.25">
      <c r="H103" s="34"/>
    </row>
    <row r="104" spans="8:8" ht="16.5" customHeight="1" x14ac:dyDescent="0.25">
      <c r="H104" s="34"/>
    </row>
    <row r="105" spans="8:8" ht="16.5" customHeight="1" x14ac:dyDescent="0.25">
      <c r="H105" s="34"/>
    </row>
    <row r="106" spans="8:8" ht="16.5" customHeight="1" x14ac:dyDescent="0.25">
      <c r="H106" s="34"/>
    </row>
    <row r="107" spans="8:8" ht="16.5" customHeight="1" x14ac:dyDescent="0.25">
      <c r="H107" s="34"/>
    </row>
    <row r="108" spans="8:8" x14ac:dyDescent="0.25">
      <c r="H108" s="34"/>
    </row>
    <row r="109" spans="8:8" ht="16.5" customHeight="1" x14ac:dyDescent="0.25">
      <c r="H109" s="34"/>
    </row>
    <row r="110" spans="8:8" ht="16.5" customHeight="1" x14ac:dyDescent="0.25">
      <c r="H110" s="34"/>
    </row>
    <row r="111" spans="8:8" ht="16.5" customHeight="1" x14ac:dyDescent="0.25">
      <c r="H111" s="34"/>
    </row>
    <row r="112" spans="8:8" ht="16.5" customHeight="1" x14ac:dyDescent="0.25">
      <c r="H112" s="34"/>
    </row>
    <row r="113" spans="8:8" ht="16.5" customHeight="1" x14ac:dyDescent="0.25">
      <c r="H113" s="34"/>
    </row>
    <row r="114" spans="8:8" s="48" customFormat="1" ht="16.5" customHeight="1" x14ac:dyDescent="0.25"/>
    <row r="115" spans="8:8" ht="16.5" customHeight="1" x14ac:dyDescent="0.25">
      <c r="H115" s="34"/>
    </row>
    <row r="116" spans="8:8" ht="16.5" customHeight="1" x14ac:dyDescent="0.25">
      <c r="H116" s="34"/>
    </row>
    <row r="117" spans="8:8" ht="32.25" customHeight="1" x14ac:dyDescent="0.25">
      <c r="H117" s="34"/>
    </row>
    <row r="118" spans="8:8" ht="16.5" customHeight="1" x14ac:dyDescent="0.25">
      <c r="H118" s="34"/>
    </row>
    <row r="119" spans="8:8" ht="16.5" customHeight="1" x14ac:dyDescent="0.25">
      <c r="H119" s="34"/>
    </row>
    <row r="120" spans="8:8" ht="16.5" customHeight="1" x14ac:dyDescent="0.25">
      <c r="H120" s="34"/>
    </row>
    <row r="121" spans="8:8" ht="16.5" customHeight="1" x14ac:dyDescent="0.25">
      <c r="H121" s="34"/>
    </row>
    <row r="122" spans="8:8" ht="16.5" customHeight="1" x14ac:dyDescent="0.25">
      <c r="H122" s="34"/>
    </row>
    <row r="123" spans="8:8" ht="16.5" customHeight="1" x14ac:dyDescent="0.25">
      <c r="H123" s="34"/>
    </row>
    <row r="124" spans="8:8" ht="16.5" customHeight="1" x14ac:dyDescent="0.25">
      <c r="H124" s="34"/>
    </row>
    <row r="125" spans="8:8" ht="16.5" customHeight="1" x14ac:dyDescent="0.25">
      <c r="H125" s="34"/>
    </row>
    <row r="126" spans="8:8" ht="16.5" customHeight="1" x14ac:dyDescent="0.25">
      <c r="H126" s="34"/>
    </row>
    <row r="127" spans="8:8" ht="16.5" customHeight="1" x14ac:dyDescent="0.25">
      <c r="H127" s="34"/>
    </row>
    <row r="128" spans="8:8" ht="16.5" customHeight="1" x14ac:dyDescent="0.25">
      <c r="H128" s="34"/>
    </row>
    <row r="129" spans="8:8" ht="16.5" customHeight="1" x14ac:dyDescent="0.25">
      <c r="H129" s="34"/>
    </row>
    <row r="130" spans="8:8" ht="16.5" customHeight="1" x14ac:dyDescent="0.25">
      <c r="H130" s="34"/>
    </row>
    <row r="131" spans="8:8" ht="16.5" customHeight="1" x14ac:dyDescent="0.25">
      <c r="H131" s="34"/>
    </row>
    <row r="132" spans="8:8" ht="16.5" customHeight="1" x14ac:dyDescent="0.25">
      <c r="H132" s="34"/>
    </row>
    <row r="133" spans="8:8" ht="16.5" customHeight="1" x14ac:dyDescent="0.25">
      <c r="H133" s="34"/>
    </row>
    <row r="134" spans="8:8" ht="16.5" customHeight="1" x14ac:dyDescent="0.25">
      <c r="H134" s="34"/>
    </row>
    <row r="135" spans="8:8" ht="16.5" customHeight="1" x14ac:dyDescent="0.25">
      <c r="H135" s="34"/>
    </row>
    <row r="136" spans="8:8" ht="16.5" customHeight="1" x14ac:dyDescent="0.25">
      <c r="H136" s="34"/>
    </row>
    <row r="137" spans="8:8" ht="16.5" customHeight="1" x14ac:dyDescent="0.25">
      <c r="H137" s="34"/>
    </row>
    <row r="138" spans="8:8" ht="16.5" customHeight="1" x14ac:dyDescent="0.25">
      <c r="H138" s="34"/>
    </row>
    <row r="139" spans="8:8" ht="16.5" customHeight="1" x14ac:dyDescent="0.25">
      <c r="H139" s="34"/>
    </row>
    <row r="140" spans="8:8" ht="16.5" customHeight="1" x14ac:dyDescent="0.25">
      <c r="H140" s="34"/>
    </row>
    <row r="141" spans="8:8" ht="16.5" customHeight="1" x14ac:dyDescent="0.25">
      <c r="H141" s="34"/>
    </row>
    <row r="142" spans="8:8" ht="16.5" customHeight="1" x14ac:dyDescent="0.25">
      <c r="H142" s="34"/>
    </row>
    <row r="143" spans="8:8" ht="16.5" customHeight="1" x14ac:dyDescent="0.25">
      <c r="H143" s="34"/>
    </row>
    <row r="144" spans="8:8" ht="34.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s="48" customFormat="1" ht="16.5" customHeight="1" x14ac:dyDescent="0.25"/>
    <row r="149" spans="8:8" ht="16.5" customHeight="1" x14ac:dyDescent="0.25">
      <c r="H149" s="34"/>
    </row>
    <row r="150" spans="8:8" ht="16.5" customHeight="1" x14ac:dyDescent="0.25">
      <c r="H150" s="34"/>
    </row>
    <row r="151" spans="8:8" ht="32.2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s="48" customFormat="1" ht="16.5" customHeight="1" x14ac:dyDescent="0.25"/>
    <row r="159" spans="8:8" ht="16.5" customHeight="1" x14ac:dyDescent="0.25">
      <c r="H159" s="34"/>
    </row>
    <row r="160" spans="8:8" ht="34.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ht="16.5" customHeight="1" x14ac:dyDescent="0.25">
      <c r="H168" s="34"/>
    </row>
    <row r="169" spans="8:8" ht="16.5" customHeight="1" x14ac:dyDescent="0.25">
      <c r="H169" s="34"/>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V14" sqref="V14"/>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",'FP-Fund #### Journal Entries'!F3)</f>
        <v>FY 2023–2024</v>
      </c>
      <c r="K4" s="3"/>
      <c r="L4" s="3"/>
      <c r="M4" s="3"/>
      <c r="N4" s="3"/>
      <c r="O4" s="3"/>
      <c r="P4" s="3"/>
      <c r="Q4" s="63"/>
    </row>
    <row r="5" spans="2:17" ht="20.25" x14ac:dyDescent="0.3">
      <c r="B5" s="61"/>
      <c r="D5" s="3"/>
      <c r="E5" s="3"/>
      <c r="F5" s="3"/>
      <c r="G5" s="3"/>
      <c r="H5" s="3"/>
      <c r="I5" s="3"/>
      <c r="J5" s="89" t="str">
        <f>CONCATENATE("Business Unit ",'FP-Fund #### Journal Entries'!F5," - ",'FP-Fund #### Journal Entries'!F4)</f>
        <v xml:space="preserve">Business Unit  - </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0" t="s">
        <v>1799</v>
      </c>
      <c r="I8" s="65"/>
      <c r="J8" s="210" t="s">
        <v>1800</v>
      </c>
      <c r="K8" s="65"/>
      <c r="L8" s="209"/>
      <c r="M8" s="65"/>
      <c r="N8" s="210" t="s">
        <v>1677</v>
      </c>
      <c r="O8" s="65"/>
      <c r="P8" s="209"/>
      <c r="Q8" s="63"/>
    </row>
    <row r="9" spans="2:17" x14ac:dyDescent="0.25">
      <c r="B9" s="61"/>
      <c r="C9" s="65" t="s">
        <v>1678</v>
      </c>
      <c r="Q9" s="63"/>
    </row>
    <row r="10" spans="2:17" ht="36.75" thickBot="1" x14ac:dyDescent="0.3">
      <c r="B10" s="61"/>
      <c r="D10" s="67" t="s">
        <v>1801</v>
      </c>
      <c r="F10" s="91"/>
      <c r="G10" s="90"/>
      <c r="H10" s="91"/>
      <c r="I10" s="90"/>
      <c r="J10" s="91"/>
      <c r="K10" s="90"/>
      <c r="L10" s="90">
        <f>SUM(F10+H10-J10)</f>
        <v>0</v>
      </c>
      <c r="M10" s="90"/>
      <c r="N10" s="91"/>
      <c r="O10" s="90"/>
      <c r="P10" s="90">
        <f>L10-N10</f>
        <v>0</v>
      </c>
      <c r="Q10" s="63"/>
    </row>
    <row r="11" spans="2:17" ht="19.5" thickTop="1" thickBot="1" x14ac:dyDescent="0.3">
      <c r="B11" s="61"/>
      <c r="C11" s="65" t="s">
        <v>1680</v>
      </c>
      <c r="F11" s="95">
        <f>SUM(F10:F10)</f>
        <v>0</v>
      </c>
      <c r="G11" s="90"/>
      <c r="H11" s="95">
        <f>SUM(H10:H10)</f>
        <v>0</v>
      </c>
      <c r="I11" s="90"/>
      <c r="J11" s="95">
        <f>SUM(J10:J10)</f>
        <v>0</v>
      </c>
      <c r="K11" s="90"/>
      <c r="L11" s="95">
        <f>SUM(L10:L10)</f>
        <v>0</v>
      </c>
      <c r="M11" s="90"/>
      <c r="N11" s="95">
        <f>SUM(N10:N10)</f>
        <v>0</v>
      </c>
      <c r="O11" s="90"/>
      <c r="P11" s="95">
        <f>SUM(P10:P10)</f>
        <v>0</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36.75" thickBot="1" x14ac:dyDescent="0.3">
      <c r="B14" s="61"/>
      <c r="D14" s="67" t="s">
        <v>1801</v>
      </c>
      <c r="F14" s="91"/>
      <c r="G14" s="90"/>
      <c r="H14" s="91"/>
      <c r="I14" s="90"/>
      <c r="J14" s="91"/>
      <c r="K14" s="90"/>
      <c r="L14" s="90">
        <f>SUM(F14+H14-J14)</f>
        <v>0</v>
      </c>
      <c r="M14" s="90"/>
      <c r="N14" s="91"/>
      <c r="O14" s="90"/>
      <c r="P14" s="90">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36.75" thickBot="1" x14ac:dyDescent="0.3">
      <c r="B18" s="61"/>
      <c r="D18" s="67" t="s">
        <v>1801</v>
      </c>
      <c r="F18" s="91"/>
      <c r="G18" s="90"/>
      <c r="H18" s="91"/>
      <c r="I18" s="90"/>
      <c r="J18" s="91"/>
      <c r="K18" s="90"/>
      <c r="L18" s="90">
        <f>SUM(F18+H18-J18)</f>
        <v>0</v>
      </c>
      <c r="M18" s="90"/>
      <c r="N18" s="91"/>
      <c r="O18" s="90"/>
      <c r="P18" s="90">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1802</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0044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0044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Au, Jared</cp:lastModifiedBy>
  <cp:revision/>
  <dcterms:created xsi:type="dcterms:W3CDTF">2023-03-08T17:19:33Z</dcterms:created>
  <dcterms:modified xsi:type="dcterms:W3CDTF">2025-01-17T19:25:58Z</dcterms:modified>
  <cp:category/>
  <cp:contentStatus/>
</cp:coreProperties>
</file>