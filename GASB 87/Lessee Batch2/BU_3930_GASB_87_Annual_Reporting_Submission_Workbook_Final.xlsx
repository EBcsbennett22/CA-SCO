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3930 DPR\"/>
    </mc:Choice>
  </mc:AlternateContent>
  <xr:revisionPtr revIDLastSave="0" documentId="8_{C29F6A90-6C39-4A8B-9F35-4EBC77A9E13E}" xr6:coauthVersionLast="47" xr6:coauthVersionMax="47" xr10:uidLastSave="{00000000-0000-0000-0000-000000000000}"/>
  <bookViews>
    <workbookView xWindow="20370" yWindow="-120" windowWidth="38640" windowHeight="15840" tabRatio="921" firstSheet="2" activeTab="2" xr2:uid="{00000000-000D-0000-FFFF-FFFF00000000}"/>
  </bookViews>
  <sheets>
    <sheet name="Drop Down Menus" sheetId="1" state="hidden" r:id="rId1"/>
    <sheet name="qryIndex02a" sheetId="11" state="hidden" r:id="rId2"/>
    <sheet name="LS-Fund 0106 Journal Entries" sheetId="2" r:id="rId3"/>
    <sheet name="LS-Fund 3340 Journal Entrie" sheetId="16"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2">'LS-Fund 0106 Journal Entries'!$A$1:$R$130</definedName>
    <definedName name="_xlnm.Print_Area" localSheetId="3">'LS-Fund 3340 Journal Entrie'!$A$1:$R$130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16" l="1"/>
  <c r="N22" i="16"/>
  <c r="B42" i="7"/>
  <c r="N10" i="4"/>
  <c r="J10" i="4"/>
  <c r="F16" i="7"/>
  <c r="M18" i="2" l="1"/>
  <c r="K129" i="16" l="1"/>
  <c r="K128" i="16"/>
  <c r="K114" i="16"/>
  <c r="J114" i="16"/>
  <c r="L114" i="16" s="1"/>
  <c r="K105" i="16"/>
  <c r="J105" i="16"/>
  <c r="L105" i="16" s="1"/>
  <c r="C104" i="16"/>
  <c r="K91" i="16"/>
  <c r="J91" i="16"/>
  <c r="L91" i="16" s="1"/>
  <c r="K77" i="16"/>
  <c r="J77" i="16"/>
  <c r="K70" i="16"/>
  <c r="J70" i="16"/>
  <c r="L69" i="16"/>
  <c r="K65" i="16"/>
  <c r="J65" i="16"/>
  <c r="B63" i="16"/>
  <c r="L62" i="16"/>
  <c r="K59" i="16"/>
  <c r="J59" i="16"/>
  <c r="L59" i="16" s="1"/>
  <c r="K49" i="16"/>
  <c r="J49" i="16"/>
  <c r="L49" i="16" s="1"/>
  <c r="L43" i="16"/>
  <c r="K43" i="16"/>
  <c r="J43" i="16"/>
  <c r="K36" i="16"/>
  <c r="J36" i="16"/>
  <c r="L36" i="16" s="1"/>
  <c r="S25" i="16"/>
  <c r="Q24" i="16"/>
  <c r="S24" i="16" s="1"/>
  <c r="K24" i="16"/>
  <c r="S23" i="16"/>
  <c r="K23" i="16"/>
  <c r="S22" i="16"/>
  <c r="K22" i="16"/>
  <c r="K127" i="16" s="1"/>
  <c r="S21" i="16"/>
  <c r="K21" i="16"/>
  <c r="K126" i="16" s="1"/>
  <c r="S20" i="16"/>
  <c r="K20" i="16"/>
  <c r="K125" i="16" s="1"/>
  <c r="S19" i="16"/>
  <c r="P18" i="16"/>
  <c r="S18" i="16" s="1"/>
  <c r="S17" i="16"/>
  <c r="J17" i="16"/>
  <c r="K124" i="16" s="1"/>
  <c r="S16" i="16"/>
  <c r="J16" i="16"/>
  <c r="K123" i="16" s="1"/>
  <c r="S15" i="16"/>
  <c r="J15" i="16"/>
  <c r="K122" i="16" s="1"/>
  <c r="F9" i="16"/>
  <c r="B100" i="16" s="1"/>
  <c r="L65" i="16" l="1"/>
  <c r="L70" i="16"/>
  <c r="L77" i="16"/>
  <c r="J18" i="16"/>
  <c r="J19" i="16" s="1"/>
  <c r="C35" i="16"/>
  <c r="C64" i="16"/>
  <c r="K25" i="16" l="1"/>
  <c r="K26" i="16" s="1"/>
  <c r="J26" i="16"/>
  <c r="L26" i="16" l="1"/>
  <c r="B63" i="2" l="1"/>
  <c r="B57" i="8"/>
  <c r="L56" i="8"/>
  <c r="L63" i="8"/>
  <c r="K83" i="8"/>
  <c r="K82" i="8"/>
  <c r="K81" i="8"/>
  <c r="K80" i="8"/>
  <c r="K79" i="8"/>
  <c r="K78" i="8"/>
  <c r="K77" i="8"/>
  <c r="J18" i="4"/>
  <c r="J14" i="4"/>
  <c r="H18" i="4"/>
  <c r="H14" i="4"/>
  <c r="H10" i="4"/>
  <c r="N18" i="4"/>
  <c r="N14"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F10" i="4" l="1"/>
  <c r="B16" i="7"/>
  <c r="K128" i="2"/>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<sst xmlns="http://schemas.openxmlformats.org/spreadsheetml/2006/main" count="8151" uniqueCount="1791">
  <si>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</si>
  <si>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</si>
  <si>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</si>
  <si>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</si>
  <si>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</si>
  <si>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</si>
  <si>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</si>
  <si>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</si>
  <si>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</si>
  <si>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</si>
  <si>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</si>
  <si>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</si>
  <si>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</si>
  <si>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</si>
  <si>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</si>
  <si>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</si>
  <si>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</si>
  <si>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</si>
  <si>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</si>
  <si>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</si>
  <si>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</si>
  <si>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</si>
  <si>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</si>
  <si>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</si>
  <si>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</si>
  <si>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</si>
  <si>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</si>
  <si>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</si>
  <si>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</si>
  <si>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</si>
  <si>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</si>
  <si>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</si>
  <si>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</si>
  <si>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</si>
  <si>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</si>
  <si>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</si>
  <si>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</si>
  <si>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</si>
  <si>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</si>
  <si>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</si>
  <si>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</si>
  <si>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</si>
  <si>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</si>
  <si>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</si>
  <si>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</si>
  <si>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</si>
  <si>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</si>
  <si>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</si>
  <si>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</si>
  <si>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</si>
  <si>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</si>
  <si>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</si>
  <si>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</si>
  <si>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</si>
  <si>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</si>
  <si>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</si>
  <si>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</si>
  <si>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</si>
  <si>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</si>
  <si>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</si>
  <si>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</si>
  <si>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</si>
  <si>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</si>
  <si>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</si>
  <si>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</si>
  <si>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</si>
  <si>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</si>
  <si>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</si>
  <si>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</si>
  <si>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</si>
  <si>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</si>
  <si>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</si>
  <si>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</si>
  <si>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</si>
  <si>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</si>
  <si>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</si>
  <si>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</si>
  <si>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</si>
  <si>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</si>
  <si>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</si>
  <si>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</si>
  <si>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</si>
  <si>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</si>
  <si>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</si>
  <si>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</si>
  <si>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</si>
  <si>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</si>
  <si>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</si>
  <si>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</si>
  <si>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</si>
  <si>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</si>
  <si>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</si>
  <si>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</si>
  <si>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</si>
  <si>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</si>
  <si>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</si>
  <si>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</si>
  <si>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</si>
  <si>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</si>
  <si>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</si>
  <si>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</si>
  <si>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</si>
  <si>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</si>
  <si>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</si>
  <si>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</si>
  <si>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</si>
  <si>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</si>
  <si>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</si>
  <si>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</si>
  <si>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</si>
  <si>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</si>
  <si>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</si>
  <si>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</si>
  <si>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</si>
  <si>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</si>
  <si>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</si>
  <si>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</si>
  <si>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</si>
  <si>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</si>
  <si>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</si>
  <si>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</si>
  <si>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</si>
  <si>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</si>
  <si>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</si>
  <si>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</si>
  <si>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</si>
  <si>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</si>
  <si>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</si>
  <si>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</si>
  <si>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</si>
  <si>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</si>
  <si>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</si>
  <si>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</si>
  <si>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</si>
  <si>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</si>
  <si>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</si>
  <si>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</si>
  <si>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</si>
  <si>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</si>
  <si>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</si>
  <si>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</si>
  <si>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</si>
  <si>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</si>
  <si>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</si>
  <si>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</si>
  <si>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</si>
  <si>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</si>
  <si>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</si>
  <si>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</si>
  <si>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</si>
  <si>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</si>
  <si>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</si>
  <si>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</si>
  <si>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</si>
  <si>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</si>
  <si>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</si>
  <si>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</si>
  <si>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</si>
  <si>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</si>
  <si>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</si>
  <si>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</si>
  <si>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</si>
  <si>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</si>
  <si>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</si>
  <si>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</si>
  <si>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</si>
  <si>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</si>
  <si>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</si>
  <si>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</si>
  <si>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</si>
  <si>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</si>
  <si>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</si>
  <si>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</si>
  <si>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</si>
  <si>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</si>
  <si>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</si>
  <si>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</si>
  <si>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</si>
  <si>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</si>
  <si>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</si>
  <si>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</si>
  <si>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</si>
  <si>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</si>
  <si>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</si>
  <si>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</si>
  <si>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</si>
  <si>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</si>
  <si>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</si>
  <si>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</si>
  <si>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</si>
  <si>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</si>
  <si>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</si>
  <si>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</si>
  <si>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</si>
  <si>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</si>
  <si>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</si>
  <si>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</si>
  <si>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</si>
  <si>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</si>
  <si>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</si>
  <si>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</si>
  <si>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</si>
  <si>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</si>
  <si>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</si>
  <si>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</si>
  <si>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</si>
  <si>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</si>
  <si>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</si>
  <si>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</si>
  <si>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</si>
  <si>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</si>
  <si>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</si>
  <si>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</si>
  <si>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</si>
  <si>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</si>
  <si>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</si>
  <si>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</si>
  <si>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</si>
  <si>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</si>
  <si>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</si>
  <si>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</si>
  <si>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</si>
  <si>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</si>
  <si>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</si>
  <si>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</si>
  <si>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</si>
  <si>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</si>
  <si>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</si>
  <si>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</si>
  <si>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</si>
  <si>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</si>
  <si>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</si>
  <si>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</si>
  <si>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</si>
  <si>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</si>
  <si>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</si>
  <si>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</si>
  <si>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</si>
  <si>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</si>
  <si>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</si>
  <si>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</si>
  <si>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</si>
  <si>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</si>
  <si>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</si>
  <si>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</si>
  <si>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</si>
  <si>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</si>
  <si>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</si>
  <si>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</si>
  <si>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</si>
  <si>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</si>
  <si>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</si>
  <si>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</si>
  <si>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</si>
  <si>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</si>
  <si>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</si>
  <si>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</si>
  <si>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</si>
  <si>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</si>
  <si>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</si>
  <si>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</si>
  <si>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</si>
  <si>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</si>
  <si>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</si>
  <si>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</si>
  <si>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</si>
  <si>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</si>
  <si>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</si>
  <si>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</si>
  <si>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</si>
  <si>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</si>
  <si>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</si>
  <si>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</si>
  <si>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</si>
  <si>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</si>
  <si>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</si>
  <si>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</si>
  <si>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</si>
  <si>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</si>
  <si>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</si>
  <si>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</si>
  <si>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</si>
  <si>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</si>
  <si>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</si>
  <si>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</si>
  <si>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</si>
  <si>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</si>
  <si>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</si>
  <si>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</si>
  <si>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</si>
  <si>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</si>
  <si>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</si>
  <si>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</si>
  <si>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</si>
  <si>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</si>
  <si>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</si>
  <si>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</si>
  <si>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</si>
  <si>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</si>
  <si>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</si>
  <si>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</si>
  <si>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</si>
  <si>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</si>
  <si>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</si>
  <si>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</si>
  <si>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</si>
  <si>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</si>
  <si>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</si>
  <si>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</si>
  <si>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</si>
  <si>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</si>
  <si>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</si>
  <si>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</si>
  <si>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</si>
  <si>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</si>
  <si>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</si>
  <si>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</si>
  <si>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</si>
  <si>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</si>
  <si>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</si>
  <si>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</si>
  <si>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</si>
  <si>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</si>
  <si>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</si>
  <si>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</si>
  <si>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</si>
  <si>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</si>
  <si>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</si>
  <si>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</si>
  <si>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</si>
  <si>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</si>
  <si>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</si>
  <si>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</si>
  <si>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</si>
  <si>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</si>
  <si>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</si>
  <si>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</si>
  <si>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</si>
  <si>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</si>
  <si>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</si>
  <si>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</si>
  <si>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</si>
  <si>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</si>
  <si>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</si>
  <si>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</si>
  <si>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</si>
  <si>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</si>
  <si>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</si>
  <si>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</si>
  <si>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</si>
  <si>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</si>
  <si>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</si>
  <si>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</si>
  <si>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</si>
  <si>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</si>
  <si>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</si>
  <si>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</si>
  <si>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</si>
  <si>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</si>
  <si>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</si>
  <si>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</si>
  <si>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</si>
  <si>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</si>
  <si>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</si>
  <si>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</si>
  <si>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</si>
  <si>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</si>
  <si>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</si>
  <si>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</si>
  <si>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</si>
  <si>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</si>
  <si>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</si>
  <si>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</si>
  <si>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</si>
  <si>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</si>
  <si>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</si>
  <si>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</si>
  <si>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</si>
  <si>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</si>
  <si>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</si>
  <si>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</si>
  <si>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</si>
  <si>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</si>
  <si>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</si>
  <si>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</si>
  <si>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</si>
  <si>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</si>
  <si>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</si>
  <si>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</si>
  <si>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</si>
  <si>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</si>
  <si>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</si>
  <si>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</si>
  <si>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</si>
  <si>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</si>
  <si>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</si>
  <si>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</si>
  <si>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</si>
  <si>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</si>
  <si>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</si>
  <si>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</si>
  <si>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</si>
  <si>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</si>
  <si>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</si>
  <si>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</si>
  <si>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</si>
  <si>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</si>
  <si>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</si>
  <si>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</si>
  <si>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</si>
  <si>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</si>
  <si>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</si>
  <si>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</si>
  <si>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</si>
  <si>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</si>
  <si>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</si>
  <si>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</si>
  <si>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</si>
  <si>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</si>
  <si>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</si>
  <si>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</si>
  <si>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</si>
  <si>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</si>
  <si>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</si>
  <si>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</si>
  <si>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</si>
  <si>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</si>
  <si>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</si>
  <si>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</si>
  <si>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</si>
  <si>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</si>
  <si>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</si>
  <si>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</si>
  <si>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</si>
  <si>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</si>
  <si>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</si>
  <si>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</si>
  <si>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</si>
  <si>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</si>
  <si>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</si>
  <si>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</si>
  <si>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</si>
  <si>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</si>
  <si>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</si>
  <si>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</si>
  <si>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</si>
  <si>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</si>
  <si>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</si>
  <si>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</si>
  <si>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</si>
  <si>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</si>
  <si>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</si>
  <si>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</si>
  <si>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</si>
  <si>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</si>
  <si>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</si>
  <si>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</si>
  <si>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</si>
  <si>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</si>
  <si>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</si>
  <si>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</si>
  <si>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</si>
  <si>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</si>
  <si>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</si>
  <si>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</si>
  <si>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</si>
  <si>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</si>
  <si>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</si>
  <si>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</si>
  <si>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</si>
  <si>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</si>
  <si>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</si>
  <si>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</si>
  <si>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</si>
  <si>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</si>
  <si>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</si>
  <si>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</si>
  <si>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</si>
  <si>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</si>
  <si>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</si>
  <si>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</si>
  <si>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</si>
  <si>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</si>
  <si>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</si>
  <si>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</si>
  <si>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</si>
  <si>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</si>
  <si>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</si>
  <si>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</si>
  <si>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</si>
  <si>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</si>
  <si>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</si>
  <si>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</si>
  <si>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</si>
  <si>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</si>
  <si>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</si>
  <si>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</si>
  <si>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</si>
  <si>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</si>
  <si>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</si>
  <si>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</si>
  <si>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</si>
  <si>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</si>
  <si>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</si>
  <si>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</si>
  <si>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</si>
  <si>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</si>
  <si>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</si>
  <si>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</si>
  <si>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</si>
  <si>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</si>
  <si>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</si>
  <si>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</si>
  <si>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</si>
  <si>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</si>
  <si>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</si>
  <si>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</si>
  <si>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</si>
  <si>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</si>
  <si>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</si>
  <si>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</si>
  <si>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</si>
  <si>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</si>
  <si>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</si>
  <si>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</si>
  <si>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</si>
  <si>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</si>
  <si>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</si>
  <si>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</si>
  <si>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</si>
  <si>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</si>
  <si>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</si>
  <si>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</si>
  <si>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</si>
  <si>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</si>
  <si>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</si>
  <si>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</si>
  <si>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</si>
  <si>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</si>
  <si>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</si>
  <si>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</si>
  <si>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</si>
  <si>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</si>
  <si>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</si>
  <si>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</si>
  <si>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</si>
  <si>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</si>
  <si>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</si>
  <si>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</si>
  <si>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</si>
  <si>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</si>
  <si>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</si>
  <si>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</si>
  <si>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</si>
  <si>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</si>
  <si>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</si>
  <si>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</si>
  <si>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</si>
  <si>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</si>
  <si>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</si>
  <si>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</si>
  <si>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</si>
  <si>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</si>
  <si>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</si>
  <si>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</si>
  <si>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</si>
  <si>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</si>
  <si>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</si>
  <si>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</si>
  <si>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</si>
  <si>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</si>
  <si>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</si>
  <si>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</si>
  <si>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</si>
  <si>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</si>
  <si>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</si>
  <si>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</si>
  <si>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</si>
  <si>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</si>
  <si>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</si>
  <si>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</si>
  <si>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</si>
  <si>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</si>
  <si>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</si>
  <si>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</si>
  <si>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</si>
  <si>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</si>
  <si>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</si>
  <si>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</si>
  <si>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</si>
  <si>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</si>
  <si>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</si>
  <si>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</si>
  <si>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</si>
  <si>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</si>
  <si>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</si>
  <si>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</si>
  <si>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</si>
  <si>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</si>
  <si>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</si>
  <si>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</si>
  <si>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</si>
  <si>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</si>
  <si>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</si>
  <si>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</si>
  <si>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</si>
  <si>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</si>
  <si>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</si>
  <si>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</si>
  <si>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</si>
  <si>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</si>
  <si>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</si>
  <si>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</si>
  <si>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</si>
  <si>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</si>
  <si>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</si>
  <si>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</si>
  <si>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</si>
  <si>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</si>
  <si>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</si>
  <si>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</si>
  <si>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</si>
  <si>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</si>
  <si>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</si>
  <si>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</si>
  <si>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</si>
  <si>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</si>
  <si>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</si>
  <si>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</si>
  <si>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</si>
  <si>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</si>
  <si>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</si>
  <si>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</si>
  <si>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</si>
  <si>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</si>
  <si>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</si>
  <si>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</si>
  <si>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</si>
  <si>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</si>
  <si>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</si>
  <si>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</si>
  <si>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</si>
  <si>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</si>
  <si>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</si>
  <si>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</si>
  <si>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</si>
  <si>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</si>
  <si>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</si>
  <si>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</si>
  <si>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</si>
  <si>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</si>
  <si>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</si>
  <si>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</si>
  <si>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</si>
  <si>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</si>
  <si>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</si>
  <si>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</si>
  <si>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</si>
  <si>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</si>
  <si>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</si>
  <si>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</si>
  <si>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</si>
  <si>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</si>
  <si>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</si>
  <si>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</si>
  <si>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</si>
  <si>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</si>
  <si>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</si>
  <si>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</si>
  <si>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</si>
  <si>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</si>
  <si>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</si>
  <si>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</si>
  <si>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</si>
  <si>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</si>
  <si>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</si>
  <si>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</si>
  <si>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</si>
  <si>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</si>
  <si>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</si>
  <si>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</si>
  <si>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</si>
  <si>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</si>
  <si>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</si>
  <si>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</si>
  <si>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</si>
  <si>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</si>
  <si>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</si>
  <si>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</si>
  <si>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</si>
  <si>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</si>
  <si>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</si>
  <si>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</si>
  <si>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</si>
  <si>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</si>
  <si>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</si>
  <si>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</si>
  <si>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</si>
  <si>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</si>
  <si>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</si>
  <si>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</si>
  <si>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</si>
  <si>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</si>
  <si>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</si>
  <si>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</si>
  <si>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</si>
  <si>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</si>
  <si>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</si>
  <si>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</si>
  <si>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</si>
  <si>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</si>
  <si>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</si>
  <si>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</si>
  <si>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</si>
  <si>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</si>
  <si>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</si>
  <si>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</si>
  <si>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</si>
  <si>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</si>
  <si>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</si>
  <si>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</si>
  <si>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</si>
  <si>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</si>
  <si>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</si>
  <si>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</si>
  <si>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</si>
  <si>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</si>
  <si>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</si>
  <si>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</si>
  <si>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</si>
  <si>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</si>
  <si>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</si>
  <si>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</si>
  <si>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</si>
  <si>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</si>
  <si>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</si>
  <si>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</si>
  <si>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</si>
  <si>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</si>
  <si>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</si>
  <si>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</si>
  <si>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</si>
  <si>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</si>
  <si>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</si>
  <si>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</si>
  <si>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</si>
  <si>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</si>
  <si>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</si>
  <si>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</si>
  <si>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</si>
  <si>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</si>
  <si>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</si>
  <si>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</si>
  <si>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</si>
  <si>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</si>
  <si>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</si>
  <si>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</si>
  <si>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</si>
  <si>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</si>
  <si>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</si>
  <si>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</si>
  <si>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</si>
  <si>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</si>
  <si>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</si>
  <si>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</si>
  <si>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</si>
  <si>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</si>
  <si>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</si>
  <si>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</si>
  <si>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</si>
  <si>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</si>
  <si>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</si>
  <si>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</si>
  <si>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</si>
  <si>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</si>
  <si>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</si>
  <si>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</si>
  <si>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</si>
  <si>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</si>
  <si>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</si>
  <si>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</si>
  <si>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</si>
  <si>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</si>
  <si>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</si>
  <si>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</si>
  <si>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</si>
  <si>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</si>
  <si>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</si>
  <si>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</si>
  <si>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</si>
  <si>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</si>
  <si>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</si>
  <si>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</si>
  <si>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</si>
  <si>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</si>
  <si>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</si>
  <si>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</si>
  <si>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</si>
  <si>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</si>
  <si>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</si>
  <si>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</si>
  <si>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</si>
  <si>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</si>
  <si>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</si>
  <si>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</si>
  <si>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</si>
  <si>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</si>
  <si>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</si>
  <si>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</si>
  <si>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</si>
  <si>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</si>
  <si>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</si>
  <si>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</si>
  <si>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</si>
  <si>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</si>
  <si>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</si>
  <si>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</si>
  <si>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</si>
  <si>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</si>
  <si>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</si>
  <si>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</si>
  <si>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</si>
  <si>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</si>
  <si>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</si>
  <si>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</si>
  <si>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</si>
  <si>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</si>
  <si>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</si>
  <si>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</si>
  <si>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</si>
  <si>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</si>
  <si>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</si>
  <si>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</si>
  <si>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</si>
  <si>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</si>
  <si>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</si>
  <si>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</si>
  <si>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</si>
  <si>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</si>
  <si>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</si>
  <si>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</si>
  <si>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</si>
  <si>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</si>
  <si>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</si>
  <si>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</si>
  <si>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</si>
  <si>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</si>
  <si>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</si>
  <si>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</si>
  <si>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</si>
  <si>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</si>
  <si>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</si>
  <si>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</si>
  <si>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</si>
  <si>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</si>
  <si>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</si>
  <si>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</si>
  <si>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</si>
  <si>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</si>
  <si>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</si>
  <si>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</si>
  <si>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</si>
  <si>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</si>
  <si>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</si>
  <si>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</si>
  <si>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</si>
  <si>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</si>
  <si>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</si>
  <si>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</si>
  <si>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</si>
  <si>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</si>
  <si>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</si>
  <si>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</si>
  <si>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</si>
  <si>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</si>
  <si>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</si>
  <si>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</si>
  <si>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</si>
  <si>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</si>
  <si>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</si>
  <si>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</si>
  <si>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</si>
  <si>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</si>
  <si>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</si>
  <si>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</si>
  <si>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</si>
  <si>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</si>
  <si>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</si>
  <si>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</si>
  <si>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</si>
  <si>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</si>
  <si>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</si>
  <si>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</si>
  <si>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</si>
  <si>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</si>
  <si>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</si>
  <si>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</si>
  <si>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</si>
  <si>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</si>
  <si>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</si>
  <si>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</si>
  <si>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</si>
  <si>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</si>
  <si>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</si>
  <si>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</si>
  <si>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</si>
  <si>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</si>
  <si>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</si>
  <si>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</si>
  <si>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</si>
  <si>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</si>
  <si>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</si>
  <si>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</si>
  <si>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</si>
  <si>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</si>
  <si>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</si>
  <si>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</si>
  <si>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</si>
  <si>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</si>
  <si>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</si>
  <si>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</si>
  <si>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</si>
  <si>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</si>
  <si>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</si>
  <si>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</si>
  <si>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</si>
  <si>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</si>
  <si>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</si>
  <si>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</si>
  <si>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</si>
  <si>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</si>
  <si>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</si>
  <si>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</si>
  <si>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</si>
  <si>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</si>
  <si>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</si>
  <si>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</si>
  <si>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</si>
  <si>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</si>
  <si>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</si>
  <si>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</si>
  <si>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</si>
  <si>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</si>
  <si>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</si>
  <si>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</si>
  <si>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</si>
  <si>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</si>
  <si>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</si>
  <si>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</si>
  <si>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</si>
  <si>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</si>
  <si>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</si>
  <si>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</si>
  <si>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</si>
  <si>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</si>
  <si>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</si>
  <si>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</si>
  <si>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</si>
  <si>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</si>
  <si>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</si>
  <si>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</si>
  <si>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</si>
  <si>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</si>
  <si>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</si>
  <si>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</si>
  <si>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</si>
  <si>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</si>
  <si>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</si>
  <si>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</si>
  <si>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</si>
  <si>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</si>
  <si>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</si>
  <si>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</si>
  <si>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</si>
  <si>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</si>
  <si>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</si>
  <si>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</si>
  <si>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</si>
  <si>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</si>
  <si>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</si>
  <si>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</si>
  <si>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</si>
  <si>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</si>
  <si>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</si>
  <si>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</si>
  <si>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</si>
  <si>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</si>
  <si>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</si>
  <si>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</si>
  <si>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</si>
  <si>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</si>
  <si>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</si>
  <si>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</si>
  <si>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</si>
  <si>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</si>
  <si>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</si>
  <si>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</si>
  <si>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</si>
  <si>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</si>
  <si>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</si>
  <si>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</si>
  <si>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</si>
  <si>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</si>
  <si>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</si>
  <si>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</si>
  <si>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</si>
  <si>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</si>
  <si>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</si>
  <si>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</si>
  <si>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</si>
  <si>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</si>
  <si>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</si>
  <si>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</si>
  <si>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</si>
  <si>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</si>
  <si>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</si>
  <si>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</si>
  <si>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</si>
  <si>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</si>
  <si>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</si>
  <si>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</si>
  <si>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</si>
  <si>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</si>
  <si>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</si>
  <si>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</si>
  <si>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</si>
  <si>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</si>
  <si>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</si>
  <si>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</si>
  <si>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</si>
  <si>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</si>
  <si>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</si>
  <si>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</si>
  <si>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</si>
  <si>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</si>
  <si>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</si>
  <si>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</si>
  <si>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</si>
  <si>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</si>
  <si>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</si>
  <si>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</si>
  <si>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</si>
  <si>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</si>
  <si>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</si>
  <si>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</si>
  <si>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</si>
  <si>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</si>
  <si>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</si>
  <si>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</si>
  <si>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</si>
  <si>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</si>
  <si>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</si>
  <si>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</si>
  <si>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</si>
  <si>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</si>
  <si>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</si>
  <si>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</si>
  <si>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</si>
  <si>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</si>
  <si>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</si>
  <si>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</si>
  <si>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</si>
  <si>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</si>
  <si>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</si>
  <si>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</si>
  <si>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</si>
  <si>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</si>
  <si>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</si>
  <si>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</si>
  <si>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</si>
  <si>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</si>
  <si>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</si>
  <si>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</si>
  <si>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</si>
  <si>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</si>
  <si>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</si>
  <si>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</si>
  <si>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</si>
  <si>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</si>
  <si>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</si>
  <si>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</si>
  <si>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</si>
  <si>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</si>
  <si>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</si>
  <si>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</si>
  <si>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</si>
  <si>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</si>
  <si>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</si>
  <si>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</si>
  <si>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</si>
  <si>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</si>
  <si>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</si>
  <si>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</si>
  <si>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</si>
  <si>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</si>
  <si>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</si>
  <si>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</si>
  <si>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</si>
  <si>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</si>
  <si>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</si>
  <si>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</si>
  <si>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</si>
  <si>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</si>
  <si>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</si>
  <si>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</si>
  <si>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</si>
  <si>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</si>
  <si>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</si>
  <si>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</si>
  <si>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</si>
  <si>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</si>
  <si>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</si>
  <si>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</si>
  <si>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</si>
  <si>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</si>
  <si>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</si>
  <si>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</si>
  <si>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</si>
  <si>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</si>
  <si>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</si>
  <si>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</si>
  <si>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</si>
  <si>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</si>
  <si>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</si>
  <si>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</si>
  <si>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</si>
  <si>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</si>
  <si>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</si>
  <si>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</si>
  <si>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</si>
  <si>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</si>
  <si>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</si>
  <si>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</si>
  <si>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</si>
  <si>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</si>
  <si>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</si>
  <si>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</si>
  <si>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</si>
  <si>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</si>
  <si>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</si>
  <si>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</si>
  <si>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</si>
  <si>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</si>
  <si>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</si>
  <si>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</si>
  <si>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</si>
  <si>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</si>
  <si>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</si>
  <si>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</si>
  <si>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</si>
  <si>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</si>
  <si>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</si>
  <si>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</si>
  <si>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</si>
  <si>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</si>
  <si>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</si>
  <si>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</si>
  <si>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</si>
  <si>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</si>
  <si>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</si>
  <si>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</si>
  <si>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</si>
  <si>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</si>
  <si>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</si>
  <si>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</si>
  <si>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</si>
  <si>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</si>
  <si>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</si>
  <si>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</si>
  <si>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</si>
  <si>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</si>
  <si>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</si>
  <si>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</si>
  <si>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</si>
  <si>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</si>
  <si>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</si>
  <si>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</si>
  <si>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</si>
  <si>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</si>
  <si>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</si>
  <si>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</si>
  <si>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</si>
  <si>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</si>
  <si>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</si>
  <si>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</si>
  <si>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</si>
  <si>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</si>
  <si>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</si>
  <si>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</si>
  <si>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</si>
  <si>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</si>
  <si>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</si>
  <si>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</si>
  <si>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</si>
  <si>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</si>
  <si>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</si>
  <si>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</si>
  <si>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</si>
  <si>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</si>
  <si>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</si>
  <si>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</si>
  <si>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</si>
  <si>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</si>
  <si>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</si>
  <si>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</si>
  <si>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</si>
  <si>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</si>
  <si>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</si>
  <si>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</si>
  <si>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</si>
  <si>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</si>
  <si>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</si>
  <si>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</si>
  <si>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</si>
  <si>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</si>
  <si>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</si>
  <si>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</si>
  <si>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</si>
  <si>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</si>
  <si>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</si>
  <si>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</si>
  <si>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</si>
  <si>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</si>
  <si>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</si>
  <si>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</si>
  <si>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</si>
  <si>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</si>
  <si>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</si>
  <si>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</si>
  <si>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</si>
  <si>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</si>
  <si>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</si>
  <si>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</si>
  <si>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</si>
  <si>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</si>
  <si>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</si>
  <si>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</si>
  <si>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</si>
  <si>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</si>
  <si>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</si>
  <si>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</si>
  <si>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</si>
  <si>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</si>
  <si>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</si>
  <si>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</si>
  <si>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</si>
  <si>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</si>
  <si>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</si>
  <si>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</si>
  <si>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</si>
  <si>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</si>
  <si>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</si>
  <si>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</si>
  <si>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</si>
  <si>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</si>
  <si>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</si>
  <si>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</si>
  <si>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</si>
  <si>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</si>
  <si>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</si>
  <si>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</si>
  <si>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</si>
  <si>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</si>
  <si>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</si>
  <si>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</si>
  <si>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</si>
  <si>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</si>
  <si>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</si>
  <si>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</si>
  <si>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</si>
  <si>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</si>
  <si>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</si>
  <si>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</si>
  <si>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</si>
  <si>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</si>
  <si>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</si>
  <si>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</si>
  <si>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</si>
  <si>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</si>
  <si>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</si>
  <si>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</si>
  <si>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</si>
  <si>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</si>
  <si>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</si>
  <si>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</si>
  <si>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</si>
  <si>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</si>
  <si>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</si>
  <si>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</si>
  <si>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</si>
  <si>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</si>
  <si>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</si>
  <si>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</si>
  <si>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</si>
  <si>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</si>
  <si>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</si>
  <si>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</si>
  <si>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</si>
  <si>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</si>
  <si>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</si>
  <si>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</si>
  <si>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</si>
  <si>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</si>
  <si>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</si>
  <si>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</si>
  <si>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</si>
  <si>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</si>
  <si>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</si>
  <si>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</si>
  <si>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</si>
  <si>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</si>
  <si>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</si>
  <si>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</si>
  <si>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</si>
  <si>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</si>
  <si>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</si>
  <si>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</si>
  <si>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</si>
  <si>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</si>
  <si>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</si>
  <si>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</si>
  <si>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</si>
  <si>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</si>
  <si>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</si>
  <si>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</si>
  <si>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</si>
  <si>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</si>
  <si>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</si>
  <si>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</si>
  <si>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</si>
  <si>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</si>
  <si>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</si>
  <si>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</si>
  <si>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</si>
  <si>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</si>
  <si>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</si>
  <si>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</si>
  <si>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</si>
  <si>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</si>
  <si>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</si>
  <si>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</si>
  <si>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</si>
  <si>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</si>
  <si>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</si>
  <si>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</si>
  <si>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</si>
  <si>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</si>
  <si>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</si>
  <si>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</si>
  <si>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</si>
  <si>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</si>
  <si>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</si>
  <si>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</si>
  <si>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</si>
  <si>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</si>
  <si>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</si>
  <si>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</si>
  <si>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</si>
  <si>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</si>
  <si>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</si>
  <si>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</si>
  <si>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</si>
  <si>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</si>
  <si>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</si>
  <si>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</si>
  <si>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</si>
  <si>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</si>
  <si>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</si>
  <si>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</si>
  <si>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</si>
  <si>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</si>
  <si>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</si>
  <si>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</si>
  <si>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</si>
  <si>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</si>
  <si>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</si>
  <si>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</si>
  <si>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</si>
  <si>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</si>
  <si>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</si>
  <si>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</si>
  <si>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</si>
  <si>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</si>
  <si>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</si>
  <si>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</si>
  <si>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</si>
  <si>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</si>
  <si>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</si>
  <si>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</si>
  <si>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</si>
  <si>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</si>
  <si>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</si>
  <si>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</si>
  <si>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</si>
  <si>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</si>
  <si>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</si>
  <si>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</si>
  <si>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</si>
  <si>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</si>
  <si>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</si>
  <si>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</si>
  <si>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</si>
  <si>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</si>
  <si>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</si>
  <si>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</si>
  <si>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</si>
  <si>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</si>
  <si>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</si>
  <si>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</si>
  <si>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</si>
  <si>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</si>
  <si>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</si>
  <si>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</si>
  <si>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</si>
  <si>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</si>
  <si>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</si>
  <si>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</si>
  <si>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</si>
  <si>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</si>
  <si>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</si>
  <si>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</si>
  <si>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</si>
  <si>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</si>
  <si>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</si>
  <si>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</si>
  <si>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</si>
  <si>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</si>
  <si>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</si>
  <si>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</si>
  <si>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</si>
  <si>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</si>
  <si>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</si>
  <si>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</si>
  <si>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</si>
  <si>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</si>
  <si>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</si>
  <si>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</si>
  <si>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</si>
  <si>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</si>
  <si>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</si>
  <si>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</si>
  <si>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</si>
  <si>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</si>
  <si>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</si>
  <si>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</si>
  <si>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</si>
  <si>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</si>
  <si>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</si>
  <si>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</si>
  <si>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</si>
  <si>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</si>
  <si>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</si>
  <si>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</si>
  <si>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</si>
  <si>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</si>
  <si>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</si>
  <si>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</si>
  <si>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</si>
  <si>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</si>
  <si>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</si>
  <si>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</si>
  <si>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</si>
  <si>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</si>
  <si>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</si>
  <si>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</si>
  <si>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</si>
  <si>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</si>
  <si>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</si>
  <si>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</si>
  <si>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</si>
  <si>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</si>
  <si>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</si>
  <si>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</si>
  <si>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</si>
  <si>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</si>
  <si>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</si>
  <si>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</si>
  <si>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</si>
  <si>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</si>
  <si>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</si>
  <si>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</si>
  <si>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</si>
  <si>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</si>
  <si>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</si>
  <si>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</si>
  <si>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</si>
  <si>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</si>
  <si>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</si>
  <si>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</si>
  <si>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</si>
  <si>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</si>
  <si>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</si>
  <si>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</si>
  <si>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</si>
  <si>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</si>
  <si>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</si>
  <si>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</si>
  <si>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</si>
  <si>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</si>
  <si>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</si>
  <si>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</si>
  <si>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</si>
  <si>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</si>
  <si>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</si>
  <si>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</si>
  <si>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</si>
  <si>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</si>
  <si>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</si>
  <si>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</si>
  <si>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</si>
  <si>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</si>
  <si>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</si>
  <si>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</si>
  <si>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</si>
  <si>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</si>
  <si>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</si>
  <si>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</si>
  <si>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</si>
  <si>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</si>
  <si>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</si>
  <si>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</si>
  <si>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</si>
  <si>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</si>
  <si>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</si>
  <si>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</si>
  <si>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</si>
  <si>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</si>
  <si>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</si>
  <si>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</si>
  <si>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</si>
  <si>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</si>
  <si>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</si>
  <si>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</si>
  <si>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</si>
  <si>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</si>
  <si>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</si>
  <si>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</si>
  <si>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</si>
  <si>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</si>
  <si>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</si>
  <si>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</si>
  <si>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</si>
  <si>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</si>
  <si>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</si>
  <si>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</si>
  <si>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</si>
  <si>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</si>
  <si>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</si>
  <si>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</si>
  <si>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</si>
  <si>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</si>
  <si>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</si>
  <si>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</si>
  <si>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</si>
  <si>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</si>
  <si>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</si>
  <si>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</si>
  <si>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</si>
  <si>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</si>
  <si>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</si>
  <si>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</si>
  <si>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</si>
  <si>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</si>
  <si>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</si>
  <si>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</si>
  <si>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</si>
  <si>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</si>
  <si>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</si>
  <si>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</si>
  <si>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</si>
  <si>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</si>
  <si>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</si>
  <si>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</si>
  <si>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</si>
  <si>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</si>
  <si>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</si>
  <si>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</si>
  <si>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</si>
  <si>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</si>
  <si>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</si>
  <si>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</si>
  <si>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</si>
  <si>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</si>
  <si>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</si>
  <si>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</si>
  <si>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</si>
  <si>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</si>
  <si>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</si>
  <si>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</si>
  <si>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</si>
  <si>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</si>
  <si>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</si>
  <si>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</si>
  <si>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</si>
  <si>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</si>
  <si>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</si>
  <si>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</si>
  <si>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</si>
  <si>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</si>
  <si>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</si>
  <si>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</si>
  <si>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</si>
  <si>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</si>
  <si>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</si>
  <si>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</si>
  <si>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</si>
  <si>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</si>
  <si>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</si>
  <si>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</si>
  <si>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</si>
  <si>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</si>
  <si>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</si>
  <si>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</si>
  <si>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</si>
  <si>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</si>
  <si>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</si>
  <si>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</si>
  <si>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</si>
  <si>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</si>
  <si>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</si>
  <si>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</si>
  <si>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</si>
  <si>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</si>
  <si>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</si>
  <si>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</si>
  <si>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</si>
  <si>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</si>
  <si>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</si>
  <si>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</si>
  <si>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</si>
  <si>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</si>
  <si>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</si>
  <si>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</si>
  <si>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</si>
  <si>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</si>
  <si>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</si>
  <si>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</si>
  <si>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</si>
  <si>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</si>
  <si>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</si>
  <si>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</si>
  <si>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</si>
  <si>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</si>
  <si>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</si>
  <si>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</si>
  <si>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</si>
  <si>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</si>
  <si>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</si>
  <si>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</si>
  <si>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</si>
  <si>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</si>
  <si>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</si>
  <si>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</si>
  <si>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</si>
  <si>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</si>
  <si>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</si>
  <si>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</si>
  <si>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</si>
  <si>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</si>
  <si>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</si>
  <si>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</si>
  <si>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</si>
  <si>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</si>
  <si>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</si>
  <si>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</si>
  <si>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</si>
  <si>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</si>
  <si>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</si>
  <si>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</si>
  <si>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</si>
  <si>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</si>
  <si>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</si>
  <si>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</si>
  <si>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</si>
  <si>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</si>
  <si>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</si>
  <si>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</si>
  <si>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</si>
  <si>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</si>
  <si>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</si>
  <si>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</si>
  <si>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</si>
  <si>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</si>
  <si>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</si>
  <si>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</si>
  <si>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</si>
  <si>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</si>
  <si>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</si>
  <si>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</si>
  <si>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</si>
  <si>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</si>
  <si>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</si>
  <si>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</si>
  <si>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</si>
  <si>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</si>
  <si>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</si>
  <si>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</si>
  <si>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</si>
  <si>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</si>
  <si>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</si>
  <si>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</si>
  <si>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</si>
  <si>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</si>
  <si>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</si>
  <si>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</si>
  <si>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</si>
  <si>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</si>
  <si>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</si>
  <si>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</si>
  <si>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</si>
  <si>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</si>
  <si>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</si>
  <si>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</si>
  <si>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</si>
  <si>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</si>
  <si>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</si>
  <si>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</si>
  <si>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</si>
  <si>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</si>
  <si>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</si>
  <si>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</si>
  <si>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</si>
  <si>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</si>
  <si>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</si>
  <si>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</si>
  <si>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</si>
  <si>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</si>
  <si>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</si>
  <si>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</si>
  <si>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</si>
  <si>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</si>
  <si>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</si>
  <si>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</si>
  <si>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</si>
  <si>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</si>
  <si>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</si>
  <si>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</si>
  <si>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</si>
  <si>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</si>
  <si>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</si>
  <si>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</si>
  <si>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</si>
  <si>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</si>
  <si>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</si>
  <si>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</si>
  <si>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</si>
  <si>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</si>
  <si>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</si>
  <si>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</si>
  <si>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</si>
  <si>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</si>
  <si>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</si>
  <si>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</si>
  <si>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</si>
  <si>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</si>
  <si>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</si>
  <si>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</si>
  <si>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</si>
  <si>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</si>
  <si>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</si>
  <si>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</si>
  <si>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</si>
  <si>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</si>
  <si>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</si>
  <si>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</si>
  <si>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</si>
  <si>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</si>
  <si>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</si>
  <si>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</si>
  <si>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Added additional wording to remind users not to enter decimals into the payment and interest table.</t>
  </si>
  <si>
    <t>Clarification only. Do not enter decimals.</t>
  </si>
  <si>
    <t>Reminder - No Decimals.</t>
  </si>
  <si>
    <t>B22</t>
  </si>
  <si>
    <t>Clarification only.</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</si>
  <si>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</si>
  <si>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</si>
  <si>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</si>
  <si>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</si>
  <si>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</si>
  <si>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</si>
  <si>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</si>
  <si>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</si>
  <si>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</si>
  <si>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</si>
  <si>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</si>
  <si>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</si>
  <si>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</si>
  <si>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</si>
  <si>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</si>
  <si>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</si>
  <si>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Department of Pesticide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</si>
</sst>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70">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D134" sqref="D134"/>
    </sheetView>
  </sheetViews>
  <sheetFormatPr defaultColWidth="9.140625" defaultRowHeight="15" x14ac:dyDescent="0.25"/>
  <cols>
    <col min="1" max="1" width="13.42578125" style="37" customWidth="1"/>
    <col min="2" max="5" width="10.5703125" style="37" customWidth="1"/>
    <col min="6" max="7" width="15.42578125" style="37" customWidth="1"/>
    <col min="8" max="8" width="15.42578125" style="54" customWidth="1"/>
    <col min="9" max="9" width="15.42578125" style="37" customWidth="1"/>
    <col min="10" max="10" width="21.42578125" style="37" customWidth="1"/>
    <col min="11" max="11" width="19.140625" style="37" customWidth="1"/>
    <col min="12" max="12" width="4" style="37" customWidth="1"/>
    <col min="13" max="14" width="17.425781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1790</v>
      </c>
      <c r="G4" s="266"/>
      <c r="H4" s="266"/>
      <c r="I4" s="266"/>
    </row>
    <row r="5" spans="1:20" ht="16.5" customHeight="1" x14ac:dyDescent="0.2">
      <c r="A5" s="264" t="s">
        <v>1639</v>
      </c>
      <c r="B5" s="264"/>
      <c r="C5" s="264"/>
      <c r="D5" s="264"/>
      <c r="E5" s="264"/>
      <c r="F5" s="266" t="s">
        <v>816</v>
      </c>
      <c r="G5" s="266"/>
      <c r="H5" s="266"/>
      <c r="I5" s="266"/>
      <c r="L5" s="39"/>
      <c r="M5" s="39"/>
      <c r="N5" s="39"/>
      <c r="O5" s="39"/>
      <c r="P5" s="39"/>
      <c r="Q5" s="39"/>
    </row>
    <row r="6" spans="1:20" ht="16.5" customHeight="1" x14ac:dyDescent="0.25">
      <c r="A6" s="264" t="s">
        <v>1682</v>
      </c>
      <c r="B6" s="264"/>
      <c r="C6" s="264"/>
      <c r="D6" s="264"/>
      <c r="E6" s="264"/>
      <c r="F6" s="267">
        <v>106</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RESOURCES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1758</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1758</v>
      </c>
    </row>
    <row r="17" spans="1:20" ht="16.5" customHeight="1" x14ac:dyDescent="0.25">
      <c r="A17" s="228" t="s">
        <v>1689</v>
      </c>
      <c r="B17" s="26" t="s">
        <v>182</v>
      </c>
      <c r="C17" s="26"/>
      <c r="D17" s="26"/>
      <c r="E17" s="193"/>
      <c r="F17" s="194"/>
      <c r="G17" s="194"/>
      <c r="H17" s="195"/>
      <c r="I17" s="195"/>
      <c r="J17" s="248">
        <f>M17</f>
        <v>10683494</v>
      </c>
      <c r="M17" s="196">
        <v>10683494</v>
      </c>
      <c r="P17" s="196">
        <v>10683494</v>
      </c>
      <c r="Q17" s="224"/>
      <c r="S17" s="223">
        <f t="shared" si="0"/>
        <v>0</v>
      </c>
      <c r="T17" s="251" t="s">
        <v>1758</v>
      </c>
    </row>
    <row r="18" spans="1:20" ht="16.5" customHeight="1" x14ac:dyDescent="0.25">
      <c r="A18" s="99"/>
      <c r="B18" s="26" t="s">
        <v>178</v>
      </c>
      <c r="C18" s="26"/>
      <c r="D18" s="26"/>
      <c r="E18" s="193"/>
      <c r="F18" s="194"/>
      <c r="G18" s="194"/>
      <c r="H18" s="195"/>
      <c r="I18" s="195"/>
      <c r="J18" s="248">
        <f>P18</f>
        <v>115671</v>
      </c>
      <c r="M18" s="196">
        <f>233169-117498</f>
        <v>115671</v>
      </c>
      <c r="P18" s="221">
        <f>IF(SUM($Q$20:$Q$23)&gt;SUM($P$15:$P$17),SUM($Q$20:$Q$23)-SUM($P$15:$P$17),0)</f>
        <v>115671</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2256305</v>
      </c>
      <c r="N22" s="196">
        <v>2256305</v>
      </c>
      <c r="P22" s="224"/>
      <c r="Q22" s="196">
        <v>2256305</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8542860</v>
      </c>
      <c r="N23" s="196">
        <v>8542860</v>
      </c>
      <c r="P23" s="224"/>
      <c r="Q23" s="196">
        <v>8542860</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10799165</v>
      </c>
      <c r="K26" s="155">
        <f>SUM(K15:K25)</f>
        <v>10799165</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350000000000001" customHeight="1" x14ac:dyDescent="0.3">
      <c r="A28" s="1"/>
      <c r="B28" s="235" t="s">
        <v>1701</v>
      </c>
      <c r="C28" s="181"/>
      <c r="D28" s="47"/>
      <c r="E28" s="47"/>
      <c r="F28" s="179"/>
      <c r="G28" s="179"/>
      <c r="H28" s="49"/>
      <c r="I28" s="49"/>
      <c r="J28" s="46"/>
      <c r="K28" s="46"/>
      <c r="L28" s="21"/>
    </row>
    <row r="29" spans="1:20" ht="16.350000000000001"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1745</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1743</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1744</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1128153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1128153</v>
      </c>
    </row>
    <row r="59" spans="1:16" ht="16.5" customHeight="1" x14ac:dyDescent="0.25">
      <c r="A59" s="99"/>
      <c r="C59" s="43"/>
      <c r="D59" s="43"/>
      <c r="E59" s="43"/>
      <c r="F59" s="44"/>
      <c r="G59" s="44"/>
      <c r="H59" s="45"/>
      <c r="I59" s="45"/>
      <c r="J59" s="155">
        <f>SUM(J55:J58)</f>
        <v>1128153</v>
      </c>
      <c r="K59" s="155">
        <f>SUM(K55:K58)</f>
        <v>1128153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1746</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1009114</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100253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1109367</v>
      </c>
    </row>
    <row r="65" spans="1:12" ht="16.5" customHeight="1" x14ac:dyDescent="0.25">
      <c r="A65" s="99"/>
      <c r="C65" s="43"/>
      <c r="D65" s="43"/>
      <c r="E65" s="43"/>
      <c r="F65" s="44"/>
      <c r="G65" s="44"/>
      <c r="H65" s="45"/>
      <c r="I65" s="45"/>
      <c r="J65" s="155">
        <f>SUM(J62:J64)</f>
        <v>1109367</v>
      </c>
      <c r="K65" s="155">
        <f>SUM(K62:K64)</f>
        <v>1109367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1009114</v>
      </c>
      <c r="K68" s="197"/>
    </row>
    <row r="69" spans="1:12" ht="16.5" customHeight="1" x14ac:dyDescent="0.25">
      <c r="A69" s="99"/>
      <c r="B69" s="26"/>
      <c r="C69" s="26" t="s">
        <v>202</v>
      </c>
      <c r="D69" s="193"/>
      <c r="E69" s="193"/>
      <c r="F69" s="194"/>
      <c r="G69" s="194"/>
      <c r="H69" s="195"/>
      <c r="I69" s="195"/>
      <c r="J69" s="197"/>
      <c r="K69" s="196">
        <v>1009114</v>
      </c>
      <c r="L69" s="37" t="str">
        <f>IF($J$62=$K$69,"","&lt;- Accts 0848 must agree")</f>
        <v/>
      </c>
    </row>
    <row r="70" spans="1:12" ht="16.5" customHeight="1" x14ac:dyDescent="0.25">
      <c r="A70" s="99"/>
      <c r="C70" s="43"/>
      <c r="D70" s="43"/>
      <c r="E70" s="43"/>
      <c r="F70" s="44"/>
      <c r="G70" s="44"/>
      <c r="H70" s="45"/>
      <c r="I70" s="45"/>
      <c r="J70" s="155">
        <f>SUM(J68:J69)</f>
        <v>1009114</v>
      </c>
      <c r="K70" s="155">
        <f>SUM(K68:K69)</f>
        <v>1009114</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1005624</v>
      </c>
      <c r="K75" s="197"/>
    </row>
    <row r="76" spans="1:12" ht="16.5" customHeight="1" x14ac:dyDescent="0.25">
      <c r="A76" s="99"/>
      <c r="B76" s="26"/>
      <c r="C76" s="26" t="s">
        <v>210</v>
      </c>
      <c r="D76" s="193"/>
      <c r="E76" s="193"/>
      <c r="F76" s="194"/>
      <c r="G76" s="194"/>
      <c r="H76" s="195"/>
      <c r="I76" s="195"/>
      <c r="J76" s="197"/>
      <c r="K76" s="196">
        <v>1005624</v>
      </c>
    </row>
    <row r="77" spans="1:12" ht="16.5" customHeight="1" x14ac:dyDescent="0.2">
      <c r="A77" s="99"/>
      <c r="B77" s="262" t="s">
        <v>1735</v>
      </c>
      <c r="C77" s="262"/>
      <c r="D77" s="262"/>
      <c r="E77" s="262"/>
      <c r="F77" s="262"/>
      <c r="G77" s="262"/>
      <c r="H77" s="262"/>
      <c r="I77" s="262"/>
      <c r="J77" s="155">
        <f>SUM(J75:J76)</f>
        <v>1005624</v>
      </c>
      <c r="K77" s="155">
        <f>SUM(K75:K76)</f>
        <v>1005624</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1754</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1747</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10683494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-3384458</v>
      </c>
    </row>
    <row r="128" spans="1:12" ht="16.5" customHeight="1" x14ac:dyDescent="0.25">
      <c r="D128" s="193" t="s">
        <v>1708</v>
      </c>
      <c r="H128" s="37"/>
      <c r="K128" s="238">
        <f>-K23-K48+J68+J75+J96-K113</f>
        <v>-6528122</v>
      </c>
    </row>
    <row r="129" spans="4:11" ht="16.5" customHeight="1" x14ac:dyDescent="0.25">
      <c r="D129" s="193" t="s">
        <v>1709</v>
      </c>
      <c r="H129" s="37"/>
      <c r="K129" s="238">
        <f>-K76</f>
        <v>-1005624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98CF1-A53F-434D-8512-271D5B4CA57E}">
  <sheetPr>
    <tabColor theme="9" tint="0.59999389629810485"/>
    <pageSetUpPr fitToPage="1"/>
  </sheetPr>
  <dimension ref="A1:T193"/>
  <sheetViews>
    <sheetView topLeftCell="A109" zoomScale="70" zoomScaleNormal="70" workbookViewId="0">
      <selection activeCell="A127" sqref="A127:XFD127"/>
    </sheetView>
  </sheetViews>
  <sheetFormatPr defaultColWidth="9.140625" defaultRowHeight="15" x14ac:dyDescent="0.25"/>
  <cols>
    <col min="1" max="1" width="13.42578125" style="37" customWidth="1"/>
    <col min="2" max="5" width="10.5703125" style="37" customWidth="1"/>
    <col min="6" max="7" width="15.42578125" style="37" customWidth="1"/>
    <col min="8" max="8" width="15.42578125" style="54" customWidth="1"/>
    <col min="9" max="9" width="15.42578125" style="37" customWidth="1"/>
    <col min="10" max="10" width="21.42578125" style="37" customWidth="1"/>
    <col min="11" max="11" width="19.140625" style="37" customWidth="1"/>
    <col min="12" max="12" width="4" style="37" customWidth="1"/>
    <col min="13" max="14" width="17.425781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1790</v>
      </c>
      <c r="G4" s="266"/>
      <c r="H4" s="266"/>
      <c r="I4" s="266"/>
    </row>
    <row r="5" spans="1:20" ht="16.5" customHeight="1" x14ac:dyDescent="0.2">
      <c r="A5" s="264" t="s">
        <v>1639</v>
      </c>
      <c r="B5" s="264"/>
      <c r="C5" s="264"/>
      <c r="D5" s="264"/>
      <c r="E5" s="264"/>
      <c r="F5" s="266" t="s">
        <v>816</v>
      </c>
      <c r="G5" s="266"/>
      <c r="H5" s="266"/>
      <c r="I5" s="266"/>
      <c r="L5" s="39"/>
      <c r="M5" s="39"/>
      <c r="N5" s="39"/>
      <c r="O5" s="39"/>
      <c r="P5" s="39"/>
      <c r="Q5" s="39"/>
    </row>
    <row r="6" spans="1:20" ht="16.5" customHeight="1" x14ac:dyDescent="0.25">
      <c r="A6" s="264" t="s">
        <v>1682</v>
      </c>
      <c r="B6" s="264"/>
      <c r="C6" s="264"/>
      <c r="D6" s="264"/>
      <c r="E6" s="264"/>
      <c r="F6" s="267">
        <v>3340</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RESOURCES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1758</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1758</v>
      </c>
    </row>
    <row r="17" spans="1:20" ht="16.5" customHeight="1" x14ac:dyDescent="0.25">
      <c r="A17" s="228" t="s">
        <v>1689</v>
      </c>
      <c r="B17" s="26" t="s">
        <v>182</v>
      </c>
      <c r="C17" s="26"/>
      <c r="D17" s="26"/>
      <c r="E17" s="193"/>
      <c r="F17" s="194"/>
      <c r="G17" s="194"/>
      <c r="H17" s="195"/>
      <c r="I17" s="195"/>
      <c r="J17" s="248">
        <f>M17</f>
        <v>1065117</v>
      </c>
      <c r="M17" s="196">
        <v>1065117</v>
      </c>
      <c r="P17" s="196">
        <v>1065117</v>
      </c>
      <c r="Q17" s="224"/>
      <c r="S17" s="223">
        <f t="shared" si="0"/>
        <v>0</v>
      </c>
      <c r="T17" s="251" t="s">
        <v>1758</v>
      </c>
    </row>
    <row r="18" spans="1:20" ht="16.5" customHeight="1" x14ac:dyDescent="0.25">
      <c r="A18" s="99"/>
      <c r="B18" s="26" t="s">
        <v>178</v>
      </c>
      <c r="C18" s="26"/>
      <c r="D18" s="26"/>
      <c r="E18" s="193"/>
      <c r="F18" s="194"/>
      <c r="G18" s="194"/>
      <c r="H18" s="195"/>
      <c r="I18" s="195"/>
      <c r="J18" s="248">
        <f>P18</f>
        <v>31695</v>
      </c>
      <c r="M18" s="196">
        <f>35328-3634+1</f>
        <v>31695</v>
      </c>
      <c r="P18" s="221">
        <f>IF(SUM($Q$20:$Q$23)&gt;SUM($P$15:$P$17),SUM($Q$20:$Q$23)-SUM($P$15:$P$17),0)</f>
        <v>31695</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168546</v>
      </c>
      <c r="N22" s="196">
        <f>168545+1</f>
        <v>168546</v>
      </c>
      <c r="P22" s="224"/>
      <c r="Q22" s="196">
        <v>168546</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928266</v>
      </c>
      <c r="N23" s="196">
        <v>928266</v>
      </c>
      <c r="P23" s="224"/>
      <c r="Q23" s="196">
        <v>928266</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1096812</v>
      </c>
      <c r="K26" s="155">
        <f>SUM(K15:K25)</f>
        <v>1096812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350000000000001" customHeight="1" x14ac:dyDescent="0.3">
      <c r="A28" s="1"/>
      <c r="B28" s="235" t="s">
        <v>1701</v>
      </c>
      <c r="C28" s="181"/>
      <c r="D28" s="47"/>
      <c r="E28" s="47"/>
      <c r="F28" s="179"/>
      <c r="G28" s="179"/>
      <c r="H28" s="49"/>
      <c r="I28" s="49"/>
      <c r="J28" s="46"/>
      <c r="K28" s="46"/>
      <c r="L28" s="21"/>
    </row>
    <row r="29" spans="1:20" ht="16.350000000000001"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1745</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1743</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1744</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84273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84273</v>
      </c>
    </row>
    <row r="59" spans="1:16" ht="16.5" customHeight="1" x14ac:dyDescent="0.25">
      <c r="A59" s="99"/>
      <c r="C59" s="43"/>
      <c r="D59" s="43"/>
      <c r="E59" s="43"/>
      <c r="F59" s="44"/>
      <c r="G59" s="44"/>
      <c r="H59" s="45"/>
      <c r="I59" s="45"/>
      <c r="J59" s="155">
        <f>SUM(J55:J58)</f>
        <v>84273</v>
      </c>
      <c r="K59" s="155">
        <f>SUM(K55:K58)</f>
        <v>84273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1746</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69333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12608</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81941</v>
      </c>
    </row>
    <row r="65" spans="1:12" ht="16.5" customHeight="1" x14ac:dyDescent="0.25">
      <c r="A65" s="99"/>
      <c r="C65" s="43"/>
      <c r="D65" s="43"/>
      <c r="E65" s="43"/>
      <c r="F65" s="44"/>
      <c r="G65" s="44"/>
      <c r="H65" s="45"/>
      <c r="I65" s="45"/>
      <c r="J65" s="155">
        <f>SUM(J62:J64)</f>
        <v>81941</v>
      </c>
      <c r="K65" s="155">
        <f>SUM(K62:K64)</f>
        <v>81941</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69333</v>
      </c>
      <c r="K68" s="197"/>
    </row>
    <row r="69" spans="1:12" ht="16.5" customHeight="1" x14ac:dyDescent="0.25">
      <c r="A69" s="99"/>
      <c r="B69" s="26"/>
      <c r="C69" s="26" t="s">
        <v>202</v>
      </c>
      <c r="D69" s="193"/>
      <c r="E69" s="193"/>
      <c r="F69" s="194"/>
      <c r="G69" s="194"/>
      <c r="H69" s="195"/>
      <c r="I69" s="195"/>
      <c r="J69" s="197"/>
      <c r="K69" s="196">
        <v>69333</v>
      </c>
      <c r="L69" s="37" t="str">
        <f>IF($J$62=$K$69,"","&lt;- Accts 0848 must agree")</f>
        <v/>
      </c>
    </row>
    <row r="70" spans="1:12" ht="16.5" customHeight="1" x14ac:dyDescent="0.25">
      <c r="A70" s="99"/>
      <c r="C70" s="43"/>
      <c r="D70" s="43"/>
      <c r="E70" s="43"/>
      <c r="F70" s="44"/>
      <c r="G70" s="44"/>
      <c r="H70" s="45"/>
      <c r="I70" s="45"/>
      <c r="J70" s="155">
        <f>SUM(J68:J69)</f>
        <v>69333</v>
      </c>
      <c r="K70" s="155">
        <f>SUM(K68:K69)</f>
        <v>69333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71149</v>
      </c>
      <c r="K75" s="197"/>
    </row>
    <row r="76" spans="1:12" ht="16.5" customHeight="1" x14ac:dyDescent="0.25">
      <c r="A76" s="99"/>
      <c r="B76" s="26"/>
      <c r="C76" s="26" t="s">
        <v>210</v>
      </c>
      <c r="D76" s="193"/>
      <c r="E76" s="193"/>
      <c r="F76" s="194"/>
      <c r="G76" s="194"/>
      <c r="H76" s="195"/>
      <c r="I76" s="195"/>
      <c r="J76" s="197"/>
      <c r="K76" s="196">
        <v>71149</v>
      </c>
    </row>
    <row r="77" spans="1:12" ht="16.5" customHeight="1" x14ac:dyDescent="0.2">
      <c r="A77" s="99"/>
      <c r="B77" s="262" t="s">
        <v>1735</v>
      </c>
      <c r="C77" s="262"/>
      <c r="D77" s="262"/>
      <c r="E77" s="262"/>
      <c r="F77" s="262"/>
      <c r="G77" s="262"/>
      <c r="H77" s="262"/>
      <c r="I77" s="262"/>
      <c r="J77" s="155">
        <f>SUM(J75:J76)</f>
        <v>71149</v>
      </c>
      <c r="K77" s="155">
        <f>SUM(K75:K76)</f>
        <v>71149</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1754</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1747</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1065117</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-252819</v>
      </c>
    </row>
    <row r="128" spans="1:12" ht="16.5" customHeight="1" x14ac:dyDescent="0.25">
      <c r="D128" s="193" t="s">
        <v>1708</v>
      </c>
      <c r="H128" s="37"/>
      <c r="K128" s="238">
        <f>-K23-K48+J68+J75+J96-K113</f>
        <v>-787784</v>
      </c>
    </row>
    <row r="129" spans="4:11" ht="16.5" customHeight="1" x14ac:dyDescent="0.25">
      <c r="D129" s="193" t="s">
        <v>1709</v>
      </c>
      <c r="H129" s="37"/>
      <c r="K129" s="238">
        <f>-K76</f>
        <v>-71149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type="textLength" operator="equal" allowBlank="1" showInputMessage="1" showErrorMessage="1" errorTitle="4-Digit Org Code" error="Enter the Org Code/BU as 4 digits." sqref="F5" xr:uid="{497741D5-5DF0-44EA-87B8-DB22B1DC429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2C54CE2-91FC-488A-9B31-5492EBA74C7A}">
      <formula1>0</formula1>
    </dataValidation>
    <dataValidation operator="lessThan" allowBlank="1" showInputMessage="1" showErrorMessage="1" sqref="A3:A8" xr:uid="{F50F17AB-BB1D-46AC-B72E-BC1D167632B0}"/>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14AAB38-842E-486C-AE17-6F9E89B3EDC0}">
          <x14:formula1>
            <xm:f>'Drop Down Menus'!$E$1:$E$3</xm:f>
          </x14:formula1>
          <xm:sqref>F8</xm:sqref>
        </x14:dataValidation>
        <x14:dataValidation type="list" allowBlank="1" showInputMessage="1" showErrorMessage="1" xr:uid="{3290DA70-AECE-4DDE-BB11-BF2E237662C9}">
          <x14:formula1>
            <xm:f>'Drop Down Menus'!$B$1:$B$2</xm:f>
          </x14:formula1>
          <xm:sqref>F7</xm:sqref>
        </x14:dataValidation>
        <x14:dataValidation type="list" allowBlank="1" showInputMessage="1" showErrorMessage="1" xr:uid="{936DFA13-B35F-414C-B9D4-2A2EDD040816}">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12" zoomScale="70" zoomScaleNormal="70" workbookViewId="0">
      <selection activeCell="D34" sqref="D34"/>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349999999999994" customHeight="1" x14ac:dyDescent="0.25">
      <c r="A2" s="279" t="s">
        <v>147</v>
      </c>
      <c r="B2" s="279"/>
      <c r="C2" s="279"/>
      <c r="D2" s="279"/>
      <c r="E2" s="279"/>
      <c r="F2" s="279"/>
      <c r="G2" s="5"/>
      <c r="H2" s="5"/>
      <c r="I2" s="5"/>
      <c r="J2" s="5"/>
      <c r="K2" s="5"/>
      <c r="L2" s="5"/>
      <c r="M2" s="5"/>
    </row>
    <row r="3" spans="1:13" ht="32.1" customHeight="1" x14ac:dyDescent="0.25">
      <c r="A3" s="284" t="s">
        <v>211</v>
      </c>
      <c r="B3" s="284"/>
      <c r="C3" s="284"/>
      <c r="D3" s="52"/>
      <c r="E3" s="5"/>
      <c r="F3" s="5"/>
      <c r="G3" s="5"/>
      <c r="H3" s="5"/>
      <c r="I3" s="5"/>
      <c r="J3" s="5"/>
      <c r="K3" s="5"/>
      <c r="L3" s="5"/>
      <c r="M3" s="5"/>
    </row>
    <row r="4" spans="1:13" ht="31.35" customHeight="1" x14ac:dyDescent="0.25">
      <c r="A4" s="285" t="s">
        <v>7</v>
      </c>
      <c r="B4" s="285"/>
      <c r="C4" s="285"/>
      <c r="D4" s="52"/>
      <c r="E4" s="5"/>
      <c r="F4" s="5"/>
      <c r="G4" s="5"/>
      <c r="H4" s="5"/>
      <c r="I4" s="5"/>
      <c r="J4" s="5"/>
      <c r="K4" s="5"/>
      <c r="L4" s="5"/>
      <c r="M4" s="5"/>
    </row>
    <row r="5" spans="1:13" ht="31.3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3930</v>
      </c>
      <c r="C9" s="282"/>
      <c r="D9" s="5"/>
      <c r="E9" s="5"/>
      <c r="F9" s="5"/>
    </row>
    <row r="10" spans="1:13" ht="15.75" x14ac:dyDescent="0.25">
      <c r="A10" s="12" t="s">
        <v>208</v>
      </c>
      <c r="B10" s="283" t="s">
        <v>1790</v>
      </c>
      <c r="C10" s="283"/>
      <c r="D10" s="5"/>
      <c r="E10" s="5"/>
      <c r="F10" s="5"/>
      <c r="G10" s="55"/>
      <c r="H10" s="55"/>
      <c r="I10" s="55"/>
      <c r="J10" s="55"/>
      <c r="K10" s="55"/>
      <c r="L10" s="55"/>
      <c r="M10" s="55"/>
    </row>
    <row r="11" spans="1:13" ht="32.25" customHeight="1" x14ac:dyDescent="0.25">
      <c r="A11" s="274" t="s">
        <v>1759</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1076773</v>
      </c>
      <c r="C13" s="100">
        <v>101970</v>
      </c>
      <c r="D13" s="272" t="s">
        <v>6</v>
      </c>
      <c r="E13" s="273"/>
      <c r="F13" s="273"/>
      <c r="G13" s="57"/>
      <c r="H13" s="57"/>
      <c r="I13" s="57"/>
      <c r="J13" s="57"/>
      <c r="K13" s="57"/>
      <c r="L13" s="57"/>
      <c r="M13" s="57"/>
    </row>
    <row r="14" spans="1:13" x14ac:dyDescent="0.2">
      <c r="A14" s="84" t="str">
        <f>LEFT(A13,4)+1&amp;"–"&amp;RIGHT(A13,4)+1</f>
        <v>2025–2026</v>
      </c>
      <c r="B14" s="100">
        <v>1121168</v>
      </c>
      <c r="C14" s="100">
        <v>90347</v>
      </c>
      <c r="D14" s="272"/>
      <c r="E14" s="273"/>
      <c r="F14" s="273"/>
    </row>
    <row r="15" spans="1:13" ht="15.75" x14ac:dyDescent="0.2">
      <c r="A15" s="84" t="str">
        <f>LEFT(A14,4)+1&amp;"–"&amp;RIGHT(A14,4)+1</f>
        <v>2026–2027</v>
      </c>
      <c r="B15" s="100">
        <v>1167077</v>
      </c>
      <c r="C15" s="100">
        <v>78224</v>
      </c>
      <c r="D15" s="269" t="s">
        <v>130</v>
      </c>
      <c r="E15" s="269"/>
      <c r="F15" s="269"/>
      <c r="G15" s="58"/>
      <c r="H15" s="58"/>
      <c r="I15" s="58"/>
      <c r="J15" s="58"/>
      <c r="K15" s="58"/>
      <c r="L15" s="58"/>
      <c r="M15" s="58"/>
    </row>
    <row r="16" spans="1:13" x14ac:dyDescent="0.2">
      <c r="A16" s="84" t="str">
        <f>LEFT(A15,4)+1&amp;"–"&amp;RIGHT(A15,4)+1</f>
        <v>2027–2028</v>
      </c>
      <c r="B16" s="100">
        <v>992011</v>
      </c>
      <c r="C16" s="100">
        <v>65830</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349002</v>
      </c>
      <c r="C17" s="100">
        <v>58163</v>
      </c>
      <c r="D17" s="269">
        <v>0</v>
      </c>
      <c r="E17" s="269"/>
      <c r="F17" s="269"/>
      <c r="G17" s="59"/>
      <c r="H17" s="59"/>
      <c r="I17" s="59"/>
      <c r="J17" s="59"/>
      <c r="K17" s="59"/>
    </row>
    <row r="18" spans="1:13" ht="15" customHeight="1" x14ac:dyDescent="0.25">
      <c r="A18" s="84" t="str">
        <f>LEFT(A17,4)+1&amp;"–"&amp;RIGHT(A17,4)+5</f>
        <v>2029–2034</v>
      </c>
      <c r="B18" s="100">
        <v>2019833</v>
      </c>
      <c r="C18" s="100">
        <v>205014</v>
      </c>
      <c r="D18" s="272" t="s">
        <v>8</v>
      </c>
      <c r="E18" s="273"/>
      <c r="F18" s="273"/>
      <c r="G18" s="57"/>
      <c r="H18" s="57"/>
      <c r="I18" s="57"/>
      <c r="J18" s="57"/>
      <c r="K18" s="57"/>
      <c r="L18" s="57"/>
      <c r="M18" s="57"/>
    </row>
    <row r="19" spans="1:13" x14ac:dyDescent="0.2">
      <c r="A19" s="84" t="str">
        <f t="shared" ref="A19:A32" si="0">LEFT(A18,4)+5&amp;"–"&amp;RIGHT(A18,4)+5</f>
        <v>2034–2039</v>
      </c>
      <c r="B19" s="100">
        <v>1666815</v>
      </c>
      <c r="C19" s="100">
        <v>44830</v>
      </c>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v>0</v>
      </c>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v>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v>0</v>
      </c>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3930</v>
      </c>
      <c r="C40" s="278"/>
      <c r="E40" s="60"/>
    </row>
    <row r="41" spans="1:13" ht="15.75" x14ac:dyDescent="0.25">
      <c r="A41" s="12" t="s">
        <v>208</v>
      </c>
      <c r="B41" s="276" t="str">
        <f>B10</f>
        <v>Department of Pesticide Regulation</v>
      </c>
      <c r="C41" s="276"/>
      <c r="E41" s="60"/>
    </row>
    <row r="42" spans="1:13" ht="32.25" customHeight="1" x14ac:dyDescent="0.25">
      <c r="A42" s="274" t="s">
        <v>1759</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3930</v>
      </c>
      <c r="C71" s="278"/>
    </row>
    <row r="72" spans="1:13" ht="15.75" x14ac:dyDescent="0.25">
      <c r="A72" s="12" t="s">
        <v>208</v>
      </c>
      <c r="B72" s="276" t="str">
        <f>B10</f>
        <v>Department of Pesticide Regulation</v>
      </c>
      <c r="C72" s="276"/>
    </row>
    <row r="73" spans="1:13" ht="32.25" customHeight="1" x14ac:dyDescent="0.25">
      <c r="A73" s="274" t="s">
        <v>1759</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32" sqref="J32"/>
    </sheetView>
  </sheetViews>
  <sheetFormatPr defaultColWidth="9.140625" defaultRowHeight="18" x14ac:dyDescent="0.25"/>
  <cols>
    <col min="1" max="1" width="9.140625" style="63"/>
    <col min="2" max="3" width="3.5703125" style="63" customWidth="1"/>
    <col min="4" max="4" width="35.5703125" style="63" customWidth="1"/>
    <col min="5" max="5" width="3.5703125" style="63" customWidth="1"/>
    <col min="6" max="6" width="16.85546875" style="64" customWidth="1"/>
    <col min="7" max="7" width="3.5703125" style="63" customWidth="1"/>
    <col min="8" max="8" width="16.85546875" style="64" customWidth="1"/>
    <col min="9" max="9" width="3.5703125" style="63" customWidth="1"/>
    <col min="10" max="10" width="16.85546875" style="64" customWidth="1"/>
    <col min="11" max="11" width="3.5703125" style="63" customWidth="1"/>
    <col min="12" max="12" width="16.85546875" style="64" customWidth="1"/>
    <col min="13" max="13" width="3.5703125" style="63" customWidth="1"/>
    <col min="14" max="14" width="16.85546875" style="64" customWidth="1"/>
    <col min="15" max="15" width="3.5703125" style="63" customWidth="1"/>
    <col min="16" max="16" width="17.5703125" style="64" bestFit="1" customWidth="1"/>
    <col min="17" max="17" width="3.570312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0106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3930 - Department of Pesticide Regulation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1749</v>
      </c>
      <c r="I8" s="73"/>
      <c r="J8" s="227" t="s">
        <v>1750</v>
      </c>
      <c r="K8" s="73"/>
      <c r="L8" s="227"/>
      <c r="M8" s="73"/>
      <c r="N8" s="227" t="s">
        <v>1686</v>
      </c>
      <c r="O8" s="73"/>
      <c r="P8" s="225"/>
      <c r="Q8" s="71"/>
    </row>
    <row r="9" spans="2:17" x14ac:dyDescent="0.25">
      <c r="B9" s="69"/>
      <c r="C9" s="73" t="s">
        <v>18</v>
      </c>
      <c r="Q9" s="71"/>
    </row>
    <row r="10" spans="2:17" ht="18.75" thickBot="1" x14ac:dyDescent="0.3">
      <c r="B10" s="69"/>
      <c r="D10" s="63" t="s">
        <v>19</v>
      </c>
      <c r="F10" s="107">
        <f>IF('LS-Fund 0106 Journal Entries'!$F$8="Governmental Fund",'LS-Fund 0106 Journal Entries'!$K$23,0)+'LS-Fund 3340 Journal Entrie'!K23</f>
        <v>9471126</v>
      </c>
      <c r="G10" s="103"/>
      <c r="H10" s="107">
        <f>IF('LS-Fund 0106 Journal Entries'!$F$8="Governmental Fund",SUM('LS-Fund 0106 Journal Entries'!$K$48,'LS-Fund 0106 Journal Entries'!K113),0)</f>
        <v>0</v>
      </c>
      <c r="I10" s="103"/>
      <c r="J10" s="107">
        <f>IF('LS-Fund 0106 Journal Entries'!$F$8="Governmental Fund",SUM('LS-Fund 0106 Journal Entries'!$J$68,'LS-Fund 0106 Journal Entries'!J96),0)+'LS-Fund 3340 Journal Entrie'!J68</f>
        <v>1078447</v>
      </c>
      <c r="K10" s="103"/>
      <c r="L10" s="109">
        <f>SUM(F10+H10-J10)</f>
        <v>8392679</v>
      </c>
      <c r="M10" s="103"/>
      <c r="N10" s="107">
        <f>IF('LS-Fund 0106 Journal Entries'!$F$8="Governmental Fund",'LS-Fund 0106 Journal Entries'!$K$76,0)+'LS-Fund 3340 Journal Entrie'!K76</f>
        <v>1076773</v>
      </c>
      <c r="O10" s="103"/>
      <c r="P10" s="109">
        <f>L10-N10</f>
        <v>7315906</v>
      </c>
      <c r="Q10" s="71"/>
    </row>
    <row r="11" spans="2:17" ht="19.5" thickTop="1" thickBot="1" x14ac:dyDescent="0.3">
      <c r="B11" s="69"/>
      <c r="C11" s="73" t="s">
        <v>21</v>
      </c>
      <c r="F11" s="108">
        <f>SUM(F10:F10)</f>
        <v>9471126</v>
      </c>
      <c r="G11" s="103"/>
      <c r="H11" s="108">
        <f>SUM(H10:H10)</f>
        <v>0</v>
      </c>
      <c r="I11" s="103"/>
      <c r="J11" s="108">
        <f>SUM(J10:J10)</f>
        <v>1078447</v>
      </c>
      <c r="K11" s="103"/>
      <c r="L11" s="108">
        <f>SUM(L10:L10)</f>
        <v>8392679</v>
      </c>
      <c r="M11" s="103"/>
      <c r="N11" s="108">
        <f>SUM(N10:N10)</f>
        <v>1076773</v>
      </c>
      <c r="O11" s="103"/>
      <c r="P11" s="108">
        <f>SUM(P10:P10)</f>
        <v>7315906</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0106 Journal Entries'!$F$8="Proprietary - Internal Service Fund",'LS-Fund 0106 Journal Entries'!$K$23,0)</f>
        <v>0</v>
      </c>
      <c r="G14" s="103"/>
      <c r="H14" s="107">
        <f>IF('LS-Fund 0106 Journal Entries'!$F$8="Proprietary - Internal Service Fund",SUM('LS-Fund 0106 Journal Entries'!$K$48,'LS-Fund 0106 Journal Entries'!K113),0)</f>
        <v>0</v>
      </c>
      <c r="I14" s="103"/>
      <c r="J14" s="107">
        <f>IF('LS-Fund 0106 Journal Entries'!$F$8="Proprietary - Internal Service Fund",SUM('LS-Fund 0106 Journal Entries'!$J$68,'LS-Fund 0106 Journal Entries'!J96),0)</f>
        <v>0</v>
      </c>
      <c r="K14" s="103"/>
      <c r="L14" s="109">
        <f>SUM(F14+H14-J14)</f>
        <v>0</v>
      </c>
      <c r="M14" s="103"/>
      <c r="N14" s="107">
        <f>IF('LS-Fund 0106 Journal Entries'!$F$8="Proprietary - Internal Service Fund",'LS-Fund 0106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0106 Journal Entries'!$F$8="Proprietary - Enterprise Fund",'LS-Fund 0106 Journal Entries'!$K$23,0)</f>
        <v>0</v>
      </c>
      <c r="G18" s="103"/>
      <c r="H18" s="107">
        <f>IF('LS-Fund 0106 Journal Entries'!$F$8="Proprietary - Enterprise Fund",SUM('LS-Fund 0106 Journal Entries'!$K$48,'LS-Fund 0106 Journal Entries'!K113),0)</f>
        <v>0</v>
      </c>
      <c r="I18" s="103"/>
      <c r="J18" s="107">
        <f>IF('LS-Fund 0106 Journal Entries'!$F$8="Proprietary - Enterprise Fund",SUM('LS-Fund 0106 Journal Entries'!$J$68,'LS-Fund 0106 Journal Entries'!J96),0)</f>
        <v>0</v>
      </c>
      <c r="K18" s="103"/>
      <c r="L18" s="109">
        <f>SUM(F18+H18-J18)</f>
        <v>0</v>
      </c>
      <c r="M18" s="103"/>
      <c r="N18" s="107">
        <f>IF('LS-Fund 0106 Journal Entries'!$F$8="Proprietary - Enterprise Fund",'LS-Fund 0106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1760</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I46" sqref="I4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1748</v>
      </c>
      <c r="I15" s="125" t="s">
        <v>155</v>
      </c>
      <c r="J15" s="125" t="s">
        <v>1751</v>
      </c>
      <c r="K15" s="126"/>
      <c r="L15" s="125"/>
      <c r="M15" s="126"/>
      <c r="N15" s="127" t="s">
        <v>157</v>
      </c>
      <c r="O15" s="124"/>
      <c r="P15" s="128" t="s">
        <v>158</v>
      </c>
      <c r="Q15" s="121"/>
    </row>
    <row r="16" spans="1:17" ht="15" customHeight="1" x14ac:dyDescent="0.25">
      <c r="A16" s="129"/>
      <c r="B16" s="130">
        <f>IF('LS-Fund 0106 Journal Entries'!$F$8="Governmental Fund",'LS-Fund 0106 Journal Entries'!$K$23,0)+'LS-Fund 3340 Journal Entrie'!K23</f>
        <v>9471126</v>
      </c>
      <c r="C16" s="168" t="s">
        <v>155</v>
      </c>
      <c r="D16" s="130">
        <f>IF('LS-Fund 0106 Journal Entries'!$F$8="Governmental Fund",'LS-Fund 0106 Journal Entries'!$K$48,0)</f>
        <v>0</v>
      </c>
      <c r="E16" s="170" t="s">
        <v>156</v>
      </c>
      <c r="F16" s="130">
        <f>IF('LS-Fund 0106 Journal Entries'!$F$8="Governmental Fund",'LS-Fund 0106 Journal Entries'!$J$68,0)+'LS-Fund 3340 Journal Entrie'!J68</f>
        <v>1078447</v>
      </c>
      <c r="G16" s="169" t="s">
        <v>156</v>
      </c>
      <c r="H16" s="130">
        <f>IF('LS-Fund 0106 Journal Entries'!$F$8="Governmental Fund",'LS-Fund 0106 Journal Entries'!$J$96,0)</f>
        <v>0</v>
      </c>
      <c r="I16" s="169" t="s">
        <v>155</v>
      </c>
      <c r="J16" s="130">
        <f>IF('LS-Fund 0106 Journal Entries'!$F$8="Governmental Fund",'LS-Fund 0106 Journal Entries'!$K$113,0)</f>
        <v>0</v>
      </c>
      <c r="K16" s="170" t="s">
        <v>159</v>
      </c>
      <c r="L16" s="133">
        <f>+B16+D16-F16-H16+J16</f>
        <v>8392679</v>
      </c>
      <c r="M16" s="132"/>
      <c r="N16" s="134">
        <f>SUM('LS-Department Note Disclosure'!B13:B36)</f>
        <v>8392679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1748</v>
      </c>
      <c r="I23" s="125" t="s">
        <v>155</v>
      </c>
      <c r="J23" s="125" t="s">
        <v>1751</v>
      </c>
      <c r="K23" s="126"/>
      <c r="L23" s="125"/>
      <c r="M23" s="126"/>
      <c r="N23" s="127" t="s">
        <v>157</v>
      </c>
      <c r="O23" s="124"/>
      <c r="P23" s="128" t="s">
        <v>158</v>
      </c>
      <c r="Q23" s="121"/>
    </row>
    <row r="24" spans="1:17" ht="15" customHeight="1" x14ac:dyDescent="0.25">
      <c r="A24" s="129"/>
      <c r="B24" s="130">
        <f>IF('LS-Fund 0106 Journal Entries'!$F$8="Proprietary - Internal Service Fund",'LS-Fund 0106 Journal Entries'!$K$23,0)</f>
        <v>0</v>
      </c>
      <c r="C24" s="168" t="s">
        <v>155</v>
      </c>
      <c r="D24" s="130">
        <f>IF('LS-Fund 0106 Journal Entries'!$F$8="Proprietary - Internal Service Fund",'LS-Fund 0106 Journal Entries'!$K$48,0)</f>
        <v>0</v>
      </c>
      <c r="E24" s="170" t="s">
        <v>156</v>
      </c>
      <c r="F24" s="130">
        <f>IF('LS-Fund 0106 Journal Entries'!$F$8="Proprietary - Internal Service Fund",'LS-Fund 0106 Journal Entries'!$J$68,0)</f>
        <v>0</v>
      </c>
      <c r="G24" s="169" t="s">
        <v>156</v>
      </c>
      <c r="H24" s="130">
        <f>IF('LS-Fund 0106 Journal Entries'!$F$8="Proprietary - Internal Service Fund",'LS-Fund 0106 Journal Entries'!$J$96,0)</f>
        <v>0</v>
      </c>
      <c r="I24" s="169" t="s">
        <v>155</v>
      </c>
      <c r="J24" s="130">
        <f>IF('LS-Fund 0106 Journal Entries'!$F$8="Proprietary - Internal Service Fund",'LS-Fund 0106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1748</v>
      </c>
      <c r="I32" s="125" t="s">
        <v>155</v>
      </c>
      <c r="J32" s="125" t="s">
        <v>1751</v>
      </c>
      <c r="K32" s="126"/>
      <c r="L32" s="125"/>
      <c r="M32" s="126"/>
      <c r="N32" s="127" t="s">
        <v>157</v>
      </c>
      <c r="O32" s="124"/>
      <c r="P32" s="128" t="s">
        <v>158</v>
      </c>
      <c r="Q32" s="121"/>
    </row>
    <row r="33" spans="1:17" ht="15" customHeight="1" x14ac:dyDescent="0.25">
      <c r="A33" s="129"/>
      <c r="B33" s="130">
        <f>IF('LS-Fund 0106 Journal Entries'!$F$8="Proprietary - Enterprise Fund",'LS-Fund 0106 Journal Entries'!$K$23,0)</f>
        <v>0</v>
      </c>
      <c r="C33" s="168" t="s">
        <v>155</v>
      </c>
      <c r="D33" s="130">
        <f>IF('LS-Fund 0106 Journal Entries'!$F$8="Proprietary - Enterprise Fund",'LS-Fund 0106 Journal Entries'!$K$48,0)</f>
        <v>0</v>
      </c>
      <c r="E33" s="170" t="s">
        <v>156</v>
      </c>
      <c r="F33" s="130">
        <f>IF('LS-Fund 0106 Journal Entries'!$F$8="Proprietary - Enterprise Fund",'LS-Fund 0106 Journal Entries'!$J$68,0)</f>
        <v>0</v>
      </c>
      <c r="G33" s="169" t="s">
        <v>156</v>
      </c>
      <c r="H33" s="130">
        <f>IF('LS-Fund 0106 Journal Entries'!$F$8="Proprietary - Enterprise Fund",'LS-Fund 0106 Journal Entries'!$J$96,0)</f>
        <v>0</v>
      </c>
      <c r="I33" s="169" t="s">
        <v>155</v>
      </c>
      <c r="J33" s="130">
        <f>IF('LS-Fund 0106 Journal Entries'!$F$8="Proprietary - Enterprise Fund",'LS-Fund 0106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0106 Journal Entries'!$F$8="Governmental Fund",'LS-Fund 0106 Journal Entries'!$K$76,0)+'LS-Fund 3340 Journal Entrie'!K76</f>
        <v>1076773</v>
      </c>
      <c r="C42" s="138"/>
      <c r="E42" s="138"/>
      <c r="G42" s="167"/>
      <c r="H42" s="167"/>
      <c r="I42" s="167"/>
      <c r="J42" s="167"/>
      <c r="K42" s="138"/>
      <c r="L42" s="138"/>
      <c r="M42" s="139"/>
      <c r="N42" s="134">
        <f>'LS-Department Note Disclosure'!B13</f>
        <v>1076773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0106 Journal Entries'!$F$8="Proprietary - Internal Service Fund",'LS-Fund 0106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0106 Journal Entries'!$F$8="Proprietary - Enterprise Fund",'LS-Fund 0106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9471126</v>
      </c>
      <c r="J66" s="143">
        <f>SUM(D66)</f>
        <v>9471126</v>
      </c>
      <c r="L66" s="144" t="str">
        <f>CONCATENATE("Balance July 1, ",LEFT('LS-Department Note Disclosure'!$B$8,4))</f>
        <v>Balance July 1, 2023</v>
      </c>
      <c r="N66" s="143">
        <f>'LS-Lease Liabilities'!F10</f>
        <v>9471126</v>
      </c>
      <c r="P66" s="135">
        <f>J66-N66</f>
        <v>0</v>
      </c>
    </row>
    <row r="67" spans="1:17" x14ac:dyDescent="0.25">
      <c r="B67" s="125" t="s">
        <v>166</v>
      </c>
      <c r="D67" s="143">
        <f>$D$16</f>
        <v>0</v>
      </c>
      <c r="E67" s="171" t="s">
        <v>155</v>
      </c>
      <c r="F67" s="125" t="s">
        <v>1751</v>
      </c>
      <c r="H67" s="143">
        <f>$J$16</f>
        <v>0</v>
      </c>
      <c r="J67" s="143">
        <f>SUM(D67,H67)</f>
        <v>0</v>
      </c>
      <c r="L67" s="144" t="s">
        <v>14</v>
      </c>
      <c r="N67" s="143">
        <f>'LS-Lease Liabilities'!H10</f>
        <v>0</v>
      </c>
      <c r="P67" s="135">
        <f t="shared" ref="P67:P69" si="0">J67-N67</f>
        <v>0</v>
      </c>
    </row>
    <row r="68" spans="1:17" x14ac:dyDescent="0.25">
      <c r="B68" s="125" t="s">
        <v>161</v>
      </c>
      <c r="D68" s="143">
        <f>$F$16</f>
        <v>1078447</v>
      </c>
      <c r="E68" s="171" t="s">
        <v>155</v>
      </c>
      <c r="F68" s="125" t="s">
        <v>1748</v>
      </c>
      <c r="H68" s="143">
        <f>$H$16</f>
        <v>0</v>
      </c>
      <c r="J68" s="143">
        <f>SUM(D68,H68)</f>
        <v>1078447</v>
      </c>
      <c r="L68" s="144" t="s">
        <v>15</v>
      </c>
      <c r="N68" s="143">
        <f>'LS-Lease Liabilities'!J10</f>
        <v>1078447</v>
      </c>
      <c r="P68" s="135">
        <f t="shared" si="0"/>
        <v>0</v>
      </c>
    </row>
    <row r="69" spans="1:17" x14ac:dyDescent="0.25">
      <c r="B69" s="125" t="s">
        <v>165</v>
      </c>
      <c r="D69" s="143">
        <f>$B$42</f>
        <v>1076773</v>
      </c>
      <c r="J69" s="143">
        <f>SUM(D69)</f>
        <v>1076773</v>
      </c>
      <c r="L69" s="144" t="s">
        <v>16</v>
      </c>
      <c r="N69" s="143">
        <f>'LS-Lease Liabilities'!N10</f>
        <v>1076773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1751</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1748</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5.0999999999999996"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1751</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1748</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5703125" style="240" customWidth="1"/>
    <col min="6" max="6" width="26.42578125" style="240" customWidth="1"/>
    <col min="7" max="16384" width="8.85546875" style="240"/>
  </cols>
  <sheetData>
    <row r="1" spans="1:6" x14ac:dyDescent="0.25">
      <c r="A1" s="254" t="s">
        <v>1777</v>
      </c>
      <c r="B1" s="255"/>
      <c r="C1" s="255"/>
      <c r="D1" s="255"/>
      <c r="E1" s="255"/>
      <c r="F1" s="256"/>
    </row>
    <row r="2" spans="1:6" x14ac:dyDescent="0.25">
      <c r="A2" s="257"/>
      <c r="B2" s="258"/>
      <c r="C2" s="258"/>
      <c r="D2" s="258"/>
      <c r="E2" s="258"/>
      <c r="F2" s="259"/>
    </row>
    <row r="4" spans="1:6" ht="15" x14ac:dyDescent="0.25">
      <c r="A4" s="241" t="s">
        <v>1722</v>
      </c>
      <c r="B4" s="242" t="s">
        <v>1757</v>
      </c>
    </row>
    <row r="5" spans="1:6" ht="15" x14ac:dyDescent="0.25">
      <c r="A5" s="241" t="s">
        <v>1762</v>
      </c>
      <c r="B5" s="242" t="s">
        <v>1789</v>
      </c>
    </row>
    <row r="6" spans="1:6" ht="15" x14ac:dyDescent="0.25">
      <c r="A6" s="241"/>
      <c r="B6" s="242"/>
    </row>
    <row r="7" spans="1:6" ht="15" x14ac:dyDescent="0.25">
      <c r="A7" s="243" t="s">
        <v>1731</v>
      </c>
      <c r="B7" s="242"/>
    </row>
    <row r="8" spans="1:6" ht="15" x14ac:dyDescent="0.25">
      <c r="B8" s="244"/>
      <c r="C8" s="242"/>
    </row>
    <row r="9" spans="1:6" ht="15" x14ac:dyDescent="0.25">
      <c r="A9" s="245" t="s">
        <v>1723</v>
      </c>
    </row>
    <row r="10" spans="1:6" ht="15" x14ac:dyDescent="0.25">
      <c r="A10" s="246" t="s">
        <v>1724</v>
      </c>
      <c r="B10" s="246" t="s">
        <v>1725</v>
      </c>
      <c r="C10" s="246" t="s">
        <v>1726</v>
      </c>
      <c r="D10" s="246" t="s">
        <v>1761</v>
      </c>
      <c r="E10" s="246" t="s">
        <v>1727</v>
      </c>
      <c r="F10" s="246" t="s">
        <v>1728</v>
      </c>
    </row>
    <row r="11" spans="1:6" ht="28.5" x14ac:dyDescent="0.25">
      <c r="A11" s="240" t="s">
        <v>1734</v>
      </c>
      <c r="B11" s="240" t="s">
        <v>1764</v>
      </c>
      <c r="C11" s="240" t="s">
        <v>1729</v>
      </c>
      <c r="D11" s="240" t="s">
        <v>1786</v>
      </c>
      <c r="E11" s="240" t="s">
        <v>1774</v>
      </c>
      <c r="F11" s="240" t="s">
        <v>1775</v>
      </c>
    </row>
    <row r="12" spans="1:6" ht="42.75" x14ac:dyDescent="0.25">
      <c r="A12" s="240" t="s">
        <v>1734</v>
      </c>
      <c r="B12" s="240" t="s">
        <v>1765</v>
      </c>
      <c r="C12" s="240" t="s">
        <v>1766</v>
      </c>
      <c r="D12" s="240" t="s">
        <v>1766</v>
      </c>
      <c r="E12" s="240" t="s">
        <v>1778</v>
      </c>
      <c r="F12" s="240" t="s">
        <v>1776</v>
      </c>
    </row>
    <row r="13" spans="1:6" ht="28.5" x14ac:dyDescent="0.25">
      <c r="A13" s="240" t="s">
        <v>1734</v>
      </c>
      <c r="B13" s="240" t="s">
        <v>1783</v>
      </c>
      <c r="C13" s="240" t="s">
        <v>1780</v>
      </c>
      <c r="D13" s="240" t="s">
        <v>1780</v>
      </c>
      <c r="E13" s="240" t="s">
        <v>1781</v>
      </c>
      <c r="F13" s="240" t="s">
        <v>1782</v>
      </c>
    </row>
    <row r="14" spans="1:6" ht="28.5" x14ac:dyDescent="0.25">
      <c r="A14" s="240" t="s">
        <v>1768</v>
      </c>
      <c r="B14" s="240" t="s">
        <v>1771</v>
      </c>
      <c r="C14" s="240" t="s">
        <v>1779</v>
      </c>
      <c r="D14" s="240" t="s">
        <v>1779</v>
      </c>
      <c r="E14" s="240" t="s">
        <v>1769</v>
      </c>
      <c r="F14" s="240" t="s">
        <v>1770</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sqref="A1:K2"/>
    </sheetView>
  </sheetViews>
  <sheetFormatPr defaultColWidth="9.140625" defaultRowHeight="17.45" customHeight="1" x14ac:dyDescent="0.2"/>
  <cols>
    <col min="1" max="1" width="11.5703125" style="1" customWidth="1"/>
    <col min="2" max="4" width="11" style="1" customWidth="1"/>
    <col min="5" max="5" width="40.42578125" style="1" customWidth="1"/>
    <col min="6" max="8" width="12.42578125" style="1" customWidth="1"/>
    <col min="9" max="9" width="12.42578125" style="17" customWidth="1"/>
    <col min="10" max="10" width="19.5703125" style="1" customWidth="1"/>
    <col min="11" max="11" width="20.140625" style="1" customWidth="1"/>
    <col min="12" max="12" width="3.5703125" style="1" customWidth="1"/>
    <col min="13" max="14" width="17.42578125" style="1" customWidth="1"/>
    <col min="15" max="15" width="3.5703125" style="1" customWidth="1"/>
    <col min="16" max="17" width="17.42578125" style="1" customWidth="1"/>
    <col min="18" max="18" width="3.5703125" style="1" customWidth="1"/>
    <col min="19" max="19" width="17.425781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1736</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1753</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1752</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K2"/>
    </sheetView>
  </sheetViews>
  <sheetFormatPr defaultColWidth="9.140625" defaultRowHeight="15" x14ac:dyDescent="0.2"/>
  <cols>
    <col min="1" max="1" width="34.5703125" style="1" customWidth="1"/>
    <col min="2" max="3" width="36.5703125" style="1" customWidth="1"/>
    <col min="4" max="4" width="3.140625" style="1" customWidth="1"/>
    <col min="5" max="5" width="95.42578125" style="1" customWidth="1"/>
    <col min="6" max="6" width="14.42578125" style="1" bestFit="1" customWidth="1"/>
    <col min="7" max="7" width="16.42578125" style="1" bestFit="1" customWidth="1"/>
    <col min="8" max="8" width="14.42578125" style="1" bestFit="1" customWidth="1"/>
    <col min="9" max="9" width="11.5703125" style="1" bestFit="1" customWidth="1"/>
    <col min="10" max="10" width="14.42578125" style="1" bestFit="1" customWidth="1"/>
    <col min="11" max="11" width="9.570312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3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1759</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1759</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1759</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sqref="A1:K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5703125" style="240" customWidth="1"/>
    <col min="6" max="6" width="26.42578125" style="240" customWidth="1"/>
    <col min="7" max="16384" width="8.85546875" style="240"/>
  </cols>
  <sheetData>
    <row r="1" spans="1:6" x14ac:dyDescent="0.25">
      <c r="A1" s="254" t="s">
        <v>1784</v>
      </c>
      <c r="B1" s="255"/>
      <c r="C1" s="255"/>
      <c r="D1" s="255"/>
      <c r="E1" s="255"/>
      <c r="F1" s="256"/>
    </row>
    <row r="2" spans="1:6" x14ac:dyDescent="0.25">
      <c r="A2" s="257"/>
      <c r="B2" s="258"/>
      <c r="C2" s="258"/>
      <c r="D2" s="258"/>
      <c r="E2" s="258"/>
      <c r="F2" s="259"/>
    </row>
    <row r="4" spans="1:6" ht="15" x14ac:dyDescent="0.25">
      <c r="A4" s="241" t="s">
        <v>1722</v>
      </c>
      <c r="B4" s="242" t="s">
        <v>1757</v>
      </c>
    </row>
    <row r="5" spans="1:6" ht="15" x14ac:dyDescent="0.25">
      <c r="A5" s="241" t="s">
        <v>1762</v>
      </c>
      <c r="B5" s="242" t="s">
        <v>1789</v>
      </c>
    </row>
    <row r="6" spans="1:6" ht="15" x14ac:dyDescent="0.25">
      <c r="A6" s="241"/>
      <c r="B6" s="242"/>
    </row>
    <row r="7" spans="1:6" ht="15" x14ac:dyDescent="0.25">
      <c r="A7" s="243" t="s">
        <v>1731</v>
      </c>
      <c r="B7" s="242"/>
    </row>
    <row r="8" spans="1:6" ht="15" x14ac:dyDescent="0.25">
      <c r="B8" s="244"/>
      <c r="C8" s="242"/>
    </row>
    <row r="9" spans="1:6" ht="15" x14ac:dyDescent="0.25">
      <c r="A9" s="245" t="s">
        <v>1723</v>
      </c>
    </row>
    <row r="10" spans="1:6" ht="15" x14ac:dyDescent="0.25">
      <c r="A10" s="246" t="s">
        <v>1724</v>
      </c>
      <c r="B10" s="246" t="s">
        <v>1725</v>
      </c>
      <c r="C10" s="246" t="s">
        <v>1726</v>
      </c>
      <c r="D10" s="246" t="s">
        <v>1761</v>
      </c>
      <c r="E10" s="246" t="s">
        <v>1727</v>
      </c>
      <c r="F10" s="246" t="s">
        <v>1728</v>
      </c>
    </row>
    <row r="11" spans="1:6" ht="28.5" x14ac:dyDescent="0.25">
      <c r="A11" s="240" t="s">
        <v>1732</v>
      </c>
      <c r="B11" s="240" t="s">
        <v>1764</v>
      </c>
      <c r="C11" s="240" t="s">
        <v>1729</v>
      </c>
      <c r="D11" s="240" t="s">
        <v>1763</v>
      </c>
      <c r="E11" s="240" t="s">
        <v>1774</v>
      </c>
      <c r="F11" s="240" t="s">
        <v>1775</v>
      </c>
    </row>
    <row r="12" spans="1:6" ht="42.75" x14ac:dyDescent="0.25">
      <c r="A12" s="240" t="s">
        <v>1732</v>
      </c>
      <c r="B12" s="240" t="s">
        <v>1765</v>
      </c>
      <c r="C12" s="240" t="s">
        <v>1766</v>
      </c>
      <c r="D12" s="240" t="s">
        <v>1766</v>
      </c>
      <c r="E12" s="240" t="s">
        <v>1767</v>
      </c>
      <c r="F12" s="240" t="s">
        <v>1776</v>
      </c>
    </row>
    <row r="13" spans="1:6" ht="42.75" x14ac:dyDescent="0.25">
      <c r="A13" s="240" t="s">
        <v>1733</v>
      </c>
      <c r="B13" s="240" t="s">
        <v>1787</v>
      </c>
      <c r="C13" s="240" t="s">
        <v>1729</v>
      </c>
      <c r="D13" s="240" t="s">
        <v>1772</v>
      </c>
      <c r="E13" s="240" t="s">
        <v>1788</v>
      </c>
      <c r="F13" s="240" t="s">
        <v>1773</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K2"/>
    </sheetView>
  </sheetViews>
  <sheetFormatPr defaultColWidth="9.140625" defaultRowHeight="15" x14ac:dyDescent="0.25"/>
  <cols>
    <col min="1" max="7" width="14.42578125" style="37" customWidth="1"/>
    <col min="8" max="8" width="14.42578125" style="54" customWidth="1"/>
    <col min="9" max="9" width="19.5703125" style="37" customWidth="1"/>
    <col min="10" max="11" width="19.85546875" style="37" customWidth="1"/>
    <col min="12" max="12" width="9.140625" style="37"/>
    <col min="13" max="14" width="16" style="37" customWidth="1"/>
    <col min="15" max="15" width="4.5703125" style="37" customWidth="1"/>
    <col min="16" max="17" width="16" style="37" customWidth="1"/>
    <col min="18" max="18" width="5.570312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1737</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1739</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1758</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1758</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1758</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1740</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1741</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1743</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1744</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1738</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1742</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1755</v>
      </c>
      <c r="D68" s="193"/>
      <c r="E68" s="193"/>
      <c r="F68" s="194"/>
      <c r="G68" s="194"/>
      <c r="H68" s="195"/>
      <c r="I68" s="195"/>
      <c r="J68" s="220"/>
      <c r="K68" s="196"/>
    </row>
    <row r="69" spans="1:12" ht="16.5" customHeight="1" x14ac:dyDescent="0.2">
      <c r="A69" s="99"/>
      <c r="B69" s="300" t="s">
        <v>1735</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20.100000000000001"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1756</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5703125" style="63" customWidth="1"/>
    <col min="4" max="4" width="35.5703125" style="63" customWidth="1"/>
    <col min="5" max="5" width="3.5703125" style="63" customWidth="1"/>
    <col min="6" max="6" width="16.85546875" style="64" customWidth="1"/>
    <col min="7" max="7" width="3.5703125" style="63" customWidth="1"/>
    <col min="8" max="8" width="16.85546875" style="64" customWidth="1"/>
    <col min="9" max="9" width="3.5703125" style="63" customWidth="1"/>
    <col min="10" max="10" width="16.85546875" style="64" customWidth="1"/>
    <col min="11" max="11" width="3.5703125" style="63" customWidth="1"/>
    <col min="12" max="12" width="16.85546875" style="64" customWidth="1"/>
    <col min="13" max="13" width="3.5703125" style="63" customWidth="1"/>
    <col min="14" max="14" width="16.85546875" style="64" customWidth="1"/>
    <col min="15" max="15" width="3.5703125" style="63" customWidth="1"/>
    <col min="16" max="16" width="17.5703125" style="64" bestFit="1" customWidth="1"/>
    <col min="17" max="17" width="3.570312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1785</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Drop Down Menus</vt:lpstr>
      <vt:lpstr>qryIndex02a</vt:lpstr>
      <vt:lpstr>LS-Fund 0106 Journal Entries</vt:lpstr>
      <vt:lpstr>LS-Fund 3340 Journal Entrie</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0106 Journal Entries'!Print_Area</vt:lpstr>
      <vt:lpstr>'LS-Fund 3340 Journal Entrie'!Print_Area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2024-12-23T17:54:14Z</dcterms:modified>
</cp:coreProperties>
</file>