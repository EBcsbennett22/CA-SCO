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codeName="ThisWorkbook"/>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E6C00EBD-D3E4-4C52-9768-2FC071212800}" xr6:coauthVersionLast="47" xr6:coauthVersionMax="47" xr10:uidLastSave="{00000000-0000-0000-0000-000000000000}"/>
  <bookViews>
    <workbookView xWindow="-120" yWindow="-120" windowWidth="20730" windowHeight="11160" tabRatio="921" firstSheet="18" activeTab="22" xr2:uid="{00000000-000D-0000-FFFF-FFFF00000000}"/>
  </bookViews>
  <sheets>
    <sheet name="Drop Down Menus" sheetId="1" state="hidden" r:id="rId1"/>
    <sheet name="qryIndex02a" sheetId="11" state="hidden" r:id="rId2"/>
    <sheet name="LS-Fund 0001 Journal Entries" sheetId="2" r:id="rId3"/>
    <sheet name="LS-Fund 0140 Journal Entries" sheetId="16" r:id="rId4"/>
    <sheet name="LS-Fund 0465 Journal Entries" sheetId="17" r:id="rId5"/>
    <sheet name="LS-Fund 0545 Journal Entries" sheetId="33" r:id="rId6"/>
    <sheet name="LS-Fund 0890 Journal Entries" sheetId="18" r:id="rId7"/>
    <sheet name="LS-Fund 3057 Journal Entries" sheetId="19" r:id="rId8"/>
    <sheet name="LS-Fund 3237 Journal Entries" sheetId="20" r:id="rId9"/>
    <sheet name="LS-Fund 3398 Journal Entries" sheetId="21" r:id="rId10"/>
    <sheet name="LS-Fund 3413 Journal Entries" sheetId="31" r:id="rId11"/>
    <sheet name="LS-Fund 6001 Journal Entries" sheetId="22" r:id="rId12"/>
    <sheet name="LS-Fund 6005 Journal Entries" sheetId="23" r:id="rId13"/>
    <sheet name="LS-Fund 6026 Journal Entries" sheetId="30" r:id="rId14"/>
    <sheet name="LS-Fund 6027 Journal Entries" sheetId="32" r:id="rId15"/>
    <sheet name="LS-Fund 6031 Journal Entries" sheetId="24" r:id="rId16"/>
    <sheet name="LS-Fund 6051 Journal Entries" sheetId="25" r:id="rId17"/>
    <sheet name="LS-Fund 6083 Journal Entries" sheetId="27" r:id="rId18"/>
    <sheet name="LS-Fund 6088 Journal Entries" sheetId="28" r:id="rId19"/>
    <sheet name="LS-Fund 3100 Journal Entries" sheetId="34" r:id="rId20"/>
    <sheet name="LS-Department Note Disclosure" sheetId="3" r:id="rId21"/>
    <sheet name="LS-Lease Liabilities" sheetId="4" r:id="rId22"/>
    <sheet name="LS-Check Figures  " sheetId="7" r:id="rId23"/>
    <sheet name="LR-Version Changes" sheetId="15" state="hidden" r:id="rId24"/>
    <sheet name="LR-Fund #### Journal Entries" sheetId="5" state="hidden" r:id="rId25"/>
    <sheet name="LR-Department Note Disclosure" sheetId="6" state="hidden" r:id="rId26"/>
    <sheet name="LR-Check Figures" sheetId="12" state="hidden" r:id="rId27"/>
    <sheet name="FP-Version Changes" sheetId="14" state="hidden" r:id="rId28"/>
    <sheet name="FP-Fund #### Journal Entries" sheetId="8" state="hidden" r:id="rId29"/>
    <sheet name="FP-Lease Liabilities" sheetId="10" state="hidden" r:id="rId30"/>
  </sheets>
  <externalReferences>
    <externalReference r:id="rId3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7">#REF!</definedName>
    <definedName name="AgencyCode" localSheetId="26">#REF!</definedName>
    <definedName name="AgencyCode" localSheetId="23">#REF!</definedName>
    <definedName name="AgencyCode">#REF!</definedName>
    <definedName name="AgencyCode1" localSheetId="27">#REF!</definedName>
    <definedName name="AgencyCode1" localSheetId="26">#REF!</definedName>
    <definedName name="AgencyCode1" localSheetId="23">#REF!</definedName>
    <definedName name="AgencyCode1">#REF!</definedName>
    <definedName name="AnalystGASB">[1]DeveloperInfo!$D$20</definedName>
    <definedName name="Annuity" localSheetId="27">#REF!</definedName>
    <definedName name="Annuity" localSheetId="26">#REF!</definedName>
    <definedName name="Annuity" localSheetId="23">#REF!</definedName>
    <definedName name="Annuity">#REF!</definedName>
    <definedName name="Annuity1" localSheetId="27">#REF!</definedName>
    <definedName name="Annuity1" localSheetId="26">#REF!</definedName>
    <definedName name="Annuity1" localSheetId="23">#REF!</definedName>
    <definedName name="Annuity1">#REF!</definedName>
    <definedName name="AnnuityLY" localSheetId="27">#REF!</definedName>
    <definedName name="AnnuityLY" localSheetId="26">#REF!</definedName>
    <definedName name="AnnuityLY" localSheetId="23">#REF!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7">#REF!</definedName>
    <definedName name="EmployerRates" localSheetId="26">#REF!</definedName>
    <definedName name="EmployerRates" localSheetId="23">#REF!</definedName>
    <definedName name="EmployerRates">#REF!</definedName>
    <definedName name="EmployerRates1" localSheetId="27">#REF!</definedName>
    <definedName name="EmployerRates1" localSheetId="26">#REF!</definedName>
    <definedName name="EmployerRates1" localSheetId="23">#REF!</definedName>
    <definedName name="EmployerRates1">#REF!</definedName>
    <definedName name="EmployerRatesLEO" localSheetId="27">#REF!</definedName>
    <definedName name="EmployerRatesLEO" localSheetId="26">#REF!</definedName>
    <definedName name="EmployerRatesLEO" localSheetId="23">#REF!</definedName>
    <definedName name="EmployerRatesLEO">#REF!</definedName>
    <definedName name="EmployerRatesLEO1" localSheetId="27">#REF!</definedName>
    <definedName name="EmployerRatesLEO1" localSheetId="26">#REF!</definedName>
    <definedName name="EmployerRatesLEO1" localSheetId="23">#REF!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7">#REF!</definedName>
    <definedName name="Pension" localSheetId="26">#REF!</definedName>
    <definedName name="Pension" localSheetId="23">#REF!</definedName>
    <definedName name="Pension">#REF!</definedName>
    <definedName name="Pension1" localSheetId="27">#REF!</definedName>
    <definedName name="Pension1" localSheetId="26">#REF!</definedName>
    <definedName name="Pension1" localSheetId="23">#REF!</definedName>
    <definedName name="Pension1">#REF!</definedName>
    <definedName name="PensionLY" localSheetId="27">#REF!</definedName>
    <definedName name="PensionLY" localSheetId="26">#REF!</definedName>
    <definedName name="PensionLY" localSheetId="23">#REF!</definedName>
    <definedName name="PensionLY">#REF!</definedName>
    <definedName name="PlanNameLongGASB">[1]DeveloperInfo!$D$7</definedName>
    <definedName name="PlanNameShortGASB">[1]DeveloperInfo!$D$8</definedName>
    <definedName name="_xlnm.Print_Area" localSheetId="28">'FP-Fund #### Journal Entries'!$A$1:$J$9</definedName>
    <definedName name="_xlnm.Print_Area" localSheetId="29">'FP-Lease Liabilities'!$B$2:$Q$17</definedName>
    <definedName name="_xlnm.Print_Area" localSheetId="25">'LR-Department Note Disclosure'!$A$1:$C$93</definedName>
    <definedName name="_xlnm.Print_Area" localSheetId="24">'LR-Fund #### Journal Entries'!$B$1:$K$67</definedName>
    <definedName name="_xlnm.Print_Area" localSheetId="20">'LS-Department Note Disclosure'!$A$1:$C$85</definedName>
    <definedName name="_xlnm.Print_Area" localSheetId="2">'LS-Fund 0001 Journal Entries'!$A$1:$J$9</definedName>
    <definedName name="_xlnm.Print_Area" localSheetId="3">'LS-Fund 0140 Journal Entries'!$A$1:$J$9</definedName>
    <definedName name="_xlnm.Print_Area" localSheetId="4">'LS-Fund 0465 Journal Entries'!$A$1:$J$9</definedName>
    <definedName name="_xlnm.Print_Area" localSheetId="5">'LS-Fund 0545 Journal Entries'!$A$1:$J$9</definedName>
    <definedName name="_xlnm.Print_Area" localSheetId="6">'LS-Fund 0890 Journal Entries'!$A$1:$J$9</definedName>
    <definedName name="_xlnm.Print_Area" localSheetId="7">'LS-Fund 3057 Journal Entries'!$A$1:$J$9</definedName>
    <definedName name="_xlnm.Print_Area" localSheetId="19">'LS-Fund 3100 Journal Entries'!$A$1:$J$9</definedName>
    <definedName name="_xlnm.Print_Area" localSheetId="8">'LS-Fund 3237 Journal Entries'!$A$1:$J$9</definedName>
    <definedName name="_xlnm.Print_Area" localSheetId="9">'LS-Fund 3398 Journal Entries'!$A$1:$J$9</definedName>
    <definedName name="_xlnm.Print_Area" localSheetId="10">'LS-Fund 3413 Journal Entries'!$A$1:$J$9</definedName>
    <definedName name="_xlnm.Print_Area" localSheetId="11">'LS-Fund 6001 Journal Entries'!$A$1:$J$9</definedName>
    <definedName name="_xlnm.Print_Area" localSheetId="12">'LS-Fund 6005 Journal Entries'!$A$1:$J$9</definedName>
    <definedName name="_xlnm.Print_Area" localSheetId="13">'LS-Fund 6026 Journal Entries'!$A$1:$J$9</definedName>
    <definedName name="_xlnm.Print_Area" localSheetId="14">'LS-Fund 6027 Journal Entries'!$A$1:$J$9</definedName>
    <definedName name="_xlnm.Print_Area" localSheetId="15">'LS-Fund 6031 Journal Entries'!$A$1:$J$9</definedName>
    <definedName name="_xlnm.Print_Area" localSheetId="16">'LS-Fund 6051 Journal Entries'!$A$1:$J$9</definedName>
    <definedName name="_xlnm.Print_Area" localSheetId="17">'LS-Fund 6083 Journal Entries'!$A$1:$J$9</definedName>
    <definedName name="_xlnm.Print_Area" localSheetId="18">'LS-Fund 6088 Journal Entries'!$A$1:$J$9</definedName>
    <definedName name="_xlnm.Print_Area" localSheetId="21">'LS-Lease Liabilities'!$B$2:$Q$17</definedName>
    <definedName name="ProjDisc?">[1]DeveloperInfo!$D$65</definedName>
    <definedName name="ProValResults" localSheetId="27">#REF!</definedName>
    <definedName name="ProValResults" localSheetId="26">#REF!</definedName>
    <definedName name="ProValResults" localSheetId="23">#REF!</definedName>
    <definedName name="ProValResults">#REF!</definedName>
    <definedName name="ProValResults1" localSheetId="27">#REF!</definedName>
    <definedName name="ProValResults1" localSheetId="26">#REF!</definedName>
    <definedName name="ProValResults1" localSheetId="23">#REF!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7">#REF!</definedName>
    <definedName name="TableData" localSheetId="26">#REF!</definedName>
    <definedName name="TableData" localSheetId="23">#REF!</definedName>
    <definedName name="TableData">#REF!</definedName>
    <definedName name="TableData1" localSheetId="27">#REF!</definedName>
    <definedName name="TableData1" localSheetId="26">#REF!</definedName>
    <definedName name="TableData1" localSheetId="23">#REF!</definedName>
    <definedName name="TableData1">#REF!</definedName>
    <definedName name="Type" localSheetId="27">#REF!</definedName>
    <definedName name="Type" localSheetId="26">#REF!</definedName>
    <definedName name="Type" localSheetId="23">#REF!</definedName>
    <definedName name="Type">#REF!</definedName>
    <definedName name="TypeAnnuity" localSheetId="27">#REF!</definedName>
    <definedName name="TypeAnnuity" localSheetId="26">#REF!</definedName>
    <definedName name="TypeAnnuity" localSheetId="23">#REF!</definedName>
    <definedName name="TypeAnnuity">#REF!</definedName>
    <definedName name="TypeAnnuity1" localSheetId="27">#REF!</definedName>
    <definedName name="TypeAnnuity1" localSheetId="26">#REF!</definedName>
    <definedName name="TypeAnnuity1" localSheetId="23">#REF!</definedName>
    <definedName name="TypeAnnuity1">#REF!</definedName>
    <definedName name="TypePension" localSheetId="27">#REF!</definedName>
    <definedName name="TypePension" localSheetId="26">#REF!</definedName>
    <definedName name="TypePension" localSheetId="23">#REF!</definedName>
    <definedName name="TypePension">#REF!</definedName>
    <definedName name="TypePension1" localSheetId="27">#REF!</definedName>
    <definedName name="TypePension1" localSheetId="26">#REF!</definedName>
    <definedName name="TypePension1" localSheetId="23">#REF!</definedName>
    <definedName name="TypePension1">#REF!</definedName>
    <definedName name="UnfundedData" localSheetId="27">#REF!</definedName>
    <definedName name="UnfundedData" localSheetId="26">#REF!</definedName>
    <definedName name="UnfundedData" localSheetId="23">#REF!</definedName>
    <definedName name="UnfundedData">#REF!</definedName>
    <definedName name="UnfundedData1" localSheetId="27">#REF!</definedName>
    <definedName name="UnfundedData1" localSheetId="26">#REF!</definedName>
    <definedName name="UnfundedData1" localSheetId="23">#REF!</definedName>
    <definedName name="UnfundedData1">#REF!</definedName>
    <definedName name="UnfundedLY" localSheetId="27">#REF!</definedName>
    <definedName name="UnfundedLY" localSheetId="26">#REF!</definedName>
    <definedName name="UnfundedLY" localSheetId="23">#REF!</definedName>
    <definedName name="UnfundedLY">#REF!</definedName>
    <definedName name="UnfundedLY1" localSheetId="27">#REF!</definedName>
    <definedName name="UnfundedLY1" localSheetId="26">#REF!</definedName>
    <definedName name="UnfundedLY1" localSheetId="23">#REF!</definedName>
    <definedName name="UnfundedLY1">#REF!</definedName>
    <definedName name="UnfundedLYLEO1" localSheetId="27">#REF!</definedName>
    <definedName name="UnfundedLYLEO1" localSheetId="26">#REF!</definedName>
    <definedName name="UnfundedLYLEO1" localSheetId="23">#REF!</definedName>
    <definedName name="UnfundedLYLEO1">#REF!</definedName>
    <definedName name="UnfunedLYLEO" localSheetId="27">#REF!</definedName>
    <definedName name="UnfunedLYLEO" localSheetId="26">#REF!</definedName>
    <definedName name="UnfunedLYLEO" localSheetId="23">#REF!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B13" i="3"/>
  <c r="N18" i="4"/>
  <c r="J18" i="4"/>
  <c r="H18" i="4"/>
  <c r="F18" i="4"/>
  <c r="H10" i="4" l="1"/>
  <c r="J16" i="7"/>
  <c r="F16" i="7"/>
  <c r="J10" i="4"/>
  <c r="H16" i="7"/>
  <c r="N10" i="4"/>
  <c r="B42" i="7"/>
  <c r="D16" i="7"/>
  <c r="B57" i="7"/>
  <c r="J33" i="7"/>
  <c r="H33" i="7"/>
  <c r="F33" i="7"/>
  <c r="D33" i="7"/>
  <c r="K129" i="34"/>
  <c r="K114" i="34"/>
  <c r="J114" i="34"/>
  <c r="K105" i="34"/>
  <c r="J105" i="34"/>
  <c r="L105" i="34" s="1"/>
  <c r="K91" i="34"/>
  <c r="J91" i="34"/>
  <c r="K77" i="34"/>
  <c r="J77" i="34"/>
  <c r="K70" i="34"/>
  <c r="J70" i="34"/>
  <c r="K65" i="34"/>
  <c r="J65" i="34"/>
  <c r="B63" i="34"/>
  <c r="K59" i="34"/>
  <c r="J59" i="34"/>
  <c r="K49" i="34"/>
  <c r="J49" i="34"/>
  <c r="K43" i="34"/>
  <c r="J43" i="34"/>
  <c r="K36" i="34"/>
  <c r="J36" i="34"/>
  <c r="S25" i="34"/>
  <c r="Q24" i="34"/>
  <c r="S24" i="34" s="1"/>
  <c r="S23" i="34"/>
  <c r="K23" i="34"/>
  <c r="K128" i="34" s="1"/>
  <c r="S22" i="34"/>
  <c r="K22" i="34"/>
  <c r="K127" i="34" s="1"/>
  <c r="S21" i="34"/>
  <c r="K21" i="34"/>
  <c r="K126" i="34" s="1"/>
  <c r="S20" i="34"/>
  <c r="K20" i="34"/>
  <c r="S19" i="34"/>
  <c r="P18" i="34"/>
  <c r="S18" i="34" s="1"/>
  <c r="S17" i="34"/>
  <c r="J17" i="34"/>
  <c r="K124" i="34" s="1"/>
  <c r="S16" i="34"/>
  <c r="J16" i="34"/>
  <c r="K123" i="34" s="1"/>
  <c r="S15" i="34"/>
  <c r="J15" i="34"/>
  <c r="F9" i="34"/>
  <c r="C35" i="34" s="1"/>
  <c r="B33" i="7" l="1"/>
  <c r="L114" i="34"/>
  <c r="L91" i="34"/>
  <c r="L77" i="34"/>
  <c r="L70" i="34"/>
  <c r="L65" i="34"/>
  <c r="L59" i="34"/>
  <c r="L49" i="34"/>
  <c r="L43" i="34"/>
  <c r="L36" i="34"/>
  <c r="J18" i="34"/>
  <c r="K24" i="34"/>
  <c r="K122" i="34"/>
  <c r="C104" i="34"/>
  <c r="C64" i="34"/>
  <c r="K125" i="34"/>
  <c r="B100" i="34"/>
  <c r="K25" i="34" l="1"/>
  <c r="K26" i="34" s="1"/>
  <c r="J19" i="34"/>
  <c r="J26" i="34" s="1"/>
  <c r="L26" i="34" l="1"/>
  <c r="K129" i="33" l="1"/>
  <c r="K122" i="33"/>
  <c r="L114" i="33"/>
  <c r="K114" i="33"/>
  <c r="J114" i="33"/>
  <c r="K105" i="33"/>
  <c r="J105" i="33"/>
  <c r="L105" i="33" s="1"/>
  <c r="K91" i="33"/>
  <c r="J91" i="33"/>
  <c r="K77" i="33"/>
  <c r="J77" i="33"/>
  <c r="K70" i="33"/>
  <c r="J70" i="33"/>
  <c r="K65" i="33"/>
  <c r="J65" i="33"/>
  <c r="B63" i="33"/>
  <c r="K59" i="33"/>
  <c r="J59" i="33"/>
  <c r="K49" i="33"/>
  <c r="J49" i="33"/>
  <c r="K43" i="33"/>
  <c r="J43" i="33"/>
  <c r="K36" i="33"/>
  <c r="J36" i="33"/>
  <c r="S25" i="33"/>
  <c r="Q24" i="33"/>
  <c r="S24" i="33" s="1"/>
  <c r="S23" i="33"/>
  <c r="K23" i="33"/>
  <c r="K128" i="33" s="1"/>
  <c r="S22" i="33"/>
  <c r="K22" i="33"/>
  <c r="K127" i="33" s="1"/>
  <c r="S21" i="33"/>
  <c r="K21" i="33"/>
  <c r="K126" i="33" s="1"/>
  <c r="S20" i="33"/>
  <c r="K20" i="33"/>
  <c r="K125" i="33" s="1"/>
  <c r="S19" i="33"/>
  <c r="P18" i="33"/>
  <c r="J18" i="33" s="1"/>
  <c r="S17" i="33"/>
  <c r="J17" i="33"/>
  <c r="K124" i="33" s="1"/>
  <c r="S16" i="33"/>
  <c r="J16" i="33"/>
  <c r="K123" i="33" s="1"/>
  <c r="S15" i="33"/>
  <c r="J15" i="33"/>
  <c r="F9" i="33"/>
  <c r="C35" i="33" s="1"/>
  <c r="K129" i="32"/>
  <c r="K123" i="32"/>
  <c r="K122" i="32"/>
  <c r="L114" i="32"/>
  <c r="K114" i="32"/>
  <c r="J114" i="32"/>
  <c r="K105" i="32"/>
  <c r="J105" i="32"/>
  <c r="L105" i="32" s="1"/>
  <c r="K91" i="32"/>
  <c r="J91" i="32"/>
  <c r="L91" i="32" s="1"/>
  <c r="K77" i="32"/>
  <c r="J77" i="32"/>
  <c r="K70" i="32"/>
  <c r="J70" i="32"/>
  <c r="K65" i="32"/>
  <c r="J65" i="32"/>
  <c r="B63" i="32"/>
  <c r="K59" i="32"/>
  <c r="J59" i="32"/>
  <c r="K49" i="32"/>
  <c r="J49" i="32"/>
  <c r="K43" i="32"/>
  <c r="J43" i="32"/>
  <c r="L43" i="32" s="1"/>
  <c r="K36" i="32"/>
  <c r="J36" i="32"/>
  <c r="S25" i="32"/>
  <c r="Q24" i="32"/>
  <c r="S24" i="32" s="1"/>
  <c r="S23" i="32"/>
  <c r="K23" i="32"/>
  <c r="K128" i="32" s="1"/>
  <c r="S22" i="32"/>
  <c r="K22" i="32"/>
  <c r="K127" i="32" s="1"/>
  <c r="S21" i="32"/>
  <c r="K21" i="32"/>
  <c r="K126" i="32" s="1"/>
  <c r="S20" i="32"/>
  <c r="K20" i="32"/>
  <c r="S19" i="32"/>
  <c r="P18" i="32"/>
  <c r="S18" i="32" s="1"/>
  <c r="S17" i="32"/>
  <c r="J17" i="32"/>
  <c r="K124" i="32" s="1"/>
  <c r="S16" i="32"/>
  <c r="J16" i="32"/>
  <c r="S15" i="32"/>
  <c r="J15" i="32"/>
  <c r="F9" i="32"/>
  <c r="C35" i="32" s="1"/>
  <c r="K129" i="31"/>
  <c r="K125" i="31"/>
  <c r="K122" i="31"/>
  <c r="K114" i="31"/>
  <c r="J114" i="31"/>
  <c r="L114" i="31" s="1"/>
  <c r="K105" i="31"/>
  <c r="J105" i="31"/>
  <c r="L105" i="31" s="1"/>
  <c r="K91" i="31"/>
  <c r="J91" i="31"/>
  <c r="K77" i="31"/>
  <c r="J77" i="31"/>
  <c r="K70" i="31"/>
  <c r="J70" i="31"/>
  <c r="K65" i="31"/>
  <c r="J65" i="31"/>
  <c r="B63" i="31"/>
  <c r="K59" i="31"/>
  <c r="J59" i="31"/>
  <c r="K49" i="31"/>
  <c r="J49" i="31"/>
  <c r="K43" i="31"/>
  <c r="J43" i="31"/>
  <c r="K36" i="31"/>
  <c r="L36" i="31" s="1"/>
  <c r="J36" i="31"/>
  <c r="S25" i="31"/>
  <c r="Q24" i="31"/>
  <c r="S24" i="31" s="1"/>
  <c r="K24" i="31"/>
  <c r="S23" i="31"/>
  <c r="K23" i="31"/>
  <c r="K128" i="31" s="1"/>
  <c r="S22" i="31"/>
  <c r="K22" i="31"/>
  <c r="K127" i="31" s="1"/>
  <c r="S21" i="31"/>
  <c r="K21" i="31"/>
  <c r="K126" i="31" s="1"/>
  <c r="S20" i="31"/>
  <c r="K20" i="31"/>
  <c r="S19" i="31"/>
  <c r="S18" i="31"/>
  <c r="P18" i="31"/>
  <c r="J18" i="31"/>
  <c r="S17" i="31"/>
  <c r="J17" i="31"/>
  <c r="K124" i="31" s="1"/>
  <c r="S16" i="31"/>
  <c r="J16" i="31"/>
  <c r="K123" i="31" s="1"/>
  <c r="S15" i="31"/>
  <c r="J15" i="31"/>
  <c r="F9" i="31"/>
  <c r="C64" i="31" s="1"/>
  <c r="L77" i="33" l="1"/>
  <c r="L36" i="33"/>
  <c r="L59" i="32"/>
  <c r="S18" i="33"/>
  <c r="K24" i="33"/>
  <c r="J18" i="32"/>
  <c r="K24" i="32"/>
  <c r="L91" i="33"/>
  <c r="L70" i="33"/>
  <c r="L65" i="33"/>
  <c r="L59" i="33"/>
  <c r="L49" i="33"/>
  <c r="L43" i="33"/>
  <c r="K25" i="33"/>
  <c r="C104" i="33"/>
  <c r="J19" i="33"/>
  <c r="J26" i="33" s="1"/>
  <c r="K26" i="33"/>
  <c r="C64" i="33"/>
  <c r="B100" i="33"/>
  <c r="L77" i="32"/>
  <c r="L70" i="32"/>
  <c r="L65" i="32"/>
  <c r="L49" i="32"/>
  <c r="L36" i="32"/>
  <c r="J19" i="32"/>
  <c r="J26" i="32" s="1"/>
  <c r="C64" i="32"/>
  <c r="K125" i="32"/>
  <c r="K25" i="32"/>
  <c r="K26" i="32" s="1"/>
  <c r="B100" i="32"/>
  <c r="C104" i="32"/>
  <c r="L91" i="31"/>
  <c r="L77" i="31"/>
  <c r="L70" i="31"/>
  <c r="L65" i="31"/>
  <c r="L59" i="31"/>
  <c r="L49" i="31"/>
  <c r="L43" i="31"/>
  <c r="J19" i="31"/>
  <c r="J26" i="31" s="1"/>
  <c r="K25" i="31"/>
  <c r="K26" i="31" s="1"/>
  <c r="C104" i="31"/>
  <c r="C35" i="31"/>
  <c r="B100" i="31"/>
  <c r="L26" i="33" l="1"/>
  <c r="L26" i="32"/>
  <c r="L26" i="31"/>
  <c r="K129" i="30" l="1"/>
  <c r="K122" i="30"/>
  <c r="K114" i="30"/>
  <c r="J114" i="30"/>
  <c r="L114" i="30" s="1"/>
  <c r="K105" i="30"/>
  <c r="J105" i="30"/>
  <c r="C104" i="30"/>
  <c r="K91" i="30"/>
  <c r="J91" i="30"/>
  <c r="K77" i="30"/>
  <c r="J77" i="30"/>
  <c r="K70" i="30"/>
  <c r="J70" i="30"/>
  <c r="K65" i="30"/>
  <c r="J65" i="30"/>
  <c r="B63" i="30"/>
  <c r="K59" i="30"/>
  <c r="J59" i="30"/>
  <c r="K49" i="30"/>
  <c r="J49" i="30"/>
  <c r="K43" i="30"/>
  <c r="J43" i="30"/>
  <c r="K36" i="30"/>
  <c r="J36" i="30"/>
  <c r="S25" i="30"/>
  <c r="Q24" i="30"/>
  <c r="S24" i="30" s="1"/>
  <c r="S23" i="30"/>
  <c r="K23" i="30"/>
  <c r="K128" i="30" s="1"/>
  <c r="S22" i="30"/>
  <c r="K22" i="30"/>
  <c r="K127" i="30" s="1"/>
  <c r="S21" i="30"/>
  <c r="K21" i="30"/>
  <c r="K126" i="30" s="1"/>
  <c r="S20" i="30"/>
  <c r="K20" i="30"/>
  <c r="K125" i="30" s="1"/>
  <c r="S19" i="30"/>
  <c r="P18" i="30"/>
  <c r="S18" i="30" s="1"/>
  <c r="S17" i="30"/>
  <c r="J17" i="30"/>
  <c r="K124" i="30" s="1"/>
  <c r="S16" i="30"/>
  <c r="J16" i="30"/>
  <c r="K123" i="30" s="1"/>
  <c r="S15" i="30"/>
  <c r="J15" i="30"/>
  <c r="F9" i="30"/>
  <c r="B100" i="30" s="1"/>
  <c r="L105" i="30" l="1"/>
  <c r="L91" i="30"/>
  <c r="L77" i="30"/>
  <c r="L70" i="30"/>
  <c r="L65" i="30"/>
  <c r="L59" i="30"/>
  <c r="L49" i="30"/>
  <c r="L43" i="30"/>
  <c r="L36" i="30"/>
  <c r="J18" i="30"/>
  <c r="C64" i="30"/>
  <c r="K24" i="30"/>
  <c r="C35" i="30"/>
  <c r="K25" i="30" l="1"/>
  <c r="K26" i="30" s="1"/>
  <c r="J19" i="30"/>
  <c r="J26" i="30" s="1"/>
  <c r="L26" i="30" l="1"/>
  <c r="J59" i="16" l="1"/>
  <c r="K129" i="28"/>
  <c r="K123" i="28"/>
  <c r="K122" i="28"/>
  <c r="K114" i="28"/>
  <c r="J114" i="28"/>
  <c r="L114" i="28" s="1"/>
  <c r="K105" i="28"/>
  <c r="J105" i="28"/>
  <c r="K91" i="28"/>
  <c r="J91" i="28"/>
  <c r="K77" i="28"/>
  <c r="J77" i="28"/>
  <c r="K70" i="28"/>
  <c r="J70" i="28"/>
  <c r="K65" i="28"/>
  <c r="J65" i="28"/>
  <c r="B63" i="28"/>
  <c r="K59" i="28"/>
  <c r="J59" i="28"/>
  <c r="K49" i="28"/>
  <c r="J49" i="28"/>
  <c r="K43" i="28"/>
  <c r="J43" i="28"/>
  <c r="L36" i="28"/>
  <c r="K36" i="28"/>
  <c r="J36" i="28"/>
  <c r="S25" i="28"/>
  <c r="Q24" i="28"/>
  <c r="K24" i="28" s="1"/>
  <c r="S23" i="28"/>
  <c r="K23" i="28"/>
  <c r="K128" i="28" s="1"/>
  <c r="S22" i="28"/>
  <c r="K22" i="28"/>
  <c r="K127" i="28" s="1"/>
  <c r="S21" i="28"/>
  <c r="K21" i="28"/>
  <c r="K126" i="28" s="1"/>
  <c r="S20" i="28"/>
  <c r="K20" i="28"/>
  <c r="K125" i="28" s="1"/>
  <c r="S19" i="28"/>
  <c r="P18" i="28"/>
  <c r="S18" i="28" s="1"/>
  <c r="S17" i="28"/>
  <c r="J17" i="28"/>
  <c r="K124" i="28" s="1"/>
  <c r="S16" i="28"/>
  <c r="J16" i="28"/>
  <c r="S15" i="28"/>
  <c r="J15" i="28"/>
  <c r="F9" i="28"/>
  <c r="C35" i="28" s="1"/>
  <c r="K129" i="27"/>
  <c r="K122" i="27"/>
  <c r="L114" i="27"/>
  <c r="K114" i="27"/>
  <c r="J114" i="27"/>
  <c r="K105" i="27"/>
  <c r="J105" i="27"/>
  <c r="K91" i="27"/>
  <c r="J91" i="27"/>
  <c r="K77" i="27"/>
  <c r="J77" i="27"/>
  <c r="K70" i="27"/>
  <c r="J70" i="27"/>
  <c r="K65" i="27"/>
  <c r="J65" i="27"/>
  <c r="B63" i="27"/>
  <c r="K59" i="27"/>
  <c r="J59" i="27"/>
  <c r="K49" i="27"/>
  <c r="J49" i="27"/>
  <c r="K43" i="27"/>
  <c r="J43" i="27"/>
  <c r="K36" i="27"/>
  <c r="J36" i="27"/>
  <c r="S25" i="27"/>
  <c r="Q24" i="27"/>
  <c r="S24" i="27" s="1"/>
  <c r="S23" i="27"/>
  <c r="K23" i="27"/>
  <c r="K128" i="27" s="1"/>
  <c r="S22" i="27"/>
  <c r="K22" i="27"/>
  <c r="K127" i="27" s="1"/>
  <c r="S21" i="27"/>
  <c r="K21" i="27"/>
  <c r="K126" i="27" s="1"/>
  <c r="S20" i="27"/>
  <c r="K20" i="27"/>
  <c r="K125" i="27" s="1"/>
  <c r="S19" i="27"/>
  <c r="P18" i="27"/>
  <c r="S18" i="27" s="1"/>
  <c r="S17" i="27"/>
  <c r="J17" i="27"/>
  <c r="K124" i="27" s="1"/>
  <c r="S16" i="27"/>
  <c r="J16" i="27"/>
  <c r="K123" i="27" s="1"/>
  <c r="S15" i="27"/>
  <c r="J15" i="27"/>
  <c r="F9" i="27"/>
  <c r="C35" i="27" s="1"/>
  <c r="K129" i="25"/>
  <c r="K123" i="25"/>
  <c r="K122" i="25"/>
  <c r="K114" i="25"/>
  <c r="L114" i="25" s="1"/>
  <c r="J114" i="25"/>
  <c r="K105" i="25"/>
  <c r="J105" i="25"/>
  <c r="K91" i="25"/>
  <c r="J91" i="25"/>
  <c r="K77" i="25"/>
  <c r="J77" i="25"/>
  <c r="K70" i="25"/>
  <c r="J70" i="25"/>
  <c r="K65" i="25"/>
  <c r="J65" i="25"/>
  <c r="B63" i="25"/>
  <c r="K59" i="25"/>
  <c r="J59" i="25"/>
  <c r="K49" i="25"/>
  <c r="J49" i="25"/>
  <c r="K43" i="25"/>
  <c r="J43" i="25"/>
  <c r="K36" i="25"/>
  <c r="J36" i="25"/>
  <c r="S25" i="25"/>
  <c r="Q24" i="25"/>
  <c r="S24" i="25" s="1"/>
  <c r="S23" i="25"/>
  <c r="K23" i="25"/>
  <c r="K128" i="25" s="1"/>
  <c r="S22" i="25"/>
  <c r="K22" i="25"/>
  <c r="K127" i="25" s="1"/>
  <c r="S21" i="25"/>
  <c r="K21" i="25"/>
  <c r="K126" i="25" s="1"/>
  <c r="S20" i="25"/>
  <c r="K20" i="25"/>
  <c r="K125" i="25" s="1"/>
  <c r="S19" i="25"/>
  <c r="P18" i="25"/>
  <c r="J18" i="25" s="1"/>
  <c r="S17" i="25"/>
  <c r="J17" i="25"/>
  <c r="K124" i="25" s="1"/>
  <c r="S16" i="25"/>
  <c r="J16" i="25"/>
  <c r="S15" i="25"/>
  <c r="J15" i="25"/>
  <c r="F9" i="25"/>
  <c r="C64" i="25" s="1"/>
  <c r="K129" i="24"/>
  <c r="K126" i="24"/>
  <c r="K122" i="24"/>
  <c r="K114" i="24"/>
  <c r="J114" i="24"/>
  <c r="L114" i="24" s="1"/>
  <c r="K105" i="24"/>
  <c r="J105" i="24"/>
  <c r="K91" i="24"/>
  <c r="J91" i="24"/>
  <c r="K77" i="24"/>
  <c r="J77" i="24"/>
  <c r="K70" i="24"/>
  <c r="J70" i="24"/>
  <c r="K65" i="24"/>
  <c r="J65" i="24"/>
  <c r="B63" i="24"/>
  <c r="K59" i="24"/>
  <c r="J59" i="24"/>
  <c r="K49" i="24"/>
  <c r="J49" i="24"/>
  <c r="K43" i="24"/>
  <c r="J43" i="24"/>
  <c r="K36" i="24"/>
  <c r="J36" i="24"/>
  <c r="S25" i="24"/>
  <c r="Q24" i="24"/>
  <c r="S24" i="24" s="1"/>
  <c r="S23" i="24"/>
  <c r="K23" i="24"/>
  <c r="K128" i="24" s="1"/>
  <c r="S22" i="24"/>
  <c r="K22" i="24"/>
  <c r="K127" i="24" s="1"/>
  <c r="S21" i="24"/>
  <c r="K21" i="24"/>
  <c r="S20" i="24"/>
  <c r="K20" i="24"/>
  <c r="S19" i="24"/>
  <c r="P18" i="24"/>
  <c r="S18" i="24" s="1"/>
  <c r="S17" i="24"/>
  <c r="J17" i="24"/>
  <c r="K124" i="24" s="1"/>
  <c r="S16" i="24"/>
  <c r="J16" i="24"/>
  <c r="K123" i="24" s="1"/>
  <c r="S15" i="24"/>
  <c r="J15" i="24"/>
  <c r="F9" i="24"/>
  <c r="C104" i="24" s="1"/>
  <c r="K129" i="23"/>
  <c r="K126" i="23"/>
  <c r="K122" i="23"/>
  <c r="K114" i="23"/>
  <c r="J114" i="23"/>
  <c r="L114" i="23" s="1"/>
  <c r="K105" i="23"/>
  <c r="J105" i="23"/>
  <c r="K91" i="23"/>
  <c r="J91" i="23"/>
  <c r="K77" i="23"/>
  <c r="L77" i="23" s="1"/>
  <c r="J77" i="23"/>
  <c r="K70" i="23"/>
  <c r="J70" i="23"/>
  <c r="K65" i="23"/>
  <c r="J65" i="23"/>
  <c r="B63" i="23"/>
  <c r="K59" i="23"/>
  <c r="J59" i="23"/>
  <c r="K49" i="23"/>
  <c r="J49" i="23"/>
  <c r="K43" i="23"/>
  <c r="J43" i="23"/>
  <c r="K36" i="23"/>
  <c r="J36" i="23"/>
  <c r="S25" i="23"/>
  <c r="Q24" i="23"/>
  <c r="S24" i="23" s="1"/>
  <c r="S23" i="23"/>
  <c r="K23" i="23"/>
  <c r="S22" i="23"/>
  <c r="K22" i="23"/>
  <c r="K127" i="23" s="1"/>
  <c r="S21" i="23"/>
  <c r="K21" i="23"/>
  <c r="S20" i="23"/>
  <c r="K20" i="23"/>
  <c r="K125" i="23" s="1"/>
  <c r="S19" i="23"/>
  <c r="P18" i="23"/>
  <c r="S18" i="23" s="1"/>
  <c r="S17" i="23"/>
  <c r="J17" i="23"/>
  <c r="K124" i="23" s="1"/>
  <c r="S16" i="23"/>
  <c r="J16" i="23"/>
  <c r="K123" i="23" s="1"/>
  <c r="S15" i="23"/>
  <c r="J15" i="23"/>
  <c r="F9" i="23"/>
  <c r="C104" i="23" s="1"/>
  <c r="K129" i="22"/>
  <c r="K123" i="22"/>
  <c r="K122" i="22"/>
  <c r="K114" i="22"/>
  <c r="J114" i="22"/>
  <c r="L114" i="22" s="1"/>
  <c r="K105" i="22"/>
  <c r="J105" i="22"/>
  <c r="K91" i="22"/>
  <c r="J91" i="22"/>
  <c r="K77" i="22"/>
  <c r="J77" i="22"/>
  <c r="K70" i="22"/>
  <c r="J70" i="22"/>
  <c r="K65" i="22"/>
  <c r="J65" i="22"/>
  <c r="B63" i="22"/>
  <c r="K59" i="22"/>
  <c r="J59" i="22"/>
  <c r="K49" i="22"/>
  <c r="J49" i="22"/>
  <c r="K43" i="22"/>
  <c r="J43" i="22"/>
  <c r="K36" i="22"/>
  <c r="J36" i="22"/>
  <c r="S25" i="22"/>
  <c r="Q24" i="22"/>
  <c r="S24" i="22" s="1"/>
  <c r="S23" i="22"/>
  <c r="K23" i="22"/>
  <c r="K128" i="22" s="1"/>
  <c r="S22" i="22"/>
  <c r="K22" i="22"/>
  <c r="K127" i="22" s="1"/>
  <c r="S21" i="22"/>
  <c r="K21" i="22"/>
  <c r="K126" i="22" s="1"/>
  <c r="S20" i="22"/>
  <c r="K20" i="22"/>
  <c r="K125" i="22" s="1"/>
  <c r="S19" i="22"/>
  <c r="P18" i="22"/>
  <c r="S18" i="22" s="1"/>
  <c r="S17" i="22"/>
  <c r="J17" i="22"/>
  <c r="K124" i="22" s="1"/>
  <c r="S16" i="22"/>
  <c r="J16" i="22"/>
  <c r="S15" i="22"/>
  <c r="J15" i="22"/>
  <c r="F9" i="22"/>
  <c r="C35" i="22" s="1"/>
  <c r="K129" i="21"/>
  <c r="K123" i="21"/>
  <c r="K122" i="21"/>
  <c r="L114" i="21"/>
  <c r="K114" i="21"/>
  <c r="J114" i="21"/>
  <c r="K105" i="21"/>
  <c r="J105" i="21"/>
  <c r="K91" i="21"/>
  <c r="J91" i="21"/>
  <c r="K77" i="21"/>
  <c r="J77" i="21"/>
  <c r="K70" i="21"/>
  <c r="J70" i="21"/>
  <c r="K65" i="21"/>
  <c r="J65" i="21"/>
  <c r="B63" i="21"/>
  <c r="K59" i="21"/>
  <c r="J59" i="21"/>
  <c r="K49" i="21"/>
  <c r="J49" i="21"/>
  <c r="K43" i="21"/>
  <c r="J43" i="21"/>
  <c r="K36" i="21"/>
  <c r="J36" i="21"/>
  <c r="S25" i="21"/>
  <c r="Q24" i="21"/>
  <c r="S24" i="21" s="1"/>
  <c r="S23" i="21"/>
  <c r="K23" i="21"/>
  <c r="K128" i="21" s="1"/>
  <c r="S22" i="21"/>
  <c r="K22" i="21"/>
  <c r="K127" i="21" s="1"/>
  <c r="S21" i="21"/>
  <c r="K21" i="21"/>
  <c r="S20" i="21"/>
  <c r="K20" i="21"/>
  <c r="K125" i="21" s="1"/>
  <c r="S19" i="21"/>
  <c r="P18" i="21"/>
  <c r="S18" i="21" s="1"/>
  <c r="S17" i="21"/>
  <c r="J17" i="21"/>
  <c r="K124" i="21" s="1"/>
  <c r="S16" i="21"/>
  <c r="J16" i="21"/>
  <c r="S15" i="21"/>
  <c r="J15" i="21"/>
  <c r="F9" i="21"/>
  <c r="C35" i="21" s="1"/>
  <c r="K129" i="20"/>
  <c r="K122" i="20"/>
  <c r="K114" i="20"/>
  <c r="L114" i="20" s="1"/>
  <c r="J114" i="20"/>
  <c r="K105" i="20"/>
  <c r="J105" i="20"/>
  <c r="K91" i="20"/>
  <c r="J91" i="20"/>
  <c r="K77" i="20"/>
  <c r="J77" i="20"/>
  <c r="K70" i="20"/>
  <c r="J70" i="20"/>
  <c r="K65" i="20"/>
  <c r="J65" i="20"/>
  <c r="B63" i="20"/>
  <c r="K59" i="20"/>
  <c r="J59" i="20"/>
  <c r="K49" i="20"/>
  <c r="J49" i="20"/>
  <c r="K43" i="20"/>
  <c r="J43" i="20"/>
  <c r="K36" i="20"/>
  <c r="J36" i="20"/>
  <c r="S25" i="20"/>
  <c r="Q24" i="20"/>
  <c r="K24" i="20" s="1"/>
  <c r="S23" i="20"/>
  <c r="K23" i="20"/>
  <c r="K128" i="20" s="1"/>
  <c r="S22" i="20"/>
  <c r="K22" i="20"/>
  <c r="K127" i="20" s="1"/>
  <c r="S21" i="20"/>
  <c r="K21" i="20"/>
  <c r="S20" i="20"/>
  <c r="K20" i="20"/>
  <c r="K125" i="20" s="1"/>
  <c r="S19" i="20"/>
  <c r="P18" i="20"/>
  <c r="S18" i="20" s="1"/>
  <c r="S17" i="20"/>
  <c r="J17" i="20"/>
  <c r="K124" i="20" s="1"/>
  <c r="S16" i="20"/>
  <c r="J16" i="20"/>
  <c r="K123" i="20" s="1"/>
  <c r="S15" i="20"/>
  <c r="J15" i="20"/>
  <c r="F9" i="20"/>
  <c r="C35" i="20" s="1"/>
  <c r="K129" i="19"/>
  <c r="K122" i="19"/>
  <c r="K114" i="19"/>
  <c r="J114" i="19"/>
  <c r="L114" i="19" s="1"/>
  <c r="K105" i="19"/>
  <c r="K91" i="19"/>
  <c r="J91" i="19"/>
  <c r="K77" i="19"/>
  <c r="J77" i="19"/>
  <c r="K70" i="19"/>
  <c r="J70" i="19"/>
  <c r="K65" i="19"/>
  <c r="J65" i="19"/>
  <c r="B63" i="19"/>
  <c r="K59" i="19"/>
  <c r="J59" i="19"/>
  <c r="K49" i="19"/>
  <c r="J49" i="19"/>
  <c r="K43" i="19"/>
  <c r="J43" i="19"/>
  <c r="K36" i="19"/>
  <c r="J36" i="19"/>
  <c r="S25" i="19"/>
  <c r="Q24" i="19"/>
  <c r="S24" i="19" s="1"/>
  <c r="S23" i="19"/>
  <c r="K23" i="19"/>
  <c r="K128" i="19" s="1"/>
  <c r="S22" i="19"/>
  <c r="K22" i="19"/>
  <c r="K127" i="19" s="1"/>
  <c r="S21" i="19"/>
  <c r="K21" i="19"/>
  <c r="K126" i="19" s="1"/>
  <c r="S20" i="19"/>
  <c r="K20" i="19"/>
  <c r="K125" i="19" s="1"/>
  <c r="S19" i="19"/>
  <c r="P18" i="19"/>
  <c r="S18" i="19" s="1"/>
  <c r="S17" i="19"/>
  <c r="J17" i="19"/>
  <c r="K124" i="19" s="1"/>
  <c r="S16" i="19"/>
  <c r="J16" i="19"/>
  <c r="K123" i="19" s="1"/>
  <c r="S15" i="19"/>
  <c r="J15" i="19"/>
  <c r="F9" i="19"/>
  <c r="B100" i="19" s="1"/>
  <c r="K129" i="18"/>
  <c r="K122" i="18"/>
  <c r="L114" i="18"/>
  <c r="K114" i="18"/>
  <c r="J114" i="18"/>
  <c r="K105" i="18"/>
  <c r="J105" i="18"/>
  <c r="K91" i="18"/>
  <c r="J91" i="18"/>
  <c r="K77" i="18"/>
  <c r="J77" i="18"/>
  <c r="K70" i="18"/>
  <c r="J70" i="18"/>
  <c r="K65" i="18"/>
  <c r="J65" i="18"/>
  <c r="B63" i="18"/>
  <c r="K59" i="18"/>
  <c r="J59" i="18"/>
  <c r="K49" i="18"/>
  <c r="J49" i="18"/>
  <c r="K43" i="18"/>
  <c r="J43" i="18"/>
  <c r="K36" i="18"/>
  <c r="J36" i="18"/>
  <c r="S25" i="18"/>
  <c r="Q24" i="18"/>
  <c r="K24" i="18" s="1"/>
  <c r="S23" i="18"/>
  <c r="K23" i="18"/>
  <c r="K128" i="18" s="1"/>
  <c r="S22" i="18"/>
  <c r="K22" i="18"/>
  <c r="K127" i="18" s="1"/>
  <c r="S21" i="18"/>
  <c r="K21" i="18"/>
  <c r="K126" i="18" s="1"/>
  <c r="S20" i="18"/>
  <c r="K20" i="18"/>
  <c r="K125" i="18" s="1"/>
  <c r="S19" i="18"/>
  <c r="P18" i="18"/>
  <c r="J18" i="18" s="1"/>
  <c r="S17" i="18"/>
  <c r="J17" i="18"/>
  <c r="K124" i="18" s="1"/>
  <c r="S16" i="18"/>
  <c r="J16" i="18"/>
  <c r="K123" i="18" s="1"/>
  <c r="S15" i="18"/>
  <c r="J15" i="18"/>
  <c r="F9" i="18"/>
  <c r="C35" i="18" s="1"/>
  <c r="K129" i="17"/>
  <c r="K122" i="17"/>
  <c r="K114" i="17"/>
  <c r="L114" i="17" s="1"/>
  <c r="J114" i="17"/>
  <c r="K105" i="17"/>
  <c r="J105" i="17"/>
  <c r="K91" i="17"/>
  <c r="J91" i="17"/>
  <c r="K77" i="17"/>
  <c r="J77" i="17"/>
  <c r="K70" i="17"/>
  <c r="J70" i="17"/>
  <c r="K65" i="17"/>
  <c r="J65" i="17"/>
  <c r="B63" i="17"/>
  <c r="K59" i="17"/>
  <c r="J59" i="17"/>
  <c r="K49" i="17"/>
  <c r="J49" i="17"/>
  <c r="K43" i="17"/>
  <c r="J43" i="17"/>
  <c r="K36" i="17"/>
  <c r="J36" i="17"/>
  <c r="S25" i="17"/>
  <c r="Q24" i="17"/>
  <c r="K24" i="17" s="1"/>
  <c r="S23" i="17"/>
  <c r="K23" i="17"/>
  <c r="K128" i="17" s="1"/>
  <c r="S22" i="17"/>
  <c r="K22" i="17"/>
  <c r="K127" i="17" s="1"/>
  <c r="S21" i="17"/>
  <c r="K21" i="17"/>
  <c r="K126" i="17" s="1"/>
  <c r="S20" i="17"/>
  <c r="K20" i="17"/>
  <c r="K125" i="17" s="1"/>
  <c r="S19" i="17"/>
  <c r="P18" i="17"/>
  <c r="J18" i="17" s="1"/>
  <c r="S17" i="17"/>
  <c r="J17" i="17"/>
  <c r="K124" i="17" s="1"/>
  <c r="S16" i="17"/>
  <c r="J16" i="17"/>
  <c r="K123" i="17" s="1"/>
  <c r="S15" i="17"/>
  <c r="J15" i="17"/>
  <c r="F9" i="17"/>
  <c r="C35" i="17" s="1"/>
  <c r="K129" i="16"/>
  <c r="K123" i="16"/>
  <c r="K122" i="16"/>
  <c r="K114" i="16"/>
  <c r="J114" i="16"/>
  <c r="L114" i="16" s="1"/>
  <c r="K105" i="16"/>
  <c r="J105" i="16"/>
  <c r="L105" i="16" s="1"/>
  <c r="K91" i="16"/>
  <c r="J91" i="16"/>
  <c r="K77" i="16"/>
  <c r="J77" i="16"/>
  <c r="K70" i="16"/>
  <c r="J70" i="16"/>
  <c r="K65" i="16"/>
  <c r="J65" i="16"/>
  <c r="B63" i="16"/>
  <c r="K59" i="16"/>
  <c r="K49" i="16"/>
  <c r="J49" i="16"/>
  <c r="K43" i="16"/>
  <c r="J43" i="16"/>
  <c r="K36" i="16"/>
  <c r="J36" i="16"/>
  <c r="S25" i="16"/>
  <c r="Q24" i="16"/>
  <c r="S24" i="16" s="1"/>
  <c r="S23" i="16"/>
  <c r="K23" i="16"/>
  <c r="K128" i="16" s="1"/>
  <c r="S22" i="16"/>
  <c r="K22" i="16"/>
  <c r="K127" i="16" s="1"/>
  <c r="S21" i="16"/>
  <c r="K21" i="16"/>
  <c r="K126" i="16" s="1"/>
  <c r="S20" i="16"/>
  <c r="K20" i="16"/>
  <c r="K125" i="16" s="1"/>
  <c r="S19" i="16"/>
  <c r="P18" i="16"/>
  <c r="S18" i="16" s="1"/>
  <c r="S17" i="16"/>
  <c r="J17" i="16"/>
  <c r="K124" i="16" s="1"/>
  <c r="S16" i="16"/>
  <c r="J16" i="16"/>
  <c r="S15" i="16"/>
  <c r="J15" i="16"/>
  <c r="F9" i="16"/>
  <c r="C35" i="16" s="1"/>
  <c r="K128" i="23" l="1"/>
  <c r="F10" i="4"/>
  <c r="B16" i="7"/>
  <c r="L91" i="22"/>
  <c r="L77" i="22"/>
  <c r="L49" i="22"/>
  <c r="L36" i="22"/>
  <c r="J18" i="22"/>
  <c r="J18" i="23"/>
  <c r="K24" i="23"/>
  <c r="K25" i="23" s="1"/>
  <c r="K26" i="23" s="1"/>
  <c r="J18" i="21"/>
  <c r="K24" i="21"/>
  <c r="J19" i="21" s="1"/>
  <c r="J26" i="21" s="1"/>
  <c r="J18" i="16"/>
  <c r="L91" i="28"/>
  <c r="L77" i="28"/>
  <c r="L70" i="28"/>
  <c r="L49" i="28"/>
  <c r="L105" i="27"/>
  <c r="L105" i="25"/>
  <c r="L105" i="24"/>
  <c r="L59" i="24"/>
  <c r="L49" i="24"/>
  <c r="L105" i="23"/>
  <c r="L36" i="23"/>
  <c r="L105" i="21"/>
  <c r="L77" i="21"/>
  <c r="L43" i="20"/>
  <c r="L77" i="19"/>
  <c r="L43" i="19"/>
  <c r="L105" i="17"/>
  <c r="L91" i="17"/>
  <c r="L43" i="16"/>
  <c r="L59" i="28"/>
  <c r="L65" i="25"/>
  <c r="L59" i="25"/>
  <c r="L70" i="24"/>
  <c r="L70" i="22"/>
  <c r="L65" i="22"/>
  <c r="L65" i="21"/>
  <c r="L65" i="20"/>
  <c r="L59" i="20"/>
  <c r="L65" i="19"/>
  <c r="L59" i="19"/>
  <c r="L70" i="18"/>
  <c r="L70" i="17"/>
  <c r="L65" i="17"/>
  <c r="L105" i="28"/>
  <c r="L65" i="28"/>
  <c r="L43" i="28"/>
  <c r="L91" i="27"/>
  <c r="L77" i="27"/>
  <c r="L70" i="27"/>
  <c r="L65" i="27"/>
  <c r="L59" i="27"/>
  <c r="L49" i="27"/>
  <c r="L43" i="27"/>
  <c r="L36" i="27"/>
  <c r="J18" i="27"/>
  <c r="K24" i="27"/>
  <c r="B100" i="27"/>
  <c r="L91" i="25"/>
  <c r="L77" i="25"/>
  <c r="L70" i="25"/>
  <c r="L49" i="25"/>
  <c r="L43" i="25"/>
  <c r="L36" i="25"/>
  <c r="S18" i="25"/>
  <c r="C35" i="25"/>
  <c r="L91" i="24"/>
  <c r="L77" i="24"/>
  <c r="L65" i="24"/>
  <c r="L43" i="24"/>
  <c r="L36" i="24"/>
  <c r="K24" i="24"/>
  <c r="J18" i="24"/>
  <c r="C35" i="24"/>
  <c r="L91" i="23"/>
  <c r="L70" i="23"/>
  <c r="L65" i="23"/>
  <c r="L59" i="23"/>
  <c r="L49" i="23"/>
  <c r="L43" i="23"/>
  <c r="B100" i="23"/>
  <c r="C35" i="23"/>
  <c r="L105" i="22"/>
  <c r="L59" i="22"/>
  <c r="L43" i="22"/>
  <c r="B100" i="22"/>
  <c r="L91" i="21"/>
  <c r="L70" i="21"/>
  <c r="L59" i="21"/>
  <c r="L49" i="21"/>
  <c r="L43" i="21"/>
  <c r="L36" i="21"/>
  <c r="B100" i="21"/>
  <c r="L105" i="20"/>
  <c r="L91" i="20"/>
  <c r="L77" i="20"/>
  <c r="L70" i="20"/>
  <c r="L49" i="20"/>
  <c r="L36" i="20"/>
  <c r="J18" i="20"/>
  <c r="K25" i="20" s="1"/>
  <c r="K26" i="20" s="1"/>
  <c r="J105" i="19"/>
  <c r="L105" i="19" s="1"/>
  <c r="L91" i="19"/>
  <c r="L70" i="19"/>
  <c r="L49" i="19"/>
  <c r="L36" i="19"/>
  <c r="J18" i="19"/>
  <c r="K24" i="19"/>
  <c r="C35" i="19"/>
  <c r="L105" i="18"/>
  <c r="L91" i="18"/>
  <c r="L77" i="18"/>
  <c r="L65" i="18"/>
  <c r="L59" i="18"/>
  <c r="L49" i="18"/>
  <c r="L43" i="18"/>
  <c r="L36" i="18"/>
  <c r="S18" i="18"/>
  <c r="S24" i="18"/>
  <c r="L77" i="17"/>
  <c r="L59" i="17"/>
  <c r="L49" i="17"/>
  <c r="L43" i="17"/>
  <c r="L36" i="17"/>
  <c r="S18" i="17"/>
  <c r="L91" i="16"/>
  <c r="L77" i="16"/>
  <c r="L70" i="16"/>
  <c r="L65" i="16"/>
  <c r="L59" i="16"/>
  <c r="L49" i="16"/>
  <c r="L36" i="16"/>
  <c r="C64" i="24"/>
  <c r="K125" i="24"/>
  <c r="S24" i="28"/>
  <c r="C64" i="23"/>
  <c r="K24" i="25"/>
  <c r="J19" i="25" s="1"/>
  <c r="J26" i="25" s="1"/>
  <c r="J18" i="28"/>
  <c r="B100" i="28"/>
  <c r="C104" i="28"/>
  <c r="C104" i="27"/>
  <c r="B100" i="25"/>
  <c r="C64" i="28"/>
  <c r="B100" i="24"/>
  <c r="C104" i="25"/>
  <c r="C64" i="27"/>
  <c r="C104" i="21"/>
  <c r="C104" i="20"/>
  <c r="C64" i="22"/>
  <c r="C104" i="19"/>
  <c r="C64" i="21"/>
  <c r="C104" i="22"/>
  <c r="C64" i="20"/>
  <c r="K126" i="21"/>
  <c r="K24" i="22"/>
  <c r="K25" i="22" s="1"/>
  <c r="C64" i="19"/>
  <c r="K126" i="20"/>
  <c r="S24" i="20"/>
  <c r="B100" i="20"/>
  <c r="C104" i="18"/>
  <c r="K25" i="18"/>
  <c r="K26" i="18" s="1"/>
  <c r="C104" i="17"/>
  <c r="B100" i="18"/>
  <c r="J19" i="18"/>
  <c r="J26" i="18" s="1"/>
  <c r="C64" i="18"/>
  <c r="J19" i="17"/>
  <c r="J26" i="17" s="1"/>
  <c r="C64" i="17"/>
  <c r="B100" i="17"/>
  <c r="S24" i="17"/>
  <c r="K25" i="17"/>
  <c r="K26" i="17" s="1"/>
  <c r="B100" i="16"/>
  <c r="C104" i="16"/>
  <c r="C64" i="16"/>
  <c r="K24" i="16"/>
  <c r="J19" i="24" l="1"/>
  <c r="J26" i="24" s="1"/>
  <c r="J19" i="23"/>
  <c r="J26" i="23" s="1"/>
  <c r="L26" i="23" s="1"/>
  <c r="K25" i="21"/>
  <c r="K26" i="21" s="1"/>
  <c r="L26" i="21" s="1"/>
  <c r="J19" i="20"/>
  <c r="J26" i="20" s="1"/>
  <c r="L26" i="20" s="1"/>
  <c r="K25" i="16"/>
  <c r="K26" i="16" s="1"/>
  <c r="K25" i="28"/>
  <c r="K26" i="28" s="1"/>
  <c r="J19" i="28"/>
  <c r="J26" i="28" s="1"/>
  <c r="K25" i="27"/>
  <c r="K26" i="27" s="1"/>
  <c r="J19" i="27"/>
  <c r="J26" i="27" s="1"/>
  <c r="K25" i="25"/>
  <c r="K26" i="25" s="1"/>
  <c r="L26" i="25" s="1"/>
  <c r="K25" i="24"/>
  <c r="K26" i="24" s="1"/>
  <c r="L26" i="24" s="1"/>
  <c r="J19" i="22"/>
  <c r="J26" i="22" s="1"/>
  <c r="K26" i="22"/>
  <c r="K25" i="19"/>
  <c r="K26" i="19" s="1"/>
  <c r="J19" i="19"/>
  <c r="J26" i="19" s="1"/>
  <c r="L26" i="18"/>
  <c r="L26" i="17"/>
  <c r="J19" i="16"/>
  <c r="J26" i="16" s="1"/>
  <c r="L26" i="28" l="1"/>
  <c r="L26" i="27"/>
  <c r="L26" i="22"/>
  <c r="L26" i="19"/>
  <c r="L26" i="16"/>
  <c r="Q24" i="2"/>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17" i="5"/>
  <c r="K69" i="5" s="1"/>
  <c r="J14" i="5"/>
  <c r="S18" i="8"/>
  <c r="S24" i="8"/>
  <c r="S18" i="2"/>
  <c r="K23" i="8"/>
  <c r="K82" i="8" s="1"/>
  <c r="K22" i="8"/>
  <c r="K81" i="8" s="1"/>
  <c r="K21" i="8"/>
  <c r="K80" i="8" s="1"/>
  <c r="J17" i="8"/>
  <c r="K79" i="8" s="1"/>
  <c r="K78" i="8"/>
  <c r="K77" i="8"/>
  <c r="S21" i="8"/>
  <c r="S17" i="8"/>
  <c r="S16" i="8"/>
  <c r="S15" i="8"/>
  <c r="S23" i="8"/>
  <c r="K25" i="2" l="1"/>
  <c r="J19" i="2"/>
  <c r="K67" i="5"/>
  <c r="B33" i="12"/>
  <c r="L33" i="12" s="1"/>
  <c r="P33" i="12" s="1"/>
  <c r="D35" i="12" s="1"/>
  <c r="J19" i="8"/>
  <c r="K25" i="8"/>
  <c r="J5" i="10"/>
  <c r="J5" i="4"/>
  <c r="N91" i="7" l="1"/>
  <c r="N90" i="7"/>
  <c r="N89" i="7"/>
  <c r="N88" i="7"/>
  <c r="N80" i="7"/>
  <c r="N79" i="7"/>
  <c r="N78" i="7"/>
  <c r="N77" i="7"/>
  <c r="N69" i="7"/>
  <c r="N68" i="7"/>
  <c r="N67" i="7"/>
  <c r="N66" i="7"/>
  <c r="N16" i="7"/>
  <c r="H89" i="7"/>
  <c r="H90" i="7"/>
  <c r="H78" i="7"/>
  <c r="H79" i="7"/>
  <c r="H67" i="7"/>
  <c r="H68" i="7"/>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89" i="7"/>
  <c r="J89" i="7" s="1"/>
  <c r="P89" i="7" s="1"/>
  <c r="D78" i="7"/>
  <c r="J78" i="7" s="1"/>
  <c r="P78" i="7" s="1"/>
  <c r="D91" i="7"/>
  <c r="J91" i="7" s="1"/>
  <c r="P91" i="7" s="1"/>
  <c r="D80" i="7"/>
  <c r="J80" i="7" s="1"/>
  <c r="P80" i="7" s="1"/>
  <c r="D90" i="7"/>
  <c r="J90" i="7" s="1"/>
  <c r="P90" i="7" s="1"/>
  <c r="D79" i="7"/>
  <c r="J79" i="7" s="1"/>
  <c r="P79" i="7" s="1"/>
  <c r="N57" i="7"/>
  <c r="N49" i="7"/>
  <c r="N42" i="7"/>
  <c r="N33" i="7"/>
  <c r="N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<sst xmlns="http://schemas.openxmlformats.org/spreadsheetml/2006/main" count="10174" uniqueCount="1845">
  <si>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</si>
  <si>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</si>
  <si>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</si>
  <si>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</si>
  <si>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</si>
  <si>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</si>
  <si>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</si>
  <si>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</si>
  <si>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</si>
  <si>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</si>
  <si>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</si>
  <si>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</si>
  <si>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</si>
  <si>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</si>
  <si>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</si>
  <si>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</si>
  <si>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</si>
  <si>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</si>
  <si>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</si>
  <si>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</si>
  <si>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</si>
  <si>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</si>
  <si>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</si>
  <si>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</si>
  <si>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</si>
  <si>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</si>
  <si>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</si>
  <si>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</si>
  <si>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</si>
  <si>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</si>
  <si>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</si>
  <si>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</si>
  <si>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</si>
  <si>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</si>
  <si>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</si>
  <si>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</si>
  <si>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</si>
  <si>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</si>
  <si>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</si>
  <si>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</si>
  <si>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</si>
  <si>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</si>
  <si>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</si>
  <si>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</si>
  <si>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</si>
  <si>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</si>
  <si>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</si>
  <si>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</si>
  <si>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</si>
  <si>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</si>
  <si>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</si>
  <si>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</si>
  <si>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</si>
  <si>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</si>
  <si>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</si>
  <si>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</si>
  <si>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</si>
  <si>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</si>
  <si>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</si>
  <si>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</si>
  <si>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</si>
  <si>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</si>
  <si>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</si>
  <si>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</si>
  <si>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</si>
  <si>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</si>
  <si>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</si>
  <si>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</si>
  <si>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</si>
  <si>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</si>
  <si>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</si>
  <si>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</si>
  <si>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</si>
  <si>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</si>
  <si>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</si>
  <si>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</si>
  <si>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</si>
  <si>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</si>
  <si>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</si>
  <si>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</si>
  <si>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</si>
  <si>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</si>
  <si>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</si>
  <si>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</si>
  <si>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</si>
  <si>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</si>
  <si>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</si>
  <si>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</si>
  <si>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</si>
  <si>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</si>
  <si>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</si>
  <si>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</si>
  <si>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</si>
  <si>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</si>
  <si>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</si>
  <si>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</si>
  <si>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</si>
  <si>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</si>
  <si>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</si>
  <si>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</si>
  <si>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</si>
  <si>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</si>
  <si>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</si>
  <si>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</si>
  <si>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</si>
  <si>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</si>
  <si>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</si>
  <si>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</si>
  <si>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</si>
  <si>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</si>
  <si>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</si>
  <si>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</si>
  <si>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</si>
  <si>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</si>
  <si>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</si>
  <si>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</si>
  <si>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</si>
  <si>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</si>
  <si>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</si>
  <si>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</si>
  <si>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</si>
  <si>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</si>
  <si>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</si>
  <si>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</si>
  <si>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</si>
  <si>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</si>
  <si>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</si>
  <si>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</si>
  <si>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</si>
  <si>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</si>
  <si>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</si>
  <si>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</si>
  <si>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</si>
  <si>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</si>
  <si>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</si>
  <si>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</si>
  <si>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</si>
  <si>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</si>
  <si>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</si>
  <si>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</si>
  <si>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</si>
  <si>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</si>
  <si>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</si>
  <si>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</si>
  <si>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</si>
  <si>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</si>
  <si>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</si>
  <si>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</si>
  <si>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</si>
  <si>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</si>
  <si>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</si>
  <si>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</si>
  <si>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</si>
  <si>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</si>
  <si>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</si>
  <si>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</si>
  <si>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</si>
  <si>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</si>
  <si>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</si>
  <si>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</si>
  <si>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</si>
  <si>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</si>
  <si>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</si>
  <si>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</si>
  <si>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</si>
  <si>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</si>
  <si>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</si>
  <si>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</si>
  <si>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</si>
  <si>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</si>
  <si>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</si>
  <si>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</si>
  <si>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</si>
  <si>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</si>
  <si>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</si>
  <si>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</si>
  <si>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</si>
  <si>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</si>
  <si>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</si>
  <si>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</si>
  <si>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</si>
  <si>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</si>
  <si>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</si>
  <si>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</si>
  <si>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</si>
  <si>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</si>
  <si>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</si>
  <si>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</si>
  <si>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</si>
  <si>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</si>
  <si>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</si>
  <si>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</si>
  <si>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</si>
  <si>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</si>
  <si>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</si>
  <si>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</si>
  <si>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</si>
  <si>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</si>
  <si>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</si>
  <si>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</si>
  <si>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</si>
  <si>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</si>
  <si>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</si>
  <si>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</si>
  <si>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</si>
  <si>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</si>
  <si>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</si>
  <si>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</si>
  <si>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</si>
  <si>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</si>
  <si>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</si>
  <si>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</si>
  <si>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</si>
  <si>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</si>
  <si>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</si>
  <si>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</si>
  <si>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</si>
  <si>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</si>
  <si>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</si>
  <si>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</si>
  <si>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</si>
  <si>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</si>
  <si>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</si>
  <si>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</si>
  <si>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</si>
  <si>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</si>
  <si>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</si>
  <si>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</si>
  <si>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</si>
  <si>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</si>
  <si>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</si>
  <si>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</si>
  <si>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</si>
  <si>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</si>
  <si>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</si>
  <si>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</si>
  <si>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</si>
  <si>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</si>
  <si>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</si>
  <si>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</si>
  <si>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</si>
  <si>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</si>
  <si>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</si>
  <si>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</si>
  <si>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</si>
  <si>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</si>
  <si>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</si>
  <si>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</si>
  <si>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</si>
  <si>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</si>
  <si>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</si>
  <si>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</si>
  <si>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</si>
  <si>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</si>
  <si>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</si>
  <si>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</si>
  <si>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</si>
  <si>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</si>
  <si>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</si>
  <si>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</si>
  <si>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</si>
  <si>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</si>
  <si>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</si>
  <si>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</si>
  <si>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</si>
  <si>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</si>
  <si>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</si>
  <si>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</si>
  <si>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</si>
  <si>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</si>
  <si>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</si>
  <si>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</si>
  <si>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</si>
  <si>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</si>
  <si>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</si>
  <si>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</si>
  <si>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</si>
  <si>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</si>
  <si>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</si>
  <si>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</si>
  <si>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</si>
  <si>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</si>
  <si>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</si>
  <si>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</si>
  <si>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</si>
  <si>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</si>
  <si>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</si>
  <si>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</si>
  <si>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</si>
  <si>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</si>
  <si>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</si>
  <si>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</si>
  <si>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</si>
  <si>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</si>
  <si>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</si>
  <si>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</si>
  <si>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</si>
  <si>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</si>
  <si>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</si>
  <si>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</si>
  <si>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</si>
  <si>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</si>
  <si>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</si>
  <si>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</si>
  <si>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</si>
  <si>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</si>
  <si>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</si>
  <si>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</si>
  <si>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</si>
  <si>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</si>
  <si>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</si>
  <si>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</si>
  <si>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</si>
  <si>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</si>
  <si>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</si>
  <si>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</si>
  <si>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</si>
  <si>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</si>
  <si>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</si>
  <si>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</si>
  <si>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</si>
  <si>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</si>
  <si>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</si>
  <si>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</si>
  <si>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</si>
  <si>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</si>
  <si>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</si>
  <si>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</si>
  <si>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</si>
  <si>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</si>
  <si>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</si>
  <si>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</si>
  <si>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</si>
  <si>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</si>
  <si>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</si>
  <si>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</si>
  <si>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</si>
  <si>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</si>
  <si>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</si>
  <si>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</si>
  <si>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</si>
  <si>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</si>
  <si>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</si>
  <si>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</si>
  <si>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</si>
  <si>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</si>
  <si>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</si>
  <si>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</si>
  <si>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</si>
  <si>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</si>
  <si>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</si>
  <si>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</si>
  <si>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</si>
  <si>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</si>
  <si>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</si>
  <si>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</si>
  <si>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</si>
  <si>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</si>
  <si>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</si>
  <si>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</si>
  <si>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</si>
  <si>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</si>
  <si>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</si>
  <si>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</si>
  <si>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</si>
  <si>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</si>
  <si>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</si>
  <si>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</si>
  <si>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</si>
  <si>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</si>
  <si>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</si>
  <si>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</si>
  <si>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</si>
  <si>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</si>
  <si>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</si>
  <si>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</si>
  <si>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</si>
  <si>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</si>
  <si>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</si>
  <si>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</si>
  <si>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</si>
  <si>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</si>
  <si>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</si>
  <si>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</si>
  <si>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</si>
  <si>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</si>
  <si>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</si>
  <si>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</si>
  <si>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</si>
  <si>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</si>
  <si>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</si>
  <si>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</si>
  <si>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</si>
  <si>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</si>
  <si>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</si>
  <si>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</si>
  <si>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</si>
  <si>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</si>
  <si>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</si>
  <si>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</si>
  <si>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</si>
  <si>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</si>
  <si>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</si>
  <si>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</si>
  <si>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</si>
  <si>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</si>
  <si>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</si>
  <si>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</si>
  <si>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</si>
  <si>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</si>
  <si>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</si>
  <si>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</si>
  <si>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</si>
  <si>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</si>
  <si>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</si>
  <si>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</si>
  <si>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</si>
  <si>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</si>
  <si>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</si>
  <si>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</si>
  <si>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</si>
  <si>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</si>
  <si>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</si>
  <si>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</si>
  <si>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</si>
  <si>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</si>
  <si>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</si>
  <si>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</si>
  <si>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</si>
  <si>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</si>
  <si>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</si>
  <si>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</si>
  <si>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</si>
  <si>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</si>
  <si>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</si>
  <si>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</si>
  <si>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</si>
  <si>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</si>
  <si>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</si>
  <si>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</si>
  <si>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</si>
  <si>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</si>
  <si>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</si>
  <si>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</si>
  <si>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</si>
  <si>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</si>
  <si>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</si>
  <si>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</si>
  <si>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</si>
  <si>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</si>
  <si>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</si>
  <si>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</si>
  <si>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</si>
  <si>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</si>
  <si>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</si>
  <si>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</si>
  <si>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</si>
  <si>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</si>
  <si>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</si>
  <si>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</si>
  <si>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</si>
  <si>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</si>
  <si>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</si>
  <si>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</si>
  <si>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</si>
  <si>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</si>
  <si>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</si>
  <si>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</si>
  <si>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</si>
  <si>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</si>
  <si>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</si>
  <si>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</si>
  <si>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</si>
  <si>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</si>
  <si>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</si>
  <si>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</si>
  <si>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</si>
  <si>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</si>
  <si>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</si>
  <si>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</si>
  <si>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</si>
  <si>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</si>
  <si>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</si>
  <si>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</si>
  <si>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</si>
  <si>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</si>
  <si>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</si>
  <si>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</si>
  <si>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</si>
  <si>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</si>
  <si>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</si>
  <si>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</si>
  <si>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</si>
  <si>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</si>
  <si>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</si>
  <si>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</si>
  <si>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</si>
  <si>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</si>
  <si>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</si>
  <si>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</si>
  <si>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</si>
  <si>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</si>
  <si>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</si>
  <si>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</si>
  <si>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</si>
  <si>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</si>
  <si>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</si>
  <si>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</si>
  <si>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</si>
  <si>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</si>
  <si>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</si>
  <si>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</si>
  <si>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</si>
  <si>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</si>
  <si>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</si>
  <si>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</si>
  <si>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</si>
  <si>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</si>
  <si>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</si>
  <si>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</si>
  <si>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</si>
  <si>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</si>
  <si>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</si>
  <si>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</si>
  <si>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</si>
  <si>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</si>
  <si>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</si>
  <si>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</si>
  <si>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</si>
  <si>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</si>
  <si>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</si>
  <si>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</si>
  <si>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</si>
  <si>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</si>
  <si>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</si>
  <si>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</si>
  <si>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</si>
  <si>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</si>
  <si>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</si>
  <si>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</si>
  <si>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</si>
  <si>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</si>
  <si>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</si>
  <si>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</si>
  <si>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</si>
  <si>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</si>
  <si>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</si>
  <si>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</si>
  <si>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</si>
  <si>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</si>
  <si>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</si>
  <si>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</si>
  <si>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</si>
  <si>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</si>
  <si>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</si>
  <si>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</si>
  <si>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</si>
  <si>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</si>
  <si>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</si>
  <si>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</si>
  <si>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</si>
  <si>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</si>
  <si>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</si>
  <si>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</si>
  <si>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</si>
  <si>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</si>
  <si>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</si>
  <si>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</si>
  <si>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</si>
  <si>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</si>
  <si>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</si>
  <si>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</si>
  <si>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</si>
  <si>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</si>
  <si>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</si>
  <si>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</si>
  <si>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</si>
  <si>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</si>
  <si>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</si>
  <si>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</si>
  <si>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</si>
  <si>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</si>
  <si>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</si>
  <si>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</si>
  <si>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</si>
  <si>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</si>
  <si>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</si>
  <si>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</si>
  <si>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</si>
  <si>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</si>
  <si>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</si>
  <si>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</si>
  <si>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</si>
  <si>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</si>
  <si>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</si>
  <si>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</si>
  <si>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</si>
  <si>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</si>
  <si>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</si>
  <si>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</si>
  <si>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</si>
  <si>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</si>
  <si>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</si>
  <si>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</si>
  <si>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</si>
  <si>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</si>
  <si>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</si>
  <si>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</si>
  <si>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</si>
  <si>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</si>
  <si>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</si>
  <si>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</si>
  <si>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</si>
  <si>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</si>
  <si>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</si>
  <si>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</si>
  <si>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</si>
  <si>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</si>
  <si>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</si>
  <si>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</si>
  <si>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</si>
  <si>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</si>
  <si>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</si>
  <si>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</si>
  <si>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</si>
  <si>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</si>
  <si>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</si>
  <si>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</si>
  <si>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</si>
  <si>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</si>
  <si>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</si>
  <si>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</si>
  <si>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</si>
  <si>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</si>
  <si>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</si>
  <si>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</si>
  <si>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</si>
  <si>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</si>
  <si>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</si>
  <si>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</si>
  <si>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</si>
  <si>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</si>
  <si>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</si>
  <si>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</si>
  <si>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</si>
  <si>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</si>
  <si>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</si>
  <si>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</si>
  <si>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</si>
  <si>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</si>
  <si>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</si>
  <si>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</si>
  <si>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</si>
  <si>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</si>
  <si>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</si>
  <si>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</si>
  <si>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</si>
  <si>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</si>
  <si>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</si>
  <si>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</si>
  <si>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</si>
  <si>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</si>
  <si>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</si>
  <si>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</si>
  <si>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</si>
  <si>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</si>
  <si>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</si>
  <si>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</si>
  <si>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</si>
  <si>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</si>
  <si>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</si>
  <si>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</si>
  <si>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</si>
  <si>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</si>
  <si>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</si>
  <si>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</si>
  <si>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</si>
  <si>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</si>
  <si>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</si>
  <si>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</si>
  <si>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</si>
  <si>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</si>
  <si>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</si>
  <si>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</si>
  <si>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</si>
  <si>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</si>
  <si>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</si>
  <si>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</si>
  <si>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</si>
  <si>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</si>
  <si>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</si>
  <si>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</si>
  <si>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</si>
  <si>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</si>
  <si>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</si>
  <si>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</si>
  <si>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</si>
  <si>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</si>
  <si>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</si>
  <si>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</si>
  <si>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</si>
  <si>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</si>
  <si>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</si>
  <si>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</si>
  <si>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</si>
  <si>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</si>
  <si>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</si>
  <si>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</si>
  <si>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</si>
  <si>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</si>
  <si>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</si>
  <si>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</si>
  <si>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</si>
  <si>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</si>
  <si>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</si>
  <si>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</si>
  <si>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</si>
  <si>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</si>
  <si>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</si>
  <si>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</si>
  <si>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</si>
  <si>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</si>
  <si>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</si>
  <si>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</si>
  <si>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</si>
  <si>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</si>
  <si>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</si>
  <si>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</si>
  <si>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</si>
  <si>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</si>
  <si>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</si>
  <si>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</si>
  <si>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</si>
  <si>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</si>
  <si>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</si>
  <si>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</si>
  <si>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</si>
  <si>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</si>
  <si>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</si>
  <si>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</si>
  <si>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</si>
  <si>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</si>
  <si>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</si>
  <si>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</si>
  <si>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</si>
  <si>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</si>
  <si>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</si>
  <si>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</si>
  <si>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</si>
  <si>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</si>
  <si>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</si>
  <si>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</si>
  <si>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</si>
  <si>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</si>
  <si>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</si>
  <si>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</si>
  <si>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</si>
  <si>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</si>
  <si>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</si>
  <si>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</si>
  <si>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</si>
  <si>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</si>
  <si>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</si>
  <si>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</si>
  <si>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</si>
  <si>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</si>
  <si>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</si>
  <si>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</si>
  <si>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</si>
  <si>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</si>
  <si>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</si>
  <si>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</si>
  <si>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</si>
  <si>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</si>
  <si>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</si>
  <si>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</si>
  <si>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</si>
  <si>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</si>
  <si>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</si>
  <si>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</si>
  <si>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</si>
  <si>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</si>
  <si>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</si>
  <si>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</si>
  <si>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</si>
  <si>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</si>
  <si>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</si>
  <si>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</si>
  <si>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</si>
  <si>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</si>
  <si>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</si>
  <si>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</si>
  <si>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</si>
  <si>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</si>
  <si>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</si>
  <si>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</si>
  <si>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</si>
  <si>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</si>
  <si>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</si>
  <si>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</si>
  <si>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</si>
  <si>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</si>
  <si>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</si>
  <si>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</si>
  <si>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</si>
  <si>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</si>
  <si>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</si>
  <si>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</si>
  <si>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</si>
  <si>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</si>
  <si>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</si>
  <si>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</si>
  <si>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</si>
  <si>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</si>
  <si>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</si>
  <si>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</si>
  <si>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</si>
  <si>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</si>
  <si>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</si>
  <si>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</si>
  <si>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</si>
  <si>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</si>
  <si>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</si>
  <si>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</si>
  <si>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</si>
  <si>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</si>
  <si>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</si>
  <si>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</si>
  <si>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</si>
  <si>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</si>
  <si>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</si>
  <si>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</si>
  <si>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</si>
  <si>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</si>
  <si>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</si>
  <si>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</si>
  <si>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</si>
  <si>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</si>
  <si>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</si>
  <si>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</si>
  <si>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</si>
  <si>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</si>
  <si>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</si>
  <si>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</si>
  <si>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</si>
  <si>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</si>
  <si>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</si>
  <si>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</si>
  <si>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</si>
  <si>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</si>
  <si>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</si>
  <si>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</si>
  <si>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</si>
  <si>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</si>
  <si>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</si>
  <si>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</si>
  <si>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</si>
  <si>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</si>
  <si>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</si>
  <si>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</si>
  <si>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</si>
  <si>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</si>
  <si>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</si>
  <si>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</si>
  <si>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</si>
  <si>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</si>
  <si>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</si>
  <si>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</si>
  <si>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</si>
  <si>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</si>
  <si>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</si>
  <si>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</si>
  <si>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</si>
  <si>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</si>
  <si>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</si>
  <si>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</si>
  <si>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</si>
  <si>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</si>
  <si>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</si>
  <si>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</si>
  <si>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</si>
  <si>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</si>
  <si>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</si>
  <si>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</si>
  <si>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</si>
  <si>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</si>
  <si>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</si>
  <si>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</si>
  <si>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</si>
  <si>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</si>
  <si>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</si>
  <si>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</si>
  <si>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</si>
  <si>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</si>
  <si>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</si>
  <si>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</si>
  <si>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</si>
  <si>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</si>
  <si>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</si>
  <si>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</si>
  <si>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</si>
  <si>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</si>
  <si>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</si>
  <si>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</si>
  <si>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</si>
  <si>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</si>
  <si>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</si>
  <si>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</si>
  <si>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</si>
  <si>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</si>
  <si>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</si>
  <si>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</si>
  <si>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</si>
  <si>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</si>
  <si>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</si>
  <si>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</si>
  <si>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</si>
  <si>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</si>
  <si>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</si>
  <si>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</si>
  <si>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</si>
  <si>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</si>
  <si>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</si>
  <si>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</si>
  <si>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</si>
  <si>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</si>
  <si>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</si>
  <si>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</si>
  <si>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</si>
  <si>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</si>
  <si>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</si>
  <si>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</si>
  <si>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</si>
  <si>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</si>
  <si>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</si>
  <si>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</si>
  <si>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</si>
  <si>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</si>
  <si>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</si>
  <si>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</si>
  <si>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</si>
  <si>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</si>
  <si>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</si>
  <si>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</si>
  <si>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</si>
  <si>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</si>
  <si>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</si>
  <si>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</si>
  <si>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</si>
  <si>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</si>
  <si>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</si>
  <si>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</si>
  <si>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</si>
  <si>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</si>
  <si>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</si>
  <si>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</si>
  <si>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</si>
  <si>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</si>
  <si>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</si>
  <si>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</si>
  <si>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</si>
  <si>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</si>
  <si>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</si>
  <si>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</si>
  <si>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</si>
  <si>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</si>
  <si>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</si>
  <si>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</si>
  <si>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</si>
  <si>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</si>
  <si>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</si>
  <si>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</si>
  <si>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</si>
  <si>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</si>
  <si>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</si>
  <si>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</si>
  <si>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</si>
  <si>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</si>
  <si>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</si>
  <si>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</si>
  <si>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</si>
  <si>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</si>
  <si>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</si>
  <si>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</si>
  <si>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</si>
  <si>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</si>
  <si>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</si>
  <si>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</si>
  <si>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</si>
  <si>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</si>
  <si>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</si>
  <si>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</si>
  <si>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</si>
  <si>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</si>
  <si>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</si>
  <si>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</si>
  <si>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</si>
  <si>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</si>
  <si>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</si>
  <si>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</si>
  <si>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</si>
  <si>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</si>
  <si>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</si>
  <si>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</si>
  <si>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</si>
  <si>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</si>
  <si>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</si>
  <si>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</si>
  <si>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</si>
  <si>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</si>
  <si>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</si>
  <si>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</si>
  <si>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</si>
  <si>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</si>
  <si>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</si>
  <si>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</si>
  <si>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</si>
  <si>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</si>
  <si>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</si>
  <si>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</si>
  <si>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</si>
  <si>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</si>
  <si>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</si>
  <si>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</si>
  <si>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</si>
  <si>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</si>
  <si>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</si>
  <si>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</si>
  <si>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</si>
  <si>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</si>
  <si>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</si>
  <si>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</si>
  <si>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</si>
  <si>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</si>
  <si>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</si>
  <si>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</si>
  <si>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</si>
  <si>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</si>
  <si>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</si>
  <si>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</si>
  <si>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</si>
  <si>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</si>
  <si>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</si>
  <si>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</si>
  <si>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</si>
  <si>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</si>
  <si>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</si>
  <si>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</si>
  <si>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</si>
  <si>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</si>
  <si>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</si>
  <si>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</si>
  <si>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</si>
  <si>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</si>
  <si>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</si>
  <si>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</si>
  <si>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</si>
  <si>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</si>
  <si>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</si>
  <si>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</si>
  <si>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</si>
  <si>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</si>
  <si>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</si>
  <si>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</si>
  <si>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</si>
  <si>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</si>
  <si>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</si>
  <si>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</si>
  <si>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</si>
  <si>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</si>
  <si>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</si>
  <si>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</si>
  <si>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</si>
  <si>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</si>
  <si>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</si>
  <si>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</si>
  <si>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</si>
  <si>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</si>
  <si>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</si>
  <si>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</si>
  <si>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</si>
  <si>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</si>
  <si>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</si>
  <si>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</si>
  <si>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</si>
  <si>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</si>
  <si>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</si>
  <si>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</si>
  <si>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</si>
  <si>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</si>
  <si>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</si>
  <si>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</si>
  <si>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</si>
  <si>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</si>
  <si>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</si>
  <si>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</si>
  <si>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</si>
  <si>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</si>
  <si>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</si>
  <si>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</si>
  <si>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</si>
  <si>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</si>
  <si>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</si>
  <si>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</si>
  <si>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</si>
  <si>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</si>
  <si>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</si>
  <si>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</si>
  <si>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</si>
  <si>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</si>
  <si>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</si>
  <si>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</si>
  <si>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</si>
  <si>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</si>
  <si>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</si>
  <si>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</si>
  <si>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</si>
  <si>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</si>
  <si>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</si>
  <si>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</si>
  <si>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</si>
  <si>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</si>
  <si>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</si>
  <si>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</si>
  <si>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</si>
  <si>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</si>
  <si>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</si>
  <si>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</si>
  <si>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</si>
  <si>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</si>
  <si>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</si>
  <si>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</si>
  <si>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</si>
  <si>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</si>
  <si>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</si>
  <si>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</si>
  <si>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</si>
  <si>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</si>
  <si>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</si>
  <si>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</si>
  <si>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</si>
  <si>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</si>
  <si>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</si>
  <si>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</si>
  <si>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</si>
  <si>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</si>
  <si>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</si>
  <si>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</si>
  <si>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</si>
  <si>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</si>
  <si>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</si>
  <si>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</si>
  <si>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</si>
  <si>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</si>
  <si>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</si>
  <si>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</si>
  <si>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</si>
  <si>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</si>
  <si>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</si>
  <si>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</si>
  <si>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</si>
  <si>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</si>
  <si>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</si>
  <si>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</si>
  <si>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</si>
  <si>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</si>
  <si>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</si>
  <si>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</si>
  <si>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</si>
  <si>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</si>
  <si>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</si>
  <si>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</si>
  <si>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</si>
  <si>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</si>
  <si>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</si>
  <si>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</si>
  <si>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</si>
  <si>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</si>
  <si>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</si>
  <si>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</si>
  <si>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</si>
  <si>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</si>
  <si>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</si>
  <si>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</si>
  <si>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</si>
  <si>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</si>
  <si>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</si>
  <si>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</si>
  <si>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</si>
  <si>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</si>
  <si>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</si>
  <si>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</si>
  <si>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</si>
  <si>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</si>
  <si>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</si>
  <si>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</si>
  <si>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</si>
  <si>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</si>
  <si>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</si>
  <si>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</si>
  <si>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</si>
  <si>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</si>
  <si>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</si>
  <si>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</si>
  <si>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</si>
  <si>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</si>
  <si>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</si>
  <si>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</si>
  <si>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</si>
  <si>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</si>
  <si>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</si>
  <si>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</si>
  <si>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</si>
  <si>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</si>
  <si>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</si>
  <si>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</si>
  <si>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</si>
  <si>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</si>
  <si>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</si>
  <si>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</si>
  <si>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</si>
  <si>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</si>
  <si>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</si>
  <si>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</si>
  <si>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</si>
  <si>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</si>
  <si>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</si>
  <si>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</si>
  <si>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</si>
  <si>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</si>
  <si>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</si>
  <si>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</si>
  <si>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</si>
  <si>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</si>
  <si>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</si>
  <si>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</si>
  <si>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</si>
  <si>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</si>
  <si>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</si>
  <si>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</si>
  <si>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</si>
  <si>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</si>
  <si>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</si>
  <si>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</si>
  <si>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</si>
  <si>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</si>
  <si>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</si>
  <si>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</si>
  <si>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</si>
  <si>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</si>
  <si>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</si>
  <si>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</si>
  <si>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</si>
  <si>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</si>
  <si>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</si>
  <si>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</si>
  <si>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</si>
  <si>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</si>
  <si>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</si>
  <si>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</si>
  <si>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</si>
  <si>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</si>
  <si>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</si>
  <si>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</si>
  <si>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</si>
  <si>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</si>
  <si>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</si>
  <si>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</si>
  <si>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</si>
  <si>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</si>
  <si>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</si>
  <si>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</si>
  <si>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</si>
  <si>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</si>
  <si>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</si>
  <si>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</si>
  <si>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</si>
  <si>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</si>
  <si>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</si>
  <si>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</si>
  <si>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</si>
  <si>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</si>
  <si>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</si>
  <si>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</si>
  <si>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</si>
  <si>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</si>
  <si>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</si>
  <si>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</si>
  <si>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</si>
  <si>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</si>
  <si>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</si>
  <si>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</si>
  <si>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</si>
  <si>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</si>
  <si>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</si>
  <si>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</si>
  <si>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</si>
  <si>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</si>
  <si>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</si>
  <si>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</si>
  <si>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</si>
  <si>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</si>
  <si>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</si>
  <si>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</si>
  <si>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</si>
  <si>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</si>
  <si>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</si>
  <si>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</si>
  <si>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</si>
  <si>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</si>
  <si>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</si>
  <si>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</si>
  <si>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</si>
  <si>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</si>
  <si>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</si>
  <si>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</si>
  <si>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</si>
  <si>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</si>
  <si>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</si>
  <si>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</si>
  <si>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</si>
  <si>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</si>
  <si>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</si>
  <si>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</si>
  <si>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</si>
  <si>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</si>
  <si>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</si>
  <si>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</si>
  <si>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</si>
  <si>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</si>
  <si>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</si>
  <si>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</si>
  <si>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</si>
  <si>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</si>
  <si>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</si>
  <si>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</si>
  <si>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</si>
  <si>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</si>
  <si>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</si>
  <si>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</si>
  <si>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</si>
  <si>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</si>
  <si>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</si>
  <si>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</si>
  <si>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</si>
  <si>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</si>
  <si>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</si>
  <si>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</si>
  <si>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</si>
  <si>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</si>
  <si>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</si>
  <si>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</si>
  <si>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</si>
  <si>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</si>
  <si>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</si>
  <si>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</si>
  <si>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</si>
  <si>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</si>
  <si>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</si>
  <si>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</si>
  <si>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</si>
  <si>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</si>
  <si>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</si>
  <si>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</si>
  <si>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</si>
  <si>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</si>
  <si>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</si>
  <si>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</si>
  <si>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</si>
  <si>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</si>
  <si>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</si>
  <si>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</si>
  <si>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</si>
  <si>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</si>
  <si>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</si>
  <si>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</si>
  <si>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</si>
  <si>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</si>
  <si>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</si>
  <si>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</si>
  <si>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</si>
  <si>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</si>
  <si>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</si>
  <si>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</si>
  <si>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</si>
  <si>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</si>
  <si>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</si>
  <si>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</si>
  <si>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</si>
  <si>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</si>
  <si>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</si>
  <si>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</si>
  <si>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</si>
  <si>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</si>
  <si>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</si>
  <si>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</si>
  <si>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</si>
  <si>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</si>
  <si>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</si>
  <si>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</si>
  <si>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</si>
  <si>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</si>
  <si>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</si>
  <si>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</si>
  <si>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</si>
  <si>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</si>
  <si>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</si>
  <si>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</si>
  <si>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</si>
  <si>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</si>
  <si>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</si>
  <si>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</si>
  <si>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</si>
  <si>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</si>
  <si>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</si>
  <si>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</si>
  <si>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</si>
  <si>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</si>
  <si>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</si>
  <si>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</si>
  <si>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</si>
  <si>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</si>
  <si>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</si>
  <si>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</si>
  <si>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</si>
  <si>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</si>
  <si>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</si>
  <si>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</si>
  <si>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</si>
  <si>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</si>
  <si>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</si>
  <si>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</si>
  <si>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</si>
  <si>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</si>
  <si>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</si>
  <si>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</si>
  <si>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</si>
  <si>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</si>
  <si>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</si>
  <si>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</si>
  <si>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</si>
  <si>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</si>
  <si>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</si>
  <si>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</si>
  <si>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</si>
  <si>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</si>
  <si>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</si>
  <si>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</si>
  <si>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</si>
  <si>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</si>
  <si>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</si>
  <si>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</si>
  <si>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</si>
  <si>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</si>
  <si>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</si>
  <si>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</si>
  <si>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</si>
  <si>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</si>
  <si>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</si>
  <si>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</si>
  <si>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</si>
  <si>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</si>
  <si>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</si>
  <si>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</si>
  <si>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</si>
  <si>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</si>
  <si>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</si>
  <si>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</si>
  <si>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</si>
  <si>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</si>
  <si>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</si>
  <si>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</si>
  <si>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</si>
  <si>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</si>
  <si>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</si>
  <si>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</si>
  <si>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</si>
  <si>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</si>
  <si>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</si>
  <si>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</si>
  <si>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</si>
  <si>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</si>
  <si>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</si>
  <si>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</si>
  <si>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</si>
  <si>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</si>
  <si>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</si>
  <si>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</si>
  <si>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</si>
  <si>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</si>
  <si>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</si>
  <si>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</si>
  <si>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</si>
  <si>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</si>
  <si>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</si>
  <si>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</si>
  <si>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</si>
  <si>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</si>
  <si>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</si>
  <si>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</si>
  <si>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</si>
  <si>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</si>
  <si>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</si>
  <si>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</si>
  <si>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</si>
  <si>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</si>
  <si>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</si>
  <si>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</si>
  <si>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</si>
  <si>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</si>
  <si>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</si>
  <si>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</si>
  <si>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</si>
  <si>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</si>
  <si>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</si>
  <si>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</si>
  <si>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</si>
  <si>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</si>
  <si>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</si>
  <si>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</si>
  <si>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</si>
  <si>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</si>
  <si>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</si>
  <si>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</si>
  <si>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</si>
  <si>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</si>
  <si>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</si>
  <si>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</si>
  <si>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</si>
  <si>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</si>
  <si>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</si>
  <si>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</si>
  <si>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</si>
  <si>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</si>
  <si>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</si>
  <si>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</si>
  <si>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</si>
  <si>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</si>
  <si>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</si>
  <si>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</si>
  <si>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</si>
  <si>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</si>
  <si>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</si>
  <si>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</si>
  <si>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</si>
  <si>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</si>
  <si>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</si>
  <si>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</si>
  <si>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</si>
  <si>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</si>
  <si>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</si>
  <si>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</si>
  <si>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</si>
  <si>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</si>
  <si>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</si>
  <si>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</si>
  <si>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</si>
  <si>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</si>
  <si>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</si>
  <si>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</si>
  <si>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</si>
  <si>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</si>
  <si>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</si>
  <si>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</si>
  <si>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</si>
  <si>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</si>
  <si>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</si>
  <si>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</si>
  <si>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</si>
  <si>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</si>
  <si>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</si>
  <si>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</si>
  <si>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</si>
  <si>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</si>
  <si>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</si>
  <si>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</si>
  <si>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</si>
  <si>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</si>
  <si>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</si>
  <si>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</si>
  <si>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</si>
  <si>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</si>
  <si>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</si>
  <si>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</si>
  <si>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</si>
  <si>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</si>
  <si>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</si>
  <si>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</si>
  <si>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</si>
  <si>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</si>
  <si>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</si>
  <si>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</si>
  <si>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</si>
  <si>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</si>
  <si>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</si>
  <si>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</si>
  <si>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</si>
  <si>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</si>
  <si>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</si>
  <si>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</si>
  <si>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</si>
  <si>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</si>
  <si>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</si>
  <si>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</si>
  <si>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</si>
  <si>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</si>
  <si>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</si>
  <si>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</si>
  <si>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</si>
  <si>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</si>
  <si>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</si>
  <si>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</si>
  <si>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</si>
  <si>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</si>
  <si>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</si>
  <si>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</si>
  <si>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</si>
  <si>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</si>
  <si>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</si>
  <si>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</si>
  <si>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</si>
  <si>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</si>
  <si>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</si>
  <si>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</si>
  <si>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</si>
  <si>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</si>
  <si>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</si>
  <si>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</si>
  <si>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</si>
  <si>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</si>
  <si>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</si>
  <si>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</si>
  <si>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</si>
  <si>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</si>
  <si>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</si>
  <si>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</si>
  <si>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</si>
  <si>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</si>
  <si>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</si>
  <si>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</si>
  <si>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</si>
  <si>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</si>
  <si>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</si>
  <si>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</si>
  <si>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</si>
  <si>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</si>
  <si>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</si>
  <si>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</si>
  <si>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</si>
  <si>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</si>
  <si>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</si>
  <si>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</si>
  <si>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</si>
  <si>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</si>
  <si>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</si>
  <si>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</si>
  <si>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</si>
  <si>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</si>
  <si>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</si>
  <si>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</si>
  <si>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</si>
  <si>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</si>
  <si>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</si>
  <si>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</si>
  <si>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</si>
  <si>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</si>
  <si>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</si>
  <si>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</si>
  <si>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</si>
  <si>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</si>
  <si>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</si>
  <si>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</si>
  <si>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</si>
  <si>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</si>
  <si>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</si>
  <si>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</si>
  <si>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</si>
  <si>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</si>
  <si>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</si>
  <si>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</si>
  <si>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</si>
  <si>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</si>
  <si>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</si>
  <si>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</si>
  <si>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</si>
  <si>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</si>
  <si>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</si>
  <si>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</si>
  <si>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</si>
  <si>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</si>
  <si>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</si>
  <si>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</si>
  <si>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</si>
  <si>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</si>
  <si>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</si>
  <si>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</si>
  <si>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</si>
  <si>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</si>
  <si>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</si>
  <si>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</si>
  <si>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</si>
  <si>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</si>
  <si>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</si>
  <si>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</si>
  <si>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</si>
  <si>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</si>
  <si>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</si>
  <si>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</si>
  <si>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</si>
  <si>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</si>
  <si>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</si>
  <si>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</si>
  <si>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</si>
  <si>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</si>
  <si>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</si>
  <si>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</si>
  <si>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</si>
  <si>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</si>
  <si>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</si>
  <si>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</si>
  <si>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</si>
  <si>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</si>
  <si>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</si>
  <si>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</si>
  <si>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</si>
  <si>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</si>
  <si>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</si>
  <si>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</si>
  <si>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</si>
  <si>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</si>
  <si>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</si>
  <si>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</si>
  <si>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</si>
  <si>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</si>
  <si>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</si>
  <si>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</si>
  <si>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</si>
  <si>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</si>
  <si>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</si>
  <si>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</si>
  <si>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</si>
  <si>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</si>
  <si>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</si>
  <si>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</si>
  <si>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</si>
  <si>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</si>
  <si>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</si>
  <si>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</si>
  <si>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</si>
  <si>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</si>
  <si>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</si>
  <si>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</si>
  <si>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</si>
  <si>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</si>
  <si>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Rows 67-81</t>
  </si>
  <si>
    <t>Row 93</t>
  </si>
  <si>
    <t>Row 107</t>
  </si>
  <si>
    <t>Added - Informational - Ending Balances</t>
  </si>
  <si>
    <t>Row 2</t>
  </si>
  <si>
    <t>Row 3</t>
  </si>
  <si>
    <t>When compiling information from the lessee templates, distinguish between Proprietary ISF and Proprietary EF funds.</t>
  </si>
  <si>
    <t>Added - Proprietary EF Table</t>
  </si>
  <si>
    <t>A third table was added to distinguish between Proprietary ISF and Proprietary EF fund types.</t>
  </si>
  <si>
    <t>The instructions were revised to inform that that there are now three tables, instead of two, on this worksheet to complete. The previous "Proprietary Funds" table was spilt into a "Proprietary - ISF" table and "Proprietary - EF" table.</t>
  </si>
  <si>
    <t>Revised - Column D</t>
  </si>
  <si>
    <t>Column D</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</si>
  <si>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</si>
  <si>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</si>
  <si>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</si>
  <si>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</si>
  <si>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</si>
  <si>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</si>
  <si>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</si>
  <si>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</si>
  <si>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</si>
  <si>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</si>
  <si>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</si>
  <si>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</si>
  <si>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</si>
  <si>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</si>
  <si>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</si>
  <si>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</si>
  <si>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</si>
  <si>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</si>
  <si>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</si>
  <si>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</si>
  <si>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</si>
  <si>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</si>
  <si>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</si>
  <si>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</si>
  <si>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</si>
  <si>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</si>
  <si>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</si>
  <si>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</si>
  <si>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</si>
  <si>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</si>
  <si>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</si>
  <si>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</si>
  <si>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</si>
  <si>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</si>
  <si>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</si>
  <si>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</si>
  <si>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</si>
  <si>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</si>
  <si>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</si>
  <si>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</si>
  <si>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</si>
  <si>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</si>
  <si>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</si>
  <si>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</si>
  <si>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</si>
  <si>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</si>
  <si>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</si>
  <si>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</si>
  <si>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</si>
  <si>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</si>
  <si>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</si>
  <si>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</si>
  <si>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</si>
  <si>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</si>
  <si>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</si>
  <si>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</si>
  <si>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</si>
  <si>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</si>
  <si>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</si>
  <si>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</si>
  <si>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</si>
  <si>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</si>
  <si>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</si>
  <si>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</si>
  <si>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</si>
  <si>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</si>
  <si>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</si>
  <si>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</si>
  <si>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</si>
  <si>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</si>
  <si>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</si>
  <si>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</si>
  <si>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</si>
  <si>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</si>
  <si>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</si>
  <si>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</si>
  <si>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</si>
  <si>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</si>
  <si>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Department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</si>
</sst>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sz val="11"/>
      <color rgb="FF000000"/>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6">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168" fontId="56" fillId="2" borderId="0" xfId="1" applyNumberFormat="1" applyFont="1" applyFill="1" applyProtection="1">
      <protection locked="0"/>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pageSetUpPr fitToPage="1"/>
  </sheetPr>
  <dimension ref="A1:S193"/>
  <sheetViews>
    <sheetView zoomScale="70" zoomScaleNormal="70" workbookViewId="0">
      <selection activeCell="P31" sqref="P3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1</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17257410</v>
      </c>
      <c r="M17" s="196">
        <v>17257410</v>
      </c>
      <c r="P17" s="196">
        <v>15686432</v>
      </c>
      <c r="Q17" s="224"/>
      <c r="S17" s="223">
        <f t="shared" si="0"/>
        <v>-1570978</v>
      </c>
    </row>
    <row r="18" spans="1:19" ht="16.5" customHeight="1" x14ac:dyDescent="0.25">
      <c r="A18" s="99"/>
      <c r="B18" s="26" t="s">
        <v>179</v>
      </c>
      <c r="C18" s="26"/>
      <c r="D18" s="26"/>
      <c r="E18" s="193"/>
      <c r="F18" s="194"/>
      <c r="G18" s="194"/>
      <c r="H18" s="195"/>
      <c r="I18" s="195"/>
      <c r="J18" s="248">
        <f>P18</f>
        <v>335074</v>
      </c>
      <c r="M18" s="196">
        <v>384939</v>
      </c>
      <c r="P18" s="221">
        <f>IF(SUM($Q$20:$Q$23)&gt;SUM($P$15:$P$17),SUM($Q$20:$Q$23)-SUM($P$15:$P$17),0)</f>
        <v>335074</v>
      </c>
      <c r="Q18" s="224"/>
      <c r="S18" s="223">
        <f t="shared" si="0"/>
        <v>-49865</v>
      </c>
    </row>
    <row r="19" spans="1:19" ht="16.5" customHeight="1" x14ac:dyDescent="0.25">
      <c r="A19" s="99"/>
      <c r="B19" s="26" t="s">
        <v>180</v>
      </c>
      <c r="C19" s="26"/>
      <c r="D19" s="26"/>
      <c r="E19" s="193"/>
      <c r="F19" s="194"/>
      <c r="G19" s="194"/>
      <c r="H19" s="195"/>
      <c r="I19" s="195"/>
      <c r="J19" s="248">
        <f>IF(SUM($K$20:$K$24)&gt;SUM($J$15:$J$18),SUM($K$20:$K$24)-SUM($J$15:$J$18),0)</f>
        <v>33564</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4886519</v>
      </c>
      <c r="N22" s="196">
        <v>4886519</v>
      </c>
      <c r="P22" s="224"/>
      <c r="Q22" s="196">
        <v>4441687</v>
      </c>
      <c r="S22" s="223">
        <f t="shared" ref="S22:S25" si="1">Q22-N22</f>
        <v>-444832</v>
      </c>
    </row>
    <row r="23" spans="1:19" ht="16.5" customHeight="1" x14ac:dyDescent="0.25">
      <c r="A23" s="234" t="s">
        <v>1698</v>
      </c>
      <c r="B23" s="26"/>
      <c r="C23" s="26" t="s">
        <v>184</v>
      </c>
      <c r="D23" s="26"/>
      <c r="E23" s="193"/>
      <c r="F23" s="194"/>
      <c r="G23" s="194"/>
      <c r="H23" s="195"/>
      <c r="I23" s="195"/>
      <c r="J23" s="213"/>
      <c r="K23" s="248">
        <f>N23</f>
        <v>12739529</v>
      </c>
      <c r="N23" s="196">
        <v>12739529</v>
      </c>
      <c r="P23" s="224"/>
      <c r="Q23" s="196">
        <v>11579819</v>
      </c>
      <c r="S23" s="223">
        <f t="shared" si="1"/>
        <v>-1159710</v>
      </c>
    </row>
    <row r="24" spans="1:19" ht="16.5" customHeight="1" x14ac:dyDescent="0.25">
      <c r="A24" s="99"/>
      <c r="B24" s="26"/>
      <c r="C24" s="26" t="s">
        <v>186</v>
      </c>
      <c r="D24" s="26"/>
      <c r="E24" s="193"/>
      <c r="F24" s="194"/>
      <c r="G24" s="194"/>
      <c r="H24" s="195"/>
      <c r="I24" s="195"/>
      <c r="J24" s="213"/>
      <c r="K24" s="248">
        <f>Q24</f>
        <v>0</v>
      </c>
      <c r="N24" s="196">
        <v>16308</v>
      </c>
      <c r="P24" s="224"/>
      <c r="Q24" s="221">
        <f>IF(SUM($Q$20:$Q$23)&lt;SUM($P$15:$P$17),-SUM($Q$20:$Q$23)+SUM($P$15:$P$17),0)</f>
        <v>0</v>
      </c>
      <c r="S24" s="223">
        <f t="shared" si="1"/>
        <v>-16308</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17626048</v>
      </c>
      <c r="K26" s="155">
        <f>SUM(K15:K25)</f>
        <v>17626048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3997116</v>
      </c>
      <c r="K33" s="197"/>
    </row>
    <row r="34" spans="1:12" ht="16.5" customHeight="1" x14ac:dyDescent="0.25">
      <c r="A34" s="99"/>
      <c r="B34" s="26"/>
      <c r="C34" s="26" t="s">
        <v>1822</v>
      </c>
      <c r="D34" s="193"/>
      <c r="E34" s="193"/>
      <c r="F34" s="194"/>
      <c r="G34" s="194"/>
      <c r="H34" s="195"/>
      <c r="I34" s="195"/>
      <c r="J34" s="197"/>
      <c r="K34" s="196">
        <v>3997116</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3997116</v>
      </c>
      <c r="K36" s="155">
        <f>SUM(K33:K35)</f>
        <v>3997116</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3997116</v>
      </c>
      <c r="K41" s="197"/>
    </row>
    <row r="42" spans="1:12" ht="16.5" customHeight="1" x14ac:dyDescent="0.25">
      <c r="A42" s="99"/>
      <c r="B42" s="26"/>
      <c r="C42" s="26" t="s">
        <v>198</v>
      </c>
      <c r="D42" s="193"/>
      <c r="E42" s="193"/>
      <c r="F42" s="194"/>
      <c r="G42" s="194"/>
      <c r="H42" s="195"/>
      <c r="I42" s="195"/>
      <c r="J42" s="197"/>
      <c r="K42" s="196">
        <v>3997116</v>
      </c>
    </row>
    <row r="43" spans="1:12" ht="16.5" customHeight="1" x14ac:dyDescent="0.25">
      <c r="A43" s="99"/>
      <c r="B43" s="182" t="s">
        <v>1692</v>
      </c>
      <c r="C43" s="43"/>
      <c r="D43" s="43"/>
      <c r="E43" s="43"/>
      <c r="F43" s="44"/>
      <c r="G43" s="44"/>
      <c r="H43" s="45"/>
      <c r="I43" s="45"/>
      <c r="J43" s="155">
        <f>SUM(J39:J42)</f>
        <v>3997116</v>
      </c>
      <c r="K43" s="155">
        <f>SUM(K39:K42)</f>
        <v>3997116</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3997116</v>
      </c>
      <c r="K47" s="197"/>
    </row>
    <row r="48" spans="1:12" ht="16.5" customHeight="1" x14ac:dyDescent="0.25">
      <c r="A48" s="234" t="s">
        <v>1698</v>
      </c>
      <c r="B48" s="26"/>
      <c r="C48" s="26" t="s">
        <v>184</v>
      </c>
      <c r="D48" s="193"/>
      <c r="E48" s="193"/>
      <c r="F48" s="194"/>
      <c r="G48" s="194"/>
      <c r="H48" s="195"/>
      <c r="I48" s="195"/>
      <c r="J48" s="197"/>
      <c r="K48" s="196">
        <v>3997116</v>
      </c>
    </row>
    <row r="49" spans="1:16" ht="16.5" customHeight="1" x14ac:dyDescent="0.25">
      <c r="A49" s="99"/>
      <c r="C49" s="43"/>
      <c r="D49" s="43"/>
      <c r="E49" s="43"/>
      <c r="F49" s="44"/>
      <c r="G49" s="44"/>
      <c r="H49" s="45"/>
      <c r="I49" s="45"/>
      <c r="J49" s="155">
        <f>SUM(J47:J48)</f>
        <v>3997116</v>
      </c>
      <c r="K49" s="155">
        <f>SUM(K47:K48)</f>
        <v>3997116</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2616779</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2616779</v>
      </c>
    </row>
    <row r="59" spans="1:16" ht="16.5" customHeight="1" x14ac:dyDescent="0.25">
      <c r="A59" s="99"/>
      <c r="C59" s="43"/>
      <c r="D59" s="43"/>
      <c r="E59" s="43"/>
      <c r="F59" s="44"/>
      <c r="G59" s="44"/>
      <c r="H59" s="45"/>
      <c r="I59" s="45"/>
      <c r="J59" s="155">
        <f>SUM(J55:J58)</f>
        <v>2616779</v>
      </c>
      <c r="K59" s="155">
        <f>SUM(K55:K58)</f>
        <v>2616779</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2379010</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292371</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2671381</v>
      </c>
    </row>
    <row r="65" spans="1:12" ht="16.5" customHeight="1" x14ac:dyDescent="0.25">
      <c r="A65" s="99"/>
      <c r="C65" s="43"/>
      <c r="D65" s="43"/>
      <c r="E65" s="43"/>
      <c r="F65" s="44"/>
      <c r="G65" s="44"/>
      <c r="H65" s="45"/>
      <c r="I65" s="45"/>
      <c r="J65" s="155">
        <f>SUM(J62:J64)</f>
        <v>2671381</v>
      </c>
      <c r="K65" s="155">
        <f>SUM(K62:K64)</f>
        <v>2671381</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2379010</v>
      </c>
      <c r="K68" s="197"/>
    </row>
    <row r="69" spans="1:12" ht="16.5" customHeight="1" x14ac:dyDescent="0.25">
      <c r="A69" s="99"/>
      <c r="B69" s="26"/>
      <c r="C69" s="26" t="s">
        <v>203</v>
      </c>
      <c r="D69" s="193"/>
      <c r="E69" s="193"/>
      <c r="F69" s="194"/>
      <c r="G69" s="194"/>
      <c r="H69" s="195"/>
      <c r="I69" s="195"/>
      <c r="J69" s="197"/>
      <c r="K69" s="196">
        <v>2379010</v>
      </c>
    </row>
    <row r="70" spans="1:12" ht="16.5" customHeight="1" x14ac:dyDescent="0.25">
      <c r="A70" s="99"/>
      <c r="C70" s="43"/>
      <c r="D70" s="43"/>
      <c r="E70" s="43"/>
      <c r="F70" s="44"/>
      <c r="G70" s="44"/>
      <c r="H70" s="45"/>
      <c r="I70" s="45"/>
      <c r="J70" s="155">
        <f>SUM(J68:J69)</f>
        <v>2379010</v>
      </c>
      <c r="K70" s="155">
        <f>SUM(K68:K69)</f>
        <v>2379010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2435021</v>
      </c>
      <c r="K75" s="197"/>
    </row>
    <row r="76" spans="1:12" ht="16.5" customHeight="1" x14ac:dyDescent="0.25">
      <c r="A76" s="99"/>
      <c r="B76" s="26"/>
      <c r="C76" s="26" t="s">
        <v>211</v>
      </c>
      <c r="D76" s="193"/>
      <c r="E76" s="193"/>
      <c r="F76" s="194"/>
      <c r="G76" s="194"/>
      <c r="H76" s="195"/>
      <c r="I76" s="195"/>
      <c r="J76" s="197"/>
      <c r="K76" s="196">
        <v>2435021</v>
      </c>
    </row>
    <row r="77" spans="1:12" ht="16.5" customHeight="1" x14ac:dyDescent="0.2">
      <c r="A77" s="99"/>
      <c r="B77" s="259" t="s">
        <v>1814</v>
      </c>
      <c r="C77" s="259"/>
      <c r="D77" s="259"/>
      <c r="E77" s="259"/>
      <c r="F77" s="259"/>
      <c r="G77" s="259"/>
      <c r="H77" s="259"/>
      <c r="I77" s="259"/>
      <c r="J77" s="155">
        <f>SUM(J75:J76)</f>
        <v>2435021</v>
      </c>
      <c r="K77" s="155">
        <f>SUM(K75:K76)</f>
        <v>2435021</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955675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955675</v>
      </c>
    </row>
    <row r="91" spans="1:16" ht="16.5" customHeight="1" x14ac:dyDescent="0.25">
      <c r="B91" s="182" t="s">
        <v>1693</v>
      </c>
      <c r="H91" s="37"/>
      <c r="J91" s="156">
        <f>SUM(J85:J90)</f>
        <v>955675</v>
      </c>
      <c r="K91" s="156">
        <f>SUM(K85:K90)</f>
        <v>955675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20298851</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-6547623</v>
      </c>
    </row>
    <row r="128" spans="1:12" ht="16.5" customHeight="1" x14ac:dyDescent="0.25">
      <c r="D128" s="193" t="s">
        <v>1709</v>
      </c>
      <c r="H128" s="37"/>
      <c r="K128" s="238">
        <f>-K23-K48+J68+J75+J96-K113</f>
        <v>-11922614</v>
      </c>
    </row>
    <row r="129" spans="4:11" ht="16.5" customHeight="1" x14ac:dyDescent="0.25">
      <c r="D129" s="193" t="s">
        <v>1710</v>
      </c>
      <c r="H129" s="37"/>
      <c r="K129" s="238">
        <f>-K76</f>
        <v>-2435021</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C57CC-B106-4EB3-AC9A-907F2FB24916}">
  <sheetPr codeName="Sheet5">
    <tabColor rgb="FF00B050"/>
    <pageSetUpPr fitToPage="1"/>
  </sheetPr>
  <dimension ref="A1:S193"/>
  <sheetViews>
    <sheetView topLeftCell="A34" zoomScale="70" zoomScaleNormal="70" workbookViewId="0">
      <selection activeCell="P61" sqref="P6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140</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178425</v>
      </c>
      <c r="M17" s="196">
        <v>178425</v>
      </c>
      <c r="P17" s="196">
        <v>214084</v>
      </c>
      <c r="Q17" s="224"/>
      <c r="S17" s="223">
        <f t="shared" si="0"/>
        <v>35659</v>
      </c>
    </row>
    <row r="18" spans="1:19" ht="16.5" customHeight="1" x14ac:dyDescent="0.25">
      <c r="A18" s="99"/>
      <c r="B18" s="26" t="s">
        <v>179</v>
      </c>
      <c r="C18" s="26"/>
      <c r="D18" s="26"/>
      <c r="E18" s="193"/>
      <c r="F18" s="194"/>
      <c r="G18" s="194"/>
      <c r="H18" s="195"/>
      <c r="I18" s="195"/>
      <c r="J18" s="248">
        <f>P18</f>
        <v>4572</v>
      </c>
      <c r="M18" s="196">
        <v>3980</v>
      </c>
      <c r="P18" s="221">
        <f>IF(SUM($Q$20:$Q$23)&gt;SUM($P$15:$P$17),SUM($Q$20:$Q$23)-SUM($P$15:$P$17),0)</f>
        <v>4572</v>
      </c>
      <c r="Q18" s="224"/>
      <c r="S18" s="223">
        <f t="shared" si="0"/>
        <v>592</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50522</v>
      </c>
      <c r="N22" s="196">
        <v>50522</v>
      </c>
      <c r="P22" s="224"/>
      <c r="Q22" s="196">
        <v>60619</v>
      </c>
      <c r="S22" s="223">
        <f t="shared" ref="S22:S25" si="1">Q22-N22</f>
        <v>10097</v>
      </c>
    </row>
    <row r="23" spans="1:19" ht="16.5" customHeight="1" x14ac:dyDescent="0.25">
      <c r="A23" s="234" t="s">
        <v>1698</v>
      </c>
      <c r="B23" s="26"/>
      <c r="C23" s="26" t="s">
        <v>184</v>
      </c>
      <c r="D23" s="26"/>
      <c r="E23" s="193"/>
      <c r="F23" s="194"/>
      <c r="G23" s="194"/>
      <c r="H23" s="195"/>
      <c r="I23" s="195"/>
      <c r="J23" s="213"/>
      <c r="K23" s="248">
        <f>N23</f>
        <v>131714</v>
      </c>
      <c r="N23" s="196">
        <v>131714</v>
      </c>
      <c r="P23" s="224"/>
      <c r="Q23" s="196">
        <v>158037</v>
      </c>
      <c r="S23" s="223">
        <f t="shared" si="1"/>
        <v>26323</v>
      </c>
    </row>
    <row r="24" spans="1:19" ht="16.5" customHeight="1" x14ac:dyDescent="0.25">
      <c r="A24" s="99"/>
      <c r="B24" s="26"/>
      <c r="C24" s="26" t="s">
        <v>186</v>
      </c>
      <c r="D24" s="26"/>
      <c r="E24" s="193"/>
      <c r="F24" s="194"/>
      <c r="G24" s="194"/>
      <c r="H24" s="195"/>
      <c r="I24" s="195"/>
      <c r="J24" s="213"/>
      <c r="K24" s="248">
        <f>Q24</f>
        <v>0</v>
      </c>
      <c r="N24" s="196">
        <v>169</v>
      </c>
      <c r="P24" s="224"/>
      <c r="Q24" s="221">
        <f>IF(SUM($Q$20:$Q$23)&lt;SUM($P$15:$P$17),-SUM($Q$20:$Q$23)+SUM($P$15:$P$17),0)</f>
        <v>0</v>
      </c>
      <c r="S24" s="223">
        <f t="shared" si="1"/>
        <v>-169</v>
      </c>
    </row>
    <row r="25" spans="1:19" ht="16.5" customHeight="1" x14ac:dyDescent="0.25">
      <c r="A25" s="99"/>
      <c r="B25" s="26"/>
      <c r="C25" s="26" t="s">
        <v>187</v>
      </c>
      <c r="D25" s="26"/>
      <c r="E25" s="193"/>
      <c r="F25" s="194"/>
      <c r="G25" s="194"/>
      <c r="H25" s="195"/>
      <c r="I25" s="195"/>
      <c r="J25" s="213"/>
      <c r="K25" s="248">
        <f>IF(SUM($K$20:$K$24)&lt;SUM($J$15:$J$18),-SUM($K$20:$K$24)+SUM($J$15:$J$18),0)</f>
        <v>761</v>
      </c>
      <c r="N25" s="196">
        <v>0</v>
      </c>
      <c r="P25" s="224"/>
      <c r="Q25" s="224"/>
      <c r="S25" s="223">
        <f t="shared" si="1"/>
        <v>0</v>
      </c>
    </row>
    <row r="26" spans="1:19" ht="16.5" customHeight="1" x14ac:dyDescent="0.25">
      <c r="A26" s="99"/>
      <c r="C26" s="47"/>
      <c r="D26" s="47"/>
      <c r="E26" s="47"/>
      <c r="F26" s="179"/>
      <c r="G26" s="179"/>
      <c r="H26" s="49"/>
      <c r="I26" s="49"/>
      <c r="J26" s="155">
        <f>SUM(J15:J25)</f>
        <v>182997</v>
      </c>
      <c r="K26" s="155">
        <f>SUM(K15:K25)</f>
        <v>182997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41326</v>
      </c>
      <c r="K33" s="197"/>
    </row>
    <row r="34" spans="1:12" ht="16.5" customHeight="1" x14ac:dyDescent="0.25">
      <c r="A34" s="99"/>
      <c r="B34" s="26"/>
      <c r="C34" s="26" t="s">
        <v>1822</v>
      </c>
      <c r="D34" s="193"/>
      <c r="E34" s="193"/>
      <c r="F34" s="194"/>
      <c r="G34" s="194"/>
      <c r="H34" s="195"/>
      <c r="I34" s="195"/>
      <c r="J34" s="197"/>
      <c r="K34" s="196">
        <v>41326</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41326</v>
      </c>
      <c r="K36" s="155">
        <f>SUM(K33:K35)</f>
        <v>41326</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41326</v>
      </c>
      <c r="K41" s="197"/>
    </row>
    <row r="42" spans="1:12" ht="16.5" customHeight="1" x14ac:dyDescent="0.25">
      <c r="A42" s="99"/>
      <c r="B42" s="26"/>
      <c r="C42" s="26" t="s">
        <v>198</v>
      </c>
      <c r="D42" s="193"/>
      <c r="E42" s="193"/>
      <c r="F42" s="194"/>
      <c r="G42" s="194"/>
      <c r="H42" s="195"/>
      <c r="I42" s="195"/>
      <c r="J42" s="197"/>
      <c r="K42" s="196">
        <v>41326</v>
      </c>
    </row>
    <row r="43" spans="1:12" ht="16.5" customHeight="1" x14ac:dyDescent="0.25">
      <c r="A43" s="99"/>
      <c r="B43" s="182" t="s">
        <v>1692</v>
      </c>
      <c r="C43" s="43"/>
      <c r="D43" s="43"/>
      <c r="E43" s="43"/>
      <c r="F43" s="44"/>
      <c r="G43" s="44"/>
      <c r="H43" s="45"/>
      <c r="I43" s="45"/>
      <c r="J43" s="155">
        <f>SUM(J39:J42)</f>
        <v>41326</v>
      </c>
      <c r="K43" s="155">
        <f>SUM(K39:K42)</f>
        <v>41326</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41326</v>
      </c>
      <c r="K47" s="197"/>
    </row>
    <row r="48" spans="1:12" ht="16.5" customHeight="1" x14ac:dyDescent="0.25">
      <c r="A48" s="234" t="s">
        <v>1698</v>
      </c>
      <c r="B48" s="26"/>
      <c r="C48" s="26" t="s">
        <v>184</v>
      </c>
      <c r="D48" s="193"/>
      <c r="E48" s="193"/>
      <c r="F48" s="194"/>
      <c r="G48" s="194"/>
      <c r="H48" s="195"/>
      <c r="I48" s="195"/>
      <c r="J48" s="197"/>
      <c r="K48" s="196">
        <v>41326</v>
      </c>
    </row>
    <row r="49" spans="1:16" ht="16.5" customHeight="1" x14ac:dyDescent="0.25">
      <c r="A49" s="99"/>
      <c r="C49" s="43"/>
      <c r="D49" s="43"/>
      <c r="E49" s="43"/>
      <c r="F49" s="44"/>
      <c r="G49" s="44"/>
      <c r="H49" s="45"/>
      <c r="I49" s="45"/>
      <c r="J49" s="155">
        <f>SUM(J47:J48)</f>
        <v>41326</v>
      </c>
      <c r="K49" s="155">
        <f>SUM(K47:K48)</f>
        <v>41326</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27055</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27055</v>
      </c>
    </row>
    <row r="59" spans="1:16" ht="16.5" customHeight="1" x14ac:dyDescent="0.25">
      <c r="A59" s="99"/>
      <c r="C59" s="43"/>
      <c r="D59" s="43"/>
      <c r="E59" s="43"/>
      <c r="F59" s="44"/>
      <c r="G59" s="44"/>
      <c r="H59" s="45"/>
      <c r="I59" s="45"/>
      <c r="J59" s="155">
        <f>SUM(J55:J58)</f>
        <v>27055</v>
      </c>
      <c r="K59" s="155">
        <f>SUM(K55:K58)</f>
        <v>27055</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24596.65</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3022.83</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27619</v>
      </c>
    </row>
    <row r="65" spans="1:12" ht="16.5" customHeight="1" x14ac:dyDescent="0.25">
      <c r="A65" s="99"/>
      <c r="C65" s="43"/>
      <c r="D65" s="43"/>
      <c r="E65" s="43"/>
      <c r="F65" s="44"/>
      <c r="G65" s="44"/>
      <c r="H65" s="45"/>
      <c r="I65" s="45"/>
      <c r="J65" s="155">
        <f>SUM(J62:J64)</f>
        <v>27619.480000000003</v>
      </c>
      <c r="K65" s="155">
        <f>SUM(K62:K64)</f>
        <v>27619</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24597</v>
      </c>
      <c r="K68" s="197"/>
    </row>
    <row r="69" spans="1:12" ht="16.5" customHeight="1" x14ac:dyDescent="0.25">
      <c r="A69" s="99"/>
      <c r="B69" s="26"/>
      <c r="C69" s="26" t="s">
        <v>203</v>
      </c>
      <c r="D69" s="193"/>
      <c r="E69" s="193"/>
      <c r="F69" s="194"/>
      <c r="G69" s="194"/>
      <c r="H69" s="195"/>
      <c r="I69" s="195"/>
      <c r="J69" s="197"/>
      <c r="K69" s="196">
        <v>24597</v>
      </c>
    </row>
    <row r="70" spans="1:12" ht="16.5" customHeight="1" x14ac:dyDescent="0.25">
      <c r="A70" s="99"/>
      <c r="C70" s="43"/>
      <c r="D70" s="43"/>
      <c r="E70" s="43"/>
      <c r="F70" s="44"/>
      <c r="G70" s="44"/>
      <c r="H70" s="45"/>
      <c r="I70" s="45"/>
      <c r="J70" s="155">
        <f>SUM(J68:J69)</f>
        <v>24597</v>
      </c>
      <c r="K70" s="155">
        <f>SUM(K68:K69)</f>
        <v>24597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25176</v>
      </c>
      <c r="K75" s="197"/>
    </row>
    <row r="76" spans="1:12" ht="16.5" customHeight="1" x14ac:dyDescent="0.25">
      <c r="A76" s="99"/>
      <c r="B76" s="26"/>
      <c r="C76" s="26" t="s">
        <v>211</v>
      </c>
      <c r="D76" s="193"/>
      <c r="E76" s="193"/>
      <c r="F76" s="194"/>
      <c r="G76" s="194"/>
      <c r="H76" s="195"/>
      <c r="I76" s="195"/>
      <c r="J76" s="197"/>
      <c r="K76" s="196">
        <v>25176</v>
      </c>
    </row>
    <row r="77" spans="1:12" ht="16.5" customHeight="1" x14ac:dyDescent="0.2">
      <c r="A77" s="99"/>
      <c r="B77" s="259" t="s">
        <v>1814</v>
      </c>
      <c r="C77" s="259"/>
      <c r="D77" s="259"/>
      <c r="E77" s="259"/>
      <c r="F77" s="259"/>
      <c r="G77" s="259"/>
      <c r="H77" s="259"/>
      <c r="I77" s="259"/>
      <c r="J77" s="155">
        <f>SUM(J75:J76)</f>
        <v>25176</v>
      </c>
      <c r="K77" s="155">
        <f>SUM(K75:K76)</f>
        <v>25176</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9881</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9881</v>
      </c>
    </row>
    <row r="91" spans="1:16" ht="16.5" customHeight="1" x14ac:dyDescent="0.25">
      <c r="B91" s="182" t="s">
        <v>1693</v>
      </c>
      <c r="H91" s="37"/>
      <c r="J91" s="156">
        <f>SUM(J85:J90)</f>
        <v>9881</v>
      </c>
      <c r="K91" s="156">
        <f>SUM(K85:K90)</f>
        <v>9881</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209870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-67696</v>
      </c>
    </row>
    <row r="128" spans="1:12" ht="16.5" customHeight="1" x14ac:dyDescent="0.25">
      <c r="D128" s="193" t="s">
        <v>1709</v>
      </c>
      <c r="H128" s="37"/>
      <c r="K128" s="238">
        <f>-K23-K48+J68+J75+J96-K113</f>
        <v>-123267</v>
      </c>
    </row>
    <row r="129" spans="4:11" ht="16.5" customHeight="1" x14ac:dyDescent="0.25">
      <c r="D129" s="193" t="s">
        <v>1710</v>
      </c>
      <c r="H129" s="37"/>
      <c r="K129" s="238">
        <f>-K76</f>
        <v>-25176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508D0017-E302-4F7C-A1A4-B3B3E9CD760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01A1823-329F-49BE-919D-33126BDAD5F6}">
      <formula1>0</formula1>
    </dataValidation>
    <dataValidation operator="lessThan" allowBlank="1" showInputMessage="1" showErrorMessage="1" sqref="A3:A8" xr:uid="{6A939125-AA6E-4B90-9D1F-95C48B048964}"/>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50D07E0-0A0F-45F1-8E8B-3B4044942CDF}">
          <x14:formula1>
            <xm:f>'Drop Down Menus'!$E$1:$E$3</xm:f>
          </x14:formula1>
          <xm:sqref>F8</xm:sqref>
        </x14:dataValidation>
        <x14:dataValidation type="list" allowBlank="1" showInputMessage="1" showErrorMessage="1" xr:uid="{016CBC2A-BF06-4FB7-A72F-9C8BDC9919D9}">
          <x14:formula1>
            <xm:f>'Drop Down Menus'!$B$1:$B$2</xm:f>
          </x14:formula1>
          <xm:sqref>F7</xm:sqref>
        </x14:dataValidation>
        <x14:dataValidation type="list" allowBlank="1" showInputMessage="1" showErrorMessage="1" xr:uid="{7F7A04D7-061C-4E2E-BA9E-C8A3839E6AC8}">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420C-B05C-44D2-B70A-1E17C3E041C9}">
  <sheetPr codeName="Sheet6">
    <tabColor rgb="FF00B050"/>
    <pageSetUpPr fitToPage="1"/>
  </sheetPr>
  <dimension ref="A1:S193"/>
  <sheetViews>
    <sheetView topLeftCell="A47" zoomScale="70" zoomScaleNormal="70" workbookViewId="0">
      <selection activeCell="P17" sqref="P1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465</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337883</v>
      </c>
      <c r="M17" s="196">
        <v>337883</v>
      </c>
      <c r="P17" s="196">
        <v>408703</v>
      </c>
      <c r="Q17" s="224"/>
      <c r="S17" s="223">
        <f t="shared" si="0"/>
        <v>70820</v>
      </c>
    </row>
    <row r="18" spans="1:19" ht="16.5" customHeight="1" x14ac:dyDescent="0.25">
      <c r="A18" s="99"/>
      <c r="B18" s="26" t="s">
        <v>179</v>
      </c>
      <c r="C18" s="26"/>
      <c r="D18" s="26"/>
      <c r="E18" s="193"/>
      <c r="F18" s="194"/>
      <c r="G18" s="194"/>
      <c r="H18" s="195"/>
      <c r="I18" s="195"/>
      <c r="J18" s="248">
        <f>P18</f>
        <v>8731</v>
      </c>
      <c r="M18" s="196">
        <v>7537</v>
      </c>
      <c r="P18" s="221">
        <f>IF(SUM($Q$20:$Q$23)&gt;SUM($P$15:$P$17),SUM($Q$20:$Q$23)-SUM($P$15:$P$17),0)</f>
        <v>8731</v>
      </c>
      <c r="Q18" s="224"/>
      <c r="S18" s="223">
        <f t="shared" si="0"/>
        <v>1194</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95673</v>
      </c>
      <c r="N22" s="196">
        <v>95673</v>
      </c>
      <c r="P22" s="224"/>
      <c r="Q22" s="196">
        <v>115727</v>
      </c>
      <c r="S22" s="223">
        <f t="shared" ref="S22:S25" si="1">Q22-N22</f>
        <v>20054</v>
      </c>
    </row>
    <row r="23" spans="1:19" ht="16.5" customHeight="1" x14ac:dyDescent="0.25">
      <c r="A23" s="234" t="s">
        <v>1698</v>
      </c>
      <c r="B23" s="26"/>
      <c r="C23" s="26" t="s">
        <v>184</v>
      </c>
      <c r="D23" s="26"/>
      <c r="E23" s="193"/>
      <c r="F23" s="194"/>
      <c r="G23" s="194"/>
      <c r="H23" s="195"/>
      <c r="I23" s="195"/>
      <c r="J23" s="213"/>
      <c r="K23" s="248">
        <f>N23</f>
        <v>249427</v>
      </c>
      <c r="N23" s="196">
        <v>249427</v>
      </c>
      <c r="P23" s="224"/>
      <c r="Q23" s="196">
        <v>301707</v>
      </c>
      <c r="S23" s="223">
        <f t="shared" si="1"/>
        <v>52280</v>
      </c>
    </row>
    <row r="24" spans="1:19" ht="16.5" customHeight="1" x14ac:dyDescent="0.25">
      <c r="A24" s="99"/>
      <c r="B24" s="26"/>
      <c r="C24" s="26" t="s">
        <v>186</v>
      </c>
      <c r="D24" s="26"/>
      <c r="E24" s="193"/>
      <c r="F24" s="194"/>
      <c r="G24" s="194"/>
      <c r="H24" s="195"/>
      <c r="I24" s="195"/>
      <c r="J24" s="213"/>
      <c r="K24" s="248">
        <f>Q24</f>
        <v>0</v>
      </c>
      <c r="N24" s="196">
        <v>319</v>
      </c>
      <c r="P24" s="224"/>
      <c r="Q24" s="221">
        <f>IF(SUM($Q$20:$Q$23)&lt;SUM($P$15:$P$17),-SUM($Q$20:$Q$23)+SUM($P$15:$P$17),0)</f>
        <v>0</v>
      </c>
      <c r="S24" s="223">
        <f t="shared" si="1"/>
        <v>-319</v>
      </c>
    </row>
    <row r="25" spans="1:19" ht="16.5" customHeight="1" x14ac:dyDescent="0.25">
      <c r="A25" s="99"/>
      <c r="B25" s="26"/>
      <c r="C25" s="26" t="s">
        <v>187</v>
      </c>
      <c r="D25" s="26"/>
      <c r="E25" s="193"/>
      <c r="F25" s="194"/>
      <c r="G25" s="194"/>
      <c r="H25" s="195"/>
      <c r="I25" s="195"/>
      <c r="J25" s="213"/>
      <c r="K25" s="248">
        <f>IF(SUM($K$20:$K$24)&lt;SUM($J$15:$J$18),-SUM($K$20:$K$24)+SUM($J$15:$J$18),0)</f>
        <v>1514</v>
      </c>
      <c r="N25" s="196">
        <v>0</v>
      </c>
      <c r="P25" s="224"/>
      <c r="Q25" s="224"/>
      <c r="S25" s="223">
        <f t="shared" si="1"/>
        <v>0</v>
      </c>
    </row>
    <row r="26" spans="1:19" ht="16.5" customHeight="1" x14ac:dyDescent="0.25">
      <c r="A26" s="99"/>
      <c r="C26" s="47"/>
      <c r="D26" s="47"/>
      <c r="E26" s="47"/>
      <c r="F26" s="179"/>
      <c r="G26" s="179"/>
      <c r="H26" s="49"/>
      <c r="I26" s="49"/>
      <c r="J26" s="155">
        <f>SUM(J15:J25)</f>
        <v>346614</v>
      </c>
      <c r="K26" s="155">
        <f>SUM(K15:K25)</f>
        <v>346614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78260</v>
      </c>
      <c r="K33" s="197"/>
    </row>
    <row r="34" spans="1:12" ht="16.5" customHeight="1" x14ac:dyDescent="0.25">
      <c r="A34" s="99"/>
      <c r="B34" s="26"/>
      <c r="C34" s="26" t="s">
        <v>1822</v>
      </c>
      <c r="D34" s="193"/>
      <c r="E34" s="193"/>
      <c r="F34" s="194"/>
      <c r="G34" s="194"/>
      <c r="H34" s="195"/>
      <c r="I34" s="195"/>
      <c r="J34" s="197"/>
      <c r="K34" s="196">
        <v>78260</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78260</v>
      </c>
      <c r="K36" s="155">
        <f>SUM(K33:K35)</f>
        <v>78260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78260</v>
      </c>
      <c r="K41" s="197"/>
    </row>
    <row r="42" spans="1:12" ht="16.5" customHeight="1" x14ac:dyDescent="0.25">
      <c r="A42" s="99"/>
      <c r="B42" s="26"/>
      <c r="C42" s="26" t="s">
        <v>198</v>
      </c>
      <c r="D42" s="193"/>
      <c r="E42" s="193"/>
      <c r="F42" s="194"/>
      <c r="G42" s="194"/>
      <c r="H42" s="195"/>
      <c r="I42" s="195"/>
      <c r="J42" s="197"/>
      <c r="K42" s="196">
        <v>78260</v>
      </c>
    </row>
    <row r="43" spans="1:12" ht="16.5" customHeight="1" x14ac:dyDescent="0.25">
      <c r="A43" s="99"/>
      <c r="B43" s="182" t="s">
        <v>1692</v>
      </c>
      <c r="C43" s="43"/>
      <c r="D43" s="43"/>
      <c r="E43" s="43"/>
      <c r="F43" s="44"/>
      <c r="G43" s="44"/>
      <c r="H43" s="45"/>
      <c r="I43" s="45"/>
      <c r="J43" s="155">
        <f>SUM(J39:J42)</f>
        <v>78260</v>
      </c>
      <c r="K43" s="155">
        <f>SUM(K39:K42)</f>
        <v>78260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78260</v>
      </c>
      <c r="K47" s="197"/>
    </row>
    <row r="48" spans="1:12" ht="16.5" customHeight="1" x14ac:dyDescent="0.25">
      <c r="A48" s="234" t="s">
        <v>1698</v>
      </c>
      <c r="B48" s="26"/>
      <c r="C48" s="26" t="s">
        <v>184</v>
      </c>
      <c r="D48" s="193"/>
      <c r="E48" s="193"/>
      <c r="F48" s="194"/>
      <c r="G48" s="194"/>
      <c r="H48" s="195"/>
      <c r="I48" s="195"/>
      <c r="J48" s="197"/>
      <c r="K48" s="196">
        <v>78260</v>
      </c>
    </row>
    <row r="49" spans="1:16" ht="16.5" customHeight="1" x14ac:dyDescent="0.25">
      <c r="A49" s="99"/>
      <c r="C49" s="43"/>
      <c r="D49" s="43"/>
      <c r="E49" s="43"/>
      <c r="F49" s="44"/>
      <c r="G49" s="44"/>
      <c r="H49" s="45"/>
      <c r="I49" s="45"/>
      <c r="J49" s="155">
        <f>SUM(J47:J48)</f>
        <v>78260</v>
      </c>
      <c r="K49" s="155">
        <f>SUM(K47:K48)</f>
        <v>78260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51234</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51234</v>
      </c>
    </row>
    <row r="59" spans="1:16" ht="16.5" customHeight="1" x14ac:dyDescent="0.25">
      <c r="A59" s="99"/>
      <c r="C59" s="43"/>
      <c r="D59" s="43"/>
      <c r="E59" s="43"/>
      <c r="F59" s="44"/>
      <c r="G59" s="44"/>
      <c r="H59" s="45"/>
      <c r="I59" s="45"/>
      <c r="J59" s="155">
        <f>SUM(J55:J58)</f>
        <v>51234</v>
      </c>
      <c r="K59" s="155">
        <f>SUM(K55:K58)</f>
        <v>51234</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46578.69</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5724.33</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52303</v>
      </c>
    </row>
    <row r="65" spans="1:12" ht="16.5" customHeight="1" x14ac:dyDescent="0.25">
      <c r="A65" s="99"/>
      <c r="C65" s="43"/>
      <c r="D65" s="43"/>
      <c r="E65" s="43"/>
      <c r="F65" s="44"/>
      <c r="G65" s="44"/>
      <c r="H65" s="45"/>
      <c r="I65" s="45"/>
      <c r="J65" s="155">
        <f>SUM(J62:J64)</f>
        <v>52303.020000000004</v>
      </c>
      <c r="K65" s="155">
        <f>SUM(K62:K64)</f>
        <v>52303</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46579</v>
      </c>
      <c r="K68" s="197"/>
    </row>
    <row r="69" spans="1:12" ht="16.5" customHeight="1" x14ac:dyDescent="0.25">
      <c r="A69" s="99"/>
      <c r="B69" s="26"/>
      <c r="C69" s="26" t="s">
        <v>203</v>
      </c>
      <c r="D69" s="193"/>
      <c r="E69" s="193"/>
      <c r="F69" s="194"/>
      <c r="G69" s="194"/>
      <c r="H69" s="195"/>
      <c r="I69" s="195"/>
      <c r="J69" s="197"/>
      <c r="K69" s="196">
        <v>46579</v>
      </c>
    </row>
    <row r="70" spans="1:12" ht="16.5" customHeight="1" x14ac:dyDescent="0.25">
      <c r="A70" s="99"/>
      <c r="C70" s="43"/>
      <c r="D70" s="43"/>
      <c r="E70" s="43"/>
      <c r="F70" s="44"/>
      <c r="G70" s="44"/>
      <c r="H70" s="45"/>
      <c r="I70" s="45"/>
      <c r="J70" s="155">
        <f>SUM(J68:J69)</f>
        <v>46579</v>
      </c>
      <c r="K70" s="155">
        <f>SUM(K68:K69)</f>
        <v>46579</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47675</v>
      </c>
      <c r="K75" s="197"/>
    </row>
    <row r="76" spans="1:12" ht="16.5" customHeight="1" x14ac:dyDescent="0.25">
      <c r="A76" s="99"/>
      <c r="B76" s="26"/>
      <c r="C76" s="26" t="s">
        <v>211</v>
      </c>
      <c r="D76" s="193"/>
      <c r="E76" s="193"/>
      <c r="F76" s="194"/>
      <c r="G76" s="194"/>
      <c r="H76" s="195"/>
      <c r="I76" s="195"/>
      <c r="J76" s="197"/>
      <c r="K76" s="196">
        <v>47675</v>
      </c>
    </row>
    <row r="77" spans="1:12" ht="16.5" customHeight="1" x14ac:dyDescent="0.2">
      <c r="A77" s="99"/>
      <c r="B77" s="259" t="s">
        <v>1814</v>
      </c>
      <c r="C77" s="259"/>
      <c r="D77" s="259"/>
      <c r="E77" s="259"/>
      <c r="F77" s="259"/>
      <c r="G77" s="259"/>
      <c r="H77" s="259"/>
      <c r="I77" s="259"/>
      <c r="J77" s="155">
        <f>SUM(J75:J76)</f>
        <v>47675</v>
      </c>
      <c r="K77" s="155">
        <f>SUM(K75:K76)</f>
        <v>47675</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18711</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18711</v>
      </c>
    </row>
    <row r="91" spans="1:16" ht="16.5" customHeight="1" x14ac:dyDescent="0.25">
      <c r="B91" s="182" t="s">
        <v>1693</v>
      </c>
      <c r="H91" s="37"/>
      <c r="J91" s="156">
        <f>SUM(J85:J90)</f>
        <v>18711</v>
      </c>
      <c r="K91" s="156">
        <f>SUM(K85:K90)</f>
        <v>18711</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397432</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-128196</v>
      </c>
    </row>
    <row r="128" spans="1:12" ht="16.5" customHeight="1" x14ac:dyDescent="0.25">
      <c r="D128" s="193" t="s">
        <v>1709</v>
      </c>
      <c r="H128" s="37"/>
      <c r="K128" s="238">
        <f>-K23-K48+J68+J75+J96-K113</f>
        <v>-233433</v>
      </c>
    </row>
    <row r="129" spans="4:11" ht="16.5" customHeight="1" x14ac:dyDescent="0.25">
      <c r="D129" s="193" t="s">
        <v>1710</v>
      </c>
      <c r="H129" s="37"/>
      <c r="K129" s="238">
        <f>-K76</f>
        <v>-47675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9FB0F477-FCCE-4AFE-8FAF-3BC9C5E90FB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1521BB-44CD-41BB-984D-1BB3143030A4}">
      <formula1>0</formula1>
    </dataValidation>
    <dataValidation operator="lessThan" allowBlank="1" showInputMessage="1" showErrorMessage="1" sqref="A3:A8" xr:uid="{C8CAEF70-86F4-4690-B2BE-4C6273368202}"/>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A867932-3E72-4BDF-A06E-5B683E652507}">
          <x14:formula1>
            <xm:f>'Drop Down Menus'!$E$1:$E$3</xm:f>
          </x14:formula1>
          <xm:sqref>F8</xm:sqref>
        </x14:dataValidation>
        <x14:dataValidation type="list" allowBlank="1" showInputMessage="1" showErrorMessage="1" xr:uid="{77D013B9-5D97-458F-92B4-0F56D1B1F79D}">
          <x14:formula1>
            <xm:f>'Drop Down Menus'!$B$1:$B$2</xm:f>
          </x14:formula1>
          <xm:sqref>F7</xm:sqref>
        </x14:dataValidation>
        <x14:dataValidation type="list" allowBlank="1" showInputMessage="1" showErrorMessage="1" xr:uid="{158181A2-CD48-4E55-B895-F5CE8AD22415}">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ED9F-CB88-4695-9BF1-B8DD1D9A2AFE}">
  <sheetPr>
    <tabColor rgb="FF00B050"/>
    <pageSetUpPr fitToPage="1"/>
  </sheetPr>
  <dimension ref="A1:S193"/>
  <sheetViews>
    <sheetView topLeftCell="A37" zoomScale="70" zoomScaleNormal="70" workbookViewId="0">
      <selection activeCell="Q30" sqref="Q30:T3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545</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12862</v>
      </c>
      <c r="M17" s="196">
        <v>12862</v>
      </c>
      <c r="P17" s="250">
        <v>0</v>
      </c>
      <c r="Q17" s="224"/>
      <c r="S17" s="223">
        <f t="shared" si="0"/>
        <v>-12862</v>
      </c>
    </row>
    <row r="18" spans="1:19" ht="16.5" customHeight="1" x14ac:dyDescent="0.25">
      <c r="A18" s="99"/>
      <c r="B18" s="26" t="s">
        <v>179</v>
      </c>
      <c r="C18" s="26"/>
      <c r="D18" s="26"/>
      <c r="E18" s="193"/>
      <c r="F18" s="194"/>
      <c r="G18" s="194"/>
      <c r="H18" s="195"/>
      <c r="I18" s="195"/>
      <c r="J18" s="248">
        <f>P18</f>
        <v>0</v>
      </c>
      <c r="M18" s="196">
        <v>287</v>
      </c>
      <c r="P18" s="221">
        <f>IF(SUM($Q$20:$Q$23)&gt;SUM($P$15:$P$17),SUM($Q$20:$Q$23)-SUM($P$15:$P$17),0)</f>
        <v>0</v>
      </c>
      <c r="Q18" s="224"/>
      <c r="S18" s="223">
        <f t="shared" si="0"/>
        <v>-287</v>
      </c>
    </row>
    <row r="19" spans="1:19" ht="16.5" customHeight="1" x14ac:dyDescent="0.25">
      <c r="A19" s="99"/>
      <c r="B19" s="26" t="s">
        <v>180</v>
      </c>
      <c r="C19" s="26"/>
      <c r="D19" s="26"/>
      <c r="E19" s="193"/>
      <c r="F19" s="194"/>
      <c r="G19" s="194"/>
      <c r="H19" s="195"/>
      <c r="I19" s="195"/>
      <c r="J19" s="248">
        <f>IF(SUM($K$20:$K$24)&gt;SUM($J$15:$J$18),SUM($K$20:$K$24)-SUM($J$15:$J$18),0)</f>
        <v>275</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3642</v>
      </c>
      <c r="N22" s="196">
        <v>3642</v>
      </c>
      <c r="P22" s="224"/>
      <c r="Q22" s="250">
        <v>0</v>
      </c>
      <c r="S22" s="223">
        <f t="shared" ref="S22:S25" si="1">Q22-N22</f>
        <v>-3642</v>
      </c>
    </row>
    <row r="23" spans="1:19" ht="16.5" customHeight="1" x14ac:dyDescent="0.25">
      <c r="A23" s="234" t="s">
        <v>1698</v>
      </c>
      <c r="B23" s="26"/>
      <c r="C23" s="26" t="s">
        <v>184</v>
      </c>
      <c r="D23" s="26"/>
      <c r="E23" s="193"/>
      <c r="F23" s="194"/>
      <c r="G23" s="194"/>
      <c r="H23" s="195"/>
      <c r="I23" s="195"/>
      <c r="J23" s="213"/>
      <c r="K23" s="248">
        <f>N23</f>
        <v>9495</v>
      </c>
      <c r="N23" s="196">
        <v>9495</v>
      </c>
      <c r="P23" s="224"/>
      <c r="Q23" s="250">
        <v>0</v>
      </c>
      <c r="S23" s="223">
        <f t="shared" si="1"/>
        <v>-9495</v>
      </c>
    </row>
    <row r="24" spans="1:19" ht="16.5" customHeight="1" x14ac:dyDescent="0.25">
      <c r="A24" s="99"/>
      <c r="B24" s="26"/>
      <c r="C24" s="26" t="s">
        <v>186</v>
      </c>
      <c r="D24" s="26"/>
      <c r="E24" s="193"/>
      <c r="F24" s="194"/>
      <c r="G24" s="194"/>
      <c r="H24" s="195"/>
      <c r="I24" s="195"/>
      <c r="J24" s="213"/>
      <c r="K24" s="248">
        <f>Q24</f>
        <v>0</v>
      </c>
      <c r="N24" s="196">
        <v>12</v>
      </c>
      <c r="P24" s="224"/>
      <c r="Q24" s="221">
        <f>IF(SUM($Q$20:$Q$23)&lt;SUM($P$15:$P$17),-SUM($Q$20:$Q$23)+SUM($P$15:$P$17),0)</f>
        <v>0</v>
      </c>
      <c r="S24" s="223">
        <f t="shared" si="1"/>
        <v>-12</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13137</v>
      </c>
      <c r="K26" s="155">
        <f>SUM(K15:K25)</f>
        <v>13137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2979</v>
      </c>
      <c r="K33" s="197"/>
    </row>
    <row r="34" spans="1:12" ht="16.5" customHeight="1" x14ac:dyDescent="0.25">
      <c r="A34" s="99"/>
      <c r="B34" s="26"/>
      <c r="C34" s="26" t="s">
        <v>1822</v>
      </c>
      <c r="D34" s="193"/>
      <c r="E34" s="193"/>
      <c r="F34" s="194"/>
      <c r="G34" s="194"/>
      <c r="H34" s="195"/>
      <c r="I34" s="195"/>
      <c r="J34" s="197"/>
      <c r="K34" s="196">
        <v>2979</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2979</v>
      </c>
      <c r="K36" s="155">
        <f>SUM(K33:K35)</f>
        <v>2979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2979</v>
      </c>
      <c r="K41" s="197"/>
    </row>
    <row r="42" spans="1:12" ht="16.5" customHeight="1" x14ac:dyDescent="0.25">
      <c r="A42" s="99"/>
      <c r="B42" s="26"/>
      <c r="C42" s="26" t="s">
        <v>198</v>
      </c>
      <c r="D42" s="193"/>
      <c r="E42" s="193"/>
      <c r="F42" s="194"/>
      <c r="G42" s="194"/>
      <c r="H42" s="195"/>
      <c r="I42" s="195"/>
      <c r="J42" s="197"/>
      <c r="K42" s="196">
        <v>2979</v>
      </c>
    </row>
    <row r="43" spans="1:12" ht="16.5" customHeight="1" x14ac:dyDescent="0.25">
      <c r="A43" s="99"/>
      <c r="B43" s="182" t="s">
        <v>1692</v>
      </c>
      <c r="C43" s="43"/>
      <c r="D43" s="43"/>
      <c r="E43" s="43"/>
      <c r="F43" s="44"/>
      <c r="G43" s="44"/>
      <c r="H43" s="45"/>
      <c r="I43" s="45"/>
      <c r="J43" s="155">
        <f>SUM(J39:J42)</f>
        <v>2979</v>
      </c>
      <c r="K43" s="155">
        <f>SUM(K39:K42)</f>
        <v>2979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2979</v>
      </c>
      <c r="K47" s="197"/>
    </row>
    <row r="48" spans="1:12" ht="16.5" customHeight="1" x14ac:dyDescent="0.25">
      <c r="A48" s="234" t="s">
        <v>1698</v>
      </c>
      <c r="B48" s="26"/>
      <c r="C48" s="26" t="s">
        <v>184</v>
      </c>
      <c r="D48" s="193"/>
      <c r="E48" s="193"/>
      <c r="F48" s="194"/>
      <c r="G48" s="194"/>
      <c r="H48" s="195"/>
      <c r="I48" s="195"/>
      <c r="J48" s="197"/>
      <c r="K48" s="196">
        <v>2979</v>
      </c>
    </row>
    <row r="49" spans="1:16" ht="16.5" customHeight="1" x14ac:dyDescent="0.25">
      <c r="A49" s="99"/>
      <c r="C49" s="43"/>
      <c r="D49" s="43"/>
      <c r="E49" s="43"/>
      <c r="F49" s="44"/>
      <c r="G49" s="44"/>
      <c r="H49" s="45"/>
      <c r="I49" s="45"/>
      <c r="J49" s="155">
        <f>SUM(J47:J48)</f>
        <v>2979</v>
      </c>
      <c r="K49" s="155">
        <f>SUM(K47:K48)</f>
        <v>2979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1950</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1950</v>
      </c>
    </row>
    <row r="59" spans="1:16" ht="16.5" customHeight="1" x14ac:dyDescent="0.25">
      <c r="A59" s="99"/>
      <c r="C59" s="43"/>
      <c r="D59" s="43"/>
      <c r="E59" s="43"/>
      <c r="F59" s="44"/>
      <c r="G59" s="44"/>
      <c r="H59" s="45"/>
      <c r="I59" s="45"/>
      <c r="J59" s="155">
        <f>SUM(J55:J58)</f>
        <v>1950</v>
      </c>
      <c r="K59" s="155">
        <f>SUM(K55:K58)</f>
        <v>1950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1773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218</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1991</v>
      </c>
    </row>
    <row r="65" spans="1:12" ht="16.5" customHeight="1" x14ac:dyDescent="0.25">
      <c r="A65" s="99"/>
      <c r="C65" s="43"/>
      <c r="D65" s="43"/>
      <c r="E65" s="43"/>
      <c r="F65" s="44"/>
      <c r="G65" s="44"/>
      <c r="H65" s="45"/>
      <c r="I65" s="45"/>
      <c r="J65" s="155">
        <f>SUM(J62:J64)</f>
        <v>1991</v>
      </c>
      <c r="K65" s="155">
        <f>SUM(K62:K64)</f>
        <v>1991</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1773</v>
      </c>
      <c r="K68" s="197"/>
    </row>
    <row r="69" spans="1:12" ht="16.5" customHeight="1" x14ac:dyDescent="0.25">
      <c r="A69" s="99"/>
      <c r="B69" s="26"/>
      <c r="C69" s="26" t="s">
        <v>203</v>
      </c>
      <c r="D69" s="193"/>
      <c r="E69" s="193"/>
      <c r="F69" s="194"/>
      <c r="G69" s="194"/>
      <c r="H69" s="195"/>
      <c r="I69" s="195"/>
      <c r="J69" s="197"/>
      <c r="K69" s="196">
        <v>1773</v>
      </c>
    </row>
    <row r="70" spans="1:12" ht="16.5" customHeight="1" x14ac:dyDescent="0.25">
      <c r="A70" s="99"/>
      <c r="C70" s="43"/>
      <c r="D70" s="43"/>
      <c r="E70" s="43"/>
      <c r="F70" s="44"/>
      <c r="G70" s="44"/>
      <c r="H70" s="45"/>
      <c r="I70" s="45"/>
      <c r="J70" s="155">
        <f>SUM(J68:J69)</f>
        <v>1773</v>
      </c>
      <c r="K70" s="155">
        <f>SUM(K68:K69)</f>
        <v>1773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1815</v>
      </c>
      <c r="K75" s="197"/>
    </row>
    <row r="76" spans="1:12" ht="16.5" customHeight="1" x14ac:dyDescent="0.25">
      <c r="A76" s="99"/>
      <c r="B76" s="26"/>
      <c r="C76" s="26" t="s">
        <v>211</v>
      </c>
      <c r="D76" s="193"/>
      <c r="E76" s="193"/>
      <c r="F76" s="194"/>
      <c r="G76" s="194"/>
      <c r="H76" s="195"/>
      <c r="I76" s="195"/>
      <c r="J76" s="197"/>
      <c r="K76" s="196">
        <v>1815</v>
      </c>
    </row>
    <row r="77" spans="1:12" ht="16.5" customHeight="1" x14ac:dyDescent="0.2">
      <c r="A77" s="99"/>
      <c r="B77" s="259" t="s">
        <v>1814</v>
      </c>
      <c r="C77" s="259"/>
      <c r="D77" s="259"/>
      <c r="E77" s="259"/>
      <c r="F77" s="259"/>
      <c r="G77" s="259"/>
      <c r="H77" s="259"/>
      <c r="I77" s="259"/>
      <c r="J77" s="155">
        <f>SUM(J75:J76)</f>
        <v>1815</v>
      </c>
      <c r="K77" s="155">
        <f>SUM(K75:K76)</f>
        <v>1815</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712</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712</v>
      </c>
    </row>
    <row r="91" spans="1:16" ht="16.5" customHeight="1" x14ac:dyDescent="0.25">
      <c r="B91" s="182" t="s">
        <v>1693</v>
      </c>
      <c r="H91" s="37"/>
      <c r="J91" s="156">
        <f>SUM(J85:J90)</f>
        <v>712</v>
      </c>
      <c r="K91" s="156">
        <f>SUM(K85:K90)</f>
        <v>712</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15129</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-4880</v>
      </c>
    </row>
    <row r="128" spans="1:12" ht="16.5" customHeight="1" x14ac:dyDescent="0.25">
      <c r="D128" s="193" t="s">
        <v>1709</v>
      </c>
      <c r="H128" s="37"/>
      <c r="K128" s="238">
        <f>-K23-K48+J68+J75+J96-K113</f>
        <v>-8886</v>
      </c>
    </row>
    <row r="129" spans="4:11" ht="16.5" customHeight="1" x14ac:dyDescent="0.25">
      <c r="D129" s="193" t="s">
        <v>1710</v>
      </c>
      <c r="H129" s="37"/>
      <c r="K129" s="238">
        <f>-K76</f>
        <v>-1815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38B18BA9-0416-413C-AC62-EF3CD39E0C3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69A49F94-6865-4577-B194-C7BEB55D5D3B}">
      <formula1>0</formula1>
    </dataValidation>
    <dataValidation type="textLength" operator="equal" allowBlank="1" showInputMessage="1" showErrorMessage="1" errorTitle="4-Digit Org Code" error="Enter the Org Code/BU as 4 digits." sqref="F5" xr:uid="{66701CFE-2D8E-4A69-87AD-0FD129FD0AFB}">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8ADE3E-DBBD-4943-B565-660FBB22C901}">
          <x14:formula1>
            <xm:f>'Drop Down Menus'!$A$1:$A$101</xm:f>
          </x14:formula1>
          <xm:sqref>F3</xm:sqref>
        </x14:dataValidation>
        <x14:dataValidation type="list" allowBlank="1" showInputMessage="1" showErrorMessage="1" xr:uid="{BA49519F-BD25-477C-9F24-DFCCED636A02}">
          <x14:formula1>
            <xm:f>'Drop Down Menus'!$B$1:$B$2</xm:f>
          </x14:formula1>
          <xm:sqref>F7</xm:sqref>
        </x14:dataValidation>
        <x14:dataValidation type="list" allowBlank="1" showInputMessage="1" showErrorMessage="1" xr:uid="{20001FBC-D525-46BE-81B4-67B2D1563BFD}">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FA86C-6332-4014-94D8-A44A7B02E075}">
  <sheetPr codeName="Sheet7">
    <tabColor rgb="FF00B050"/>
    <pageSetUpPr fitToPage="1"/>
  </sheetPr>
  <dimension ref="A1:S193"/>
  <sheetViews>
    <sheetView topLeftCell="A94" zoomScale="70" zoomScaleNormal="70" workbookViewId="0">
      <selection activeCell="N134" sqref="N134"/>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890</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105593</v>
      </c>
      <c r="M17" s="196">
        <v>105593</v>
      </c>
      <c r="P17" s="196">
        <v>291931</v>
      </c>
      <c r="Q17" s="224"/>
      <c r="S17" s="223">
        <f t="shared" si="0"/>
        <v>186338</v>
      </c>
    </row>
    <row r="18" spans="1:19" ht="16.5" customHeight="1" x14ac:dyDescent="0.25">
      <c r="A18" s="99"/>
      <c r="B18" s="26" t="s">
        <v>179</v>
      </c>
      <c r="C18" s="26"/>
      <c r="D18" s="26"/>
      <c r="E18" s="193"/>
      <c r="F18" s="194"/>
      <c r="G18" s="194"/>
      <c r="H18" s="195"/>
      <c r="I18" s="195"/>
      <c r="J18" s="248">
        <f>P18</f>
        <v>6235</v>
      </c>
      <c r="M18" s="196">
        <v>2355</v>
      </c>
      <c r="P18" s="221">
        <f>IF(SUM($Q$20:$Q$23)&gt;SUM($P$15:$P$17),SUM($Q$20:$Q$23)-SUM($P$15:$P$17),0)</f>
        <v>6235</v>
      </c>
      <c r="Q18" s="224"/>
      <c r="S18" s="223">
        <f t="shared" si="0"/>
        <v>3880</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29899</v>
      </c>
      <c r="N22" s="196">
        <v>29899</v>
      </c>
      <c r="P22" s="224"/>
      <c r="Q22" s="196">
        <v>82662</v>
      </c>
      <c r="S22" s="223">
        <f t="shared" ref="S22:S25" si="1">Q22-N22</f>
        <v>52763</v>
      </c>
    </row>
    <row r="23" spans="1:19" ht="16.5" customHeight="1" x14ac:dyDescent="0.25">
      <c r="A23" s="234" t="s">
        <v>1698</v>
      </c>
      <c r="B23" s="26"/>
      <c r="C23" s="26" t="s">
        <v>184</v>
      </c>
      <c r="D23" s="26"/>
      <c r="E23" s="193"/>
      <c r="F23" s="194"/>
      <c r="G23" s="194"/>
      <c r="H23" s="195"/>
      <c r="I23" s="195"/>
      <c r="J23" s="213"/>
      <c r="K23" s="248">
        <f>N23</f>
        <v>77949</v>
      </c>
      <c r="N23" s="196">
        <v>77949</v>
      </c>
      <c r="P23" s="224"/>
      <c r="Q23" s="196">
        <v>215504</v>
      </c>
      <c r="S23" s="223">
        <f t="shared" si="1"/>
        <v>137555</v>
      </c>
    </row>
    <row r="24" spans="1:19" ht="16.5" customHeight="1" x14ac:dyDescent="0.25">
      <c r="A24" s="99"/>
      <c r="B24" s="26"/>
      <c r="C24" s="26" t="s">
        <v>186</v>
      </c>
      <c r="D24" s="26"/>
      <c r="E24" s="193"/>
      <c r="F24" s="194"/>
      <c r="G24" s="194"/>
      <c r="H24" s="195"/>
      <c r="I24" s="195"/>
      <c r="J24" s="213"/>
      <c r="K24" s="248">
        <f>Q24</f>
        <v>0</v>
      </c>
      <c r="N24" s="196">
        <v>100</v>
      </c>
      <c r="P24" s="224"/>
      <c r="Q24" s="221">
        <f>IF(SUM($Q$20:$Q$23)&lt;SUM($P$15:$P$17),-SUM($Q$20:$Q$23)+SUM($P$15:$P$17),0)</f>
        <v>0</v>
      </c>
      <c r="S24" s="223">
        <f t="shared" si="1"/>
        <v>-100</v>
      </c>
    </row>
    <row r="25" spans="1:19" ht="16.5" customHeight="1" x14ac:dyDescent="0.25">
      <c r="A25" s="99"/>
      <c r="B25" s="26"/>
      <c r="C25" s="26" t="s">
        <v>187</v>
      </c>
      <c r="D25" s="26"/>
      <c r="E25" s="193"/>
      <c r="F25" s="194"/>
      <c r="G25" s="194"/>
      <c r="H25" s="195"/>
      <c r="I25" s="195"/>
      <c r="J25" s="213"/>
      <c r="K25" s="248">
        <f>IF(SUM($K$20:$K$24)&lt;SUM($J$15:$J$18),-SUM($K$20:$K$24)+SUM($J$15:$J$18),0)</f>
        <v>3980</v>
      </c>
      <c r="N25" s="196">
        <v>0</v>
      </c>
      <c r="P25" s="224"/>
      <c r="Q25" s="224"/>
      <c r="S25" s="223">
        <f t="shared" si="1"/>
        <v>0</v>
      </c>
    </row>
    <row r="26" spans="1:19" ht="16.5" customHeight="1" x14ac:dyDescent="0.25">
      <c r="A26" s="99"/>
      <c r="C26" s="47"/>
      <c r="D26" s="47"/>
      <c r="E26" s="47"/>
      <c r="F26" s="179"/>
      <c r="G26" s="179"/>
      <c r="H26" s="49"/>
      <c r="I26" s="49"/>
      <c r="J26" s="155">
        <f>SUM(J15:J25)</f>
        <v>111828</v>
      </c>
      <c r="K26" s="155">
        <f>SUM(K15:K25)</f>
        <v>111828</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24457</v>
      </c>
      <c r="K33" s="197"/>
    </row>
    <row r="34" spans="1:12" ht="16.5" customHeight="1" x14ac:dyDescent="0.25">
      <c r="A34" s="99"/>
      <c r="B34" s="26"/>
      <c r="C34" s="26" t="s">
        <v>1822</v>
      </c>
      <c r="D34" s="193"/>
      <c r="E34" s="193"/>
      <c r="F34" s="194"/>
      <c r="G34" s="194"/>
      <c r="H34" s="195"/>
      <c r="I34" s="195"/>
      <c r="J34" s="197"/>
      <c r="K34" s="196">
        <v>24457</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24457</v>
      </c>
      <c r="K36" s="155">
        <f>SUM(K33:K35)</f>
        <v>24457</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24457</v>
      </c>
      <c r="K41" s="197"/>
    </row>
    <row r="42" spans="1:12" ht="16.5" customHeight="1" x14ac:dyDescent="0.25">
      <c r="A42" s="99"/>
      <c r="B42" s="26"/>
      <c r="C42" s="26" t="s">
        <v>198</v>
      </c>
      <c r="D42" s="193"/>
      <c r="E42" s="193"/>
      <c r="F42" s="194"/>
      <c r="G42" s="194"/>
      <c r="H42" s="195"/>
      <c r="I42" s="195"/>
      <c r="J42" s="197"/>
      <c r="K42" s="196">
        <v>24457</v>
      </c>
    </row>
    <row r="43" spans="1:12" ht="16.5" customHeight="1" x14ac:dyDescent="0.25">
      <c r="A43" s="99"/>
      <c r="B43" s="182" t="s">
        <v>1692</v>
      </c>
      <c r="C43" s="43"/>
      <c r="D43" s="43"/>
      <c r="E43" s="43"/>
      <c r="F43" s="44"/>
      <c r="G43" s="44"/>
      <c r="H43" s="45"/>
      <c r="I43" s="45"/>
      <c r="J43" s="155">
        <f>SUM(J39:J42)</f>
        <v>24457</v>
      </c>
      <c r="K43" s="155">
        <f>SUM(K39:K42)</f>
        <v>24457</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24457</v>
      </c>
      <c r="K47" s="197"/>
    </row>
    <row r="48" spans="1:12" ht="16.5" customHeight="1" x14ac:dyDescent="0.25">
      <c r="A48" s="234" t="s">
        <v>1698</v>
      </c>
      <c r="B48" s="26"/>
      <c r="C48" s="26" t="s">
        <v>184</v>
      </c>
      <c r="D48" s="193"/>
      <c r="E48" s="193"/>
      <c r="F48" s="194"/>
      <c r="G48" s="194"/>
      <c r="H48" s="195"/>
      <c r="I48" s="195"/>
      <c r="J48" s="197"/>
      <c r="K48" s="196">
        <v>24457</v>
      </c>
    </row>
    <row r="49" spans="1:16" ht="16.5" customHeight="1" x14ac:dyDescent="0.25">
      <c r="A49" s="99"/>
      <c r="C49" s="43"/>
      <c r="D49" s="43"/>
      <c r="E49" s="43"/>
      <c r="F49" s="44"/>
      <c r="G49" s="44"/>
      <c r="H49" s="45"/>
      <c r="I49" s="45"/>
      <c r="J49" s="155">
        <f>SUM(J47:J48)</f>
        <v>24457</v>
      </c>
      <c r="K49" s="155">
        <f>SUM(K47:K48)</f>
        <v>24457</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16011</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16011</v>
      </c>
    </row>
    <row r="59" spans="1:16" ht="16.5" customHeight="1" x14ac:dyDescent="0.25">
      <c r="A59" s="99"/>
      <c r="C59" s="43"/>
      <c r="D59" s="43"/>
      <c r="E59" s="43"/>
      <c r="F59" s="44"/>
      <c r="G59" s="44"/>
      <c r="H59" s="45"/>
      <c r="I59" s="45"/>
      <c r="J59" s="155">
        <f>SUM(J55:J58)</f>
        <v>16011</v>
      </c>
      <c r="K59" s="155">
        <f>SUM(K55:K58)</f>
        <v>16011</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14556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1789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16345</v>
      </c>
    </row>
    <row r="65" spans="1:12" ht="16.5" customHeight="1" x14ac:dyDescent="0.25">
      <c r="A65" s="99"/>
      <c r="C65" s="43"/>
      <c r="D65" s="43"/>
      <c r="E65" s="43"/>
      <c r="F65" s="44"/>
      <c r="G65" s="44"/>
      <c r="H65" s="45"/>
      <c r="I65" s="45"/>
      <c r="J65" s="155">
        <f>SUM(J62:J64)</f>
        <v>16345</v>
      </c>
      <c r="K65" s="155">
        <f>SUM(K62:K64)</f>
        <v>16345</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14556</v>
      </c>
      <c r="K68" s="197"/>
    </row>
    <row r="69" spans="1:12" ht="16.5" customHeight="1" x14ac:dyDescent="0.25">
      <c r="A69" s="99"/>
      <c r="B69" s="26"/>
      <c r="C69" s="26" t="s">
        <v>203</v>
      </c>
      <c r="D69" s="193"/>
      <c r="E69" s="193"/>
      <c r="F69" s="194"/>
      <c r="G69" s="194"/>
      <c r="H69" s="195"/>
      <c r="I69" s="195"/>
      <c r="J69" s="197"/>
      <c r="K69" s="196">
        <v>14556</v>
      </c>
    </row>
    <row r="70" spans="1:12" ht="16.5" customHeight="1" x14ac:dyDescent="0.25">
      <c r="A70" s="99"/>
      <c r="C70" s="43"/>
      <c r="D70" s="43"/>
      <c r="E70" s="43"/>
      <c r="F70" s="44"/>
      <c r="G70" s="44"/>
      <c r="H70" s="45"/>
      <c r="I70" s="45"/>
      <c r="J70" s="155">
        <f>SUM(J68:J69)</f>
        <v>14556</v>
      </c>
      <c r="K70" s="155">
        <f>SUM(K68:K69)</f>
        <v>14556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14899</v>
      </c>
      <c r="K75" s="197"/>
    </row>
    <row r="76" spans="1:12" ht="16.5" customHeight="1" x14ac:dyDescent="0.25">
      <c r="A76" s="99"/>
      <c r="B76" s="26"/>
      <c r="C76" s="26" t="s">
        <v>211</v>
      </c>
      <c r="D76" s="193"/>
      <c r="E76" s="193"/>
      <c r="F76" s="194"/>
      <c r="G76" s="194"/>
      <c r="H76" s="195"/>
      <c r="I76" s="195"/>
      <c r="J76" s="197"/>
      <c r="K76" s="196">
        <v>14899</v>
      </c>
    </row>
    <row r="77" spans="1:12" ht="16.5" customHeight="1" x14ac:dyDescent="0.2">
      <c r="A77" s="99"/>
      <c r="B77" s="259" t="s">
        <v>1814</v>
      </c>
      <c r="C77" s="259"/>
      <c r="D77" s="259"/>
      <c r="E77" s="259"/>
      <c r="F77" s="259"/>
      <c r="G77" s="259"/>
      <c r="H77" s="259"/>
      <c r="I77" s="259"/>
      <c r="J77" s="155">
        <f>SUM(J75:J76)</f>
        <v>14899</v>
      </c>
      <c r="K77" s="155">
        <f>SUM(K75:K76)</f>
        <v>14899</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5847</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5847</v>
      </c>
    </row>
    <row r="91" spans="1:16" ht="16.5" customHeight="1" x14ac:dyDescent="0.25">
      <c r="B91" s="182" t="s">
        <v>1693</v>
      </c>
      <c r="H91" s="37"/>
      <c r="J91" s="156">
        <f>SUM(J85:J90)</f>
        <v>5847</v>
      </c>
      <c r="K91" s="156">
        <f>SUM(K85:K90)</f>
        <v>5847</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124203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-40063</v>
      </c>
    </row>
    <row r="128" spans="1:12" ht="16.5" customHeight="1" x14ac:dyDescent="0.25">
      <c r="D128" s="193" t="s">
        <v>1709</v>
      </c>
      <c r="H128" s="37"/>
      <c r="K128" s="238">
        <f>-K23-K48+J68+J75+J96-K113</f>
        <v>-72951</v>
      </c>
    </row>
    <row r="129" spans="4:11" ht="16.5" customHeight="1" x14ac:dyDescent="0.25">
      <c r="D129" s="193" t="s">
        <v>1710</v>
      </c>
      <c r="H129" s="37"/>
      <c r="K129" s="238">
        <f>-K76</f>
        <v>-14899</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7AD0247B-9954-4463-A931-C209D4684DA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C90F3A8-6F0D-453C-B397-067991FA40AE}">
      <formula1>0</formula1>
    </dataValidation>
    <dataValidation type="textLength" operator="equal" allowBlank="1" showInputMessage="1" showErrorMessage="1" errorTitle="4-Digit Org Code" error="Enter the Org Code/BU as 4 digits." sqref="F5" xr:uid="{433537F9-506B-4298-92DF-4798AC2985E9}">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AB35590-E1F1-4495-A760-7CEA31BDA137}">
          <x14:formula1>
            <xm:f>'Drop Down Menus'!$A$1:$A$101</xm:f>
          </x14:formula1>
          <xm:sqref>F3</xm:sqref>
        </x14:dataValidation>
        <x14:dataValidation type="list" allowBlank="1" showInputMessage="1" showErrorMessage="1" xr:uid="{D43E8CB0-50B3-4C98-9A5E-C75AB7ED3C4B}">
          <x14:formula1>
            <xm:f>'Drop Down Menus'!$B$1:$B$2</xm:f>
          </x14:formula1>
          <xm:sqref>F7</xm:sqref>
        </x14:dataValidation>
        <x14:dataValidation type="list" allowBlank="1" showInputMessage="1" showErrorMessage="1" xr:uid="{7C69C8A0-08EC-4D6F-A191-3A3FD9394AA5}">
          <x14:formula1>
            <xm:f>'Drop Down Menus'!$E$1:$E$3</xm:f>
          </x14:formula1>
          <xm:sqref>F8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5F3E-20FB-4E8F-B755-AD5C18AA66B8}">
  <sheetPr codeName="Sheet8">
    <tabColor rgb="FF00B050"/>
    <pageSetUpPr fitToPage="1"/>
  </sheetPr>
  <dimension ref="A1:S193"/>
  <sheetViews>
    <sheetView zoomScale="70" zoomScaleNormal="70" workbookViewId="0">
      <selection activeCell="J68" sqref="J6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3057</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1763529</v>
      </c>
      <c r="M17" s="196">
        <v>1763529</v>
      </c>
      <c r="P17" s="250">
        <v>1816458</v>
      </c>
      <c r="Q17" s="224"/>
      <c r="S17" s="223">
        <f t="shared" si="0"/>
        <v>52929</v>
      </c>
    </row>
    <row r="18" spans="1:19" ht="16.5" customHeight="1" x14ac:dyDescent="0.25">
      <c r="A18" s="99"/>
      <c r="B18" s="26" t="s">
        <v>179</v>
      </c>
      <c r="C18" s="26"/>
      <c r="D18" s="26"/>
      <c r="E18" s="193"/>
      <c r="F18" s="194"/>
      <c r="G18" s="194"/>
      <c r="H18" s="195"/>
      <c r="I18" s="195"/>
      <c r="J18" s="248">
        <f>P18</f>
        <v>38801</v>
      </c>
      <c r="M18" s="196">
        <v>39337</v>
      </c>
      <c r="P18" s="221">
        <f>IF(SUM($Q$20:$Q$23)&gt;SUM($P$15:$P$17),SUM($Q$20:$Q$23)-SUM($P$15:$P$17),0)</f>
        <v>38801</v>
      </c>
      <c r="Q18" s="224"/>
      <c r="S18" s="223">
        <f t="shared" si="0"/>
        <v>-536</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499352</v>
      </c>
      <c r="N22" s="196">
        <v>499352</v>
      </c>
      <c r="P22" s="224"/>
      <c r="Q22" s="250">
        <v>514338</v>
      </c>
      <c r="S22" s="223">
        <f t="shared" ref="S22:S25" si="1">Q22-N22</f>
        <v>14986</v>
      </c>
    </row>
    <row r="23" spans="1:19" ht="16.5" customHeight="1" x14ac:dyDescent="0.25">
      <c r="A23" s="234" t="s">
        <v>1698</v>
      </c>
      <c r="B23" s="26"/>
      <c r="C23" s="26" t="s">
        <v>184</v>
      </c>
      <c r="D23" s="26"/>
      <c r="E23" s="193"/>
      <c r="F23" s="194"/>
      <c r="G23" s="194"/>
      <c r="H23" s="195"/>
      <c r="I23" s="195"/>
      <c r="J23" s="213"/>
      <c r="K23" s="248">
        <f>N23</f>
        <v>1301848</v>
      </c>
      <c r="N23" s="196">
        <v>1301848</v>
      </c>
      <c r="P23" s="224"/>
      <c r="Q23" s="250">
        <v>1340921</v>
      </c>
      <c r="S23" s="223">
        <f t="shared" si="1"/>
        <v>39073</v>
      </c>
    </row>
    <row r="24" spans="1:19" ht="16.5" customHeight="1" x14ac:dyDescent="0.25">
      <c r="A24" s="99"/>
      <c r="B24" s="26"/>
      <c r="C24" s="26" t="s">
        <v>186</v>
      </c>
      <c r="D24" s="26"/>
      <c r="E24" s="193"/>
      <c r="F24" s="194"/>
      <c r="G24" s="194"/>
      <c r="H24" s="195"/>
      <c r="I24" s="195"/>
      <c r="J24" s="213"/>
      <c r="K24" s="248">
        <f>Q24</f>
        <v>0</v>
      </c>
      <c r="N24" s="196">
        <v>1666</v>
      </c>
      <c r="P24" s="224"/>
      <c r="Q24" s="221">
        <f>IF(SUM($Q$20:$Q$23)&lt;SUM($P$15:$P$17),-SUM($Q$20:$Q$23)+SUM($P$15:$P$17),0)</f>
        <v>0</v>
      </c>
      <c r="S24" s="223">
        <f t="shared" si="1"/>
        <v>-1666</v>
      </c>
    </row>
    <row r="25" spans="1:19" ht="16.5" customHeight="1" x14ac:dyDescent="0.25">
      <c r="A25" s="99"/>
      <c r="B25" s="26"/>
      <c r="C25" s="26" t="s">
        <v>187</v>
      </c>
      <c r="D25" s="26"/>
      <c r="E25" s="193"/>
      <c r="F25" s="194"/>
      <c r="G25" s="194"/>
      <c r="H25" s="195"/>
      <c r="I25" s="195"/>
      <c r="J25" s="213"/>
      <c r="K25" s="248">
        <f>IF(SUM($K$20:$K$24)&lt;SUM($J$15:$J$18),-SUM($K$20:$K$24)+SUM($J$15:$J$18),0)</f>
        <v>1130</v>
      </c>
      <c r="N25" s="196">
        <v>0</v>
      </c>
      <c r="P25" s="224"/>
      <c r="Q25" s="224"/>
      <c r="S25" s="223">
        <f t="shared" si="1"/>
        <v>0</v>
      </c>
    </row>
    <row r="26" spans="1:19" ht="16.5" customHeight="1" x14ac:dyDescent="0.25">
      <c r="A26" s="99"/>
      <c r="C26" s="47"/>
      <c r="D26" s="47"/>
      <c r="E26" s="47"/>
      <c r="F26" s="179"/>
      <c r="G26" s="179"/>
      <c r="H26" s="49"/>
      <c r="I26" s="49"/>
      <c r="J26" s="155">
        <f>SUM(J15:J25)</f>
        <v>1802330</v>
      </c>
      <c r="K26" s="155">
        <f>SUM(K15:K25)</f>
        <v>1802330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408464</v>
      </c>
      <c r="K33" s="197"/>
    </row>
    <row r="34" spans="1:12" ht="16.5" customHeight="1" x14ac:dyDescent="0.25">
      <c r="A34" s="99"/>
      <c r="B34" s="26"/>
      <c r="C34" s="26" t="s">
        <v>1822</v>
      </c>
      <c r="D34" s="193"/>
      <c r="E34" s="193"/>
      <c r="F34" s="194"/>
      <c r="G34" s="194"/>
      <c r="H34" s="195"/>
      <c r="I34" s="195"/>
      <c r="J34" s="197"/>
      <c r="K34" s="196">
        <v>408464</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408464</v>
      </c>
      <c r="K36" s="155">
        <f>SUM(K33:K35)</f>
        <v>408464</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408464</v>
      </c>
      <c r="K41" s="197"/>
    </row>
    <row r="42" spans="1:12" ht="16.5" customHeight="1" x14ac:dyDescent="0.25">
      <c r="A42" s="99"/>
      <c r="B42" s="26"/>
      <c r="C42" s="26" t="s">
        <v>198</v>
      </c>
      <c r="D42" s="193"/>
      <c r="E42" s="193"/>
      <c r="F42" s="194"/>
      <c r="G42" s="194"/>
      <c r="H42" s="195"/>
      <c r="I42" s="195"/>
      <c r="J42" s="197"/>
      <c r="K42" s="196">
        <v>408464</v>
      </c>
    </row>
    <row r="43" spans="1:12" ht="16.5" customHeight="1" x14ac:dyDescent="0.25">
      <c r="A43" s="99"/>
      <c r="B43" s="182" t="s">
        <v>1692</v>
      </c>
      <c r="C43" s="43"/>
      <c r="D43" s="43"/>
      <c r="E43" s="43"/>
      <c r="F43" s="44"/>
      <c r="G43" s="44"/>
      <c r="H43" s="45"/>
      <c r="I43" s="45"/>
      <c r="J43" s="155">
        <f>SUM(J39:J42)</f>
        <v>408464</v>
      </c>
      <c r="K43" s="155">
        <f>SUM(K39:K42)</f>
        <v>408464</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408464</v>
      </c>
      <c r="K47" s="197"/>
    </row>
    <row r="48" spans="1:12" ht="16.5" customHeight="1" x14ac:dyDescent="0.25">
      <c r="A48" s="234" t="s">
        <v>1698</v>
      </c>
      <c r="B48" s="26"/>
      <c r="C48" s="26" t="s">
        <v>184</v>
      </c>
      <c r="D48" s="193"/>
      <c r="E48" s="193"/>
      <c r="F48" s="194"/>
      <c r="G48" s="194"/>
      <c r="H48" s="195"/>
      <c r="I48" s="195"/>
      <c r="J48" s="197"/>
      <c r="K48" s="196">
        <v>408464</v>
      </c>
    </row>
    <row r="49" spans="1:16" ht="16.5" customHeight="1" x14ac:dyDescent="0.25">
      <c r="A49" s="99"/>
      <c r="C49" s="43"/>
      <c r="D49" s="43"/>
      <c r="E49" s="43"/>
      <c r="F49" s="44"/>
      <c r="G49" s="44"/>
      <c r="H49" s="45"/>
      <c r="I49" s="45"/>
      <c r="J49" s="155">
        <f>SUM(J47:J48)</f>
        <v>408464</v>
      </c>
      <c r="K49" s="155">
        <f>SUM(K47:K48)</f>
        <v>408464</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267408</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267408</v>
      </c>
    </row>
    <row r="59" spans="1:16" ht="16.5" customHeight="1" x14ac:dyDescent="0.25">
      <c r="A59" s="99"/>
      <c r="C59" s="43"/>
      <c r="D59" s="43"/>
      <c r="E59" s="43"/>
      <c r="F59" s="44"/>
      <c r="G59" s="44"/>
      <c r="H59" s="45"/>
      <c r="I59" s="45"/>
      <c r="J59" s="155">
        <f>SUM(J55:J58)</f>
        <v>267408</v>
      </c>
      <c r="K59" s="155">
        <f>SUM(K55:K58)</f>
        <v>267408</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243110</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29877</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272988</v>
      </c>
    </row>
    <row r="65" spans="1:12" ht="16.5" customHeight="1" x14ac:dyDescent="0.25">
      <c r="A65" s="99"/>
      <c r="C65" s="43"/>
      <c r="D65" s="43"/>
      <c r="E65" s="43"/>
      <c r="F65" s="44"/>
      <c r="G65" s="44"/>
      <c r="H65" s="45"/>
      <c r="I65" s="45"/>
      <c r="J65" s="155">
        <f>SUM(J62:J64)</f>
        <v>272987</v>
      </c>
      <c r="K65" s="155">
        <f>SUM(K62:K64)</f>
        <v>272988</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243110</v>
      </c>
      <c r="K68" s="197"/>
    </row>
    <row r="69" spans="1:12" ht="16.5" customHeight="1" x14ac:dyDescent="0.25">
      <c r="A69" s="99"/>
      <c r="B69" s="26"/>
      <c r="C69" s="26" t="s">
        <v>203</v>
      </c>
      <c r="D69" s="193"/>
      <c r="E69" s="193"/>
      <c r="F69" s="194"/>
      <c r="G69" s="194"/>
      <c r="H69" s="195"/>
      <c r="I69" s="195"/>
      <c r="J69" s="197"/>
      <c r="K69" s="196">
        <v>243110</v>
      </c>
    </row>
    <row r="70" spans="1:12" ht="16.5" customHeight="1" x14ac:dyDescent="0.25">
      <c r="A70" s="99"/>
      <c r="C70" s="43"/>
      <c r="D70" s="43"/>
      <c r="E70" s="43"/>
      <c r="F70" s="44"/>
      <c r="G70" s="44"/>
      <c r="H70" s="45"/>
      <c r="I70" s="45"/>
      <c r="J70" s="155">
        <f>SUM(J68:J69)</f>
        <v>243110</v>
      </c>
      <c r="K70" s="155">
        <f>SUM(K68:K69)</f>
        <v>243110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248834</v>
      </c>
      <c r="K75" s="197"/>
    </row>
    <row r="76" spans="1:12" ht="16.5" customHeight="1" x14ac:dyDescent="0.25">
      <c r="A76" s="99"/>
      <c r="B76" s="26"/>
      <c r="C76" s="26" t="s">
        <v>211</v>
      </c>
      <c r="D76" s="193"/>
      <c r="E76" s="193"/>
      <c r="F76" s="194"/>
      <c r="G76" s="194"/>
      <c r="H76" s="195"/>
      <c r="I76" s="195"/>
      <c r="J76" s="197"/>
      <c r="K76" s="196">
        <v>248834</v>
      </c>
    </row>
    <row r="77" spans="1:12" ht="16.5" customHeight="1" x14ac:dyDescent="0.2">
      <c r="A77" s="99"/>
      <c r="B77" s="259" t="s">
        <v>1814</v>
      </c>
      <c r="C77" s="259"/>
      <c r="D77" s="259"/>
      <c r="E77" s="259"/>
      <c r="F77" s="259"/>
      <c r="G77" s="259"/>
      <c r="H77" s="259"/>
      <c r="I77" s="259"/>
      <c r="J77" s="155">
        <f>SUM(J75:J76)</f>
        <v>248834</v>
      </c>
      <c r="K77" s="155">
        <f>SUM(K75:K76)</f>
        <v>248834</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97660</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97660</v>
      </c>
    </row>
    <row r="91" spans="1:16" ht="16.5" customHeight="1" x14ac:dyDescent="0.25">
      <c r="B91" s="182" t="s">
        <v>1693</v>
      </c>
      <c r="H91" s="37"/>
      <c r="J91" s="156">
        <f>SUM(J85:J90)</f>
        <v>97660</v>
      </c>
      <c r="K91" s="156">
        <f>SUM(K85:K90)</f>
        <v>97660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2074333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-669100</v>
      </c>
    </row>
    <row r="128" spans="1:12" ht="16.5" customHeight="1" x14ac:dyDescent="0.25">
      <c r="D128" s="193" t="s">
        <v>1709</v>
      </c>
      <c r="H128" s="37"/>
      <c r="K128" s="238">
        <f>-K23-K48+J68+J75+J96-K113</f>
        <v>-1218368</v>
      </c>
    </row>
    <row r="129" spans="4:11" ht="16.5" customHeight="1" x14ac:dyDescent="0.25">
      <c r="D129" s="193" t="s">
        <v>1710</v>
      </c>
      <c r="H129" s="37"/>
      <c r="K129" s="238">
        <f>-K76</f>
        <v>-248834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34B1DE1F-C34A-4B46-A7A9-589E79E854E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EE00A37-D2F3-4D7A-A553-E871D0A18D5D}">
      <formula1>0</formula1>
    </dataValidation>
    <dataValidation operator="lessThan" allowBlank="1" showInputMessage="1" showErrorMessage="1" sqref="A3:A8" xr:uid="{EFE4BCD3-C077-4D89-A4B0-6BE58C0587A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5621A222-0600-43D2-A1FC-8658860E49AC}">
          <x14:formula1>
            <xm:f>'Drop Down Menus'!$E$1:$E$3</xm:f>
          </x14:formula1>
          <xm:sqref>F8</xm:sqref>
        </x14:dataValidation>
        <x14:dataValidation type="list" allowBlank="1" showInputMessage="1" showErrorMessage="1" xr:uid="{F7D22BC4-CBD3-43F7-AB53-CA89174F28B5}">
          <x14:formula1>
            <xm:f>'Drop Down Menus'!$B$1:$B$2</xm:f>
          </x14:formula1>
          <xm:sqref>F7</xm:sqref>
        </x14:dataValidation>
        <x14:dataValidation type="list" allowBlank="1" showInputMessage="1" showErrorMessage="1" xr:uid="{67354527-62E3-49EC-BEE0-3EA7FF1C078B}">
          <x14:formula1>
            <xm:f>'Drop Down Menus'!$A$1:$A$101</xm:f>
          </x14:formula1>
          <xm:sqref>F3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0B84-E997-44DA-97C9-FEF8059263D8}">
  <sheetPr codeName="Sheet9">
    <tabColor rgb="FF00B050"/>
    <pageSetUpPr fitToPage="1"/>
  </sheetPr>
  <dimension ref="A1:S193"/>
  <sheetViews>
    <sheetView zoomScale="70" zoomScaleNormal="70" workbookViewId="0">
      <selection activeCell="L9" sqref="L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3237</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14633</v>
      </c>
      <c r="M17" s="196">
        <v>14633</v>
      </c>
      <c r="P17" s="250">
        <v>12976</v>
      </c>
      <c r="Q17" s="224"/>
      <c r="S17" s="223">
        <f t="shared" si="0"/>
        <v>-1657</v>
      </c>
    </row>
    <row r="18" spans="1:19" ht="16.5" customHeight="1" x14ac:dyDescent="0.25">
      <c r="A18" s="99"/>
      <c r="B18" s="26" t="s">
        <v>179</v>
      </c>
      <c r="C18" s="26"/>
      <c r="D18" s="26"/>
      <c r="E18" s="193"/>
      <c r="F18" s="194"/>
      <c r="G18" s="194"/>
      <c r="H18" s="195"/>
      <c r="I18" s="195"/>
      <c r="J18" s="248">
        <f>P18</f>
        <v>276</v>
      </c>
      <c r="M18" s="196">
        <v>326</v>
      </c>
      <c r="P18" s="221">
        <f>IF(SUM($Q$20:$Q$23)&gt;SUM($P$15:$P$17),SUM($Q$20:$Q$23)-SUM($P$15:$P$17),0)</f>
        <v>276</v>
      </c>
      <c r="Q18" s="224"/>
      <c r="S18" s="223">
        <f t="shared" si="0"/>
        <v>-50</v>
      </c>
    </row>
    <row r="19" spans="1:19" ht="16.5" customHeight="1" x14ac:dyDescent="0.25">
      <c r="A19" s="99"/>
      <c r="B19" s="26" t="s">
        <v>180</v>
      </c>
      <c r="C19" s="26"/>
      <c r="D19" s="26"/>
      <c r="E19" s="193"/>
      <c r="F19" s="194"/>
      <c r="G19" s="194"/>
      <c r="H19" s="195"/>
      <c r="I19" s="195"/>
      <c r="J19" s="248">
        <f>IF(SUM($K$20:$K$24)&gt;SUM($J$15:$J$18),SUM($K$20:$K$24)-SUM($J$15:$J$18),0)</f>
        <v>36</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4143</v>
      </c>
      <c r="N22" s="196">
        <v>4143</v>
      </c>
      <c r="P22" s="224"/>
      <c r="Q22" s="250">
        <v>3674</v>
      </c>
      <c r="S22" s="223">
        <f t="shared" ref="S22:S25" si="1">Q22-N22</f>
        <v>-469</v>
      </c>
    </row>
    <row r="23" spans="1:19" ht="16.5" customHeight="1" x14ac:dyDescent="0.25">
      <c r="A23" s="234" t="s">
        <v>1698</v>
      </c>
      <c r="B23" s="26"/>
      <c r="C23" s="26" t="s">
        <v>184</v>
      </c>
      <c r="D23" s="26"/>
      <c r="E23" s="193"/>
      <c r="F23" s="194"/>
      <c r="G23" s="194"/>
      <c r="H23" s="195"/>
      <c r="I23" s="195"/>
      <c r="J23" s="213"/>
      <c r="K23" s="248">
        <f>N23</f>
        <v>10802</v>
      </c>
      <c r="N23" s="196">
        <v>10802</v>
      </c>
      <c r="P23" s="224"/>
      <c r="Q23" s="250">
        <v>9578</v>
      </c>
      <c r="S23" s="223">
        <f t="shared" si="1"/>
        <v>-1224</v>
      </c>
    </row>
    <row r="24" spans="1:19" ht="16.5" customHeight="1" x14ac:dyDescent="0.25">
      <c r="A24" s="99"/>
      <c r="B24" s="26"/>
      <c r="C24" s="26" t="s">
        <v>186</v>
      </c>
      <c r="D24" s="26"/>
      <c r="E24" s="193"/>
      <c r="F24" s="194"/>
      <c r="G24" s="194"/>
      <c r="H24" s="195"/>
      <c r="I24" s="195"/>
      <c r="J24" s="213"/>
      <c r="K24" s="248">
        <f>Q24</f>
        <v>0</v>
      </c>
      <c r="N24" s="196">
        <v>14</v>
      </c>
      <c r="P24" s="224"/>
      <c r="Q24" s="221">
        <f>IF(SUM($Q$20:$Q$23)&lt;SUM($P$15:$P$17),-SUM($Q$20:$Q$23)+SUM($P$15:$P$17),0)</f>
        <v>0</v>
      </c>
      <c r="S24" s="223">
        <f t="shared" si="1"/>
        <v>-14</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14945</v>
      </c>
      <c r="K26" s="155">
        <f>SUM(K15:K25)</f>
        <v>14945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3389</v>
      </c>
      <c r="K33" s="197"/>
    </row>
    <row r="34" spans="1:12" ht="16.5" customHeight="1" x14ac:dyDescent="0.25">
      <c r="A34" s="99"/>
      <c r="B34" s="26"/>
      <c r="C34" s="26" t="s">
        <v>1822</v>
      </c>
      <c r="D34" s="193"/>
      <c r="E34" s="193"/>
      <c r="F34" s="194"/>
      <c r="G34" s="194"/>
      <c r="H34" s="195"/>
      <c r="I34" s="195"/>
      <c r="J34" s="197"/>
      <c r="K34" s="196">
        <v>3389</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3389</v>
      </c>
      <c r="K36" s="155">
        <f>SUM(K33:K35)</f>
        <v>3389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3389</v>
      </c>
      <c r="K41" s="197"/>
    </row>
    <row r="42" spans="1:12" ht="16.5" customHeight="1" x14ac:dyDescent="0.25">
      <c r="A42" s="99"/>
      <c r="B42" s="26"/>
      <c r="C42" s="26" t="s">
        <v>198</v>
      </c>
      <c r="D42" s="193"/>
      <c r="E42" s="193"/>
      <c r="F42" s="194"/>
      <c r="G42" s="194"/>
      <c r="H42" s="195"/>
      <c r="I42" s="195"/>
      <c r="J42" s="197"/>
      <c r="K42" s="196">
        <v>3389</v>
      </c>
    </row>
    <row r="43" spans="1:12" ht="16.5" customHeight="1" x14ac:dyDescent="0.25">
      <c r="A43" s="99"/>
      <c r="B43" s="182" t="s">
        <v>1692</v>
      </c>
      <c r="C43" s="43"/>
      <c r="D43" s="43"/>
      <c r="E43" s="43"/>
      <c r="F43" s="44"/>
      <c r="G43" s="44"/>
      <c r="H43" s="45"/>
      <c r="I43" s="45"/>
      <c r="J43" s="155">
        <f>SUM(J39:J42)</f>
        <v>3389</v>
      </c>
      <c r="K43" s="155">
        <f>SUM(K39:K42)</f>
        <v>3389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3389</v>
      </c>
      <c r="K47" s="197"/>
    </row>
    <row r="48" spans="1:12" ht="16.5" customHeight="1" x14ac:dyDescent="0.25">
      <c r="A48" s="234" t="s">
        <v>1698</v>
      </c>
      <c r="B48" s="26"/>
      <c r="C48" s="26" t="s">
        <v>184</v>
      </c>
      <c r="D48" s="193"/>
      <c r="E48" s="193"/>
      <c r="F48" s="194"/>
      <c r="G48" s="194"/>
      <c r="H48" s="195"/>
      <c r="I48" s="195"/>
      <c r="J48" s="197"/>
      <c r="K48" s="196">
        <v>3389</v>
      </c>
    </row>
    <row r="49" spans="1:16" ht="16.5" customHeight="1" x14ac:dyDescent="0.25">
      <c r="A49" s="99"/>
      <c r="C49" s="43"/>
      <c r="D49" s="43"/>
      <c r="E49" s="43"/>
      <c r="F49" s="44"/>
      <c r="G49" s="44"/>
      <c r="H49" s="45"/>
      <c r="I49" s="45"/>
      <c r="J49" s="155">
        <f>SUM(J47:J48)</f>
        <v>3389</v>
      </c>
      <c r="K49" s="155">
        <f>SUM(K47:K48)</f>
        <v>3389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2219</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2219</v>
      </c>
    </row>
    <row r="59" spans="1:16" ht="16.5" customHeight="1" x14ac:dyDescent="0.25">
      <c r="A59" s="99"/>
      <c r="C59" s="43"/>
      <c r="D59" s="43"/>
      <c r="E59" s="43"/>
      <c r="F59" s="44"/>
      <c r="G59" s="44"/>
      <c r="H59" s="45"/>
      <c r="I59" s="45"/>
      <c r="J59" s="155">
        <f>SUM(J55:J58)</f>
        <v>2219</v>
      </c>
      <c r="K59" s="155">
        <f>SUM(K55:K58)</f>
        <v>2219</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2017</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248</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2265</v>
      </c>
    </row>
    <row r="65" spans="1:12" ht="16.5" customHeight="1" x14ac:dyDescent="0.25">
      <c r="A65" s="99"/>
      <c r="C65" s="43"/>
      <c r="D65" s="43"/>
      <c r="E65" s="43"/>
      <c r="F65" s="44"/>
      <c r="G65" s="44"/>
      <c r="H65" s="45"/>
      <c r="I65" s="45"/>
      <c r="J65" s="155">
        <f>SUM(J62:J64)</f>
        <v>2265</v>
      </c>
      <c r="K65" s="155">
        <f>SUM(K62:K64)</f>
        <v>2265</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2017</v>
      </c>
      <c r="K68" s="197"/>
    </row>
    <row r="69" spans="1:12" ht="16.5" customHeight="1" x14ac:dyDescent="0.25">
      <c r="A69" s="99"/>
      <c r="B69" s="26"/>
      <c r="C69" s="26" t="s">
        <v>203</v>
      </c>
      <c r="D69" s="193"/>
      <c r="E69" s="193"/>
      <c r="F69" s="194"/>
      <c r="G69" s="194"/>
      <c r="H69" s="195"/>
      <c r="I69" s="195"/>
      <c r="J69" s="197"/>
      <c r="K69" s="196">
        <v>2017</v>
      </c>
    </row>
    <row r="70" spans="1:12" ht="16.5" customHeight="1" x14ac:dyDescent="0.25">
      <c r="A70" s="99"/>
      <c r="C70" s="43"/>
      <c r="D70" s="43"/>
      <c r="E70" s="43"/>
      <c r="F70" s="44"/>
      <c r="G70" s="44"/>
      <c r="H70" s="45"/>
      <c r="I70" s="45"/>
      <c r="J70" s="155">
        <f>SUM(J68:J69)</f>
        <v>2017</v>
      </c>
      <c r="K70" s="155">
        <f>SUM(K68:K69)</f>
        <v>2017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2065</v>
      </c>
      <c r="K75" s="197"/>
    </row>
    <row r="76" spans="1:12" ht="16.5" customHeight="1" x14ac:dyDescent="0.25">
      <c r="A76" s="99"/>
      <c r="B76" s="26"/>
      <c r="C76" s="26" t="s">
        <v>211</v>
      </c>
      <c r="D76" s="193"/>
      <c r="E76" s="193"/>
      <c r="F76" s="194"/>
      <c r="G76" s="194"/>
      <c r="H76" s="195"/>
      <c r="I76" s="195"/>
      <c r="J76" s="197"/>
      <c r="K76" s="196">
        <v>2065</v>
      </c>
    </row>
    <row r="77" spans="1:12" ht="16.5" customHeight="1" x14ac:dyDescent="0.2">
      <c r="A77" s="99"/>
      <c r="B77" s="259" t="s">
        <v>1814</v>
      </c>
      <c r="C77" s="259"/>
      <c r="D77" s="259"/>
      <c r="E77" s="259"/>
      <c r="F77" s="259"/>
      <c r="G77" s="259"/>
      <c r="H77" s="259"/>
      <c r="I77" s="259"/>
      <c r="J77" s="155">
        <f>SUM(J75:J76)</f>
        <v>2065</v>
      </c>
      <c r="K77" s="155">
        <f>SUM(K75:K76)</f>
        <v>2065</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810</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810</v>
      </c>
    </row>
    <row r="91" spans="1:16" ht="16.5" customHeight="1" x14ac:dyDescent="0.25">
      <c r="B91" s="182" t="s">
        <v>1693</v>
      </c>
      <c r="H91" s="37"/>
      <c r="J91" s="156">
        <f>SUM(J85:J90)</f>
        <v>810</v>
      </c>
      <c r="K91" s="156">
        <f>SUM(K85:K90)</f>
        <v>810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17212</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-5552</v>
      </c>
    </row>
    <row r="128" spans="1:12" ht="16.5" customHeight="1" x14ac:dyDescent="0.25">
      <c r="D128" s="193" t="s">
        <v>1709</v>
      </c>
      <c r="H128" s="37"/>
      <c r="K128" s="238">
        <f>-K23-K48+J68+J75+J96-K113</f>
        <v>-10109</v>
      </c>
    </row>
    <row r="129" spans="4:11" ht="16.5" customHeight="1" x14ac:dyDescent="0.25">
      <c r="D129" s="193" t="s">
        <v>1710</v>
      </c>
      <c r="H129" s="37"/>
      <c r="K129" s="238">
        <f>-K76</f>
        <v>-2065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E61E702D-EE7A-4F45-83BA-40C3B5F4EF43}"/>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44A1F6F-6B8E-4073-82DB-7A27FA764450}">
      <formula1>0</formula1>
    </dataValidation>
    <dataValidation type="textLength" operator="equal" allowBlank="1" showInputMessage="1" showErrorMessage="1" errorTitle="4-Digit Org Code" error="Enter the Org Code/BU as 4 digits." sqref="F5" xr:uid="{C77CF17E-E77E-45F3-9BD5-D42F26DD6E07}">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4C4D0087-CE03-4FBC-B353-11CC32670BD3}">
          <x14:formula1>
            <xm:f>'Drop Down Menus'!$A$1:$A$101</xm:f>
          </x14:formula1>
          <xm:sqref>F3</xm:sqref>
        </x14:dataValidation>
        <x14:dataValidation type="list" allowBlank="1" showInputMessage="1" showErrorMessage="1" xr:uid="{A7AE915A-E287-4080-81BE-56CDFF9D89A0}">
          <x14:formula1>
            <xm:f>'Drop Down Menus'!$B$1:$B$2</xm:f>
          </x14:formula1>
          <xm:sqref>F7</xm:sqref>
        </x14:dataValidation>
        <x14:dataValidation type="list" allowBlank="1" showInputMessage="1" showErrorMessage="1" xr:uid="{18BCC3E6-DF6E-4F7A-8A54-A10BF1526AB0}">
          <x14:formula1>
            <xm:f>'Drop Down Menus'!$E$1:$E$3</xm:f>
          </x14:formula1>
          <xm:sqref>F8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F65EA-3467-4412-A262-B2C1FE3B9967}">
  <sheetPr codeName="Sheet10">
    <tabColor rgb="FF00B050"/>
    <pageSetUpPr fitToPage="1"/>
  </sheetPr>
  <dimension ref="A1:S193"/>
  <sheetViews>
    <sheetView topLeftCell="A37" zoomScale="70" zoomScaleNormal="70" workbookViewId="0">
      <selection activeCell="O85" sqref="O85"/>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3398</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242977</v>
      </c>
      <c r="M17" s="196">
        <v>242977</v>
      </c>
      <c r="P17" s="196">
        <v>142721</v>
      </c>
      <c r="Q17" s="224"/>
      <c r="S17" s="223">
        <f t="shared" si="0"/>
        <v>-100256</v>
      </c>
    </row>
    <row r="18" spans="1:19" ht="16.5" customHeight="1" x14ac:dyDescent="0.25">
      <c r="A18" s="99"/>
      <c r="B18" s="26" t="s">
        <v>179</v>
      </c>
      <c r="C18" s="26"/>
      <c r="D18" s="26"/>
      <c r="E18" s="193"/>
      <c r="F18" s="194"/>
      <c r="G18" s="194"/>
      <c r="H18" s="195"/>
      <c r="I18" s="195"/>
      <c r="J18" s="248">
        <f>P18</f>
        <v>3049</v>
      </c>
      <c r="M18" s="196">
        <v>5420</v>
      </c>
      <c r="P18" s="221">
        <f>IF(SUM($Q$20:$Q$23)&gt;SUM($P$15:$P$17),SUM($Q$20:$Q$23)-SUM($P$15:$P$17),0)</f>
        <v>3049</v>
      </c>
      <c r="Q18" s="224"/>
      <c r="S18" s="223">
        <f t="shared" si="0"/>
        <v>-2371</v>
      </c>
    </row>
    <row r="19" spans="1:19" ht="16.5" customHeight="1" x14ac:dyDescent="0.25">
      <c r="A19" s="99"/>
      <c r="B19" s="26" t="s">
        <v>180</v>
      </c>
      <c r="C19" s="26"/>
      <c r="D19" s="26"/>
      <c r="E19" s="193"/>
      <c r="F19" s="194"/>
      <c r="G19" s="194"/>
      <c r="H19" s="195"/>
      <c r="I19" s="195"/>
      <c r="J19" s="248">
        <f>IF(SUM($K$20:$K$24)&gt;SUM($J$15:$J$18),SUM($K$20:$K$24)-SUM($J$15:$J$18),0)</f>
        <v>2141</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68800</v>
      </c>
      <c r="N22" s="196">
        <v>68800</v>
      </c>
      <c r="P22" s="224"/>
      <c r="Q22" s="196">
        <v>40412</v>
      </c>
      <c r="S22" s="223">
        <f t="shared" ref="S22:S25" si="1">Q22-N22</f>
        <v>-28388</v>
      </c>
    </row>
    <row r="23" spans="1:19" ht="16.5" customHeight="1" x14ac:dyDescent="0.25">
      <c r="A23" s="234" t="s">
        <v>1698</v>
      </c>
      <c r="B23" s="26"/>
      <c r="C23" s="26" t="s">
        <v>184</v>
      </c>
      <c r="D23" s="26"/>
      <c r="E23" s="193"/>
      <c r="F23" s="194"/>
      <c r="G23" s="194"/>
      <c r="H23" s="195"/>
      <c r="I23" s="195"/>
      <c r="J23" s="213"/>
      <c r="K23" s="248">
        <f>N23</f>
        <v>179367</v>
      </c>
      <c r="N23" s="196">
        <v>179367</v>
      </c>
      <c r="P23" s="224"/>
      <c r="Q23" s="196">
        <v>105358</v>
      </c>
      <c r="S23" s="223">
        <f t="shared" si="1"/>
        <v>-74009</v>
      </c>
    </row>
    <row r="24" spans="1:19" ht="16.5" customHeight="1" x14ac:dyDescent="0.25">
      <c r="A24" s="99"/>
      <c r="B24" s="26"/>
      <c r="C24" s="26" t="s">
        <v>186</v>
      </c>
      <c r="D24" s="26"/>
      <c r="E24" s="193"/>
      <c r="F24" s="194"/>
      <c r="G24" s="194"/>
      <c r="H24" s="195"/>
      <c r="I24" s="195"/>
      <c r="J24" s="213"/>
      <c r="K24" s="248">
        <f>Q24</f>
        <v>0</v>
      </c>
      <c r="N24" s="196">
        <v>230</v>
      </c>
      <c r="P24" s="224"/>
      <c r="Q24" s="221">
        <f>IF(SUM($Q$20:$Q$23)&lt;SUM($P$15:$P$17),-SUM($Q$20:$Q$23)+SUM($P$15:$P$17),0)</f>
        <v>0</v>
      </c>
      <c r="S24" s="223">
        <f t="shared" si="1"/>
        <v>-230</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248167</v>
      </c>
      <c r="K26" s="155">
        <f>SUM(K15:K25)</f>
        <v>248167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56278</v>
      </c>
      <c r="K33" s="197"/>
    </row>
    <row r="34" spans="1:12" ht="16.5" customHeight="1" x14ac:dyDescent="0.25">
      <c r="A34" s="99"/>
      <c r="B34" s="26"/>
      <c r="C34" s="26" t="s">
        <v>1822</v>
      </c>
      <c r="D34" s="193"/>
      <c r="E34" s="193"/>
      <c r="F34" s="194"/>
      <c r="G34" s="194"/>
      <c r="H34" s="195"/>
      <c r="I34" s="195"/>
      <c r="J34" s="197"/>
      <c r="K34" s="196">
        <v>56278</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56278</v>
      </c>
      <c r="K36" s="155">
        <f>SUM(K33:K35)</f>
        <v>56278</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56278</v>
      </c>
      <c r="K41" s="197"/>
    </row>
    <row r="42" spans="1:12" ht="16.5" customHeight="1" x14ac:dyDescent="0.25">
      <c r="A42" s="99"/>
      <c r="B42" s="26"/>
      <c r="C42" s="26" t="s">
        <v>198</v>
      </c>
      <c r="D42" s="193"/>
      <c r="E42" s="193"/>
      <c r="F42" s="194"/>
      <c r="G42" s="194"/>
      <c r="H42" s="195"/>
      <c r="I42" s="195"/>
      <c r="J42" s="197"/>
      <c r="K42" s="196">
        <v>56278</v>
      </c>
    </row>
    <row r="43" spans="1:12" ht="16.5" customHeight="1" x14ac:dyDescent="0.25">
      <c r="A43" s="99"/>
      <c r="B43" s="182" t="s">
        <v>1692</v>
      </c>
      <c r="C43" s="43"/>
      <c r="D43" s="43"/>
      <c r="E43" s="43"/>
      <c r="F43" s="44"/>
      <c r="G43" s="44"/>
      <c r="H43" s="45"/>
      <c r="I43" s="45"/>
      <c r="J43" s="155">
        <f>SUM(J39:J42)</f>
        <v>56278</v>
      </c>
      <c r="K43" s="155">
        <f>SUM(K39:K42)</f>
        <v>56278</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56278</v>
      </c>
      <c r="K47" s="197"/>
    </row>
    <row r="48" spans="1:12" ht="16.5" customHeight="1" x14ac:dyDescent="0.25">
      <c r="A48" s="234" t="s">
        <v>1698</v>
      </c>
      <c r="B48" s="26"/>
      <c r="C48" s="26" t="s">
        <v>184</v>
      </c>
      <c r="D48" s="193"/>
      <c r="E48" s="193"/>
      <c r="F48" s="194"/>
      <c r="G48" s="194"/>
      <c r="H48" s="195"/>
      <c r="I48" s="195"/>
      <c r="J48" s="197"/>
      <c r="K48" s="196">
        <v>56278</v>
      </c>
    </row>
    <row r="49" spans="1:16" ht="16.5" customHeight="1" x14ac:dyDescent="0.25">
      <c r="A49" s="99"/>
      <c r="C49" s="43"/>
      <c r="D49" s="43"/>
      <c r="E49" s="43"/>
      <c r="F49" s="44"/>
      <c r="G49" s="44"/>
      <c r="H49" s="45"/>
      <c r="I49" s="45"/>
      <c r="J49" s="155">
        <f>SUM(J47:J48)</f>
        <v>56278</v>
      </c>
      <c r="K49" s="155">
        <f>SUM(K47:K48)</f>
        <v>56278</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36843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36843</v>
      </c>
    </row>
    <row r="59" spans="1:16" ht="16.5" customHeight="1" x14ac:dyDescent="0.25">
      <c r="A59" s="99"/>
      <c r="C59" s="43"/>
      <c r="D59" s="43"/>
      <c r="E59" s="43"/>
      <c r="F59" s="44"/>
      <c r="G59" s="44"/>
      <c r="H59" s="45"/>
      <c r="I59" s="45"/>
      <c r="J59" s="155">
        <f>SUM(J55:J58)</f>
        <v>36843</v>
      </c>
      <c r="K59" s="155">
        <f>SUM(K55:K58)</f>
        <v>36843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33495</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4116</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37612</v>
      </c>
    </row>
    <row r="65" spans="1:12" ht="16.5" customHeight="1" x14ac:dyDescent="0.25">
      <c r="A65" s="99"/>
      <c r="C65" s="43"/>
      <c r="D65" s="43"/>
      <c r="E65" s="43"/>
      <c r="F65" s="44"/>
      <c r="G65" s="44"/>
      <c r="H65" s="45"/>
      <c r="I65" s="45"/>
      <c r="J65" s="155">
        <f>SUM(J62:J64)</f>
        <v>37611</v>
      </c>
      <c r="K65" s="155">
        <f>SUM(K62:K64)</f>
        <v>37612</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33495</v>
      </c>
      <c r="K68" s="197"/>
    </row>
    <row r="69" spans="1:12" ht="16.5" customHeight="1" x14ac:dyDescent="0.25">
      <c r="A69" s="99"/>
      <c r="B69" s="26"/>
      <c r="C69" s="26" t="s">
        <v>203</v>
      </c>
      <c r="D69" s="193"/>
      <c r="E69" s="193"/>
      <c r="F69" s="194"/>
      <c r="G69" s="194"/>
      <c r="H69" s="195"/>
      <c r="I69" s="195"/>
      <c r="J69" s="197"/>
      <c r="K69" s="196">
        <v>33495</v>
      </c>
    </row>
    <row r="70" spans="1:12" ht="16.5" customHeight="1" x14ac:dyDescent="0.25">
      <c r="A70" s="99"/>
      <c r="C70" s="43"/>
      <c r="D70" s="43"/>
      <c r="E70" s="43"/>
      <c r="F70" s="44"/>
      <c r="G70" s="44"/>
      <c r="H70" s="45"/>
      <c r="I70" s="45"/>
      <c r="J70" s="155">
        <f>SUM(J68:J69)</f>
        <v>33495</v>
      </c>
      <c r="K70" s="155">
        <f>SUM(K68:K69)</f>
        <v>33495</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34284</v>
      </c>
      <c r="K75" s="197"/>
    </row>
    <row r="76" spans="1:12" ht="16.5" customHeight="1" x14ac:dyDescent="0.25">
      <c r="A76" s="99"/>
      <c r="B76" s="26"/>
      <c r="C76" s="26" t="s">
        <v>211</v>
      </c>
      <c r="D76" s="193"/>
      <c r="E76" s="193"/>
      <c r="F76" s="194"/>
      <c r="G76" s="194"/>
      <c r="H76" s="195"/>
      <c r="I76" s="195"/>
      <c r="J76" s="197"/>
      <c r="K76" s="196">
        <v>34284</v>
      </c>
    </row>
    <row r="77" spans="1:12" ht="16.5" customHeight="1" x14ac:dyDescent="0.2">
      <c r="A77" s="99"/>
      <c r="B77" s="259" t="s">
        <v>1814</v>
      </c>
      <c r="C77" s="259"/>
      <c r="D77" s="259"/>
      <c r="E77" s="259"/>
      <c r="F77" s="259"/>
      <c r="G77" s="259"/>
      <c r="H77" s="259"/>
      <c r="I77" s="259"/>
      <c r="J77" s="155">
        <f>SUM(J75:J76)</f>
        <v>34284</v>
      </c>
      <c r="K77" s="155">
        <f>SUM(K75:K76)</f>
        <v>34284</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13455</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13455</v>
      </c>
    </row>
    <row r="91" spans="1:16" ht="16.5" customHeight="1" x14ac:dyDescent="0.25">
      <c r="B91" s="182" t="s">
        <v>1693</v>
      </c>
      <c r="H91" s="37"/>
      <c r="J91" s="156">
        <f>SUM(J85:J90)</f>
        <v>13455</v>
      </c>
      <c r="K91" s="156">
        <f>SUM(K85:K90)</f>
        <v>13455</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285800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-92188</v>
      </c>
    </row>
    <row r="128" spans="1:12" ht="16.5" customHeight="1" x14ac:dyDescent="0.25">
      <c r="D128" s="193" t="s">
        <v>1709</v>
      </c>
      <c r="H128" s="37"/>
      <c r="K128" s="238">
        <f>-K23-K48+J68+J75+J96-K113</f>
        <v>-167866</v>
      </c>
    </row>
    <row r="129" spans="4:11" ht="16.5" customHeight="1" x14ac:dyDescent="0.25">
      <c r="D129" s="193" t="s">
        <v>1710</v>
      </c>
      <c r="H129" s="37"/>
      <c r="K129" s="238">
        <f>-K76</f>
        <v>-34284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6A462BF8-7090-48D7-9959-B173B082C215}"/>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67CAE3E-43FB-4E80-AC09-436A0F9BD7C1}">
      <formula1>0</formula1>
    </dataValidation>
    <dataValidation type="textLength" operator="equal" allowBlank="1" showInputMessage="1" showErrorMessage="1" errorTitle="4-Digit Org Code" error="Enter the Org Code/BU as 4 digits." sqref="F5" xr:uid="{5FF2A81F-7522-487D-85C4-3DF06B93C3B7}">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73542A7-3AC0-4252-A135-E3C935F8D0D6}">
          <x14:formula1>
            <xm:f>'Drop Down Menus'!$A$1:$A$101</xm:f>
          </x14:formula1>
          <xm:sqref>F3</xm:sqref>
        </x14:dataValidation>
        <x14:dataValidation type="list" allowBlank="1" showInputMessage="1" showErrorMessage="1" xr:uid="{7CEE40C5-2A95-41E5-9D5C-07DAF88348D2}">
          <x14:formula1>
            <xm:f>'Drop Down Menus'!$B$1:$B$2</xm:f>
          </x14:formula1>
          <xm:sqref>F7</xm:sqref>
        </x14:dataValidation>
        <x14:dataValidation type="list" allowBlank="1" showInputMessage="1" showErrorMessage="1" xr:uid="{7DD6388B-0C80-4C31-B3F3-66D202998B2D}">
          <x14:formula1>
            <xm:f>'Drop Down Menus'!$E$1:$E$3</xm:f>
          </x14:formula1>
          <xm:sqref>F8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1F59-5079-4BCC-AE8F-A3B5AE919900}">
  <sheetPr>
    <tabColor rgb="FF00B050"/>
    <pageSetUpPr fitToPage="1"/>
  </sheetPr>
  <dimension ref="A1:S193"/>
  <sheetViews>
    <sheetView topLeftCell="A35" zoomScale="70" zoomScaleNormal="70" workbookViewId="0">
      <selection activeCell="P59" sqref="P5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3413</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76804</v>
      </c>
      <c r="M17" s="196">
        <v>76804</v>
      </c>
      <c r="P17" s="196"/>
      <c r="Q17" s="224"/>
      <c r="S17" s="223">
        <f t="shared" si="0"/>
        <v>-76804</v>
      </c>
    </row>
    <row r="18" spans="1:19" ht="16.5" customHeight="1" x14ac:dyDescent="0.25">
      <c r="A18" s="99"/>
      <c r="B18" s="26" t="s">
        <v>179</v>
      </c>
      <c r="C18" s="26"/>
      <c r="D18" s="26"/>
      <c r="E18" s="193"/>
      <c r="F18" s="194"/>
      <c r="G18" s="194"/>
      <c r="H18" s="195"/>
      <c r="I18" s="195"/>
      <c r="J18" s="248">
        <f>P18</f>
        <v>0</v>
      </c>
      <c r="M18" s="196">
        <v>1713</v>
      </c>
      <c r="P18" s="221">
        <f>IF(SUM($Q$20:$Q$23)&gt;SUM($P$15:$P$17),SUM($Q$20:$Q$23)-SUM($P$15:$P$17),0)</f>
        <v>0</v>
      </c>
      <c r="Q18" s="224"/>
      <c r="S18" s="223">
        <f t="shared" si="0"/>
        <v>-1713</v>
      </c>
    </row>
    <row r="19" spans="1:19" ht="16.5" customHeight="1" x14ac:dyDescent="0.25">
      <c r="A19" s="99"/>
      <c r="B19" s="26" t="s">
        <v>180</v>
      </c>
      <c r="C19" s="26"/>
      <c r="D19" s="26"/>
      <c r="E19" s="193"/>
      <c r="F19" s="194"/>
      <c r="G19" s="194"/>
      <c r="H19" s="195"/>
      <c r="I19" s="195"/>
      <c r="J19" s="248">
        <f>IF(SUM($K$20:$K$24)&gt;SUM($J$15:$J$18),SUM($K$20:$K$24)-SUM($J$15:$J$18),0)</f>
        <v>1640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21747</v>
      </c>
      <c r="N22" s="196">
        <v>21747</v>
      </c>
      <c r="P22" s="224"/>
      <c r="Q22" s="196"/>
      <c r="S22" s="223">
        <f t="shared" ref="S22:S25" si="1">Q22-N22</f>
        <v>-21747</v>
      </c>
    </row>
    <row r="23" spans="1:19" ht="16.5" customHeight="1" x14ac:dyDescent="0.25">
      <c r="A23" s="234" t="s">
        <v>1698</v>
      </c>
      <c r="B23" s="26"/>
      <c r="C23" s="26" t="s">
        <v>184</v>
      </c>
      <c r="D23" s="26"/>
      <c r="E23" s="193"/>
      <c r="F23" s="194"/>
      <c r="G23" s="194"/>
      <c r="H23" s="195"/>
      <c r="I23" s="195"/>
      <c r="J23" s="213"/>
      <c r="K23" s="248">
        <f>N23</f>
        <v>56697</v>
      </c>
      <c r="N23" s="196">
        <v>56697</v>
      </c>
      <c r="P23" s="224"/>
      <c r="Q23" s="196"/>
      <c r="S23" s="223">
        <f t="shared" si="1"/>
        <v>-56697</v>
      </c>
    </row>
    <row r="24" spans="1:19" ht="16.5" customHeight="1" x14ac:dyDescent="0.25">
      <c r="A24" s="99"/>
      <c r="B24" s="26"/>
      <c r="C24" s="26" t="s">
        <v>186</v>
      </c>
      <c r="D24" s="26"/>
      <c r="E24" s="193"/>
      <c r="F24" s="194"/>
      <c r="G24" s="194"/>
      <c r="H24" s="195"/>
      <c r="I24" s="195"/>
      <c r="J24" s="213"/>
      <c r="K24" s="248">
        <f>Q24</f>
        <v>0</v>
      </c>
      <c r="N24" s="196">
        <v>73</v>
      </c>
      <c r="P24" s="224"/>
      <c r="Q24" s="221">
        <f>IF(SUM($Q$20:$Q$23)&lt;SUM($P$15:$P$17),-SUM($Q$20:$Q$23)+SUM($P$15:$P$17),0)</f>
        <v>0</v>
      </c>
      <c r="S24" s="223">
        <f t="shared" si="1"/>
        <v>-73</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78444</v>
      </c>
      <c r="K26" s="155">
        <f>SUM(K15:K25)</f>
        <v>78444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17789</v>
      </c>
      <c r="K33" s="197"/>
    </row>
    <row r="34" spans="1:12" ht="16.5" customHeight="1" x14ac:dyDescent="0.25">
      <c r="A34" s="99"/>
      <c r="B34" s="26"/>
      <c r="C34" s="26" t="s">
        <v>1822</v>
      </c>
      <c r="D34" s="193"/>
      <c r="E34" s="193"/>
      <c r="F34" s="194"/>
      <c r="G34" s="194"/>
      <c r="H34" s="195"/>
      <c r="I34" s="195"/>
      <c r="J34" s="197"/>
      <c r="K34" s="196">
        <v>17789</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17789</v>
      </c>
      <c r="K36" s="155">
        <f>SUM(K33:K35)</f>
        <v>17789</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17789</v>
      </c>
      <c r="K41" s="197"/>
    </row>
    <row r="42" spans="1:12" ht="16.5" customHeight="1" x14ac:dyDescent="0.25">
      <c r="A42" s="99"/>
      <c r="B42" s="26"/>
      <c r="C42" s="26" t="s">
        <v>198</v>
      </c>
      <c r="D42" s="193"/>
      <c r="E42" s="193"/>
      <c r="F42" s="194"/>
      <c r="G42" s="194"/>
      <c r="H42" s="195"/>
      <c r="I42" s="195"/>
      <c r="J42" s="197"/>
      <c r="K42" s="196">
        <v>17789</v>
      </c>
    </row>
    <row r="43" spans="1:12" ht="16.5" customHeight="1" x14ac:dyDescent="0.25">
      <c r="A43" s="99"/>
      <c r="B43" s="182" t="s">
        <v>1692</v>
      </c>
      <c r="C43" s="43"/>
      <c r="D43" s="43"/>
      <c r="E43" s="43"/>
      <c r="F43" s="44"/>
      <c r="G43" s="44"/>
      <c r="H43" s="45"/>
      <c r="I43" s="45"/>
      <c r="J43" s="155">
        <f>SUM(J39:J42)</f>
        <v>17789</v>
      </c>
      <c r="K43" s="155">
        <f>SUM(K39:K42)</f>
        <v>17789</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17789</v>
      </c>
      <c r="K47" s="197"/>
    </row>
    <row r="48" spans="1:12" ht="16.5" customHeight="1" x14ac:dyDescent="0.25">
      <c r="A48" s="234" t="s">
        <v>1698</v>
      </c>
      <c r="B48" s="26"/>
      <c r="C48" s="26" t="s">
        <v>184</v>
      </c>
      <c r="D48" s="193"/>
      <c r="E48" s="193"/>
      <c r="F48" s="194"/>
      <c r="G48" s="194"/>
      <c r="H48" s="195"/>
      <c r="I48" s="195"/>
      <c r="J48" s="197"/>
      <c r="K48" s="196">
        <v>17789</v>
      </c>
    </row>
    <row r="49" spans="1:16" ht="16.5" customHeight="1" x14ac:dyDescent="0.25">
      <c r="A49" s="99"/>
      <c r="C49" s="43"/>
      <c r="D49" s="43"/>
      <c r="E49" s="43"/>
      <c r="F49" s="44"/>
      <c r="G49" s="44"/>
      <c r="H49" s="45"/>
      <c r="I49" s="45"/>
      <c r="J49" s="155">
        <f>SUM(J47:J48)</f>
        <v>17789</v>
      </c>
      <c r="K49" s="155">
        <f>SUM(K47:K48)</f>
        <v>17789</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11646</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11646</v>
      </c>
    </row>
    <row r="59" spans="1:16" ht="16.5" customHeight="1" x14ac:dyDescent="0.25">
      <c r="A59" s="99"/>
      <c r="C59" s="43"/>
      <c r="D59" s="43"/>
      <c r="E59" s="43"/>
      <c r="F59" s="44"/>
      <c r="G59" s="44"/>
      <c r="H59" s="45"/>
      <c r="I59" s="45"/>
      <c r="J59" s="155">
        <f>SUM(J55:J58)</f>
        <v>11646</v>
      </c>
      <c r="K59" s="155">
        <f>SUM(K55:K58)</f>
        <v>11646</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11933</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1301</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13234</v>
      </c>
    </row>
    <row r="65" spans="1:12" ht="16.5" customHeight="1" x14ac:dyDescent="0.25">
      <c r="A65" s="99"/>
      <c r="C65" s="43"/>
      <c r="D65" s="43"/>
      <c r="E65" s="43"/>
      <c r="F65" s="44"/>
      <c r="G65" s="44"/>
      <c r="H65" s="45"/>
      <c r="I65" s="45"/>
      <c r="J65" s="155">
        <f>SUM(J62:J64)</f>
        <v>13234</v>
      </c>
      <c r="K65" s="155">
        <f>SUM(K62:K64)</f>
        <v>13234</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11933</v>
      </c>
      <c r="K68" s="197"/>
    </row>
    <row r="69" spans="1:12" ht="16.5" customHeight="1" x14ac:dyDescent="0.25">
      <c r="A69" s="99"/>
      <c r="B69" s="26"/>
      <c r="C69" s="26" t="s">
        <v>203</v>
      </c>
      <c r="D69" s="193"/>
      <c r="E69" s="193"/>
      <c r="F69" s="194"/>
      <c r="G69" s="194"/>
      <c r="H69" s="195"/>
      <c r="I69" s="195"/>
      <c r="J69" s="197"/>
      <c r="K69" s="196">
        <v>11933</v>
      </c>
    </row>
    <row r="70" spans="1:12" ht="16.5" customHeight="1" x14ac:dyDescent="0.25">
      <c r="A70" s="99"/>
      <c r="C70" s="43"/>
      <c r="D70" s="43"/>
      <c r="E70" s="43"/>
      <c r="F70" s="44"/>
      <c r="G70" s="44"/>
      <c r="H70" s="45"/>
      <c r="I70" s="45"/>
      <c r="J70" s="155">
        <f>SUM(J68:J69)</f>
        <v>11933</v>
      </c>
      <c r="K70" s="155">
        <f>SUM(K68:K69)</f>
        <v>11933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10837</v>
      </c>
      <c r="K75" s="197"/>
    </row>
    <row r="76" spans="1:12" ht="16.5" customHeight="1" x14ac:dyDescent="0.25">
      <c r="A76" s="99"/>
      <c r="B76" s="26"/>
      <c r="C76" s="26" t="s">
        <v>211</v>
      </c>
      <c r="D76" s="193"/>
      <c r="E76" s="193"/>
      <c r="F76" s="194"/>
      <c r="G76" s="194"/>
      <c r="H76" s="195"/>
      <c r="I76" s="195"/>
      <c r="J76" s="197"/>
      <c r="K76" s="196">
        <v>10837</v>
      </c>
    </row>
    <row r="77" spans="1:12" ht="16.5" customHeight="1" x14ac:dyDescent="0.2">
      <c r="A77" s="99"/>
      <c r="B77" s="259" t="s">
        <v>1814</v>
      </c>
      <c r="C77" s="259"/>
      <c r="D77" s="259"/>
      <c r="E77" s="259"/>
      <c r="F77" s="259"/>
      <c r="G77" s="259"/>
      <c r="H77" s="259"/>
      <c r="I77" s="259"/>
      <c r="J77" s="155">
        <f>SUM(J75:J76)</f>
        <v>10837</v>
      </c>
      <c r="K77" s="155">
        <f>SUM(K75:K76)</f>
        <v>10837</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4253</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4253</v>
      </c>
    </row>
    <row r="91" spans="1:16" ht="16.5" customHeight="1" x14ac:dyDescent="0.25">
      <c r="B91" s="182" t="s">
        <v>1693</v>
      </c>
      <c r="H91" s="37"/>
      <c r="J91" s="156">
        <f>SUM(J85:J90)</f>
        <v>4253</v>
      </c>
      <c r="K91" s="156">
        <f>SUM(K85:K90)</f>
        <v>4253</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90340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-29140</v>
      </c>
    </row>
    <row r="128" spans="1:12" ht="16.5" customHeight="1" x14ac:dyDescent="0.25">
      <c r="D128" s="193" t="s">
        <v>1709</v>
      </c>
      <c r="H128" s="37"/>
      <c r="K128" s="238">
        <f>-K23-K48+J68+J75+J96-K113</f>
        <v>-51716</v>
      </c>
    </row>
    <row r="129" spans="4:11" ht="16.5" customHeight="1" x14ac:dyDescent="0.25">
      <c r="D129" s="193" t="s">
        <v>1710</v>
      </c>
      <c r="H129" s="37"/>
      <c r="K129" s="238">
        <f>-K76</f>
        <v>-10837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C16377C0-ABE0-42B2-8515-555F6ED03C02}">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1C5310B-E195-47D2-AA6A-624EF0A0C73E}">
      <formula1>0</formula1>
    </dataValidation>
    <dataValidation operator="lessThan" allowBlank="1" showInputMessage="1" showErrorMessage="1" sqref="A3:A8" xr:uid="{0AA816E2-D416-4371-A935-7A04B5164B3F}"/>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F0C1683-CD94-4466-AD33-736E0F553387}">
          <x14:formula1>
            <xm:f>'Drop Down Menus'!$E$1:$E$3</xm:f>
          </x14:formula1>
          <xm:sqref>F8</xm:sqref>
        </x14:dataValidation>
        <x14:dataValidation type="list" allowBlank="1" showInputMessage="1" showErrorMessage="1" xr:uid="{834247F4-B9FF-46D3-A32D-A7BD28B3A3E8}">
          <x14:formula1>
            <xm:f>'Drop Down Menus'!$B$1:$B$2</xm:f>
          </x14:formula1>
          <xm:sqref>F7</xm:sqref>
        </x14:dataValidation>
        <x14:dataValidation type="list" allowBlank="1" showInputMessage="1" showErrorMessage="1" xr:uid="{0867DE49-16CB-4673-AF24-21655EA3C74E}">
          <x14:formula1>
            <xm:f>'Drop Down Menus'!$A$1:$A$101</xm:f>
          </x14:formula1>
          <xm:sqref>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81116-48C8-430C-913B-B090F3B2F8DF}">
  <sheetPr codeName="Sheet11">
    <tabColor rgb="FF00B050"/>
    <pageSetUpPr fitToPage="1"/>
  </sheetPr>
  <dimension ref="A1:S193"/>
  <sheetViews>
    <sheetView topLeftCell="A40" zoomScale="70" zoomScaleNormal="70" workbookViewId="0">
      <selection activeCell="R36" sqref="R36"/>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6001</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0</v>
      </c>
      <c r="M17" s="196"/>
      <c r="P17" s="250">
        <v>45411</v>
      </c>
      <c r="Q17" s="224"/>
      <c r="S17" s="223">
        <f t="shared" si="0"/>
        <v>45411</v>
      </c>
    </row>
    <row r="18" spans="1:19" ht="16.5" customHeight="1" x14ac:dyDescent="0.25">
      <c r="A18" s="99"/>
      <c r="B18" s="26" t="s">
        <v>179</v>
      </c>
      <c r="C18" s="26"/>
      <c r="D18" s="26"/>
      <c r="E18" s="193"/>
      <c r="F18" s="194"/>
      <c r="G18" s="194"/>
      <c r="H18" s="195"/>
      <c r="I18" s="195"/>
      <c r="J18" s="248">
        <f>P18</f>
        <v>970</v>
      </c>
      <c r="M18" s="196"/>
      <c r="P18" s="221">
        <f>IF(SUM($Q$20:$Q$23)&gt;SUM($P$15:$P$17),SUM($Q$20:$Q$23)-SUM($P$15:$P$17),0)</f>
        <v>970</v>
      </c>
      <c r="Q18" s="224"/>
      <c r="S18" s="223">
        <f t="shared" si="0"/>
        <v>970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0</v>
      </c>
      <c r="N22" s="196"/>
      <c r="P22" s="224"/>
      <c r="Q22" s="196">
        <v>12858</v>
      </c>
      <c r="S22" s="223">
        <f t="shared" ref="S22:S25" si="1">Q22-N22</f>
        <v>12858</v>
      </c>
    </row>
    <row r="23" spans="1:19" ht="16.5" customHeight="1" x14ac:dyDescent="0.25">
      <c r="A23" s="234" t="s">
        <v>1698</v>
      </c>
      <c r="B23" s="26"/>
      <c r="C23" s="26" t="s">
        <v>184</v>
      </c>
      <c r="D23" s="26"/>
      <c r="E23" s="193"/>
      <c r="F23" s="194"/>
      <c r="G23" s="194"/>
      <c r="H23" s="195"/>
      <c r="I23" s="195"/>
      <c r="J23" s="213"/>
      <c r="K23" s="248">
        <f>N23</f>
        <v>0</v>
      </c>
      <c r="N23" s="196"/>
      <c r="P23" s="224"/>
      <c r="Q23" s="250">
        <v>33523</v>
      </c>
      <c r="S23" s="223">
        <f t="shared" si="1"/>
        <v>33523</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970</v>
      </c>
      <c r="N25" s="196"/>
      <c r="P25" s="224"/>
      <c r="Q25" s="224"/>
      <c r="S25" s="223">
        <f t="shared" si="1"/>
        <v>0</v>
      </c>
    </row>
    <row r="26" spans="1:19" ht="16.5" customHeight="1" x14ac:dyDescent="0.25">
      <c r="A26" s="99"/>
      <c r="C26" s="47"/>
      <c r="D26" s="47"/>
      <c r="E26" s="47"/>
      <c r="F26" s="179"/>
      <c r="G26" s="179"/>
      <c r="H26" s="49"/>
      <c r="I26" s="49"/>
      <c r="J26" s="155">
        <f>SUM(J15:J25)</f>
        <v>970</v>
      </c>
      <c r="K26" s="155">
        <f>SUM(K15:K25)</f>
        <v>970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1822</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c r="K68" s="197"/>
    </row>
    <row r="69" spans="1:12" ht="16.5" customHeight="1" x14ac:dyDescent="0.25">
      <c r="A69" s="99"/>
      <c r="B69" s="26"/>
      <c r="C69" s="26" t="s">
        <v>203</v>
      </c>
      <c r="D69" s="193"/>
      <c r="E69" s="193"/>
      <c r="F69" s="194"/>
      <c r="G69" s="194"/>
      <c r="H69" s="195"/>
      <c r="I69" s="195"/>
      <c r="J69" s="197"/>
      <c r="K69" s="196"/>
    </row>
    <row r="70" spans="1:12" ht="16.5" customHeight="1" x14ac:dyDescent="0.25">
      <c r="A70" s="99"/>
      <c r="C70" s="43"/>
      <c r="D70" s="43"/>
      <c r="E70" s="43"/>
      <c r="F70" s="44"/>
      <c r="G70" s="44"/>
      <c r="H70" s="45"/>
      <c r="I70" s="45"/>
      <c r="J70" s="155">
        <f>SUM(J68:J69)</f>
        <v>0</v>
      </c>
      <c r="K70" s="155">
        <f>SUM(K68:K69)</f>
        <v>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c r="K75" s="197"/>
    </row>
    <row r="76" spans="1:12" ht="16.5" customHeight="1" x14ac:dyDescent="0.25">
      <c r="A76" s="99"/>
      <c r="B76" s="26"/>
      <c r="C76" s="26" t="s">
        <v>211</v>
      </c>
      <c r="D76" s="193"/>
      <c r="E76" s="193"/>
      <c r="F76" s="194"/>
      <c r="G76" s="194"/>
      <c r="H76" s="195"/>
      <c r="I76" s="195"/>
      <c r="J76" s="197"/>
      <c r="K76" s="196"/>
    </row>
    <row r="77" spans="1:12" ht="16.5" customHeight="1" x14ac:dyDescent="0.2">
      <c r="A77" s="99"/>
      <c r="B77" s="259" t="s">
        <v>1814</v>
      </c>
      <c r="C77" s="259"/>
      <c r="D77" s="259"/>
      <c r="E77" s="259"/>
      <c r="F77" s="259"/>
      <c r="G77" s="259"/>
      <c r="H77" s="259"/>
      <c r="I77" s="259"/>
      <c r="J77" s="155">
        <f>SUM(J75:J76)</f>
        <v>0</v>
      </c>
      <c r="K77" s="155">
        <f>SUM(K75:K76)</f>
        <v>0</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0</v>
      </c>
    </row>
    <row r="128" spans="1:12" ht="16.5" customHeight="1" x14ac:dyDescent="0.25">
      <c r="D128" s="193" t="s">
        <v>1709</v>
      </c>
      <c r="H128" s="37"/>
      <c r="K128" s="238">
        <f>-K23-K48+J68+J75+J96-K113</f>
        <v>0</v>
      </c>
    </row>
    <row r="129" spans="4:11" ht="16.5" customHeight="1" x14ac:dyDescent="0.25">
      <c r="D129" s="193" t="s">
        <v>1710</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FAF81A16-8597-47D0-8F54-504ACD76F457}">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9728B6B-C5F3-4952-88F9-BD392E80487B}">
      <formula1>0</formula1>
    </dataValidation>
    <dataValidation operator="lessThan" allowBlank="1" showInputMessage="1" showErrorMessage="1" sqref="A3:A8" xr:uid="{672CBC52-31DE-45CC-A3D5-D3380D772B3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51C1641-EC22-48B7-9977-02BB11086BBC}">
          <x14:formula1>
            <xm:f>'Drop Down Menus'!$E$1:$E$3</xm:f>
          </x14:formula1>
          <xm:sqref>F8</xm:sqref>
        </x14:dataValidation>
        <x14:dataValidation type="list" allowBlank="1" showInputMessage="1" showErrorMessage="1" xr:uid="{FD2E700D-642D-4D8B-82A4-A31BCFCCBDA1}">
          <x14:formula1>
            <xm:f>'Drop Down Menus'!$B$1:$B$2</xm:f>
          </x14:formula1>
          <xm:sqref>F7</xm:sqref>
        </x14:dataValidation>
        <x14:dataValidation type="list" allowBlank="1" showInputMessage="1" showErrorMessage="1" xr:uid="{29DAF624-1673-48AB-AD1F-0F2CC105EF42}">
          <x14:formula1>
            <xm:f>'Drop Down Menus'!$A$1:$A$101</xm:f>
          </x14:formula1>
          <xm:sqref>F3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C483-1E49-441C-9751-0BFC63F4319D}">
  <sheetPr codeName="Sheet12">
    <tabColor rgb="FF00B050"/>
    <pageSetUpPr fitToPage="1"/>
  </sheetPr>
  <dimension ref="A1:S193"/>
  <sheetViews>
    <sheetView topLeftCell="A45" zoomScale="70" zoomScaleNormal="70" workbookViewId="0">
      <selection activeCell="M125" sqref="M125"/>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6005</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397</v>
      </c>
      <c r="M17" s="196">
        <v>397</v>
      </c>
      <c r="P17" s="196">
        <v>12976</v>
      </c>
      <c r="Q17" s="224"/>
      <c r="S17" s="223">
        <f t="shared" si="0"/>
        <v>12579</v>
      </c>
    </row>
    <row r="18" spans="1:19" ht="16.5" customHeight="1" x14ac:dyDescent="0.25">
      <c r="A18" s="99"/>
      <c r="B18" s="26" t="s">
        <v>179</v>
      </c>
      <c r="C18" s="26"/>
      <c r="D18" s="26"/>
      <c r="E18" s="193"/>
      <c r="F18" s="194"/>
      <c r="G18" s="194"/>
      <c r="H18" s="195"/>
      <c r="I18" s="195"/>
      <c r="J18" s="248">
        <f>P18</f>
        <v>276</v>
      </c>
      <c r="M18" s="196">
        <v>9</v>
      </c>
      <c r="P18" s="221">
        <f>IF(SUM($Q$20:$Q$23)&gt;SUM($P$15:$P$17),SUM($Q$20:$Q$23)-SUM($P$15:$P$17),0)</f>
        <v>276</v>
      </c>
      <c r="Q18" s="224"/>
      <c r="S18" s="223">
        <f t="shared" si="0"/>
        <v>267</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113</v>
      </c>
      <c r="N22" s="196">
        <v>113</v>
      </c>
      <c r="P22" s="224"/>
      <c r="Q22" s="196">
        <v>3674</v>
      </c>
      <c r="S22" s="223">
        <f t="shared" ref="S22:S25" si="1">Q22-N22</f>
        <v>3561</v>
      </c>
    </row>
    <row r="23" spans="1:19" ht="16.5" customHeight="1" x14ac:dyDescent="0.25">
      <c r="A23" s="234" t="s">
        <v>1698</v>
      </c>
      <c r="B23" s="26"/>
      <c r="C23" s="26" t="s">
        <v>184</v>
      </c>
      <c r="D23" s="26"/>
      <c r="E23" s="193"/>
      <c r="F23" s="194"/>
      <c r="G23" s="194"/>
      <c r="H23" s="195"/>
      <c r="I23" s="195"/>
      <c r="J23" s="213"/>
      <c r="K23" s="248">
        <f>N23</f>
        <v>293</v>
      </c>
      <c r="N23" s="196">
        <v>293</v>
      </c>
      <c r="P23" s="224"/>
      <c r="Q23" s="196">
        <v>9578</v>
      </c>
      <c r="S23" s="223">
        <f t="shared" si="1"/>
        <v>9285</v>
      </c>
    </row>
    <row r="24" spans="1:19" ht="16.5" customHeight="1" x14ac:dyDescent="0.25">
      <c r="A24" s="99"/>
      <c r="B24" s="26"/>
      <c r="C24" s="26" t="s">
        <v>186</v>
      </c>
      <c r="D24" s="26"/>
      <c r="E24" s="193"/>
      <c r="F24" s="194"/>
      <c r="G24" s="194"/>
      <c r="H24" s="195"/>
      <c r="I24" s="195"/>
      <c r="J24" s="213"/>
      <c r="K24" s="248">
        <f>Q24</f>
        <v>0</v>
      </c>
      <c r="N24" s="196">
        <v>0</v>
      </c>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267</v>
      </c>
      <c r="N25" s="196">
        <v>0</v>
      </c>
      <c r="P25" s="224"/>
      <c r="Q25" s="224"/>
      <c r="S25" s="223">
        <f t="shared" si="1"/>
        <v>0</v>
      </c>
    </row>
    <row r="26" spans="1:19" ht="16.5" customHeight="1" x14ac:dyDescent="0.25">
      <c r="A26" s="99"/>
      <c r="C26" s="47"/>
      <c r="D26" s="47"/>
      <c r="E26" s="47"/>
      <c r="F26" s="179"/>
      <c r="G26" s="179"/>
      <c r="H26" s="49"/>
      <c r="I26" s="49"/>
      <c r="J26" s="155">
        <f>SUM(J15:J25)</f>
        <v>673</v>
      </c>
      <c r="K26" s="155">
        <f>SUM(K15:K25)</f>
        <v>673</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92</v>
      </c>
      <c r="K33" s="197"/>
    </row>
    <row r="34" spans="1:12" ht="16.5" customHeight="1" x14ac:dyDescent="0.25">
      <c r="A34" s="99"/>
      <c r="B34" s="26"/>
      <c r="C34" s="26" t="s">
        <v>1822</v>
      </c>
      <c r="D34" s="193"/>
      <c r="E34" s="193"/>
      <c r="F34" s="194"/>
      <c r="G34" s="194"/>
      <c r="H34" s="195"/>
      <c r="I34" s="195"/>
      <c r="J34" s="197"/>
      <c r="K34" s="196">
        <v>92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92</v>
      </c>
      <c r="K36" s="155">
        <f>SUM(K33:K35)</f>
        <v>92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92</v>
      </c>
      <c r="K41" s="197"/>
    </row>
    <row r="42" spans="1:12" ht="16.5" customHeight="1" x14ac:dyDescent="0.25">
      <c r="A42" s="99"/>
      <c r="B42" s="26"/>
      <c r="C42" s="26" t="s">
        <v>198</v>
      </c>
      <c r="D42" s="193"/>
      <c r="E42" s="193"/>
      <c r="F42" s="194"/>
      <c r="G42" s="194"/>
      <c r="H42" s="195"/>
      <c r="I42" s="195"/>
      <c r="J42" s="197"/>
      <c r="K42" s="196">
        <v>92</v>
      </c>
    </row>
    <row r="43" spans="1:12" ht="16.5" customHeight="1" x14ac:dyDescent="0.25">
      <c r="A43" s="99"/>
      <c r="B43" s="182" t="s">
        <v>1692</v>
      </c>
      <c r="C43" s="43"/>
      <c r="D43" s="43"/>
      <c r="E43" s="43"/>
      <c r="F43" s="44"/>
      <c r="G43" s="44"/>
      <c r="H43" s="45"/>
      <c r="I43" s="45"/>
      <c r="J43" s="155">
        <f>SUM(J39:J42)</f>
        <v>92</v>
      </c>
      <c r="K43" s="155">
        <f>SUM(K39:K42)</f>
        <v>92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92</v>
      </c>
      <c r="K47" s="197"/>
    </row>
    <row r="48" spans="1:12" ht="16.5" customHeight="1" x14ac:dyDescent="0.25">
      <c r="A48" s="234" t="s">
        <v>1698</v>
      </c>
      <c r="B48" s="26"/>
      <c r="C48" s="26" t="s">
        <v>184</v>
      </c>
      <c r="D48" s="193"/>
      <c r="E48" s="193"/>
      <c r="F48" s="194"/>
      <c r="G48" s="194"/>
      <c r="H48" s="195"/>
      <c r="I48" s="195"/>
      <c r="J48" s="197"/>
      <c r="K48" s="196">
        <v>92</v>
      </c>
    </row>
    <row r="49" spans="1:16" ht="16.5" customHeight="1" x14ac:dyDescent="0.25">
      <c r="A49" s="99"/>
      <c r="C49" s="43"/>
      <c r="D49" s="43"/>
      <c r="E49" s="43"/>
      <c r="F49" s="44"/>
      <c r="G49" s="44"/>
      <c r="H49" s="45"/>
      <c r="I49" s="45"/>
      <c r="J49" s="155">
        <f>SUM(J47:J48)</f>
        <v>92</v>
      </c>
      <c r="K49" s="155">
        <f>SUM(K47:K48)</f>
        <v>92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60</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60</v>
      </c>
    </row>
    <row r="59" spans="1:16" ht="16.5" customHeight="1" x14ac:dyDescent="0.25">
      <c r="A59" s="99"/>
      <c r="C59" s="43"/>
      <c r="D59" s="43"/>
      <c r="E59" s="43"/>
      <c r="F59" s="44"/>
      <c r="G59" s="44"/>
      <c r="H59" s="45"/>
      <c r="I59" s="45"/>
      <c r="J59" s="155">
        <f>SUM(J55:J58)</f>
        <v>60</v>
      </c>
      <c r="K59" s="155">
        <f>SUM(K55:K58)</f>
        <v>60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55</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7</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62</v>
      </c>
    </row>
    <row r="65" spans="1:12" ht="16.5" customHeight="1" x14ac:dyDescent="0.25">
      <c r="A65" s="99"/>
      <c r="C65" s="43"/>
      <c r="D65" s="43"/>
      <c r="E65" s="43"/>
      <c r="F65" s="44"/>
      <c r="G65" s="44"/>
      <c r="H65" s="45"/>
      <c r="I65" s="45"/>
      <c r="J65" s="155">
        <f>SUM(J62:J64)</f>
        <v>62</v>
      </c>
      <c r="K65" s="155">
        <f>SUM(K62:K64)</f>
        <v>62</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55</v>
      </c>
      <c r="K68" s="197"/>
    </row>
    <row r="69" spans="1:12" ht="16.5" customHeight="1" x14ac:dyDescent="0.25">
      <c r="A69" s="99"/>
      <c r="B69" s="26"/>
      <c r="C69" s="26" t="s">
        <v>203</v>
      </c>
      <c r="D69" s="193"/>
      <c r="E69" s="193"/>
      <c r="F69" s="194"/>
      <c r="G69" s="194"/>
      <c r="H69" s="195"/>
      <c r="I69" s="195"/>
      <c r="J69" s="197"/>
      <c r="K69" s="196">
        <v>55</v>
      </c>
    </row>
    <row r="70" spans="1:12" ht="16.5" customHeight="1" x14ac:dyDescent="0.25">
      <c r="A70" s="99"/>
      <c r="C70" s="43"/>
      <c r="D70" s="43"/>
      <c r="E70" s="43"/>
      <c r="F70" s="44"/>
      <c r="G70" s="44"/>
      <c r="H70" s="45"/>
      <c r="I70" s="45"/>
      <c r="J70" s="155">
        <f>SUM(J68:J69)</f>
        <v>55</v>
      </c>
      <c r="K70" s="155">
        <f>SUM(K68:K69)</f>
        <v>55</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56</v>
      </c>
      <c r="K75" s="197"/>
    </row>
    <row r="76" spans="1:12" ht="16.5" customHeight="1" x14ac:dyDescent="0.25">
      <c r="A76" s="99"/>
      <c r="B76" s="26"/>
      <c r="C76" s="26" t="s">
        <v>211</v>
      </c>
      <c r="D76" s="193"/>
      <c r="E76" s="193"/>
      <c r="F76" s="194"/>
      <c r="G76" s="194"/>
      <c r="H76" s="195"/>
      <c r="I76" s="195"/>
      <c r="J76" s="197"/>
      <c r="K76" s="196">
        <v>56</v>
      </c>
    </row>
    <row r="77" spans="1:12" ht="16.5" customHeight="1" x14ac:dyDescent="0.2">
      <c r="A77" s="99"/>
      <c r="B77" s="259" t="s">
        <v>1814</v>
      </c>
      <c r="C77" s="259"/>
      <c r="D77" s="259"/>
      <c r="E77" s="259"/>
      <c r="F77" s="259"/>
      <c r="G77" s="259"/>
      <c r="H77" s="259"/>
      <c r="I77" s="259"/>
      <c r="J77" s="155">
        <f>SUM(J75:J76)</f>
        <v>56</v>
      </c>
      <c r="K77" s="155">
        <f>SUM(K75:K76)</f>
        <v>56</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22</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22</v>
      </c>
    </row>
    <row r="91" spans="1:16" ht="16.5" customHeight="1" x14ac:dyDescent="0.25">
      <c r="B91" s="182" t="s">
        <v>1693</v>
      </c>
      <c r="H91" s="37"/>
      <c r="J91" s="156">
        <f>SUM(J85:J90)</f>
        <v>22</v>
      </c>
      <c r="K91" s="156">
        <f>SUM(K85:K90)</f>
        <v>22</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467</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-151</v>
      </c>
    </row>
    <row r="128" spans="1:12" ht="16.5" customHeight="1" x14ac:dyDescent="0.25">
      <c r="D128" s="193" t="s">
        <v>1709</v>
      </c>
      <c r="H128" s="37"/>
      <c r="K128" s="238">
        <f>-K23-K48+J68+J75+J96-K113</f>
        <v>-274</v>
      </c>
    </row>
    <row r="129" spans="4:11" ht="16.5" customHeight="1" x14ac:dyDescent="0.25">
      <c r="D129" s="193" t="s">
        <v>1710</v>
      </c>
      <c r="H129" s="37"/>
      <c r="K129" s="238">
        <f>-K76</f>
        <v>-56</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BC518D58-8CDE-4983-98FC-D4DA6176AA9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B6510B4-C516-4FA5-A354-7C8D6976A9A8}">
      <formula1>0</formula1>
    </dataValidation>
    <dataValidation operator="lessThan" allowBlank="1" showInputMessage="1" showErrorMessage="1" sqref="A3:A8" xr:uid="{CFC12E3A-12E7-4C47-B48C-C7AE4E1E8E37}"/>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71D6D2E-C478-4941-BBFB-C6D7067E725E}">
          <x14:formula1>
            <xm:f>'Drop Down Menus'!$E$1:$E$3</xm:f>
          </x14:formula1>
          <xm:sqref>F8</xm:sqref>
        </x14:dataValidation>
        <x14:dataValidation type="list" allowBlank="1" showInputMessage="1" showErrorMessage="1" xr:uid="{5308DD3F-E75A-4BB8-B455-E5E4B7A49311}">
          <x14:formula1>
            <xm:f>'Drop Down Menus'!$B$1:$B$2</xm:f>
          </x14:formula1>
          <xm:sqref>F7</xm:sqref>
        </x14:dataValidation>
        <x14:dataValidation type="list" allowBlank="1" showInputMessage="1" showErrorMessage="1" xr:uid="{D8A387D0-E06F-47D4-BFBC-D23C2833D4BC}">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D0D8-CE1B-4F48-9140-0D785E3E5850}">
  <sheetPr>
    <tabColor rgb="FF00B050"/>
    <pageSetUpPr fitToPage="1"/>
  </sheetPr>
  <dimension ref="A1:S193"/>
  <sheetViews>
    <sheetView topLeftCell="A9" zoomScale="70" zoomScaleNormal="70" workbookViewId="0">
      <selection activeCell="A45" sqref="A45"/>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6026</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20000</v>
      </c>
      <c r="M17" s="196">
        <v>20000</v>
      </c>
      <c r="P17" s="196"/>
      <c r="Q17" s="224"/>
      <c r="S17" s="223">
        <f t="shared" si="0"/>
        <v>-20000</v>
      </c>
    </row>
    <row r="18" spans="1:19" ht="16.5" customHeight="1" x14ac:dyDescent="0.25">
      <c r="A18" s="99"/>
      <c r="B18" s="26" t="s">
        <v>179</v>
      </c>
      <c r="C18" s="26"/>
      <c r="D18" s="26"/>
      <c r="E18" s="193"/>
      <c r="F18" s="194"/>
      <c r="G18" s="194"/>
      <c r="H18" s="195"/>
      <c r="I18" s="195"/>
      <c r="J18" s="248">
        <f>P18</f>
        <v>0</v>
      </c>
      <c r="M18" s="196">
        <v>446</v>
      </c>
      <c r="P18" s="221">
        <f>IF(SUM($Q$20:$Q$23)&gt;SUM($P$15:$P$17),SUM($Q$20:$Q$23)-SUM($P$15:$P$17),0)</f>
        <v>0</v>
      </c>
      <c r="Q18" s="224"/>
      <c r="S18" s="223">
        <f t="shared" si="0"/>
        <v>-446</v>
      </c>
    </row>
    <row r="19" spans="1:19" ht="16.5" customHeight="1" x14ac:dyDescent="0.25">
      <c r="A19" s="99"/>
      <c r="B19" s="26" t="s">
        <v>180</v>
      </c>
      <c r="C19" s="26"/>
      <c r="D19" s="26"/>
      <c r="E19" s="193"/>
      <c r="F19" s="194"/>
      <c r="G19" s="194"/>
      <c r="H19" s="195"/>
      <c r="I19" s="195"/>
      <c r="J19" s="248">
        <f>IF(SUM($K$20:$K$24)&gt;SUM($J$15:$J$18),SUM($K$20:$K$24)-SUM($J$15:$J$18),0)</f>
        <v>427</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5663</v>
      </c>
      <c r="N22" s="196">
        <v>5663</v>
      </c>
      <c r="P22" s="224"/>
      <c r="Q22" s="196"/>
      <c r="S22" s="223">
        <f t="shared" ref="S22:S25" si="1">Q22-N22</f>
        <v>-5663</v>
      </c>
    </row>
    <row r="23" spans="1:19" ht="16.5" customHeight="1" x14ac:dyDescent="0.25">
      <c r="A23" s="234" t="s">
        <v>1698</v>
      </c>
      <c r="B23" s="26"/>
      <c r="C23" s="26" t="s">
        <v>184</v>
      </c>
      <c r="D23" s="26"/>
      <c r="E23" s="193"/>
      <c r="F23" s="194"/>
      <c r="G23" s="194"/>
      <c r="H23" s="195"/>
      <c r="I23" s="195"/>
      <c r="J23" s="213"/>
      <c r="K23" s="248">
        <f>N23</f>
        <v>14764</v>
      </c>
      <c r="N23" s="196">
        <v>14764</v>
      </c>
      <c r="P23" s="224"/>
      <c r="Q23" s="196"/>
      <c r="S23" s="223">
        <f t="shared" si="1"/>
        <v>-14764</v>
      </c>
    </row>
    <row r="24" spans="1:19" ht="16.5" customHeight="1" x14ac:dyDescent="0.25">
      <c r="A24" s="99"/>
      <c r="B24" s="26"/>
      <c r="C24" s="26" t="s">
        <v>186</v>
      </c>
      <c r="D24" s="26"/>
      <c r="E24" s="193"/>
      <c r="F24" s="194"/>
      <c r="G24" s="194"/>
      <c r="H24" s="195"/>
      <c r="I24" s="195"/>
      <c r="J24" s="213"/>
      <c r="K24" s="248">
        <f>Q24</f>
        <v>0</v>
      </c>
      <c r="N24" s="196">
        <v>19</v>
      </c>
      <c r="P24" s="224"/>
      <c r="Q24" s="221">
        <f>IF(SUM($Q$20:$Q$23)&lt;SUM($P$15:$P$17),-SUM($Q$20:$Q$23)+SUM($P$15:$P$17),0)</f>
        <v>0</v>
      </c>
      <c r="S24" s="223">
        <f t="shared" si="1"/>
        <v>-19</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20427</v>
      </c>
      <c r="K26" s="155">
        <f>SUM(K15:K25)</f>
        <v>20427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4632</v>
      </c>
      <c r="K33" s="197"/>
    </row>
    <row r="34" spans="1:12" ht="16.5" customHeight="1" x14ac:dyDescent="0.25">
      <c r="A34" s="99"/>
      <c r="B34" s="26"/>
      <c r="C34" s="26" t="s">
        <v>1822</v>
      </c>
      <c r="D34" s="193"/>
      <c r="E34" s="193"/>
      <c r="F34" s="194"/>
      <c r="G34" s="194"/>
      <c r="H34" s="195"/>
      <c r="I34" s="195"/>
      <c r="J34" s="197"/>
      <c r="K34" s="196">
        <v>4632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4632</v>
      </c>
      <c r="K36" s="155">
        <f>SUM(K33:K35)</f>
        <v>4632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4632</v>
      </c>
      <c r="K41" s="197"/>
    </row>
    <row r="42" spans="1:12" ht="16.5" customHeight="1" x14ac:dyDescent="0.25">
      <c r="A42" s="99"/>
      <c r="B42" s="26"/>
      <c r="C42" s="26" t="s">
        <v>198</v>
      </c>
      <c r="D42" s="193"/>
      <c r="E42" s="193"/>
      <c r="F42" s="194"/>
      <c r="G42" s="194"/>
      <c r="H42" s="195"/>
      <c r="I42" s="195"/>
      <c r="J42" s="197"/>
      <c r="K42" s="196">
        <v>4632</v>
      </c>
    </row>
    <row r="43" spans="1:12" ht="16.5" customHeight="1" x14ac:dyDescent="0.25">
      <c r="A43" s="99"/>
      <c r="B43" s="182" t="s">
        <v>1692</v>
      </c>
      <c r="C43" s="43"/>
      <c r="D43" s="43"/>
      <c r="E43" s="43"/>
      <c r="F43" s="44"/>
      <c r="G43" s="44"/>
      <c r="H43" s="45"/>
      <c r="I43" s="45"/>
      <c r="J43" s="155">
        <f>SUM(J39:J42)</f>
        <v>4632</v>
      </c>
      <c r="K43" s="155">
        <f>SUM(K39:K42)</f>
        <v>4632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4632</v>
      </c>
      <c r="K47" s="197"/>
    </row>
    <row r="48" spans="1:12" ht="16.5" customHeight="1" x14ac:dyDescent="0.25">
      <c r="A48" s="234" t="s">
        <v>1698</v>
      </c>
      <c r="B48" s="26"/>
      <c r="C48" s="26" t="s">
        <v>184</v>
      </c>
      <c r="D48" s="193"/>
      <c r="E48" s="193"/>
      <c r="F48" s="194"/>
      <c r="G48" s="194"/>
      <c r="H48" s="195"/>
      <c r="I48" s="195"/>
      <c r="J48" s="197"/>
      <c r="K48" s="196">
        <v>4632</v>
      </c>
    </row>
    <row r="49" spans="1:16" ht="16.5" customHeight="1" x14ac:dyDescent="0.25">
      <c r="A49" s="99"/>
      <c r="C49" s="43"/>
      <c r="D49" s="43"/>
      <c r="E49" s="43"/>
      <c r="F49" s="44"/>
      <c r="G49" s="44"/>
      <c r="H49" s="45"/>
      <c r="I49" s="45"/>
      <c r="J49" s="155">
        <f>SUM(J47:J48)</f>
        <v>4632</v>
      </c>
      <c r="K49" s="155">
        <f>SUM(K47:K48)</f>
        <v>4632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3033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3033</v>
      </c>
    </row>
    <row r="59" spans="1:16" ht="16.5" customHeight="1" x14ac:dyDescent="0.25">
      <c r="A59" s="99"/>
      <c r="C59" s="43"/>
      <c r="D59" s="43"/>
      <c r="E59" s="43"/>
      <c r="F59" s="44"/>
      <c r="G59" s="44"/>
      <c r="H59" s="45"/>
      <c r="I59" s="45"/>
      <c r="J59" s="155">
        <f>SUM(J55:J58)</f>
        <v>3033</v>
      </c>
      <c r="K59" s="155">
        <f>SUM(K55:K58)</f>
        <v>3033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2757</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339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3096</v>
      </c>
    </row>
    <row r="65" spans="1:12" ht="16.5" customHeight="1" x14ac:dyDescent="0.25">
      <c r="A65" s="99"/>
      <c r="C65" s="43"/>
      <c r="D65" s="43"/>
      <c r="E65" s="43"/>
      <c r="F65" s="44"/>
      <c r="G65" s="44"/>
      <c r="H65" s="45"/>
      <c r="I65" s="45"/>
      <c r="J65" s="155">
        <f>SUM(J62:J64)</f>
        <v>3096</v>
      </c>
      <c r="K65" s="155">
        <f>SUM(K62:K64)</f>
        <v>3096</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2757</v>
      </c>
      <c r="K68" s="197"/>
    </row>
    <row r="69" spans="1:12" ht="16.5" customHeight="1" x14ac:dyDescent="0.25">
      <c r="A69" s="99"/>
      <c r="B69" s="26"/>
      <c r="C69" s="26" t="s">
        <v>203</v>
      </c>
      <c r="D69" s="193"/>
      <c r="E69" s="193"/>
      <c r="F69" s="194"/>
      <c r="G69" s="194"/>
      <c r="H69" s="195"/>
      <c r="I69" s="195"/>
      <c r="J69" s="197"/>
      <c r="K69" s="196">
        <v>2757</v>
      </c>
    </row>
    <row r="70" spans="1:12" ht="16.5" customHeight="1" x14ac:dyDescent="0.25">
      <c r="A70" s="99"/>
      <c r="C70" s="43"/>
      <c r="D70" s="43"/>
      <c r="E70" s="43"/>
      <c r="F70" s="44"/>
      <c r="G70" s="44"/>
      <c r="H70" s="45"/>
      <c r="I70" s="45"/>
      <c r="J70" s="155">
        <f>SUM(J68:J69)</f>
        <v>2757</v>
      </c>
      <c r="K70" s="155">
        <f>SUM(K68:K69)</f>
        <v>2757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2822</v>
      </c>
      <c r="K75" s="197"/>
    </row>
    <row r="76" spans="1:12" ht="16.5" customHeight="1" x14ac:dyDescent="0.25">
      <c r="A76" s="99"/>
      <c r="B76" s="26"/>
      <c r="C76" s="26" t="s">
        <v>211</v>
      </c>
      <c r="D76" s="193"/>
      <c r="E76" s="193"/>
      <c r="F76" s="194"/>
      <c r="G76" s="194"/>
      <c r="H76" s="195"/>
      <c r="I76" s="195"/>
      <c r="J76" s="197"/>
      <c r="K76" s="196">
        <v>2822</v>
      </c>
    </row>
    <row r="77" spans="1:12" ht="16.5" customHeight="1" x14ac:dyDescent="0.2">
      <c r="A77" s="99"/>
      <c r="B77" s="259" t="s">
        <v>1814</v>
      </c>
      <c r="C77" s="259"/>
      <c r="D77" s="259"/>
      <c r="E77" s="259"/>
      <c r="F77" s="259"/>
      <c r="G77" s="259"/>
      <c r="H77" s="259"/>
      <c r="I77" s="259"/>
      <c r="J77" s="155">
        <f>SUM(J75:J76)</f>
        <v>2822</v>
      </c>
      <c r="K77" s="155">
        <f>SUM(K75:K76)</f>
        <v>2822</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1108</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1108</v>
      </c>
    </row>
    <row r="91" spans="1:16" ht="16.5" customHeight="1" x14ac:dyDescent="0.25">
      <c r="B91" s="182" t="s">
        <v>1693</v>
      </c>
      <c r="H91" s="37"/>
      <c r="J91" s="156">
        <f>SUM(J85:J90)</f>
        <v>1108</v>
      </c>
      <c r="K91" s="156">
        <f>SUM(K85:K90)</f>
        <v>1108</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23524</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-7588</v>
      </c>
    </row>
    <row r="128" spans="1:12" ht="16.5" customHeight="1" x14ac:dyDescent="0.25">
      <c r="D128" s="193" t="s">
        <v>1709</v>
      </c>
      <c r="H128" s="37"/>
      <c r="K128" s="238">
        <f>-K23-K48+J68+J75+J96-K113</f>
        <v>-13817</v>
      </c>
    </row>
    <row r="129" spans="4:11" ht="16.5" customHeight="1" x14ac:dyDescent="0.25">
      <c r="D129" s="193" t="s">
        <v>1710</v>
      </c>
      <c r="H129" s="37"/>
      <c r="K129" s="238">
        <f>-K76</f>
        <v>-2822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B38D2784-DC53-4D5E-BC19-518101B9E8E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9ABA986-41D2-4AE7-9825-1D62F9C433DB}">
      <formula1>0</formula1>
    </dataValidation>
    <dataValidation type="textLength" operator="equal" allowBlank="1" showInputMessage="1" showErrorMessage="1" errorTitle="4-Digit Org Code" error="Enter the Org Code/BU as 4 digits." sqref="F5" xr:uid="{89092C5A-8E67-4D82-80FC-742233B4C2F2}">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DE3BEBF7-C58B-493D-8A9A-497D4EB6ABA3}">
          <x14:formula1>
            <xm:f>'Drop Down Menus'!$A$1:$A$101</xm:f>
          </x14:formula1>
          <xm:sqref>F3</xm:sqref>
        </x14:dataValidation>
        <x14:dataValidation type="list" allowBlank="1" showInputMessage="1" showErrorMessage="1" xr:uid="{18BB8022-FEBD-4BFB-8A4D-91BC71A6704B}">
          <x14:formula1>
            <xm:f>'Drop Down Menus'!$B$1:$B$2</xm:f>
          </x14:formula1>
          <xm:sqref>F7</xm:sqref>
        </x14:dataValidation>
        <x14:dataValidation type="list" allowBlank="1" showInputMessage="1" showErrorMessage="1" xr:uid="{20D279E7-A47F-45E6-95FC-787C0AF09D28}">
          <x14:formula1>
            <xm:f>'Drop Down Menus'!$E$1:$E$3</xm:f>
          </x14:formula1>
          <xm:sqref>F8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6428-961F-4F35-8C9E-064F5339DD49}">
  <sheetPr>
    <tabColor rgb="FF00B050"/>
    <pageSetUpPr fitToPage="1"/>
  </sheetPr>
  <dimension ref="A1:S193"/>
  <sheetViews>
    <sheetView topLeftCell="A24" zoomScale="70" zoomScaleNormal="70" workbookViewId="0">
      <selection activeCell="N31" sqref="N31"/>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6027</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2718</v>
      </c>
      <c r="M17" s="196">
        <v>2718</v>
      </c>
      <c r="P17" s="196"/>
      <c r="Q17" s="224"/>
      <c r="S17" s="223">
        <f t="shared" si="0"/>
        <v>-2718</v>
      </c>
    </row>
    <row r="18" spans="1:19" ht="16.5" customHeight="1" x14ac:dyDescent="0.25">
      <c r="A18" s="99"/>
      <c r="B18" s="26" t="s">
        <v>179</v>
      </c>
      <c r="C18" s="26"/>
      <c r="D18" s="26"/>
      <c r="E18" s="193"/>
      <c r="F18" s="194"/>
      <c r="G18" s="194"/>
      <c r="H18" s="195"/>
      <c r="I18" s="195"/>
      <c r="J18" s="248">
        <f>P18</f>
        <v>0</v>
      </c>
      <c r="M18" s="196">
        <v>61</v>
      </c>
      <c r="P18" s="221">
        <f>IF(SUM($Q$20:$Q$23)&gt;SUM($P$15:$P$17),SUM($Q$20:$Q$23)-SUM($P$15:$P$17),0)</f>
        <v>0</v>
      </c>
      <c r="Q18" s="224"/>
      <c r="S18" s="223">
        <f t="shared" si="0"/>
        <v>-61</v>
      </c>
    </row>
    <row r="19" spans="1:19" ht="16.5" customHeight="1" x14ac:dyDescent="0.25">
      <c r="A19" s="99"/>
      <c r="B19" s="26" t="s">
        <v>180</v>
      </c>
      <c r="C19" s="26"/>
      <c r="D19" s="26"/>
      <c r="E19" s="193"/>
      <c r="F19" s="194"/>
      <c r="G19" s="194"/>
      <c r="H19" s="195"/>
      <c r="I19" s="195"/>
      <c r="J19" s="248">
        <f>IF(SUM($K$20:$K$24)&gt;SUM($J$15:$J$18),SUM($K$20:$K$24)-SUM($J$15:$J$18),0)</f>
        <v>59</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770</v>
      </c>
      <c r="N22" s="196">
        <v>770</v>
      </c>
      <c r="P22" s="224"/>
      <c r="Q22" s="196"/>
      <c r="S22" s="223">
        <f t="shared" ref="S22:S25" si="1">Q22-N22</f>
        <v>-770</v>
      </c>
    </row>
    <row r="23" spans="1:19" ht="16.5" customHeight="1" x14ac:dyDescent="0.25">
      <c r="A23" s="234" t="s">
        <v>1698</v>
      </c>
      <c r="B23" s="26"/>
      <c r="C23" s="26" t="s">
        <v>184</v>
      </c>
      <c r="D23" s="26"/>
      <c r="E23" s="193"/>
      <c r="F23" s="194"/>
      <c r="G23" s="194"/>
      <c r="H23" s="195"/>
      <c r="I23" s="195"/>
      <c r="J23" s="213"/>
      <c r="K23" s="248">
        <f>N23</f>
        <v>2007</v>
      </c>
      <c r="N23" s="196">
        <v>2007</v>
      </c>
      <c r="P23" s="224"/>
      <c r="Q23" s="196"/>
      <c r="S23" s="223">
        <f t="shared" si="1"/>
        <v>-2007</v>
      </c>
    </row>
    <row r="24" spans="1:19" ht="16.5" customHeight="1" x14ac:dyDescent="0.25">
      <c r="A24" s="99"/>
      <c r="B24" s="26"/>
      <c r="C24" s="26" t="s">
        <v>186</v>
      </c>
      <c r="D24" s="26"/>
      <c r="E24" s="193"/>
      <c r="F24" s="194"/>
      <c r="G24" s="194"/>
      <c r="H24" s="195"/>
      <c r="I24" s="195"/>
      <c r="J24" s="213"/>
      <c r="K24" s="248">
        <f>Q24</f>
        <v>0</v>
      </c>
      <c r="N24" s="196">
        <v>3</v>
      </c>
      <c r="P24" s="224"/>
      <c r="Q24" s="221">
        <f>IF(SUM($Q$20:$Q$23)&lt;SUM($P$15:$P$17),-SUM($Q$20:$Q$23)+SUM($P$15:$P$17),0)</f>
        <v>0</v>
      </c>
      <c r="S24" s="223">
        <f t="shared" si="1"/>
        <v>-3</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2777</v>
      </c>
      <c r="K26" s="155">
        <f>SUM(K15:K25)</f>
        <v>2777</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630</v>
      </c>
      <c r="K33" s="197"/>
    </row>
    <row r="34" spans="1:12" ht="16.5" customHeight="1" x14ac:dyDescent="0.25">
      <c r="A34" s="99"/>
      <c r="B34" s="26"/>
      <c r="C34" s="26" t="s">
        <v>1822</v>
      </c>
      <c r="D34" s="193"/>
      <c r="E34" s="193"/>
      <c r="F34" s="194"/>
      <c r="G34" s="194"/>
      <c r="H34" s="195"/>
      <c r="I34" s="195"/>
      <c r="J34" s="197"/>
      <c r="K34" s="196">
        <v>630</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630</v>
      </c>
      <c r="K36" s="155">
        <f>SUM(K33:K35)</f>
        <v>630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630</v>
      </c>
      <c r="K41" s="197"/>
    </row>
    <row r="42" spans="1:12" ht="16.5" customHeight="1" x14ac:dyDescent="0.25">
      <c r="A42" s="99"/>
      <c r="B42" s="26"/>
      <c r="C42" s="26" t="s">
        <v>198</v>
      </c>
      <c r="D42" s="193"/>
      <c r="E42" s="193"/>
      <c r="F42" s="194"/>
      <c r="G42" s="194"/>
      <c r="H42" s="195"/>
      <c r="I42" s="195"/>
      <c r="J42" s="197"/>
      <c r="K42" s="196">
        <v>630</v>
      </c>
    </row>
    <row r="43" spans="1:12" ht="16.5" customHeight="1" x14ac:dyDescent="0.25">
      <c r="A43" s="99"/>
      <c r="B43" s="182" t="s">
        <v>1692</v>
      </c>
      <c r="C43" s="43"/>
      <c r="D43" s="43"/>
      <c r="E43" s="43"/>
      <c r="F43" s="44"/>
      <c r="G43" s="44"/>
      <c r="H43" s="45"/>
      <c r="I43" s="45"/>
      <c r="J43" s="155">
        <f>SUM(J39:J42)</f>
        <v>630</v>
      </c>
      <c r="K43" s="155">
        <f>SUM(K39:K42)</f>
        <v>630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630</v>
      </c>
      <c r="K47" s="197"/>
    </row>
    <row r="48" spans="1:12" ht="16.5" customHeight="1" x14ac:dyDescent="0.25">
      <c r="A48" s="234" t="s">
        <v>1698</v>
      </c>
      <c r="B48" s="26"/>
      <c r="C48" s="26" t="s">
        <v>184</v>
      </c>
      <c r="D48" s="193"/>
      <c r="E48" s="193"/>
      <c r="F48" s="194"/>
      <c r="G48" s="194"/>
      <c r="H48" s="195"/>
      <c r="I48" s="195"/>
      <c r="J48" s="197"/>
      <c r="K48" s="196">
        <v>630</v>
      </c>
    </row>
    <row r="49" spans="1:16" ht="16.5" customHeight="1" x14ac:dyDescent="0.25">
      <c r="A49" s="99"/>
      <c r="C49" s="43"/>
      <c r="D49" s="43"/>
      <c r="E49" s="43"/>
      <c r="F49" s="44"/>
      <c r="G49" s="44"/>
      <c r="H49" s="45"/>
      <c r="I49" s="45"/>
      <c r="J49" s="155">
        <f>SUM(J47:J48)</f>
        <v>630</v>
      </c>
      <c r="K49" s="155">
        <f>SUM(K47:K48)</f>
        <v>630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412</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412</v>
      </c>
    </row>
    <row r="59" spans="1:16" ht="16.5" customHeight="1" x14ac:dyDescent="0.25">
      <c r="A59" s="99"/>
      <c r="C59" s="43"/>
      <c r="D59" s="43"/>
      <c r="E59" s="43"/>
      <c r="F59" s="44"/>
      <c r="G59" s="44"/>
      <c r="H59" s="45"/>
      <c r="I59" s="45"/>
      <c r="J59" s="155">
        <f>SUM(J55:J58)</f>
        <v>412</v>
      </c>
      <c r="K59" s="155">
        <f>SUM(K55:K58)</f>
        <v>412</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375</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46</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421</v>
      </c>
    </row>
    <row r="65" spans="1:12" ht="16.5" customHeight="1" x14ac:dyDescent="0.25">
      <c r="A65" s="99"/>
      <c r="C65" s="43"/>
      <c r="D65" s="43"/>
      <c r="E65" s="43"/>
      <c r="F65" s="44"/>
      <c r="G65" s="44"/>
      <c r="H65" s="45"/>
      <c r="I65" s="45"/>
      <c r="J65" s="155">
        <f>SUM(J62:J64)</f>
        <v>421</v>
      </c>
      <c r="K65" s="155">
        <f>SUM(K62:K64)</f>
        <v>421</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375</v>
      </c>
      <c r="K68" s="197"/>
    </row>
    <row r="69" spans="1:12" ht="16.5" customHeight="1" x14ac:dyDescent="0.25">
      <c r="A69" s="99"/>
      <c r="B69" s="26"/>
      <c r="C69" s="26" t="s">
        <v>203</v>
      </c>
      <c r="D69" s="193"/>
      <c r="E69" s="193"/>
      <c r="F69" s="194"/>
      <c r="G69" s="194"/>
      <c r="H69" s="195"/>
      <c r="I69" s="195"/>
      <c r="J69" s="197"/>
      <c r="K69" s="196">
        <v>375</v>
      </c>
    </row>
    <row r="70" spans="1:12" ht="16.5" customHeight="1" x14ac:dyDescent="0.25">
      <c r="A70" s="99"/>
      <c r="C70" s="43"/>
      <c r="D70" s="43"/>
      <c r="E70" s="43"/>
      <c r="F70" s="44"/>
      <c r="G70" s="44"/>
      <c r="H70" s="45"/>
      <c r="I70" s="45"/>
      <c r="J70" s="155">
        <f>SUM(J68:J69)</f>
        <v>375</v>
      </c>
      <c r="K70" s="155">
        <f>SUM(K68:K69)</f>
        <v>375</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384</v>
      </c>
      <c r="K75" s="197"/>
    </row>
    <row r="76" spans="1:12" ht="16.5" customHeight="1" x14ac:dyDescent="0.25">
      <c r="A76" s="99"/>
      <c r="B76" s="26"/>
      <c r="C76" s="26" t="s">
        <v>211</v>
      </c>
      <c r="D76" s="193"/>
      <c r="E76" s="193"/>
      <c r="F76" s="194"/>
      <c r="G76" s="194"/>
      <c r="H76" s="195"/>
      <c r="I76" s="195"/>
      <c r="J76" s="197"/>
      <c r="K76" s="196">
        <v>384</v>
      </c>
    </row>
    <row r="77" spans="1:12" ht="16.5" customHeight="1" x14ac:dyDescent="0.2">
      <c r="A77" s="99"/>
      <c r="B77" s="259" t="s">
        <v>1814</v>
      </c>
      <c r="C77" s="259"/>
      <c r="D77" s="259"/>
      <c r="E77" s="259"/>
      <c r="F77" s="259"/>
      <c r="G77" s="259"/>
      <c r="H77" s="259"/>
      <c r="I77" s="259"/>
      <c r="J77" s="155">
        <f>SUM(J75:J76)</f>
        <v>384</v>
      </c>
      <c r="K77" s="155">
        <f>SUM(K75:K76)</f>
        <v>384</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151</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151</v>
      </c>
    </row>
    <row r="91" spans="1:16" ht="16.5" customHeight="1" x14ac:dyDescent="0.25">
      <c r="B91" s="182" t="s">
        <v>1693</v>
      </c>
      <c r="H91" s="37"/>
      <c r="J91" s="156">
        <f>SUM(J85:J90)</f>
        <v>151</v>
      </c>
      <c r="K91" s="156">
        <f>SUM(K85:K90)</f>
        <v>151</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3197</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-1031</v>
      </c>
    </row>
    <row r="128" spans="1:12" ht="16.5" customHeight="1" x14ac:dyDescent="0.25">
      <c r="D128" s="193" t="s">
        <v>1709</v>
      </c>
      <c r="H128" s="37"/>
      <c r="K128" s="238">
        <f>-K23-K48+J68+J75+J96-K113</f>
        <v>-1878</v>
      </c>
    </row>
    <row r="129" spans="4:11" ht="16.5" customHeight="1" x14ac:dyDescent="0.25">
      <c r="D129" s="193" t="s">
        <v>1710</v>
      </c>
      <c r="H129" s="37"/>
      <c r="K129" s="238">
        <f>-K76</f>
        <v>-384</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43B529D7-9F05-4262-BAB6-055864E528F5}">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9948159-FAAD-41CA-9D01-E13CCED704CB}">
      <formula1>0</formula1>
    </dataValidation>
    <dataValidation operator="lessThan" allowBlank="1" showInputMessage="1" showErrorMessage="1" sqref="A3:A8" xr:uid="{3479635F-34F1-4B47-A49D-00D077F12DBE}"/>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F2B2B5E-78F6-4076-9AD5-A9848EB808C0}">
          <x14:formula1>
            <xm:f>'Drop Down Menus'!$E$1:$E$3</xm:f>
          </x14:formula1>
          <xm:sqref>F8</xm:sqref>
        </x14:dataValidation>
        <x14:dataValidation type="list" allowBlank="1" showInputMessage="1" showErrorMessage="1" xr:uid="{9D4078AE-DF9F-4CE9-B262-E3F92F029518}">
          <x14:formula1>
            <xm:f>'Drop Down Menus'!$B$1:$B$2</xm:f>
          </x14:formula1>
          <xm:sqref>F7</xm:sqref>
        </x14:dataValidation>
        <x14:dataValidation type="list" allowBlank="1" showInputMessage="1" showErrorMessage="1" xr:uid="{8B1B9F04-3240-419E-967C-587B59CB08EA}">
          <x14:formula1>
            <xm:f>'Drop Down Menus'!$A$1:$A$101</xm:f>
          </x14:formula1>
          <xm:sqref>F3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D69F-1820-4FBF-B7F4-6891EF43780A}">
  <sheetPr codeName="Sheet13">
    <tabColor rgb="FF00B050"/>
    <pageSetUpPr fitToPage="1"/>
  </sheetPr>
  <dimension ref="A1:S193"/>
  <sheetViews>
    <sheetView zoomScale="70" zoomScaleNormal="70" workbookViewId="0">
      <selection activeCell="N85" sqref="N85"/>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6031</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295582</v>
      </c>
      <c r="M17" s="196">
        <v>295582</v>
      </c>
      <c r="P17" s="250">
        <v>58385</v>
      </c>
      <c r="Q17" s="224"/>
      <c r="S17" s="223">
        <f t="shared" si="0"/>
        <v>-237197</v>
      </c>
    </row>
    <row r="18" spans="1:19" ht="16.5" customHeight="1" x14ac:dyDescent="0.25">
      <c r="A18" s="99"/>
      <c r="B18" s="26" t="s">
        <v>179</v>
      </c>
      <c r="C18" s="26"/>
      <c r="D18" s="26"/>
      <c r="E18" s="193"/>
      <c r="F18" s="194"/>
      <c r="G18" s="194"/>
      <c r="H18" s="195"/>
      <c r="I18" s="195"/>
      <c r="J18" s="248">
        <f>P18</f>
        <v>1248</v>
      </c>
      <c r="M18" s="196">
        <v>6593</v>
      </c>
      <c r="P18" s="221">
        <f>IF(SUM($Q$20:$Q$23)&gt;SUM($P$15:$P$17),SUM($Q$20:$Q$23)-SUM($P$15:$P$17),0)</f>
        <v>1248</v>
      </c>
      <c r="Q18" s="224"/>
      <c r="S18" s="223">
        <f t="shared" si="0"/>
        <v>-5345</v>
      </c>
    </row>
    <row r="19" spans="1:19" ht="16.5" customHeight="1" x14ac:dyDescent="0.25">
      <c r="A19" s="99"/>
      <c r="B19" s="26" t="s">
        <v>180</v>
      </c>
      <c r="C19" s="26"/>
      <c r="D19" s="26"/>
      <c r="E19" s="193"/>
      <c r="F19" s="194"/>
      <c r="G19" s="194"/>
      <c r="H19" s="195"/>
      <c r="I19" s="195"/>
      <c r="J19" s="248">
        <f>IF(SUM($K$20:$K$24)&gt;SUM($J$15:$J$18),SUM($K$20:$K$24)-SUM($J$15:$J$18),0)</f>
        <v>5065</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83695</v>
      </c>
      <c r="N22" s="196">
        <v>83695</v>
      </c>
      <c r="P22" s="224"/>
      <c r="Q22" s="250">
        <v>16532</v>
      </c>
      <c r="S22" s="223">
        <f t="shared" ref="S22:S25" si="1">Q22-N22</f>
        <v>-67163</v>
      </c>
    </row>
    <row r="23" spans="1:19" ht="16.5" customHeight="1" x14ac:dyDescent="0.25">
      <c r="A23" s="234" t="s">
        <v>1698</v>
      </c>
      <c r="B23" s="26"/>
      <c r="C23" s="26" t="s">
        <v>184</v>
      </c>
      <c r="D23" s="26"/>
      <c r="E23" s="193"/>
      <c r="F23" s="194"/>
      <c r="G23" s="194"/>
      <c r="H23" s="195"/>
      <c r="I23" s="195"/>
      <c r="J23" s="213"/>
      <c r="K23" s="248">
        <f>N23</f>
        <v>218200</v>
      </c>
      <c r="N23" s="196">
        <v>218200</v>
      </c>
      <c r="P23" s="224"/>
      <c r="Q23" s="250">
        <v>43101</v>
      </c>
      <c r="S23" s="223">
        <f t="shared" si="1"/>
        <v>-175099</v>
      </c>
    </row>
    <row r="24" spans="1:19" ht="16.5" customHeight="1" x14ac:dyDescent="0.25">
      <c r="A24" s="99"/>
      <c r="B24" s="26"/>
      <c r="C24" s="26" t="s">
        <v>186</v>
      </c>
      <c r="D24" s="26"/>
      <c r="E24" s="193"/>
      <c r="F24" s="194"/>
      <c r="G24" s="194"/>
      <c r="H24" s="195"/>
      <c r="I24" s="195"/>
      <c r="J24" s="213"/>
      <c r="K24" s="248">
        <f>Q24</f>
        <v>0</v>
      </c>
      <c r="N24" s="196">
        <v>279</v>
      </c>
      <c r="P24" s="224"/>
      <c r="Q24" s="221">
        <f>IF(SUM($Q$20:$Q$23)&lt;SUM($P$15:$P$17),-SUM($Q$20:$Q$23)+SUM($P$15:$P$17),0)</f>
        <v>0</v>
      </c>
      <c r="S24" s="223">
        <f t="shared" si="1"/>
        <v>-279</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301895</v>
      </c>
      <c r="K26" s="155">
        <f>SUM(K15:K25)</f>
        <v>301895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68462</v>
      </c>
      <c r="K33" s="197"/>
    </row>
    <row r="34" spans="1:12" ht="16.5" customHeight="1" x14ac:dyDescent="0.25">
      <c r="A34" s="99"/>
      <c r="B34" s="26"/>
      <c r="C34" s="26" t="s">
        <v>1822</v>
      </c>
      <c r="D34" s="193"/>
      <c r="E34" s="193"/>
      <c r="F34" s="194"/>
      <c r="G34" s="194"/>
      <c r="H34" s="195"/>
      <c r="I34" s="195"/>
      <c r="J34" s="197"/>
      <c r="K34" s="196">
        <v>68462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68462</v>
      </c>
      <c r="K36" s="155">
        <f>SUM(K33:K35)</f>
        <v>68462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68462</v>
      </c>
      <c r="K41" s="197"/>
    </row>
    <row r="42" spans="1:12" ht="16.5" customHeight="1" x14ac:dyDescent="0.25">
      <c r="A42" s="99"/>
      <c r="B42" s="26"/>
      <c r="C42" s="26" t="s">
        <v>198</v>
      </c>
      <c r="D42" s="193"/>
      <c r="E42" s="193"/>
      <c r="F42" s="194"/>
      <c r="G42" s="194"/>
      <c r="H42" s="195"/>
      <c r="I42" s="195"/>
      <c r="J42" s="197"/>
      <c r="K42" s="196">
        <v>68462</v>
      </c>
    </row>
    <row r="43" spans="1:12" ht="16.5" customHeight="1" x14ac:dyDescent="0.25">
      <c r="A43" s="99"/>
      <c r="B43" s="182" t="s">
        <v>1692</v>
      </c>
      <c r="C43" s="43"/>
      <c r="D43" s="43"/>
      <c r="E43" s="43"/>
      <c r="F43" s="44"/>
      <c r="G43" s="44"/>
      <c r="H43" s="45"/>
      <c r="I43" s="45"/>
      <c r="J43" s="155">
        <f>SUM(J39:J42)</f>
        <v>68462</v>
      </c>
      <c r="K43" s="155">
        <f>SUM(K39:K42)</f>
        <v>68462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68462</v>
      </c>
      <c r="K47" s="197"/>
    </row>
    <row r="48" spans="1:12" ht="16.5" customHeight="1" x14ac:dyDescent="0.25">
      <c r="A48" s="234" t="s">
        <v>1698</v>
      </c>
      <c r="B48" s="26"/>
      <c r="C48" s="26" t="s">
        <v>184</v>
      </c>
      <c r="D48" s="193"/>
      <c r="E48" s="193"/>
      <c r="F48" s="194"/>
      <c r="G48" s="194"/>
      <c r="H48" s="195"/>
      <c r="I48" s="195"/>
      <c r="J48" s="197"/>
      <c r="K48" s="196">
        <v>68462</v>
      </c>
    </row>
    <row r="49" spans="1:16" ht="16.5" customHeight="1" x14ac:dyDescent="0.25">
      <c r="A49" s="99"/>
      <c r="C49" s="43"/>
      <c r="D49" s="43"/>
      <c r="E49" s="43"/>
      <c r="F49" s="44"/>
      <c r="G49" s="44"/>
      <c r="H49" s="45"/>
      <c r="I49" s="45"/>
      <c r="J49" s="155">
        <f>SUM(J47:J48)</f>
        <v>68462</v>
      </c>
      <c r="K49" s="155">
        <f>SUM(K47:K48)</f>
        <v>68462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44820</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44820</v>
      </c>
    </row>
    <row r="59" spans="1:16" ht="16.5" customHeight="1" x14ac:dyDescent="0.25">
      <c r="A59" s="99"/>
      <c r="C59" s="43"/>
      <c r="D59" s="43"/>
      <c r="E59" s="43"/>
      <c r="F59" s="44"/>
      <c r="G59" s="44"/>
      <c r="H59" s="45"/>
      <c r="I59" s="45"/>
      <c r="J59" s="155">
        <f>SUM(J55:J58)</f>
        <v>44820</v>
      </c>
      <c r="K59" s="155">
        <f>SUM(K55:K58)</f>
        <v>44820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40747.24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5008.67</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45755</v>
      </c>
    </row>
    <row r="65" spans="1:12" ht="16.5" customHeight="1" x14ac:dyDescent="0.25">
      <c r="A65" s="99"/>
      <c r="C65" s="43"/>
      <c r="D65" s="43"/>
      <c r="E65" s="43"/>
      <c r="F65" s="44"/>
      <c r="G65" s="44"/>
      <c r="H65" s="45"/>
      <c r="I65" s="45"/>
      <c r="J65" s="155">
        <f>SUM(J62:J64)</f>
        <v>45755.909999999996</v>
      </c>
      <c r="K65" s="155">
        <f>SUM(K62:K64)</f>
        <v>45755</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40747</v>
      </c>
      <c r="K68" s="197"/>
    </row>
    <row r="69" spans="1:12" ht="16.5" customHeight="1" x14ac:dyDescent="0.25">
      <c r="A69" s="99"/>
      <c r="B69" s="26"/>
      <c r="C69" s="26" t="s">
        <v>203</v>
      </c>
      <c r="D69" s="193"/>
      <c r="E69" s="193"/>
      <c r="F69" s="194"/>
      <c r="G69" s="194"/>
      <c r="H69" s="195"/>
      <c r="I69" s="195"/>
      <c r="J69" s="197"/>
      <c r="K69" s="196">
        <v>40747</v>
      </c>
    </row>
    <row r="70" spans="1:12" ht="16.5" customHeight="1" x14ac:dyDescent="0.25">
      <c r="A70" s="99"/>
      <c r="C70" s="43"/>
      <c r="D70" s="43"/>
      <c r="E70" s="43"/>
      <c r="F70" s="44"/>
      <c r="G70" s="44"/>
      <c r="H70" s="45"/>
      <c r="I70" s="45"/>
      <c r="J70" s="155">
        <f>SUM(J68:J69)</f>
        <v>40747</v>
      </c>
      <c r="K70" s="155">
        <f>SUM(K68:K69)</f>
        <v>40747</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41707</v>
      </c>
      <c r="K75" s="197"/>
    </row>
    <row r="76" spans="1:12" ht="16.5" customHeight="1" x14ac:dyDescent="0.25">
      <c r="A76" s="99"/>
      <c r="B76" s="26"/>
      <c r="C76" s="26" t="s">
        <v>211</v>
      </c>
      <c r="D76" s="193"/>
      <c r="E76" s="193"/>
      <c r="F76" s="194"/>
      <c r="G76" s="194"/>
      <c r="H76" s="195"/>
      <c r="I76" s="195"/>
      <c r="J76" s="197"/>
      <c r="K76" s="196">
        <v>41707</v>
      </c>
    </row>
    <row r="77" spans="1:12" ht="16.5" customHeight="1" x14ac:dyDescent="0.2">
      <c r="A77" s="99"/>
      <c r="B77" s="259" t="s">
        <v>1814</v>
      </c>
      <c r="C77" s="259"/>
      <c r="D77" s="259"/>
      <c r="E77" s="259"/>
      <c r="F77" s="259"/>
      <c r="G77" s="259"/>
      <c r="H77" s="259"/>
      <c r="I77" s="259"/>
      <c r="J77" s="155">
        <f>SUM(J75:J76)</f>
        <v>41707</v>
      </c>
      <c r="K77" s="155">
        <f>SUM(K75:K76)</f>
        <v>41707</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16369</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16369</v>
      </c>
    </row>
    <row r="91" spans="1:16" ht="16.5" customHeight="1" x14ac:dyDescent="0.25">
      <c r="B91" s="182" t="s">
        <v>1693</v>
      </c>
      <c r="H91" s="37"/>
      <c r="J91" s="156">
        <f>SUM(J85:J90)</f>
        <v>16369</v>
      </c>
      <c r="K91" s="156">
        <f>SUM(K85:K90)</f>
        <v>16369</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347675</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-112146</v>
      </c>
    </row>
    <row r="128" spans="1:12" ht="16.5" customHeight="1" x14ac:dyDescent="0.25">
      <c r="D128" s="193" t="s">
        <v>1709</v>
      </c>
      <c r="H128" s="37"/>
      <c r="K128" s="238">
        <f>-K23-K48+J68+J75+J96-K113</f>
        <v>-204208</v>
      </c>
    </row>
    <row r="129" spans="4:11" ht="16.5" customHeight="1" x14ac:dyDescent="0.25">
      <c r="D129" s="193" t="s">
        <v>1710</v>
      </c>
      <c r="H129" s="37"/>
      <c r="K129" s="238">
        <f>-K76</f>
        <v>-41707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3557AE1C-A853-4EA0-A1E9-4370A4222A1E}"/>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13426A9-BA62-416C-9753-22FE75C56FA1}">
      <formula1>0</formula1>
    </dataValidation>
    <dataValidation type="textLength" operator="equal" allowBlank="1" showInputMessage="1" showErrorMessage="1" errorTitle="4-Digit Org Code" error="Enter the Org Code/BU as 4 digits." sqref="F5" xr:uid="{A86EA550-5830-4523-9EBF-396DEBA84F9A}">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859DC0B-1ACE-42EF-A076-CAEF9EEC9717}">
          <x14:formula1>
            <xm:f>'Drop Down Menus'!$A$1:$A$101</xm:f>
          </x14:formula1>
          <xm:sqref>F3</xm:sqref>
        </x14:dataValidation>
        <x14:dataValidation type="list" allowBlank="1" showInputMessage="1" showErrorMessage="1" xr:uid="{E8012BD7-6FFE-48B0-836E-B4464D81BA5A}">
          <x14:formula1>
            <xm:f>'Drop Down Menus'!$B$1:$B$2</xm:f>
          </x14:formula1>
          <xm:sqref>F7</xm:sqref>
        </x14:dataValidation>
        <x14:dataValidation type="list" allowBlank="1" showInputMessage="1" showErrorMessage="1" xr:uid="{267C5BE9-66C9-4804-999C-0B8675589BE5}">
          <x14:formula1>
            <xm:f>'Drop Down Menus'!$E$1:$E$3</xm:f>
          </x14:formula1>
          <xm:sqref>F8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6DEB-66F0-474B-9300-A075110CFBDB}">
  <sheetPr codeName="Sheet14">
    <tabColor rgb="FF00B050"/>
    <pageSetUpPr fitToPage="1"/>
  </sheetPr>
  <dimension ref="A1:S193"/>
  <sheetViews>
    <sheetView topLeftCell="A8" zoomScale="70" zoomScaleNormal="70" workbookViewId="0">
      <selection activeCell="K139" sqref="K139"/>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6051</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209450</v>
      </c>
      <c r="M17" s="196">
        <v>209450</v>
      </c>
      <c r="P17" s="250">
        <v>395727</v>
      </c>
      <c r="Q17" s="224"/>
      <c r="S17" s="223">
        <f t="shared" si="0"/>
        <v>186277</v>
      </c>
    </row>
    <row r="18" spans="1:19" ht="16.5" customHeight="1" x14ac:dyDescent="0.25">
      <c r="A18" s="99"/>
      <c r="B18" s="26" t="s">
        <v>179</v>
      </c>
      <c r="C18" s="26"/>
      <c r="D18" s="26"/>
      <c r="E18" s="193"/>
      <c r="F18" s="194"/>
      <c r="G18" s="194"/>
      <c r="H18" s="195"/>
      <c r="I18" s="195"/>
      <c r="J18" s="248">
        <f>P18</f>
        <v>8454</v>
      </c>
      <c r="M18" s="196">
        <v>4672</v>
      </c>
      <c r="P18" s="221">
        <f>IF(SUM($Q$20:$Q$23)&gt;SUM($P$15:$P$17),SUM($Q$20:$Q$23)-SUM($P$15:$P$17),0)</f>
        <v>8454</v>
      </c>
      <c r="Q18" s="224"/>
      <c r="S18" s="223">
        <f t="shared" si="0"/>
        <v>3782</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59307</v>
      </c>
      <c r="N22" s="196">
        <v>59307</v>
      </c>
      <c r="P22" s="224"/>
      <c r="Q22" s="250">
        <v>112052</v>
      </c>
      <c r="S22" s="223">
        <f t="shared" ref="S22:S25" si="1">Q22-N22</f>
        <v>52745</v>
      </c>
    </row>
    <row r="23" spans="1:19" ht="16.5" customHeight="1" x14ac:dyDescent="0.25">
      <c r="A23" s="234" t="s">
        <v>1698</v>
      </c>
      <c r="B23" s="26"/>
      <c r="C23" s="26" t="s">
        <v>184</v>
      </c>
      <c r="D23" s="26"/>
      <c r="E23" s="193"/>
      <c r="F23" s="194"/>
      <c r="G23" s="194"/>
      <c r="H23" s="195"/>
      <c r="I23" s="195"/>
      <c r="J23" s="213"/>
      <c r="K23" s="248">
        <f>N23</f>
        <v>154617</v>
      </c>
      <c r="N23" s="196">
        <v>154617</v>
      </c>
      <c r="P23" s="224"/>
      <c r="Q23" s="250">
        <v>292129</v>
      </c>
      <c r="S23" s="223">
        <f t="shared" si="1"/>
        <v>137512</v>
      </c>
    </row>
    <row r="24" spans="1:19" ht="16.5" customHeight="1" x14ac:dyDescent="0.25">
      <c r="A24" s="99"/>
      <c r="B24" s="26"/>
      <c r="C24" s="26" t="s">
        <v>186</v>
      </c>
      <c r="D24" s="26"/>
      <c r="E24" s="193"/>
      <c r="F24" s="194"/>
      <c r="G24" s="194"/>
      <c r="H24" s="195"/>
      <c r="I24" s="195"/>
      <c r="J24" s="213"/>
      <c r="K24" s="248">
        <f>Q24</f>
        <v>0</v>
      </c>
      <c r="N24" s="196">
        <v>198</v>
      </c>
      <c r="P24" s="224"/>
      <c r="Q24" s="221">
        <f>IF(SUM($Q$20:$Q$23)&lt;SUM($P$15:$P$17),-SUM($Q$20:$Q$23)+SUM($P$15:$P$17),0)</f>
        <v>0</v>
      </c>
      <c r="S24" s="223">
        <f t="shared" si="1"/>
        <v>-198</v>
      </c>
    </row>
    <row r="25" spans="1:19" ht="16.5" customHeight="1" x14ac:dyDescent="0.25">
      <c r="A25" s="99"/>
      <c r="B25" s="26"/>
      <c r="C25" s="26" t="s">
        <v>187</v>
      </c>
      <c r="D25" s="26"/>
      <c r="E25" s="193"/>
      <c r="F25" s="194"/>
      <c r="G25" s="194"/>
      <c r="H25" s="195"/>
      <c r="I25" s="195"/>
      <c r="J25" s="213"/>
      <c r="K25" s="248">
        <f>IF(SUM($K$20:$K$24)&lt;SUM($J$15:$J$18),-SUM($K$20:$K$24)+SUM($J$15:$J$18),0)</f>
        <v>3980</v>
      </c>
      <c r="N25" s="196">
        <v>0</v>
      </c>
      <c r="P25" s="224"/>
      <c r="Q25" s="224"/>
      <c r="S25" s="223">
        <f t="shared" si="1"/>
        <v>0</v>
      </c>
    </row>
    <row r="26" spans="1:19" ht="16.5" customHeight="1" x14ac:dyDescent="0.25">
      <c r="A26" s="99"/>
      <c r="C26" s="47"/>
      <c r="D26" s="47"/>
      <c r="E26" s="47"/>
      <c r="F26" s="179"/>
      <c r="G26" s="179"/>
      <c r="H26" s="49"/>
      <c r="I26" s="49"/>
      <c r="J26" s="155">
        <f>SUM(J15:J25)</f>
        <v>217904</v>
      </c>
      <c r="K26" s="155">
        <f>SUM(K15:K25)</f>
        <v>217904</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48512</v>
      </c>
      <c r="K33" s="197"/>
    </row>
    <row r="34" spans="1:12" ht="16.5" customHeight="1" x14ac:dyDescent="0.25">
      <c r="A34" s="99"/>
      <c r="B34" s="26"/>
      <c r="C34" s="26" t="s">
        <v>1822</v>
      </c>
      <c r="D34" s="193"/>
      <c r="E34" s="193"/>
      <c r="F34" s="194"/>
      <c r="G34" s="194"/>
      <c r="H34" s="195"/>
      <c r="I34" s="195"/>
      <c r="J34" s="197"/>
      <c r="K34" s="196">
        <v>48512</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48512</v>
      </c>
      <c r="K36" s="155">
        <f>SUM(K33:K35)</f>
        <v>48512</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48512</v>
      </c>
      <c r="K41" s="197"/>
    </row>
    <row r="42" spans="1:12" ht="16.5" customHeight="1" x14ac:dyDescent="0.25">
      <c r="A42" s="99"/>
      <c r="B42" s="26"/>
      <c r="C42" s="26" t="s">
        <v>198</v>
      </c>
      <c r="D42" s="193"/>
      <c r="E42" s="193"/>
      <c r="F42" s="194"/>
      <c r="G42" s="194"/>
      <c r="H42" s="195"/>
      <c r="I42" s="195"/>
      <c r="J42" s="197"/>
      <c r="K42" s="196">
        <v>48512</v>
      </c>
    </row>
    <row r="43" spans="1:12" ht="16.5" customHeight="1" x14ac:dyDescent="0.25">
      <c r="A43" s="99"/>
      <c r="B43" s="182" t="s">
        <v>1692</v>
      </c>
      <c r="C43" s="43"/>
      <c r="D43" s="43"/>
      <c r="E43" s="43"/>
      <c r="F43" s="44"/>
      <c r="G43" s="44"/>
      <c r="H43" s="45"/>
      <c r="I43" s="45"/>
      <c r="J43" s="155">
        <f>SUM(J39:J42)</f>
        <v>48512</v>
      </c>
      <c r="K43" s="155">
        <f>SUM(K39:K42)</f>
        <v>48512</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48512</v>
      </c>
      <c r="K47" s="197"/>
    </row>
    <row r="48" spans="1:12" ht="16.5" customHeight="1" x14ac:dyDescent="0.25">
      <c r="A48" s="234" t="s">
        <v>1698</v>
      </c>
      <c r="B48" s="26"/>
      <c r="C48" s="26" t="s">
        <v>184</v>
      </c>
      <c r="D48" s="193"/>
      <c r="E48" s="193"/>
      <c r="F48" s="194"/>
      <c r="G48" s="194"/>
      <c r="H48" s="195"/>
      <c r="I48" s="195"/>
      <c r="J48" s="197"/>
      <c r="K48" s="196">
        <v>48512</v>
      </c>
    </row>
    <row r="49" spans="1:16" ht="16.5" customHeight="1" x14ac:dyDescent="0.25">
      <c r="A49" s="99"/>
      <c r="C49" s="43"/>
      <c r="D49" s="43"/>
      <c r="E49" s="43"/>
      <c r="F49" s="44"/>
      <c r="G49" s="44"/>
      <c r="H49" s="45"/>
      <c r="I49" s="45"/>
      <c r="J49" s="155">
        <f>SUM(J47:J48)</f>
        <v>48512</v>
      </c>
      <c r="K49" s="155">
        <f>SUM(K47:K48)</f>
        <v>48512</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31759</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31759</v>
      </c>
    </row>
    <row r="59" spans="1:16" ht="16.5" customHeight="1" x14ac:dyDescent="0.25">
      <c r="A59" s="99"/>
      <c r="C59" s="43"/>
      <c r="D59" s="43"/>
      <c r="E59" s="43"/>
      <c r="F59" s="44"/>
      <c r="G59" s="44"/>
      <c r="H59" s="45"/>
      <c r="I59" s="45"/>
      <c r="J59" s="155">
        <f>SUM(J55:J58)</f>
        <v>31759</v>
      </c>
      <c r="K59" s="155">
        <f>SUM(K55:K58)</f>
        <v>31759</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28874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3548</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32422</v>
      </c>
    </row>
    <row r="65" spans="1:12" ht="16.5" customHeight="1" x14ac:dyDescent="0.25">
      <c r="A65" s="99"/>
      <c r="C65" s="43"/>
      <c r="D65" s="43"/>
      <c r="E65" s="43"/>
      <c r="F65" s="44"/>
      <c r="G65" s="44"/>
      <c r="H65" s="45"/>
      <c r="I65" s="45"/>
      <c r="J65" s="155">
        <f>SUM(J62:J64)</f>
        <v>32422</v>
      </c>
      <c r="K65" s="155">
        <f>SUM(K62:K64)</f>
        <v>32422</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28874</v>
      </c>
      <c r="K68" s="197"/>
    </row>
    <row r="69" spans="1:12" ht="16.5" customHeight="1" x14ac:dyDescent="0.25">
      <c r="A69" s="99"/>
      <c r="B69" s="26"/>
      <c r="C69" s="26" t="s">
        <v>203</v>
      </c>
      <c r="D69" s="193"/>
      <c r="E69" s="193"/>
      <c r="F69" s="194"/>
      <c r="G69" s="194"/>
      <c r="H69" s="195"/>
      <c r="I69" s="195"/>
      <c r="J69" s="197"/>
      <c r="K69" s="196">
        <v>28874</v>
      </c>
    </row>
    <row r="70" spans="1:12" ht="16.5" customHeight="1" x14ac:dyDescent="0.25">
      <c r="A70" s="99"/>
      <c r="C70" s="43"/>
      <c r="D70" s="43"/>
      <c r="E70" s="43"/>
      <c r="F70" s="44"/>
      <c r="G70" s="44"/>
      <c r="H70" s="45"/>
      <c r="I70" s="45"/>
      <c r="J70" s="155">
        <f>SUM(J68:J69)</f>
        <v>28874</v>
      </c>
      <c r="K70" s="155">
        <f>SUM(K68:K69)</f>
        <v>28874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29553</v>
      </c>
      <c r="K75" s="197"/>
    </row>
    <row r="76" spans="1:12" ht="16.5" customHeight="1" x14ac:dyDescent="0.25">
      <c r="A76" s="99"/>
      <c r="B76" s="26"/>
      <c r="C76" s="26" t="s">
        <v>211</v>
      </c>
      <c r="D76" s="193"/>
      <c r="E76" s="193"/>
      <c r="F76" s="194"/>
      <c r="G76" s="194"/>
      <c r="H76" s="195"/>
      <c r="I76" s="195"/>
      <c r="J76" s="197"/>
      <c r="K76" s="196">
        <v>29553</v>
      </c>
    </row>
    <row r="77" spans="1:12" ht="16.5" customHeight="1" x14ac:dyDescent="0.2">
      <c r="A77" s="99"/>
      <c r="B77" s="259" t="s">
        <v>1814</v>
      </c>
      <c r="C77" s="259"/>
      <c r="D77" s="259"/>
      <c r="E77" s="259"/>
      <c r="F77" s="259"/>
      <c r="G77" s="259"/>
      <c r="H77" s="259"/>
      <c r="I77" s="259"/>
      <c r="J77" s="155">
        <f>SUM(J75:J76)</f>
        <v>29553</v>
      </c>
      <c r="K77" s="155">
        <f>SUM(K75:K76)</f>
        <v>29553</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11599</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11599</v>
      </c>
    </row>
    <row r="91" spans="1:16" ht="16.5" customHeight="1" x14ac:dyDescent="0.25">
      <c r="B91" s="182" t="s">
        <v>1693</v>
      </c>
      <c r="H91" s="37"/>
      <c r="J91" s="156">
        <f>SUM(J85:J90)</f>
        <v>11599</v>
      </c>
      <c r="K91" s="156">
        <f>SUM(K85:K90)</f>
        <v>11599</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246363</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-79467</v>
      </c>
    </row>
    <row r="128" spans="1:12" ht="16.5" customHeight="1" x14ac:dyDescent="0.25">
      <c r="D128" s="193" t="s">
        <v>1709</v>
      </c>
      <c r="H128" s="37"/>
      <c r="K128" s="238">
        <f>-K23-K48+J68+J75+J96-K113</f>
        <v>-144702</v>
      </c>
    </row>
    <row r="129" spans="4:11" ht="16.5" customHeight="1" x14ac:dyDescent="0.25">
      <c r="D129" s="193" t="s">
        <v>1710</v>
      </c>
      <c r="H129" s="37"/>
      <c r="K129" s="238">
        <f>-K76</f>
        <v>-29553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A2EEBA87-ED64-42CB-8DF1-97D16CEF1BDA}"/>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CB91471-0AFF-4153-814B-E2CA6139400F}">
      <formula1>0</formula1>
    </dataValidation>
    <dataValidation type="textLength" operator="equal" allowBlank="1" showInputMessage="1" showErrorMessage="1" errorTitle="4-Digit Org Code" error="Enter the Org Code/BU as 4 digits." sqref="F5" xr:uid="{1338C5C5-7F38-4B5A-B7A4-107D50E3D401}">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2D092AF-B9B0-4887-902E-4D7232B95167}">
          <x14:formula1>
            <xm:f>'Drop Down Menus'!$A$1:$A$101</xm:f>
          </x14:formula1>
          <xm:sqref>F3</xm:sqref>
        </x14:dataValidation>
        <x14:dataValidation type="list" allowBlank="1" showInputMessage="1" showErrorMessage="1" xr:uid="{F234CA4F-81AE-4193-9461-744881E31CA0}">
          <x14:formula1>
            <xm:f>'Drop Down Menus'!$B$1:$B$2</xm:f>
          </x14:formula1>
          <xm:sqref>F7</xm:sqref>
        </x14:dataValidation>
        <x14:dataValidation type="list" allowBlank="1" showInputMessage="1" showErrorMessage="1" xr:uid="{6299A12C-4B93-403B-B698-BB3FB95990CE}">
          <x14:formula1>
            <xm:f>'Drop Down Menus'!$E$1:$E$3</xm:f>
          </x14:formula1>
          <xm:sqref>F8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502B-B923-40E6-BFB5-419B01759315}">
  <sheetPr codeName="Sheet16">
    <tabColor rgb="FF00B050"/>
    <pageSetUpPr fitToPage="1"/>
  </sheetPr>
  <dimension ref="A1:S193"/>
  <sheetViews>
    <sheetView topLeftCell="A40" zoomScale="70" zoomScaleNormal="70" workbookViewId="0">
      <selection activeCell="K90" sqref="K9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6083</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743071</v>
      </c>
      <c r="M17" s="196">
        <v>743071</v>
      </c>
      <c r="P17" s="250">
        <v>1349370</v>
      </c>
      <c r="Q17" s="224"/>
      <c r="S17" s="223">
        <f t="shared" si="0"/>
        <v>606299</v>
      </c>
    </row>
    <row r="18" spans="1:19" ht="16.5" customHeight="1" x14ac:dyDescent="0.25">
      <c r="A18" s="99"/>
      <c r="B18" s="26" t="s">
        <v>179</v>
      </c>
      <c r="C18" s="26"/>
      <c r="D18" s="26"/>
      <c r="E18" s="193"/>
      <c r="F18" s="194"/>
      <c r="G18" s="194"/>
      <c r="H18" s="195"/>
      <c r="I18" s="195"/>
      <c r="J18" s="248">
        <f>P18</f>
        <v>28824</v>
      </c>
      <c r="M18" s="196">
        <v>16575</v>
      </c>
      <c r="P18" s="221">
        <f>IF(SUM($Q$20:$Q$23)&gt;SUM($P$15:$P$17),SUM($Q$20:$Q$23)-SUM($P$15:$P$17),0)</f>
        <v>28824</v>
      </c>
      <c r="Q18" s="224"/>
      <c r="S18" s="223">
        <f t="shared" si="0"/>
        <v>12249</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210404</v>
      </c>
      <c r="N22" s="196">
        <v>210404</v>
      </c>
      <c r="P22" s="224"/>
      <c r="Q22" s="250">
        <v>382081</v>
      </c>
      <c r="S22" s="223">
        <f t="shared" ref="S22:S25" si="1">Q22-N22</f>
        <v>171677</v>
      </c>
    </row>
    <row r="23" spans="1:19" ht="16.5" customHeight="1" x14ac:dyDescent="0.25">
      <c r="A23" s="234" t="s">
        <v>1698</v>
      </c>
      <c r="B23" s="26"/>
      <c r="C23" s="26" t="s">
        <v>184</v>
      </c>
      <c r="D23" s="26"/>
      <c r="E23" s="193"/>
      <c r="F23" s="194"/>
      <c r="G23" s="194"/>
      <c r="H23" s="195"/>
      <c r="I23" s="195"/>
      <c r="J23" s="213"/>
      <c r="K23" s="248">
        <f>N23</f>
        <v>548539</v>
      </c>
      <c r="N23" s="196">
        <v>548539</v>
      </c>
      <c r="P23" s="224"/>
      <c r="Q23" s="250">
        <v>996113</v>
      </c>
      <c r="S23" s="223">
        <f t="shared" si="1"/>
        <v>447574</v>
      </c>
    </row>
    <row r="24" spans="1:19" ht="16.5" customHeight="1" x14ac:dyDescent="0.25">
      <c r="A24" s="99"/>
      <c r="B24" s="26"/>
      <c r="C24" s="26" t="s">
        <v>186</v>
      </c>
      <c r="D24" s="26"/>
      <c r="E24" s="193"/>
      <c r="F24" s="194"/>
      <c r="G24" s="194"/>
      <c r="H24" s="195"/>
      <c r="I24" s="195"/>
      <c r="J24" s="213"/>
      <c r="K24" s="248">
        <f>Q24</f>
        <v>0</v>
      </c>
      <c r="N24" s="196">
        <v>702</v>
      </c>
      <c r="P24" s="224"/>
      <c r="Q24" s="221">
        <f>IF(SUM($Q$20:$Q$23)&lt;SUM($P$15:$P$17),-SUM($Q$20:$Q$23)+SUM($P$15:$P$17),0)</f>
        <v>0</v>
      </c>
      <c r="S24" s="223">
        <f t="shared" si="1"/>
        <v>-702</v>
      </c>
    </row>
    <row r="25" spans="1:19" ht="16.5" customHeight="1" x14ac:dyDescent="0.25">
      <c r="A25" s="99"/>
      <c r="B25" s="26"/>
      <c r="C25" s="26" t="s">
        <v>187</v>
      </c>
      <c r="D25" s="26"/>
      <c r="E25" s="193"/>
      <c r="F25" s="194"/>
      <c r="G25" s="194"/>
      <c r="H25" s="195"/>
      <c r="I25" s="195"/>
      <c r="J25" s="213"/>
      <c r="K25" s="248">
        <f>IF(SUM($K$20:$K$24)&lt;SUM($J$15:$J$18),-SUM($K$20:$K$24)+SUM($J$15:$J$18),0)</f>
        <v>12952</v>
      </c>
      <c r="N25" s="196">
        <v>0</v>
      </c>
      <c r="P25" s="224"/>
      <c r="Q25" s="224"/>
      <c r="S25" s="223">
        <f t="shared" si="1"/>
        <v>0</v>
      </c>
    </row>
    <row r="26" spans="1:19" ht="16.5" customHeight="1" x14ac:dyDescent="0.25">
      <c r="A26" s="99"/>
      <c r="C26" s="47"/>
      <c r="D26" s="47"/>
      <c r="E26" s="47"/>
      <c r="F26" s="179"/>
      <c r="G26" s="179"/>
      <c r="H26" s="49"/>
      <c r="I26" s="49"/>
      <c r="J26" s="155">
        <f>SUM(J15:J25)</f>
        <v>771895</v>
      </c>
      <c r="K26" s="155">
        <f>SUM(K15:K25)</f>
        <v>771895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172108</v>
      </c>
      <c r="K33" s="197"/>
    </row>
    <row r="34" spans="1:12" ht="16.5" customHeight="1" x14ac:dyDescent="0.25">
      <c r="A34" s="99"/>
      <c r="B34" s="26"/>
      <c r="C34" s="26" t="s">
        <v>1822</v>
      </c>
      <c r="D34" s="193"/>
      <c r="E34" s="193"/>
      <c r="F34" s="194"/>
      <c r="G34" s="194"/>
      <c r="H34" s="195"/>
      <c r="I34" s="195"/>
      <c r="J34" s="197"/>
      <c r="K34" s="196">
        <v>172108</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172108</v>
      </c>
      <c r="K36" s="155">
        <f>SUM(K33:K35)</f>
        <v>172108</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172108</v>
      </c>
      <c r="K41" s="197"/>
    </row>
    <row r="42" spans="1:12" ht="16.5" customHeight="1" x14ac:dyDescent="0.25">
      <c r="A42" s="99"/>
      <c r="B42" s="26"/>
      <c r="C42" s="26" t="s">
        <v>198</v>
      </c>
      <c r="D42" s="193"/>
      <c r="E42" s="193"/>
      <c r="F42" s="194"/>
      <c r="G42" s="194"/>
      <c r="H42" s="195"/>
      <c r="I42" s="195"/>
      <c r="J42" s="197"/>
      <c r="K42" s="196">
        <v>172108</v>
      </c>
    </row>
    <row r="43" spans="1:12" ht="16.5" customHeight="1" x14ac:dyDescent="0.25">
      <c r="A43" s="99"/>
      <c r="B43" s="182" t="s">
        <v>1692</v>
      </c>
      <c r="C43" s="43"/>
      <c r="D43" s="43"/>
      <c r="E43" s="43"/>
      <c r="F43" s="44"/>
      <c r="G43" s="44"/>
      <c r="H43" s="45"/>
      <c r="I43" s="45"/>
      <c r="J43" s="155">
        <f>SUM(J39:J42)</f>
        <v>172108</v>
      </c>
      <c r="K43" s="155">
        <f>SUM(K39:K42)</f>
        <v>172108</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172108</v>
      </c>
      <c r="K47" s="197"/>
    </row>
    <row r="48" spans="1:12" ht="16.5" customHeight="1" x14ac:dyDescent="0.25">
      <c r="A48" s="234" t="s">
        <v>1698</v>
      </c>
      <c r="B48" s="26"/>
      <c r="C48" s="26" t="s">
        <v>184</v>
      </c>
      <c r="D48" s="193"/>
      <c r="E48" s="193"/>
      <c r="F48" s="194"/>
      <c r="G48" s="194"/>
      <c r="H48" s="195"/>
      <c r="I48" s="195"/>
      <c r="J48" s="197"/>
      <c r="K48" s="196">
        <v>172108</v>
      </c>
    </row>
    <row r="49" spans="1:16" ht="16.5" customHeight="1" x14ac:dyDescent="0.25">
      <c r="A49" s="99"/>
      <c r="C49" s="43"/>
      <c r="D49" s="43"/>
      <c r="E49" s="43"/>
      <c r="F49" s="44"/>
      <c r="G49" s="44"/>
      <c r="H49" s="45"/>
      <c r="I49" s="45"/>
      <c r="J49" s="155">
        <f>SUM(J47:J48)</f>
        <v>172108</v>
      </c>
      <c r="K49" s="155">
        <f>SUM(K47:K48)</f>
        <v>172108</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112673</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112673</v>
      </c>
    </row>
    <row r="59" spans="1:16" ht="16.5" customHeight="1" x14ac:dyDescent="0.25">
      <c r="A59" s="99"/>
      <c r="C59" s="43"/>
      <c r="D59" s="43"/>
      <c r="E59" s="43"/>
      <c r="F59" s="44"/>
      <c r="G59" s="44"/>
      <c r="H59" s="45"/>
      <c r="I59" s="45"/>
      <c r="J59" s="155">
        <f>SUM(J55:J58)</f>
        <v>112673</v>
      </c>
      <c r="K59" s="155">
        <f>SUM(K55:K58)</f>
        <v>112673</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102436</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12589</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115024</v>
      </c>
    </row>
    <row r="65" spans="1:12" ht="16.5" customHeight="1" x14ac:dyDescent="0.25">
      <c r="A65" s="99"/>
      <c r="C65" s="43"/>
      <c r="D65" s="43"/>
      <c r="E65" s="43"/>
      <c r="F65" s="44"/>
      <c r="G65" s="44"/>
      <c r="H65" s="45"/>
      <c r="I65" s="45"/>
      <c r="J65" s="155">
        <f>SUM(J62:J64)</f>
        <v>115025</v>
      </c>
      <c r="K65" s="155">
        <f>SUM(K62:K64)</f>
        <v>115024</v>
      </c>
      <c r="L65" s="21" t="str">
        <f>IF(J65=K65,"&lt;- Debits and Credits equal each other.","&lt;- Debits and Credits do not equal each other.")</f>
        <v>&lt;- Debits and Credits do not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102436</v>
      </c>
      <c r="K68" s="197"/>
    </row>
    <row r="69" spans="1:12" ht="16.5" customHeight="1" x14ac:dyDescent="0.25">
      <c r="A69" s="99"/>
      <c r="B69" s="26"/>
      <c r="C69" s="26" t="s">
        <v>203</v>
      </c>
      <c r="D69" s="193"/>
      <c r="E69" s="193"/>
      <c r="F69" s="194"/>
      <c r="G69" s="194"/>
      <c r="H69" s="195"/>
      <c r="I69" s="195"/>
      <c r="J69" s="197"/>
      <c r="K69" s="196">
        <v>102436</v>
      </c>
    </row>
    <row r="70" spans="1:12" ht="16.5" customHeight="1" x14ac:dyDescent="0.25">
      <c r="A70" s="99"/>
      <c r="C70" s="43"/>
      <c r="D70" s="43"/>
      <c r="E70" s="43"/>
      <c r="F70" s="44"/>
      <c r="G70" s="44"/>
      <c r="H70" s="45"/>
      <c r="I70" s="45"/>
      <c r="J70" s="155">
        <f>SUM(J68:J69)</f>
        <v>102436</v>
      </c>
      <c r="K70" s="155">
        <f>SUM(K68:K69)</f>
        <v>102436</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104847</v>
      </c>
      <c r="K75" s="197"/>
    </row>
    <row r="76" spans="1:12" ht="16.5" customHeight="1" x14ac:dyDescent="0.25">
      <c r="A76" s="99"/>
      <c r="B76" s="26"/>
      <c r="C76" s="26" t="s">
        <v>211</v>
      </c>
      <c r="D76" s="193"/>
      <c r="E76" s="193"/>
      <c r="F76" s="194"/>
      <c r="G76" s="194"/>
      <c r="H76" s="195"/>
      <c r="I76" s="195"/>
      <c r="J76" s="197"/>
      <c r="K76" s="196">
        <v>104847</v>
      </c>
    </row>
    <row r="77" spans="1:12" ht="16.5" customHeight="1" x14ac:dyDescent="0.2">
      <c r="A77" s="99"/>
      <c r="B77" s="259" t="s">
        <v>1814</v>
      </c>
      <c r="C77" s="259"/>
      <c r="D77" s="259"/>
      <c r="E77" s="259"/>
      <c r="F77" s="259"/>
      <c r="G77" s="259"/>
      <c r="H77" s="259"/>
      <c r="I77" s="259"/>
      <c r="J77" s="155">
        <f>SUM(J75:J76)</f>
        <v>104847</v>
      </c>
      <c r="K77" s="155">
        <f>SUM(K75:K76)</f>
        <v>104847</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41150</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41150</v>
      </c>
    </row>
    <row r="91" spans="1:16" ht="16.5" customHeight="1" x14ac:dyDescent="0.25">
      <c r="B91" s="182" t="s">
        <v>1693</v>
      </c>
      <c r="H91" s="37"/>
      <c r="J91" s="156">
        <f>SUM(J85:J90)</f>
        <v>41150</v>
      </c>
      <c r="K91" s="156">
        <f>SUM(K85:K90)</f>
        <v>41150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874029</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-281927</v>
      </c>
    </row>
    <row r="128" spans="1:12" ht="16.5" customHeight="1" x14ac:dyDescent="0.25">
      <c r="D128" s="193" t="s">
        <v>1709</v>
      </c>
      <c r="H128" s="37"/>
      <c r="K128" s="238">
        <f>-K23-K48+J68+J75+J96-K113</f>
        <v>-513364</v>
      </c>
    </row>
    <row r="129" spans="4:11" ht="16.5" customHeight="1" x14ac:dyDescent="0.25">
      <c r="D129" s="193" t="s">
        <v>1710</v>
      </c>
      <c r="H129" s="37"/>
      <c r="K129" s="238">
        <f>-K76</f>
        <v>-104847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ECF03C7B-EDDB-4806-A358-FCF1B48542B8}"/>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A0B00DE-3384-4CD8-A823-C9D6860CB31A}">
      <formula1>0</formula1>
    </dataValidation>
    <dataValidation type="textLength" operator="equal" allowBlank="1" showInputMessage="1" showErrorMessage="1" errorTitle="4-Digit Org Code" error="Enter the Org Code/BU as 4 digits." sqref="F5" xr:uid="{096170B2-AB91-4AE0-83EA-39FC0DDC504B}">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FB1D8FE-4766-4CBA-9E08-AA24F735C77D}">
          <x14:formula1>
            <xm:f>'Drop Down Menus'!$A$1:$A$101</xm:f>
          </x14:formula1>
          <xm:sqref>F3</xm:sqref>
        </x14:dataValidation>
        <x14:dataValidation type="list" allowBlank="1" showInputMessage="1" showErrorMessage="1" xr:uid="{1ECF77B0-C2BD-4CF7-A85D-ED8F04FC7B5D}">
          <x14:formula1>
            <xm:f>'Drop Down Menus'!$B$1:$B$2</xm:f>
          </x14:formula1>
          <xm:sqref>F7</xm:sqref>
        </x14:dataValidation>
        <x14:dataValidation type="list" allowBlank="1" showInputMessage="1" showErrorMessage="1" xr:uid="{97B8B61A-AA1C-422C-A252-DE62B2FEDF59}">
          <x14:formula1>
            <xm:f>'Drop Down Menus'!$E$1:$E$3</xm:f>
          </x14:formula1>
          <xm:sqref>F8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BE1A-C30D-45B2-850C-268B1A9A2370}">
  <sheetPr codeName="Sheet17">
    <tabColor rgb="FF00B050"/>
    <pageSetUpPr fitToPage="1"/>
  </sheetPr>
  <dimension ref="A1:S193"/>
  <sheetViews>
    <sheetView topLeftCell="A45" zoomScale="70" zoomScaleNormal="70" workbookViewId="0">
      <selection activeCell="P38" sqref="P3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6088</v>
      </c>
      <c r="G6" s="255"/>
      <c r="H6" s="255"/>
      <c r="I6" s="255"/>
      <c r="L6" s="40"/>
      <c r="M6" s="40"/>
      <c r="N6" s="40"/>
      <c r="O6" s="40"/>
      <c r="P6" s="39"/>
      <c r="Q6" s="39"/>
    </row>
    <row r="7" spans="1:19" ht="16.5" customHeight="1" x14ac:dyDescent="0.25">
      <c r="A7" s="252" t="s">
        <v>3</v>
      </c>
      <c r="B7" s="252"/>
      <c r="C7" s="252"/>
      <c r="D7" s="252"/>
      <c r="E7" s="252"/>
      <c r="F7" s="255" t="s">
        <v>124</v>
      </c>
      <c r="G7" s="255"/>
      <c r="H7" s="255"/>
      <c r="I7" s="255"/>
      <c r="K7" s="96"/>
      <c r="L7" s="40"/>
      <c r="M7" s="40"/>
      <c r="N7" s="40"/>
      <c r="O7" s="40"/>
      <c r="P7" s="39"/>
      <c r="Q7" s="39"/>
    </row>
    <row r="8" spans="1:19" ht="16.5" customHeight="1" x14ac:dyDescent="0.25">
      <c r="A8" s="252" t="s">
        <v>1641</v>
      </c>
      <c r="B8" s="252"/>
      <c r="C8" s="252"/>
      <c r="D8" s="252"/>
      <c r="E8" s="252"/>
      <c r="F8" s="255" t="s">
        <v>165</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RESOURCES</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402315</v>
      </c>
      <c r="M17" s="196">
        <v>402315</v>
      </c>
      <c r="P17" s="250">
        <v>1057439</v>
      </c>
      <c r="Q17" s="224"/>
      <c r="S17" s="223">
        <f t="shared" si="0"/>
        <v>655124</v>
      </c>
    </row>
    <row r="18" spans="1:19" ht="16.5" customHeight="1" x14ac:dyDescent="0.25">
      <c r="A18" s="99"/>
      <c r="B18" s="26" t="s">
        <v>179</v>
      </c>
      <c r="C18" s="26"/>
      <c r="D18" s="26"/>
      <c r="E18" s="193"/>
      <c r="F18" s="194"/>
      <c r="G18" s="194"/>
      <c r="H18" s="195"/>
      <c r="I18" s="195"/>
      <c r="J18" s="248">
        <f>P18</f>
        <v>22588</v>
      </c>
      <c r="M18" s="196">
        <v>8974</v>
      </c>
      <c r="P18" s="221">
        <f>IF(SUM($Q$20:$Q$23)&gt;SUM($P$15:$P$17),SUM($Q$20:$Q$23)-SUM($P$15:$P$17),0)</f>
        <v>22588</v>
      </c>
      <c r="Q18" s="224"/>
      <c r="S18" s="223">
        <f t="shared" si="0"/>
        <v>13614</v>
      </c>
    </row>
    <row r="19" spans="1:19" ht="16.5" customHeight="1" x14ac:dyDescent="0.25">
      <c r="A19" s="99"/>
      <c r="B19" s="26" t="s">
        <v>180</v>
      </c>
      <c r="C19" s="26"/>
      <c r="D19" s="26"/>
      <c r="E19" s="193"/>
      <c r="F19" s="194"/>
      <c r="G19" s="194"/>
      <c r="H19" s="195"/>
      <c r="I19" s="195"/>
      <c r="J19" s="248">
        <f>IF(SUM($K$20:$K$24)&gt;SUM($J$15:$J$18),SUM($K$20:$K$24)-SUM($J$15:$J$18),0)</f>
        <v>0</v>
      </c>
      <c r="M19" s="196">
        <v>0</v>
      </c>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113918</v>
      </c>
      <c r="N22" s="196">
        <v>113918</v>
      </c>
      <c r="P22" s="224"/>
      <c r="Q22" s="250">
        <v>299420</v>
      </c>
      <c r="S22" s="223">
        <f t="shared" ref="S22:S25" si="1">Q22-N22</f>
        <v>185502</v>
      </c>
    </row>
    <row r="23" spans="1:19" ht="16.5" customHeight="1" x14ac:dyDescent="0.25">
      <c r="A23" s="234" t="s">
        <v>1698</v>
      </c>
      <c r="B23" s="26"/>
      <c r="C23" s="26" t="s">
        <v>184</v>
      </c>
      <c r="D23" s="26"/>
      <c r="E23" s="193"/>
      <c r="F23" s="194"/>
      <c r="G23" s="194"/>
      <c r="H23" s="195"/>
      <c r="I23" s="195"/>
      <c r="J23" s="213"/>
      <c r="K23" s="248">
        <f>N23</f>
        <v>296992</v>
      </c>
      <c r="N23" s="196">
        <v>296992</v>
      </c>
      <c r="P23" s="224"/>
      <c r="Q23" s="250">
        <v>780607</v>
      </c>
      <c r="S23" s="223">
        <f t="shared" si="1"/>
        <v>483615</v>
      </c>
    </row>
    <row r="24" spans="1:19" ht="16.5" customHeight="1" x14ac:dyDescent="0.25">
      <c r="A24" s="99"/>
      <c r="B24" s="26"/>
      <c r="C24" s="26" t="s">
        <v>186</v>
      </c>
      <c r="D24" s="26"/>
      <c r="E24" s="193"/>
      <c r="F24" s="194"/>
      <c r="G24" s="194"/>
      <c r="H24" s="195"/>
      <c r="I24" s="195"/>
      <c r="J24" s="213"/>
      <c r="K24" s="248">
        <f>Q24</f>
        <v>0</v>
      </c>
      <c r="N24" s="196">
        <v>380</v>
      </c>
      <c r="P24" s="224"/>
      <c r="Q24" s="221">
        <f>IF(SUM($Q$20:$Q$23)&lt;SUM($P$15:$P$17),-SUM($Q$20:$Q$23)+SUM($P$15:$P$17),0)</f>
        <v>0</v>
      </c>
      <c r="S24" s="223">
        <f t="shared" si="1"/>
        <v>-380</v>
      </c>
    </row>
    <row r="25" spans="1:19" ht="16.5" customHeight="1" x14ac:dyDescent="0.25">
      <c r="A25" s="99"/>
      <c r="B25" s="26"/>
      <c r="C25" s="26" t="s">
        <v>187</v>
      </c>
      <c r="D25" s="26"/>
      <c r="E25" s="193"/>
      <c r="F25" s="194"/>
      <c r="G25" s="194"/>
      <c r="H25" s="195"/>
      <c r="I25" s="195"/>
      <c r="J25" s="213"/>
      <c r="K25" s="248">
        <f>IF(SUM($K$20:$K$24)&lt;SUM($J$15:$J$18),-SUM($K$20:$K$24)+SUM($J$15:$J$18),0)</f>
        <v>13993</v>
      </c>
      <c r="N25" s="196">
        <v>0</v>
      </c>
      <c r="P25" s="224"/>
      <c r="Q25" s="224"/>
      <c r="S25" s="223">
        <f t="shared" si="1"/>
        <v>0</v>
      </c>
    </row>
    <row r="26" spans="1:19" ht="16.5" customHeight="1" x14ac:dyDescent="0.25">
      <c r="A26" s="99"/>
      <c r="C26" s="47"/>
      <c r="D26" s="47"/>
      <c r="E26" s="47"/>
      <c r="F26" s="179"/>
      <c r="G26" s="179"/>
      <c r="H26" s="49"/>
      <c r="I26" s="49"/>
      <c r="J26" s="155">
        <f>SUM(J15:J25)</f>
        <v>424903</v>
      </c>
      <c r="K26" s="155">
        <f>SUM(K15:K25)</f>
        <v>424903</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v>93183</v>
      </c>
      <c r="K33" s="197"/>
    </row>
    <row r="34" spans="1:12" ht="16.5" customHeight="1" x14ac:dyDescent="0.25">
      <c r="A34" s="99"/>
      <c r="B34" s="26"/>
      <c r="C34" s="26" t="s">
        <v>1822</v>
      </c>
      <c r="D34" s="193"/>
      <c r="E34" s="193"/>
      <c r="F34" s="194"/>
      <c r="G34" s="194"/>
      <c r="H34" s="195"/>
      <c r="I34" s="195"/>
      <c r="J34" s="197"/>
      <c r="K34" s="196">
        <v>93183</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93183</v>
      </c>
      <c r="K36" s="155">
        <f>SUM(K33:K35)</f>
        <v>93183</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v>93183</v>
      </c>
      <c r="K41" s="197"/>
    </row>
    <row r="42" spans="1:12" ht="16.5" customHeight="1" x14ac:dyDescent="0.25">
      <c r="A42" s="99"/>
      <c r="B42" s="26"/>
      <c r="C42" s="26" t="s">
        <v>198</v>
      </c>
      <c r="D42" s="193"/>
      <c r="E42" s="193"/>
      <c r="F42" s="194"/>
      <c r="G42" s="194"/>
      <c r="H42" s="195"/>
      <c r="I42" s="195"/>
      <c r="J42" s="197"/>
      <c r="K42" s="196">
        <v>93183</v>
      </c>
    </row>
    <row r="43" spans="1:12" ht="16.5" customHeight="1" x14ac:dyDescent="0.25">
      <c r="A43" s="99"/>
      <c r="B43" s="182" t="s">
        <v>1692</v>
      </c>
      <c r="C43" s="43"/>
      <c r="D43" s="43"/>
      <c r="E43" s="43"/>
      <c r="F43" s="44"/>
      <c r="G43" s="44"/>
      <c r="H43" s="45"/>
      <c r="I43" s="45"/>
      <c r="J43" s="155">
        <f>SUM(J39:J42)</f>
        <v>93183</v>
      </c>
      <c r="K43" s="155">
        <f>SUM(K39:K42)</f>
        <v>93183</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v>93183</v>
      </c>
      <c r="K47" s="197"/>
    </row>
    <row r="48" spans="1:12" ht="16.5" customHeight="1" x14ac:dyDescent="0.25">
      <c r="A48" s="234" t="s">
        <v>1698</v>
      </c>
      <c r="B48" s="26"/>
      <c r="C48" s="26" t="s">
        <v>184</v>
      </c>
      <c r="D48" s="193"/>
      <c r="E48" s="193"/>
      <c r="F48" s="194"/>
      <c r="G48" s="194"/>
      <c r="H48" s="195"/>
      <c r="I48" s="195"/>
      <c r="J48" s="197"/>
      <c r="K48" s="196">
        <v>93183</v>
      </c>
    </row>
    <row r="49" spans="1:16" ht="16.5" customHeight="1" x14ac:dyDescent="0.25">
      <c r="A49" s="99"/>
      <c r="C49" s="43"/>
      <c r="D49" s="43"/>
      <c r="E49" s="43"/>
      <c r="F49" s="44"/>
      <c r="G49" s="44"/>
      <c r="H49" s="45"/>
      <c r="I49" s="45"/>
      <c r="J49" s="155">
        <f>SUM(J47:J48)</f>
        <v>93183</v>
      </c>
      <c r="K49" s="155">
        <f>SUM(K47:K48)</f>
        <v>93183</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61004</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61004</v>
      </c>
    </row>
    <row r="59" spans="1:16" ht="16.5" customHeight="1" x14ac:dyDescent="0.25">
      <c r="A59" s="99"/>
      <c r="C59" s="43"/>
      <c r="D59" s="43"/>
      <c r="E59" s="43"/>
      <c r="F59" s="44"/>
      <c r="G59" s="44"/>
      <c r="H59" s="45"/>
      <c r="I59" s="45"/>
      <c r="J59" s="155">
        <f>SUM(J55:J58)</f>
        <v>61004</v>
      </c>
      <c r="K59" s="155">
        <f>SUM(K55:K58)</f>
        <v>61004</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55461</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6816</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62277</v>
      </c>
    </row>
    <row r="65" spans="1:12" ht="16.5" customHeight="1" x14ac:dyDescent="0.25">
      <c r="A65" s="99"/>
      <c r="C65" s="43"/>
      <c r="D65" s="43"/>
      <c r="E65" s="43"/>
      <c r="F65" s="44"/>
      <c r="G65" s="44"/>
      <c r="H65" s="45"/>
      <c r="I65" s="45"/>
      <c r="J65" s="155">
        <f>SUM(J62:J64)</f>
        <v>62277</v>
      </c>
      <c r="K65" s="155">
        <f>SUM(K62:K64)</f>
        <v>62277</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55461</v>
      </c>
      <c r="K68" s="197"/>
    </row>
    <row r="69" spans="1:12" ht="16.5" customHeight="1" x14ac:dyDescent="0.25">
      <c r="A69" s="99"/>
      <c r="B69" s="26"/>
      <c r="C69" s="26" t="s">
        <v>203</v>
      </c>
      <c r="D69" s="193"/>
      <c r="E69" s="193"/>
      <c r="F69" s="194"/>
      <c r="G69" s="194"/>
      <c r="H69" s="195"/>
      <c r="I69" s="195"/>
      <c r="J69" s="197"/>
      <c r="K69" s="196">
        <v>55461</v>
      </c>
    </row>
    <row r="70" spans="1:12" ht="16.5" customHeight="1" x14ac:dyDescent="0.25">
      <c r="A70" s="99"/>
      <c r="C70" s="43"/>
      <c r="D70" s="43"/>
      <c r="E70" s="43"/>
      <c r="F70" s="44"/>
      <c r="G70" s="44"/>
      <c r="H70" s="45"/>
      <c r="I70" s="45"/>
      <c r="J70" s="155">
        <f>SUM(J68:J69)</f>
        <v>55461</v>
      </c>
      <c r="K70" s="155">
        <f>SUM(K68:K69)</f>
        <v>55461</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56767</v>
      </c>
      <c r="K75" s="197"/>
    </row>
    <row r="76" spans="1:12" ht="16.5" customHeight="1" x14ac:dyDescent="0.25">
      <c r="A76" s="99"/>
      <c r="B76" s="26"/>
      <c r="C76" s="26" t="s">
        <v>211</v>
      </c>
      <c r="D76" s="193"/>
      <c r="E76" s="193"/>
      <c r="F76" s="194"/>
      <c r="G76" s="194"/>
      <c r="H76" s="195"/>
      <c r="I76" s="195"/>
      <c r="J76" s="197"/>
      <c r="K76" s="196">
        <v>56767</v>
      </c>
    </row>
    <row r="77" spans="1:12" ht="16.5" customHeight="1" x14ac:dyDescent="0.2">
      <c r="A77" s="99"/>
      <c r="B77" s="259" t="s">
        <v>1814</v>
      </c>
      <c r="C77" s="259"/>
      <c r="D77" s="259"/>
      <c r="E77" s="259"/>
      <c r="F77" s="259"/>
      <c r="G77" s="259"/>
      <c r="H77" s="259"/>
      <c r="I77" s="259"/>
      <c r="J77" s="155">
        <f>SUM(J75:J76)</f>
        <v>56767</v>
      </c>
      <c r="K77" s="155">
        <f>SUM(K75:K76)</f>
        <v>56767</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v>22279</v>
      </c>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v>22279</v>
      </c>
    </row>
    <row r="91" spans="1:16" ht="16.5" customHeight="1" x14ac:dyDescent="0.25">
      <c r="B91" s="182" t="s">
        <v>1693</v>
      </c>
      <c r="H91" s="37"/>
      <c r="J91" s="156">
        <f>SUM(J85:J90)</f>
        <v>22279</v>
      </c>
      <c r="K91" s="156">
        <f>SUM(K85:K90)</f>
        <v>22279</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473219</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-152643</v>
      </c>
    </row>
    <row r="128" spans="1:12" ht="16.5" customHeight="1" x14ac:dyDescent="0.25">
      <c r="D128" s="193" t="s">
        <v>1709</v>
      </c>
      <c r="H128" s="37"/>
      <c r="K128" s="238">
        <f>-K23-K48+J68+J75+J96-K113</f>
        <v>-277947</v>
      </c>
    </row>
    <row r="129" spans="4:11" ht="16.5" customHeight="1" x14ac:dyDescent="0.25">
      <c r="D129" s="193" t="s">
        <v>1710</v>
      </c>
      <c r="H129" s="37"/>
      <c r="K129" s="238">
        <f>-K76</f>
        <v>-56767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05E59CBD-1EA6-4241-BDEB-4AC1982EAFF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99767B6-71CE-4FCE-A7B0-0C57504A9256}">
      <formula1>0</formula1>
    </dataValidation>
    <dataValidation operator="lessThan" allowBlank="1" showInputMessage="1" showErrorMessage="1" sqref="A3:A8" xr:uid="{D9E42EB4-F406-4059-9AD1-E923B31857C2}"/>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D47DCDA-D21B-48F9-ACA0-E8EB0ECAD0A7}">
          <x14:formula1>
            <xm:f>'Drop Down Menus'!$E$1:$E$3</xm:f>
          </x14:formula1>
          <xm:sqref>F8</xm:sqref>
        </x14:dataValidation>
        <x14:dataValidation type="list" allowBlank="1" showInputMessage="1" showErrorMessage="1" xr:uid="{95E02000-8EF3-431D-973B-2605111DEA10}">
          <x14:formula1>
            <xm:f>'Drop Down Menus'!$B$1:$B$2</xm:f>
          </x14:formula1>
          <xm:sqref>F7</xm:sqref>
        </x14:dataValidation>
        <x14:dataValidation type="list" allowBlank="1" showInputMessage="1" showErrorMessage="1" xr:uid="{71461F14-7ED9-46F9-9E80-80CE4DE9922D}">
          <x14:formula1>
            <xm:f>'Drop Down Menus'!$A$1:$A$101</xm:f>
          </x14:formula1>
          <xm:sqref>F3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8DD57-779C-4A46-A3C4-2A90C304D85D}">
  <sheetPr>
    <tabColor rgb="FF00B050"/>
    <pageSetUpPr fitToPage="1"/>
  </sheetPr>
  <dimension ref="A1:S193"/>
  <sheetViews>
    <sheetView zoomScale="70" zoomScaleNormal="70" workbookViewId="0">
      <selection activeCell="S17" sqref="S17"/>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1" t="s">
        <v>1661</v>
      </c>
      <c r="B1" s="251"/>
      <c r="C1" s="251"/>
      <c r="D1" s="251"/>
      <c r="E1" s="251"/>
      <c r="F1" s="251"/>
      <c r="G1" s="251"/>
      <c r="H1" s="251"/>
      <c r="I1" s="251"/>
      <c r="J1" s="251"/>
      <c r="K1" s="251"/>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2" t="s">
        <v>13</v>
      </c>
      <c r="B3" s="252"/>
      <c r="C3" s="252"/>
      <c r="D3" s="252"/>
      <c r="E3" s="252"/>
      <c r="F3" s="253" t="s">
        <v>25</v>
      </c>
      <c r="G3" s="253"/>
      <c r="H3" s="253"/>
      <c r="I3" s="253"/>
    </row>
    <row r="4" spans="1:19" ht="16.5" customHeight="1" x14ac:dyDescent="0.2">
      <c r="A4" s="252" t="s">
        <v>209</v>
      </c>
      <c r="B4" s="252"/>
      <c r="C4" s="252"/>
      <c r="D4" s="252"/>
      <c r="E4" s="252"/>
      <c r="F4" s="254" t="s">
        <v>1844</v>
      </c>
      <c r="G4" s="254"/>
      <c r="H4" s="254"/>
      <c r="I4" s="254"/>
    </row>
    <row r="5" spans="1:19" ht="16.5" customHeight="1" x14ac:dyDescent="0.2">
      <c r="A5" s="252" t="s">
        <v>1640</v>
      </c>
      <c r="B5" s="252"/>
      <c r="C5" s="252"/>
      <c r="D5" s="252"/>
      <c r="E5" s="252"/>
      <c r="F5" s="254" t="s">
        <v>804</v>
      </c>
      <c r="G5" s="254"/>
      <c r="H5" s="254"/>
      <c r="I5" s="254"/>
      <c r="L5" s="39"/>
      <c r="M5" s="39"/>
      <c r="N5" s="39"/>
      <c r="O5" s="39"/>
      <c r="P5" s="39"/>
      <c r="Q5" s="39"/>
    </row>
    <row r="6" spans="1:19" ht="16.5" customHeight="1" x14ac:dyDescent="0.25">
      <c r="A6" s="252" t="s">
        <v>1683</v>
      </c>
      <c r="B6" s="252"/>
      <c r="C6" s="252"/>
      <c r="D6" s="252"/>
      <c r="E6" s="252"/>
      <c r="F6" s="255">
        <v>3100</v>
      </c>
      <c r="G6" s="255"/>
      <c r="H6" s="255"/>
      <c r="I6" s="255"/>
      <c r="L6" s="40"/>
      <c r="M6" s="40"/>
      <c r="N6" s="40"/>
      <c r="O6" s="40"/>
      <c r="P6" s="39"/>
      <c r="Q6" s="39"/>
    </row>
    <row r="7" spans="1:19" ht="16.5" customHeight="1" x14ac:dyDescent="0.25">
      <c r="A7" s="252" t="s">
        <v>3</v>
      </c>
      <c r="B7" s="252"/>
      <c r="C7" s="252"/>
      <c r="D7" s="252"/>
      <c r="E7" s="252"/>
      <c r="F7" s="255" t="s">
        <v>125</v>
      </c>
      <c r="G7" s="255"/>
      <c r="H7" s="255"/>
      <c r="I7" s="255"/>
      <c r="K7" s="96"/>
      <c r="L7" s="40"/>
      <c r="M7" s="40"/>
      <c r="N7" s="40"/>
      <c r="O7" s="40"/>
      <c r="P7" s="39"/>
      <c r="Q7" s="39"/>
    </row>
    <row r="8" spans="1:19" ht="16.5" customHeight="1" x14ac:dyDescent="0.25">
      <c r="A8" s="252" t="s">
        <v>1641</v>
      </c>
      <c r="B8" s="252"/>
      <c r="C8" s="252"/>
      <c r="D8" s="252"/>
      <c r="E8" s="252"/>
      <c r="F8" s="255" t="s">
        <v>141</v>
      </c>
      <c r="G8" s="255"/>
      <c r="H8" s="255"/>
      <c r="I8" s="255"/>
      <c r="K8" s="96"/>
      <c r="L8" s="40"/>
      <c r="M8" s="40"/>
      <c r="N8" s="40"/>
      <c r="O8" s="40"/>
      <c r="P8" s="39"/>
      <c r="Q8" s="39"/>
    </row>
    <row r="9" spans="1:19" ht="16.5" customHeight="1" x14ac:dyDescent="0.25">
      <c r="A9" s="252" t="s">
        <v>1639</v>
      </c>
      <c r="B9" s="252"/>
      <c r="C9" s="252"/>
      <c r="D9" s="252"/>
      <c r="E9" s="252"/>
      <c r="F9" s="256" t="str">
        <f>IFERROR(IF(F7="Proprietary","Proprietary Fund",VLOOKUP(F5,qryIndex02a!$A$2:$K$654,4,FALSE)),"Unidentified")</f>
        <v>Proprietary Fund</v>
      </c>
      <c r="G9" s="256"/>
      <c r="H9" s="256"/>
      <c r="I9" s="256"/>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7" t="s">
        <v>1673</v>
      </c>
      <c r="N14" s="258"/>
      <c r="O14" s="188"/>
      <c r="P14" s="257" t="s">
        <v>1668</v>
      </c>
      <c r="Q14" s="258"/>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76234</v>
      </c>
      <c r="M17" s="196">
        <v>76234</v>
      </c>
      <c r="P17" s="250">
        <v>76234</v>
      </c>
      <c r="Q17" s="224"/>
      <c r="S17" s="223">
        <f t="shared" si="0"/>
        <v>0</v>
      </c>
    </row>
    <row r="18" spans="1:19" ht="16.5" customHeight="1" x14ac:dyDescent="0.25">
      <c r="A18" s="99"/>
      <c r="B18" s="26" t="s">
        <v>179</v>
      </c>
      <c r="C18" s="26"/>
      <c r="D18" s="26"/>
      <c r="E18" s="193"/>
      <c r="F18" s="194"/>
      <c r="G18" s="194"/>
      <c r="H18" s="195"/>
      <c r="I18" s="195"/>
      <c r="J18" s="248">
        <f>P18</f>
        <v>986</v>
      </c>
      <c r="M18" s="196">
        <v>986</v>
      </c>
      <c r="P18" s="221">
        <f>IF(SUM($Q$20:$Q$23)&gt;SUM($P$15:$P$17),SUM($Q$20:$Q$23)-SUM($P$15:$P$17),0)</f>
        <v>986</v>
      </c>
      <c r="Q18" s="224"/>
      <c r="S18" s="223">
        <f t="shared" si="0"/>
        <v>0</v>
      </c>
    </row>
    <row r="19" spans="1:19" ht="16.5" customHeight="1" x14ac:dyDescent="0.25">
      <c r="A19" s="99"/>
      <c r="B19" s="26" t="s">
        <v>180</v>
      </c>
      <c r="C19" s="26"/>
      <c r="D19" s="26"/>
      <c r="E19" s="193"/>
      <c r="F19" s="194"/>
      <c r="G19" s="194"/>
      <c r="H19" s="195"/>
      <c r="I19" s="195"/>
      <c r="J19" s="248">
        <f>IF(SUM($K$20:$K$24)&gt;SUM($J$15:$J$18),SUM($K$20:$K$24)-SUM($J$15:$J$18),0)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19752</v>
      </c>
      <c r="N22" s="196">
        <v>19752</v>
      </c>
      <c r="P22" s="224"/>
      <c r="Q22" s="250">
        <v>19752</v>
      </c>
      <c r="S22" s="223">
        <f t="shared" ref="S22:S25" si="1">Q22-N22</f>
        <v>0</v>
      </c>
    </row>
    <row r="23" spans="1:19" ht="16.5" customHeight="1" x14ac:dyDescent="0.25">
      <c r="A23" s="234" t="s">
        <v>1698</v>
      </c>
      <c r="B23" s="26"/>
      <c r="C23" s="26" t="s">
        <v>184</v>
      </c>
      <c r="D23" s="26"/>
      <c r="E23" s="193"/>
      <c r="F23" s="194"/>
      <c r="G23" s="194"/>
      <c r="H23" s="195"/>
      <c r="I23" s="195"/>
      <c r="J23" s="213"/>
      <c r="K23" s="248">
        <f>N23</f>
        <v>57468</v>
      </c>
      <c r="N23" s="196">
        <v>57468</v>
      </c>
      <c r="P23" s="224"/>
      <c r="Q23" s="250">
        <v>57468</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IF(SUM($Q$20:$Q$23)&lt;SUM($P$15:$P$17),-SUM($Q$20:$Q$23)+SUM($P$15:$P$17),0)</f>
        <v>0</v>
      </c>
      <c r="S24" s="223">
        <f t="shared" si="1"/>
        <v>0</v>
      </c>
    </row>
    <row r="25" spans="1:19" ht="16.5" customHeight="1" x14ac:dyDescent="0.25">
      <c r="A25" s="99"/>
      <c r="B25" s="26"/>
      <c r="C25" s="26" t="s">
        <v>187</v>
      </c>
      <c r="D25" s="26"/>
      <c r="E25" s="193"/>
      <c r="F25" s="194"/>
      <c r="G25" s="194"/>
      <c r="H25" s="195"/>
      <c r="I25" s="195"/>
      <c r="J25" s="213"/>
      <c r="K25" s="248">
        <f>IF(SUM($K$20:$K$24)&lt;SUM($J$15:$J$18),-SUM($K$20:$K$24)+SUM($J$15:$J$18),0)</f>
        <v>0</v>
      </c>
      <c r="N25" s="196">
        <v>0</v>
      </c>
      <c r="P25" s="224"/>
      <c r="Q25" s="224"/>
      <c r="S25" s="223">
        <f t="shared" si="1"/>
        <v>0</v>
      </c>
    </row>
    <row r="26" spans="1:19" ht="16.5" customHeight="1" x14ac:dyDescent="0.25">
      <c r="A26" s="99"/>
      <c r="C26" s="47"/>
      <c r="D26" s="47"/>
      <c r="E26" s="47"/>
      <c r="F26" s="179"/>
      <c r="G26" s="179"/>
      <c r="H26" s="49"/>
      <c r="I26" s="49"/>
      <c r="J26" s="155">
        <f>SUM(J15:J25)</f>
        <v>77220</v>
      </c>
      <c r="K26" s="155">
        <f>SUM(K15:K25)</f>
        <v>77220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1826</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1822</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0870 - SERVICES &amp; CHARGES (MG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1823</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17010</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17010</v>
      </c>
    </row>
    <row r="59" spans="1:16" ht="16.5" customHeight="1" x14ac:dyDescent="0.25">
      <c r="A59" s="99"/>
      <c r="C59" s="43"/>
      <c r="D59" s="43"/>
      <c r="E59" s="43"/>
      <c r="F59" s="44"/>
      <c r="G59" s="44"/>
      <c r="H59" s="45"/>
      <c r="I59" s="45"/>
      <c r="J59" s="155">
        <f>SUM(J55:J58)</f>
        <v>17010</v>
      </c>
      <c r="K59" s="155">
        <f>SUM(K55:K58)</f>
        <v>17010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1827</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16483</v>
      </c>
      <c r="K62" s="200"/>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v>471</v>
      </c>
      <c r="K63" s="200"/>
    </row>
    <row r="64" spans="1:16" ht="16.5" customHeight="1" x14ac:dyDescent="0.25">
      <c r="A64" s="99"/>
      <c r="B64" s="26"/>
      <c r="C64" s="26" t="str">
        <f>IF($F$7="Proprietary","Cr: Acct 0870 - SERVICES &amp; CHARGES (MG ADJ)",VLOOKUP($F$9,'Drop Down Menus'!$F$2:$G$10,2,FALSE))</f>
        <v>Cr: Acct 0870 - SERVICES &amp; CHARGES (MG ADJ)</v>
      </c>
      <c r="D64" s="193"/>
      <c r="E64" s="193"/>
      <c r="F64" s="194"/>
      <c r="G64" s="194"/>
      <c r="H64" s="195"/>
      <c r="I64" s="195"/>
      <c r="J64" s="200"/>
      <c r="K64" s="196">
        <v>16954</v>
      </c>
    </row>
    <row r="65" spans="1:12" ht="16.5" customHeight="1" x14ac:dyDescent="0.25">
      <c r="A65" s="99"/>
      <c r="C65" s="43"/>
      <c r="D65" s="43"/>
      <c r="E65" s="43"/>
      <c r="F65" s="44"/>
      <c r="G65" s="44"/>
      <c r="H65" s="45"/>
      <c r="I65" s="45"/>
      <c r="J65" s="155">
        <f>SUM(J62:J64)</f>
        <v>16954</v>
      </c>
      <c r="K65" s="155">
        <f>SUM(K62:K64)</f>
        <v>16954</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16483</v>
      </c>
      <c r="K68" s="197"/>
    </row>
    <row r="69" spans="1:12" ht="16.5" customHeight="1" x14ac:dyDescent="0.25">
      <c r="A69" s="99"/>
      <c r="B69" s="26"/>
      <c r="C69" s="26" t="s">
        <v>203</v>
      </c>
      <c r="D69" s="193"/>
      <c r="E69" s="193"/>
      <c r="F69" s="194"/>
      <c r="G69" s="194"/>
      <c r="H69" s="195"/>
      <c r="I69" s="195"/>
      <c r="J69" s="197"/>
      <c r="K69" s="196">
        <v>16483</v>
      </c>
    </row>
    <row r="70" spans="1:12" ht="16.5" customHeight="1" x14ac:dyDescent="0.25">
      <c r="A70" s="99"/>
      <c r="C70" s="43"/>
      <c r="D70" s="43"/>
      <c r="E70" s="43"/>
      <c r="F70" s="44"/>
      <c r="G70" s="44"/>
      <c r="H70" s="45"/>
      <c r="I70" s="45"/>
      <c r="J70" s="155">
        <f>SUM(J68:J69)</f>
        <v>16483</v>
      </c>
      <c r="K70" s="155">
        <f>SUM(K68:K69)</f>
        <v>16483</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12143</v>
      </c>
      <c r="K75" s="197"/>
    </row>
    <row r="76" spans="1:12" ht="16.5" customHeight="1" x14ac:dyDescent="0.25">
      <c r="A76" s="99"/>
      <c r="B76" s="26"/>
      <c r="C76" s="26" t="s">
        <v>211</v>
      </c>
      <c r="D76" s="193"/>
      <c r="E76" s="193"/>
      <c r="F76" s="194"/>
      <c r="G76" s="194"/>
      <c r="H76" s="195"/>
      <c r="I76" s="195"/>
      <c r="J76" s="197"/>
      <c r="K76" s="196">
        <v>12143</v>
      </c>
    </row>
    <row r="77" spans="1:12" ht="16.5" customHeight="1" x14ac:dyDescent="0.2">
      <c r="A77" s="99"/>
      <c r="B77" s="259" t="s">
        <v>1814</v>
      </c>
      <c r="C77" s="259"/>
      <c r="D77" s="259"/>
      <c r="E77" s="259"/>
      <c r="F77" s="259"/>
      <c r="G77" s="259"/>
      <c r="H77" s="259"/>
      <c r="I77" s="259"/>
      <c r="J77" s="155">
        <f>SUM(J75:J76)</f>
        <v>12143</v>
      </c>
      <c r="K77" s="155">
        <f>SUM(K75:K76)</f>
        <v>12143</v>
      </c>
      <c r="L77" s="21" t="str">
        <f>IF(J77=K77,"&lt;- Debits and Credits equal each other.","&lt;- Debits and Credits do not equal each other.")</f>
        <v>&lt;- Debits and Credits equal each other.</v>
      </c>
    </row>
    <row r="78" spans="1:12" ht="16.5" customHeight="1" x14ac:dyDescent="0.2">
      <c r="A78" s="99"/>
      <c r="B78" s="259"/>
      <c r="C78" s="259"/>
      <c r="D78" s="259"/>
      <c r="E78" s="259"/>
      <c r="F78" s="259"/>
      <c r="G78" s="259"/>
      <c r="H78" s="259"/>
      <c r="I78" s="259"/>
      <c r="J78" s="155"/>
      <c r="K78" s="155"/>
      <c r="L78" s="21"/>
    </row>
    <row r="79" spans="1:12" ht="24.6" customHeight="1" x14ac:dyDescent="0.2">
      <c r="A79" s="99"/>
      <c r="B79" s="259"/>
      <c r="C79" s="259"/>
      <c r="D79" s="259"/>
      <c r="E79" s="259"/>
      <c r="F79" s="259"/>
      <c r="G79" s="259"/>
      <c r="H79" s="259"/>
      <c r="I79" s="259"/>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1835</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0870 - SERVICES &amp; CHARGES (MG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Dr: Acct 0870 - SERVICES &amp; CHARGES (MG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1828</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v>30681</v>
      </c>
      <c r="K112" s="53"/>
    </row>
    <row r="113" spans="1:12" ht="16.5" customHeight="1" x14ac:dyDescent="0.2">
      <c r="A113" s="234" t="s">
        <v>1698</v>
      </c>
      <c r="B113" s="26"/>
      <c r="C113" s="26" t="s">
        <v>184</v>
      </c>
      <c r="D113" s="20"/>
      <c r="E113" s="53"/>
      <c r="F113" s="53"/>
      <c r="G113" s="53"/>
      <c r="H113" s="53"/>
      <c r="I113" s="53"/>
      <c r="J113" s="53"/>
      <c r="K113" s="196">
        <v>30681</v>
      </c>
    </row>
    <row r="114" spans="1:12" ht="16.5" customHeight="1" x14ac:dyDescent="0.25">
      <c r="A114" s="15"/>
      <c r="B114" s="182" t="s">
        <v>1692</v>
      </c>
      <c r="C114" s="166"/>
      <c r="D114" s="166"/>
      <c r="H114" s="37"/>
      <c r="J114" s="156">
        <f>SUM(J110:J113)</f>
        <v>30681</v>
      </c>
      <c r="K114" s="156">
        <f>SUM(K110:K113)</f>
        <v>30681</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106915</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-36762</v>
      </c>
    </row>
    <row r="128" spans="1:12" ht="16.5" customHeight="1" x14ac:dyDescent="0.25">
      <c r="D128" s="193" t="s">
        <v>1709</v>
      </c>
      <c r="H128" s="37"/>
      <c r="K128" s="238">
        <f>-K23-K48+J68+J75+J96-K113</f>
        <v>-59523</v>
      </c>
    </row>
    <row r="129" spans="4:11" ht="16.5" customHeight="1" x14ac:dyDescent="0.25">
      <c r="D129" s="193" t="s">
        <v>1710</v>
      </c>
      <c r="H129" s="37"/>
      <c r="K129" s="238">
        <f>-K76</f>
        <v>-12143</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5F255D47-DB0C-46F4-B582-5189CCD17B1A}"/>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53875F3-B729-4345-B8FF-2476A421C42D}">
      <formula1>0</formula1>
    </dataValidation>
    <dataValidation type="textLength" operator="equal" allowBlank="1" showInputMessage="1" showErrorMessage="1" errorTitle="4-Digit Org Code" error="Enter the Org Code/BU as 4 digits." sqref="F5" xr:uid="{A8B708E4-8216-4D56-86A5-9F2A3465824B}">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8297FF6-BA6A-487B-886B-A41182E65BB6}">
          <x14:formula1>
            <xm:f>'Drop Down Menus'!$A$1:$A$101</xm:f>
          </x14:formula1>
          <xm:sqref>F3</xm:sqref>
        </x14:dataValidation>
        <x14:dataValidation type="list" allowBlank="1" showInputMessage="1" showErrorMessage="1" xr:uid="{B7C70547-75D0-44FA-9528-06D622F84662}">
          <x14:formula1>
            <xm:f>'Drop Down Menus'!$B$1:$B$2</xm:f>
          </x14:formula1>
          <xm:sqref>F7</xm:sqref>
        </x14:dataValidation>
        <x14:dataValidation type="list" allowBlank="1" showInputMessage="1" showErrorMessage="1" xr:uid="{213EE223-84E2-451D-A6D6-49A6E7F55EB5}">
          <x14:formula1>
            <xm:f>'Drop Down Menus'!$E$1:$E$3</xm:f>
          </x14:formula1>
          <xm:sqref>F8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8">
    <tabColor theme="9" tint="0.59999389629810485"/>
  </sheetPr>
  <dimension ref="A1:M98"/>
  <sheetViews>
    <sheetView topLeftCell="A4" zoomScale="70" zoomScaleNormal="70" workbookViewId="0">
      <selection activeCell="K18" sqref="K1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0" t="s">
        <v>150</v>
      </c>
      <c r="B1" s="270"/>
      <c r="C1" s="270"/>
      <c r="D1" s="270"/>
      <c r="E1" s="270"/>
      <c r="F1" s="270"/>
      <c r="G1" s="5"/>
      <c r="H1" s="5"/>
      <c r="I1" s="5"/>
      <c r="J1" s="5"/>
      <c r="K1" s="5"/>
      <c r="L1" s="5"/>
      <c r="M1" s="5"/>
    </row>
    <row r="2" spans="1:13" ht="64.150000000000006" customHeight="1" x14ac:dyDescent="0.25">
      <c r="A2" s="269" t="s">
        <v>148</v>
      </c>
      <c r="B2" s="269"/>
      <c r="C2" s="269"/>
      <c r="D2" s="269"/>
      <c r="E2" s="269"/>
      <c r="F2" s="269"/>
      <c r="G2" s="5"/>
      <c r="H2" s="5"/>
      <c r="I2" s="5"/>
      <c r="J2" s="5"/>
      <c r="K2" s="5"/>
      <c r="L2" s="5"/>
      <c r="M2" s="5"/>
    </row>
    <row r="3" spans="1:13" ht="31.9" customHeight="1" x14ac:dyDescent="0.25">
      <c r="A3" s="274" t="s">
        <v>212</v>
      </c>
      <c r="B3" s="274"/>
      <c r="C3" s="274"/>
      <c r="D3" s="52"/>
      <c r="E3" s="5"/>
      <c r="F3" s="5"/>
      <c r="G3" s="5"/>
      <c r="H3" s="5"/>
      <c r="I3" s="5"/>
      <c r="J3" s="5"/>
      <c r="K3" s="5"/>
      <c r="L3" s="5"/>
      <c r="M3" s="5"/>
    </row>
    <row r="4" spans="1:13" ht="31.15" customHeight="1" x14ac:dyDescent="0.25">
      <c r="A4" s="275" t="s">
        <v>7</v>
      </c>
      <c r="B4" s="275"/>
      <c r="C4" s="275"/>
      <c r="D4" s="52"/>
      <c r="E4" s="5"/>
      <c r="F4" s="5"/>
      <c r="G4" s="5"/>
      <c r="H4" s="5"/>
      <c r="I4" s="5"/>
      <c r="J4" s="5"/>
      <c r="K4" s="5"/>
      <c r="L4" s="5"/>
      <c r="M4" s="5"/>
    </row>
    <row r="5" spans="1:13" ht="31.15" customHeight="1" x14ac:dyDescent="0.25">
      <c r="A5" s="275" t="s">
        <v>9</v>
      </c>
      <c r="B5" s="275"/>
      <c r="C5" s="27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1" t="s">
        <v>25</v>
      </c>
      <c r="C8" s="271"/>
      <c r="D8" s="5"/>
      <c r="E8" s="5"/>
      <c r="F8" s="5"/>
    </row>
    <row r="9" spans="1:13" ht="15.75" x14ac:dyDescent="0.25">
      <c r="A9" s="12" t="s">
        <v>210</v>
      </c>
      <c r="B9" s="272">
        <v>3860</v>
      </c>
      <c r="C9" s="272"/>
      <c r="D9" s="5"/>
      <c r="E9" s="5"/>
      <c r="F9" s="5"/>
    </row>
    <row r="10" spans="1:13" ht="15.75" x14ac:dyDescent="0.25">
      <c r="A10" s="12" t="s">
        <v>209</v>
      </c>
      <c r="B10" s="273" t="s">
        <v>1844</v>
      </c>
      <c r="C10" s="273"/>
      <c r="D10" s="5"/>
      <c r="E10" s="5"/>
      <c r="F10" s="5"/>
      <c r="G10" s="55"/>
      <c r="H10" s="55"/>
      <c r="I10" s="55"/>
      <c r="J10" s="55"/>
      <c r="K10" s="55"/>
      <c r="L10" s="55"/>
      <c r="M10" s="55"/>
    </row>
    <row r="11" spans="1:13" ht="32.25" customHeight="1" x14ac:dyDescent="0.25">
      <c r="A11" s="265" t="s">
        <v>10</v>
      </c>
      <c r="B11" s="265"/>
      <c r="C11" s="265"/>
      <c r="D11" s="5"/>
      <c r="E11" s="5"/>
      <c r="F11" s="5"/>
      <c r="G11" s="57"/>
      <c r="H11" s="57"/>
      <c r="I11" s="57"/>
      <c r="J11" s="57"/>
      <c r="K11" s="57"/>
      <c r="L11" s="57"/>
      <c r="M11" s="57"/>
    </row>
    <row r="12" spans="1:13" ht="15" customHeight="1" x14ac:dyDescent="0.25">
      <c r="A12" s="84"/>
      <c r="B12" s="85" t="s">
        <v>11</v>
      </c>
      <c r="C12" s="85" t="s">
        <v>12</v>
      </c>
      <c r="D12" s="267" t="str">
        <f>"All of the below questions are for Fiscal Year "&amp;$B$8&amp;":"</f>
        <v>All of the below questions are for Fiscal Year 2023–2024:</v>
      </c>
      <c r="E12" s="267"/>
      <c r="F12" s="267"/>
      <c r="G12" s="57"/>
      <c r="H12" s="57"/>
      <c r="I12" s="57"/>
      <c r="J12" s="57"/>
      <c r="K12" s="57"/>
      <c r="L12" s="57"/>
      <c r="M12" s="57"/>
    </row>
    <row r="13" spans="1:13" ht="15.6" customHeight="1" x14ac:dyDescent="0.25">
      <c r="A13" s="84" t="str">
        <f>RIGHT(B8,4)&amp;"–"&amp;RIGHT(B8,4)+1</f>
        <v>2024–2025</v>
      </c>
      <c r="B13" s="100">
        <f>3056630+112</f>
        <v>3056742</v>
      </c>
      <c r="C13" s="100">
        <v>324239.10150711279</v>
      </c>
      <c r="D13" s="263" t="s">
        <v>6</v>
      </c>
      <c r="E13" s="264"/>
      <c r="F13" s="264"/>
      <c r="G13" s="57"/>
      <c r="H13" s="57"/>
      <c r="I13" s="57"/>
      <c r="J13" s="57"/>
      <c r="K13" s="57"/>
      <c r="L13" s="57"/>
      <c r="M13" s="57"/>
    </row>
    <row r="14" spans="1:13" x14ac:dyDescent="0.2">
      <c r="A14" s="84" t="str">
        <f>LEFT(A13,4)+1&amp;"–"&amp;RIGHT(A13,4)+1</f>
        <v>2025–2026</v>
      </c>
      <c r="B14" s="100">
        <v>3172029</v>
      </c>
      <c r="C14" s="100">
        <v>279390.27960693801</v>
      </c>
      <c r="D14" s="263"/>
      <c r="E14" s="264"/>
      <c r="F14" s="264"/>
    </row>
    <row r="15" spans="1:13" ht="15.75" x14ac:dyDescent="0.2">
      <c r="A15" s="84" t="str">
        <f>LEFT(A14,4)+1&amp;"–"&amp;RIGHT(A14,4)+1</f>
        <v>2026–2027</v>
      </c>
      <c r="B15" s="100">
        <v>2539441</v>
      </c>
      <c r="C15" s="100">
        <v>233746.30744196812</v>
      </c>
      <c r="D15" s="260" t="s">
        <v>131</v>
      </c>
      <c r="E15" s="260"/>
      <c r="F15" s="260"/>
      <c r="G15" s="58"/>
      <c r="H15" s="58"/>
      <c r="I15" s="58"/>
      <c r="J15" s="58"/>
      <c r="K15" s="58"/>
      <c r="L15" s="58"/>
      <c r="M15" s="58"/>
    </row>
    <row r="16" spans="1:13" x14ac:dyDescent="0.2">
      <c r="A16" s="84" t="str">
        <f>LEFT(A15,4)+1&amp;"–"&amp;RIGHT(A15,4)+1</f>
        <v>2027–2028</v>
      </c>
      <c r="B16" s="100">
        <v>1546301</v>
      </c>
      <c r="C16" s="100">
        <v>197655.46664299359</v>
      </c>
      <c r="D16" s="262" t="str">
        <f>"If yes, record the dollar amount of variable payments below for fiscal year "&amp;$B$8&amp;":"</f>
        <v>If yes, record the dollar amount of variable payments below for fiscal year 2023–2024:</v>
      </c>
      <c r="E16" s="262"/>
      <c r="F16" s="262"/>
      <c r="G16" s="59"/>
      <c r="H16" s="59"/>
      <c r="I16" s="59"/>
      <c r="J16" s="59"/>
      <c r="K16" s="59"/>
    </row>
    <row r="17" spans="1:13" ht="15" customHeight="1" x14ac:dyDescent="0.2">
      <c r="A17" s="84" t="str">
        <f>LEFT(A16,4)+1&amp;"–"&amp;RIGHT(A16,4)+1</f>
        <v>2028–2029</v>
      </c>
      <c r="B17" s="100">
        <v>1337116</v>
      </c>
      <c r="C17" s="100">
        <v>164782.10983477373</v>
      </c>
      <c r="D17" s="260">
        <v>0</v>
      </c>
      <c r="E17" s="260"/>
      <c r="F17" s="260"/>
      <c r="G17" s="59"/>
      <c r="H17" s="59"/>
      <c r="I17" s="59"/>
      <c r="J17" s="59"/>
      <c r="K17" s="59"/>
    </row>
    <row r="18" spans="1:13" ht="15" customHeight="1" x14ac:dyDescent="0.25">
      <c r="A18" s="84" t="str">
        <f>LEFT(A17,4)+1&amp;"–"&amp;RIGHT(A17,4)+5</f>
        <v>2029–2034</v>
      </c>
      <c r="B18" s="100">
        <v>5960329</v>
      </c>
      <c r="C18" s="100">
        <v>354720.47883512761</v>
      </c>
      <c r="D18" s="263" t="s">
        <v>8</v>
      </c>
      <c r="E18" s="264"/>
      <c r="F18" s="264"/>
      <c r="G18" s="57"/>
      <c r="H18" s="57"/>
      <c r="I18" s="57"/>
      <c r="J18" s="57"/>
      <c r="K18" s="57"/>
      <c r="L18" s="57"/>
      <c r="M18" s="57"/>
    </row>
    <row r="19" spans="1:13" x14ac:dyDescent="0.2">
      <c r="A19" s="84" t="str">
        <f t="shared" ref="A19:A32" si="0">LEFT(A18,4)+5&amp;"–"&amp;RIGHT(A18,4)+5</f>
        <v>2034–2039</v>
      </c>
      <c r="B19" s="100">
        <f>410981-1345+548</f>
        <v>410184</v>
      </c>
      <c r="C19" s="100">
        <v>3346.8626211946007</v>
      </c>
      <c r="D19" s="263"/>
      <c r="E19" s="264"/>
      <c r="F19" s="264"/>
    </row>
    <row r="20" spans="1:13" ht="15.75" x14ac:dyDescent="0.2">
      <c r="A20" s="84" t="str">
        <f t="shared" si="0"/>
        <v>2039–2044</v>
      </c>
      <c r="B20" s="100"/>
      <c r="C20" s="100"/>
      <c r="D20" s="260" t="s">
        <v>131</v>
      </c>
      <c r="E20" s="260"/>
      <c r="F20" s="260"/>
      <c r="G20" s="58"/>
      <c r="H20" s="58"/>
      <c r="I20" s="58"/>
      <c r="J20" s="58"/>
      <c r="K20" s="58"/>
      <c r="L20" s="58"/>
      <c r="M20" s="58"/>
    </row>
    <row r="21" spans="1:13" ht="15" customHeight="1" x14ac:dyDescent="0.2">
      <c r="A21" s="84" t="str">
        <f t="shared" si="0"/>
        <v>2044–2049</v>
      </c>
      <c r="B21" s="100"/>
      <c r="C21" s="100"/>
      <c r="D21" s="261" t="str">
        <f>"If yes, record the dollar amount of any payments made for residual value guarantees below for fiscal year "&amp;$B$8&amp;":"</f>
        <v>If yes, record the dollar amount of any payments made for residual value guarantees below for fiscal year 2023–2024:</v>
      </c>
      <c r="E21" s="262"/>
      <c r="F21" s="262"/>
    </row>
    <row r="22" spans="1:13" x14ac:dyDescent="0.2">
      <c r="A22" s="84" t="str">
        <f t="shared" si="0"/>
        <v>2049–2054</v>
      </c>
      <c r="B22" s="100"/>
      <c r="C22" s="100"/>
      <c r="D22" s="261"/>
      <c r="E22" s="262"/>
      <c r="F22" s="262"/>
    </row>
    <row r="23" spans="1:13" x14ac:dyDescent="0.2">
      <c r="A23" s="84" t="str">
        <f t="shared" si="0"/>
        <v>2054–2059</v>
      </c>
      <c r="B23" s="100"/>
      <c r="C23" s="100"/>
      <c r="D23" s="260">
        <v>0</v>
      </c>
      <c r="E23" s="260"/>
      <c r="F23" s="260"/>
    </row>
    <row r="24" spans="1:13" x14ac:dyDescent="0.2">
      <c r="A24" s="84" t="str">
        <f t="shared" si="0"/>
        <v>2059–2064</v>
      </c>
      <c r="B24" s="100"/>
      <c r="C24" s="100"/>
      <c r="D24" s="26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62"/>
      <c r="F24" s="262"/>
    </row>
    <row r="25" spans="1:13" ht="15" customHeight="1" x14ac:dyDescent="0.2">
      <c r="A25" s="84" t="str">
        <f t="shared" si="0"/>
        <v>2064–2069</v>
      </c>
      <c r="B25" s="100"/>
      <c r="C25" s="100"/>
      <c r="D25" s="261"/>
      <c r="E25" s="262"/>
      <c r="F25" s="262"/>
    </row>
    <row r="26" spans="1:13" x14ac:dyDescent="0.2">
      <c r="A26" s="84" t="str">
        <f t="shared" si="0"/>
        <v>2069–2074</v>
      </c>
      <c r="B26" s="100"/>
      <c r="C26" s="100"/>
      <c r="D26" s="260">
        <v>0</v>
      </c>
      <c r="E26" s="260"/>
      <c r="F26" s="260"/>
    </row>
    <row r="27" spans="1:13" ht="15" customHeight="1" x14ac:dyDescent="0.2">
      <c r="A27" s="84" t="str">
        <f t="shared" si="0"/>
        <v>2074–2079</v>
      </c>
      <c r="B27" s="100"/>
      <c r="C27" s="100"/>
      <c r="D27" s="26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64"/>
      <c r="F27" s="264"/>
    </row>
    <row r="28" spans="1:13" ht="15.75" x14ac:dyDescent="0.2">
      <c r="A28" s="84" t="str">
        <f t="shared" si="0"/>
        <v>2079–2084</v>
      </c>
      <c r="B28" s="100"/>
      <c r="C28" s="100"/>
      <c r="D28" s="263"/>
      <c r="E28" s="264"/>
      <c r="F28" s="264"/>
      <c r="G28" s="61"/>
      <c r="H28" s="61"/>
      <c r="I28" s="61"/>
      <c r="J28" s="61"/>
      <c r="K28" s="61"/>
      <c r="L28" s="61"/>
      <c r="M28" s="61"/>
    </row>
    <row r="29" spans="1:13" ht="15.75" x14ac:dyDescent="0.2">
      <c r="A29" s="84" t="str">
        <f t="shared" si="0"/>
        <v>2084–2089</v>
      </c>
      <c r="B29" s="100"/>
      <c r="C29" s="100"/>
      <c r="D29" s="260" t="s">
        <v>131</v>
      </c>
      <c r="E29" s="260"/>
      <c r="F29" s="26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60" t="s">
        <v>131</v>
      </c>
      <c r="E31" s="260"/>
      <c r="F31" s="26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60">
        <v>0</v>
      </c>
      <c r="E33" s="260"/>
      <c r="F33" s="26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6" t="str">
        <f>B8</f>
        <v>2023–2024</v>
      </c>
      <c r="C39" s="266"/>
      <c r="E39" s="60"/>
    </row>
    <row r="40" spans="1:13" ht="15.6" customHeight="1" x14ac:dyDescent="0.25">
      <c r="A40" s="12" t="s">
        <v>210</v>
      </c>
      <c r="B40" s="268">
        <f>B9</f>
        <v>3860</v>
      </c>
      <c r="C40" s="268"/>
      <c r="E40" s="60"/>
    </row>
    <row r="41" spans="1:13" ht="15.75" x14ac:dyDescent="0.25">
      <c r="A41" s="12" t="s">
        <v>209</v>
      </c>
      <c r="B41" s="266" t="str">
        <f>B10</f>
        <v>Department of Water Resources</v>
      </c>
      <c r="C41" s="266"/>
      <c r="E41" s="60"/>
    </row>
    <row r="42" spans="1:13" ht="32.25" customHeight="1" x14ac:dyDescent="0.25">
      <c r="A42" s="265" t="s">
        <v>10</v>
      </c>
      <c r="B42" s="265"/>
      <c r="C42" s="265"/>
      <c r="D42" s="5"/>
      <c r="E42" s="5"/>
      <c r="F42" s="5"/>
      <c r="G42" s="57"/>
      <c r="H42" s="57"/>
      <c r="I42" s="57"/>
      <c r="J42" s="57"/>
      <c r="K42" s="57"/>
      <c r="L42" s="57"/>
      <c r="M42" s="57"/>
    </row>
    <row r="43" spans="1:13" ht="15" customHeight="1" x14ac:dyDescent="0.25">
      <c r="A43" s="84"/>
      <c r="B43" s="85" t="s">
        <v>11</v>
      </c>
      <c r="C43" s="85" t="s">
        <v>12</v>
      </c>
      <c r="D43" s="267" t="str">
        <f>"All of the below questions are for Fiscal Year "&amp;$B$8&amp;":"</f>
        <v>All of the below questions are for Fiscal Year 2023–2024:</v>
      </c>
      <c r="E43" s="267"/>
      <c r="F43" s="267"/>
    </row>
    <row r="44" spans="1:13" ht="15" customHeight="1" x14ac:dyDescent="0.2">
      <c r="A44" s="84" t="str">
        <f>RIGHT(B39,4)&amp;"–"&amp;RIGHT(B39,4)+1</f>
        <v>2024–2025</v>
      </c>
      <c r="B44" s="100"/>
      <c r="C44" s="100"/>
      <c r="D44" s="263" t="s">
        <v>6</v>
      </c>
      <c r="E44" s="264"/>
      <c r="F44" s="264"/>
    </row>
    <row r="45" spans="1:13" ht="15" customHeight="1" x14ac:dyDescent="0.2">
      <c r="A45" s="84" t="str">
        <f>LEFT(A44,4)+1&amp;"–"&amp;RIGHT(A44,4)+1</f>
        <v>2025–2026</v>
      </c>
      <c r="B45" s="100"/>
      <c r="C45" s="100"/>
      <c r="D45" s="263"/>
      <c r="E45" s="264"/>
      <c r="F45" s="264"/>
    </row>
    <row r="46" spans="1:13" x14ac:dyDescent="0.2">
      <c r="A46" s="84" t="str">
        <f>LEFT(A45,4)+1&amp;"–"&amp;RIGHT(A45,4)+1</f>
        <v>2026–2027</v>
      </c>
      <c r="B46" s="100"/>
      <c r="C46" s="100"/>
      <c r="D46" s="260"/>
      <c r="E46" s="260"/>
      <c r="F46" s="260"/>
    </row>
    <row r="47" spans="1:13" ht="15" customHeight="1" x14ac:dyDescent="0.2">
      <c r="A47" s="84" t="str">
        <f>LEFT(A46,4)+1&amp;"–"&amp;RIGHT(A46,4)+1</f>
        <v>2027–2028</v>
      </c>
      <c r="B47" s="100"/>
      <c r="C47" s="100"/>
      <c r="D47" s="262" t="str">
        <f>"If yes, record the dollar amount of variable payments below for fiscal year "&amp;$B$8&amp;":"</f>
        <v>If yes, record the dollar amount of variable payments below for fiscal year 2023–2024:</v>
      </c>
      <c r="E47" s="262"/>
      <c r="F47" s="262"/>
    </row>
    <row r="48" spans="1:13" ht="15" customHeight="1" x14ac:dyDescent="0.2">
      <c r="A48" s="84" t="str">
        <f>LEFT(A47,4)+1&amp;"–"&amp;RIGHT(A47,4)+1</f>
        <v>2028–2029</v>
      </c>
      <c r="B48" s="100"/>
      <c r="C48" s="100"/>
      <c r="D48" s="260"/>
      <c r="E48" s="260"/>
      <c r="F48" s="260"/>
    </row>
    <row r="49" spans="1:6" ht="15" customHeight="1" x14ac:dyDescent="0.2">
      <c r="A49" s="84" t="str">
        <f>LEFT(A48,4)+1&amp;"–"&amp;RIGHT(A48,4)+5</f>
        <v>2029–2034</v>
      </c>
      <c r="B49" s="100"/>
      <c r="C49" s="100"/>
      <c r="D49" s="263" t="s">
        <v>8</v>
      </c>
      <c r="E49" s="264"/>
      <c r="F49" s="264"/>
    </row>
    <row r="50" spans="1:6" x14ac:dyDescent="0.2">
      <c r="A50" s="84" t="str">
        <f t="shared" ref="A50:A63" si="1">LEFT(A49,4)+5&amp;"–"&amp;RIGHT(A49,4)+5</f>
        <v>2034–2039</v>
      </c>
      <c r="B50" s="100"/>
      <c r="C50" s="100"/>
      <c r="D50" s="263"/>
      <c r="E50" s="264"/>
      <c r="F50" s="264"/>
    </row>
    <row r="51" spans="1:6" ht="15" customHeight="1" x14ac:dyDescent="0.2">
      <c r="A51" s="84" t="str">
        <f t="shared" si="1"/>
        <v>2039–2044</v>
      </c>
      <c r="B51" s="100"/>
      <c r="C51" s="100"/>
      <c r="D51" s="260"/>
      <c r="E51" s="260"/>
      <c r="F51" s="260"/>
    </row>
    <row r="52" spans="1:6" ht="15" customHeight="1" x14ac:dyDescent="0.2">
      <c r="A52" s="84" t="str">
        <f t="shared" si="1"/>
        <v>2044–2049</v>
      </c>
      <c r="B52" s="100"/>
      <c r="C52" s="100"/>
      <c r="D52" s="261" t="str">
        <f>"If yes, record the dollar amount of any payments made for residual value guarantees below for fiscal year "&amp;$B$8&amp;":"</f>
        <v>If yes, record the dollar amount of any payments made for residual value guarantees below for fiscal year 2023–2024:</v>
      </c>
      <c r="E52" s="262"/>
      <c r="F52" s="262"/>
    </row>
    <row r="53" spans="1:6" x14ac:dyDescent="0.2">
      <c r="A53" s="84" t="str">
        <f t="shared" si="1"/>
        <v>2049–2054</v>
      </c>
      <c r="B53" s="100"/>
      <c r="C53" s="100"/>
      <c r="D53" s="261"/>
      <c r="E53" s="262"/>
      <c r="F53" s="262"/>
    </row>
    <row r="54" spans="1:6" x14ac:dyDescent="0.2">
      <c r="A54" s="84" t="str">
        <f t="shared" si="1"/>
        <v>2054–2059</v>
      </c>
      <c r="B54" s="100"/>
      <c r="C54" s="100"/>
      <c r="D54" s="260"/>
      <c r="E54" s="260"/>
      <c r="F54" s="260"/>
    </row>
    <row r="55" spans="1:6" ht="15" customHeight="1" x14ac:dyDescent="0.2">
      <c r="A55" s="84" t="str">
        <f t="shared" si="1"/>
        <v>2059–2064</v>
      </c>
      <c r="B55" s="100"/>
      <c r="C55" s="100"/>
      <c r="D55" s="26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62"/>
      <c r="F55" s="262"/>
    </row>
    <row r="56" spans="1:6" ht="15" customHeight="1" x14ac:dyDescent="0.2">
      <c r="A56" s="84" t="str">
        <f t="shared" si="1"/>
        <v>2064–2069</v>
      </c>
      <c r="B56" s="100"/>
      <c r="C56" s="100"/>
      <c r="D56" s="261"/>
      <c r="E56" s="262"/>
      <c r="F56" s="262"/>
    </row>
    <row r="57" spans="1:6" x14ac:dyDescent="0.2">
      <c r="A57" s="84" t="str">
        <f t="shared" si="1"/>
        <v>2069–2074</v>
      </c>
      <c r="B57" s="100"/>
      <c r="C57" s="100"/>
      <c r="D57" s="260"/>
      <c r="E57" s="260"/>
      <c r="F57" s="260"/>
    </row>
    <row r="58" spans="1:6" x14ac:dyDescent="0.2">
      <c r="A58" s="84" t="str">
        <f t="shared" si="1"/>
        <v>2074–2079</v>
      </c>
      <c r="B58" s="100"/>
      <c r="C58" s="100"/>
      <c r="D58" s="26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64"/>
      <c r="F58" s="264"/>
    </row>
    <row r="59" spans="1:6" x14ac:dyDescent="0.2">
      <c r="A59" s="84" t="str">
        <f t="shared" si="1"/>
        <v>2079–2084</v>
      </c>
      <c r="B59" s="100"/>
      <c r="C59" s="100"/>
      <c r="D59" s="263"/>
      <c r="E59" s="264"/>
      <c r="F59" s="264"/>
    </row>
    <row r="60" spans="1:6" ht="15" customHeight="1" x14ac:dyDescent="0.2">
      <c r="A60" s="84" t="str">
        <f t="shared" si="1"/>
        <v>2084–2089</v>
      </c>
      <c r="B60" s="100"/>
      <c r="C60" s="100"/>
      <c r="D60" s="260"/>
      <c r="E60" s="260"/>
      <c r="F60" s="26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0"/>
      <c r="E62" s="260"/>
      <c r="F62" s="26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0"/>
      <c r="E64" s="260"/>
      <c r="F64" s="26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149</v>
      </c>
    </row>
    <row r="70" spans="1:13" ht="15.75" x14ac:dyDescent="0.25">
      <c r="A70" s="12" t="s">
        <v>13</v>
      </c>
      <c r="B70" s="266" t="str">
        <f>B8</f>
        <v>2023–2024</v>
      </c>
      <c r="C70" s="266"/>
    </row>
    <row r="71" spans="1:13" ht="15.75" x14ac:dyDescent="0.25">
      <c r="A71" s="12" t="s">
        <v>210</v>
      </c>
      <c r="B71" s="268">
        <f>B9</f>
        <v>3860</v>
      </c>
      <c r="C71" s="268"/>
    </row>
    <row r="72" spans="1:13" ht="15.75" x14ac:dyDescent="0.25">
      <c r="A72" s="12" t="s">
        <v>209</v>
      </c>
      <c r="B72" s="266" t="str">
        <f>B10</f>
        <v>Department of Water Resources</v>
      </c>
      <c r="C72" s="266"/>
    </row>
    <row r="73" spans="1:13" ht="32.25" customHeight="1" x14ac:dyDescent="0.25">
      <c r="A73" s="265" t="s">
        <v>10</v>
      </c>
      <c r="B73" s="265"/>
      <c r="C73" s="265"/>
      <c r="D73" s="5"/>
      <c r="E73" s="5"/>
      <c r="F73" s="5"/>
      <c r="G73" s="57"/>
      <c r="H73" s="57"/>
      <c r="I73" s="57"/>
      <c r="J73" s="57"/>
      <c r="K73" s="57"/>
      <c r="L73" s="57"/>
      <c r="M73" s="57"/>
    </row>
    <row r="74" spans="1:13" ht="15.75" x14ac:dyDescent="0.25">
      <c r="A74" s="84"/>
      <c r="B74" s="85" t="s">
        <v>11</v>
      </c>
      <c r="C74" s="85" t="s">
        <v>12</v>
      </c>
      <c r="D74" s="267" t="str">
        <f>"All of the below questions are for Fiscal Year "&amp;$B$8&amp;":"</f>
        <v>All of the below questions are for Fiscal Year 2023–2024:</v>
      </c>
      <c r="E74" s="267"/>
      <c r="F74" s="267"/>
    </row>
    <row r="75" spans="1:13" ht="15" customHeight="1" x14ac:dyDescent="0.2">
      <c r="A75" s="84" t="str">
        <f>RIGHT(B70,4)&amp;"–"&amp;RIGHT(B70,4)+1</f>
        <v>2024–2025</v>
      </c>
      <c r="B75" s="100">
        <v>12143</v>
      </c>
      <c r="C75" s="100">
        <v>1290</v>
      </c>
      <c r="D75" s="263" t="s">
        <v>6</v>
      </c>
      <c r="E75" s="264"/>
      <c r="F75" s="264"/>
    </row>
    <row r="76" spans="1:13" x14ac:dyDescent="0.2">
      <c r="A76" s="84" t="str">
        <f>LEFT(A75,4)+1&amp;"–"&amp;RIGHT(A75,4)+1</f>
        <v>2025–2026</v>
      </c>
      <c r="B76" s="100">
        <v>12547</v>
      </c>
      <c r="C76" s="100">
        <v>1112</v>
      </c>
      <c r="D76" s="263"/>
      <c r="E76" s="264"/>
      <c r="F76" s="264"/>
    </row>
    <row r="77" spans="1:13" x14ac:dyDescent="0.2">
      <c r="A77" s="84" t="str">
        <f>LEFT(A76,4)+1&amp;"–"&amp;RIGHT(A76,4)+1</f>
        <v>2026–2027</v>
      </c>
      <c r="B77" s="100">
        <v>10114</v>
      </c>
      <c r="C77" s="100">
        <v>931</v>
      </c>
      <c r="D77" s="260" t="s">
        <v>131</v>
      </c>
      <c r="E77" s="260"/>
      <c r="F77" s="260"/>
    </row>
    <row r="78" spans="1:13" ht="15" customHeight="1" x14ac:dyDescent="0.2">
      <c r="A78" s="84" t="str">
        <f>LEFT(A77,4)+1&amp;"–"&amp;RIGHT(A77,4)+1</f>
        <v>2027–2028</v>
      </c>
      <c r="B78" s="100">
        <v>6159</v>
      </c>
      <c r="C78" s="100">
        <v>787</v>
      </c>
      <c r="D78" s="262" t="str">
        <f>"If yes, record the dollar amount of variable payments below for fiscal year "&amp;$B$8&amp;":"</f>
        <v>If yes, record the dollar amount of variable payments below for fiscal year 2023–2024:</v>
      </c>
      <c r="E78" s="262"/>
      <c r="F78" s="262"/>
    </row>
    <row r="79" spans="1:13" x14ac:dyDescent="0.2">
      <c r="A79" s="84" t="str">
        <f>LEFT(A78,4)+1&amp;"–"&amp;RIGHT(A78,4)+1</f>
        <v>2028–2029</v>
      </c>
      <c r="B79" s="100">
        <v>5326</v>
      </c>
      <c r="C79" s="100">
        <v>656</v>
      </c>
      <c r="D79" s="260">
        <v>0</v>
      </c>
      <c r="E79" s="260"/>
      <c r="F79" s="260"/>
    </row>
    <row r="80" spans="1:13" ht="15" customHeight="1" x14ac:dyDescent="0.2">
      <c r="A80" s="84" t="str">
        <f>LEFT(A79,4)+1&amp;"–"&amp;RIGHT(A79,4)+5</f>
        <v>2029–2034</v>
      </c>
      <c r="B80" s="100">
        <v>23740</v>
      </c>
      <c r="C80" s="100">
        <v>1413</v>
      </c>
      <c r="D80" s="263" t="s">
        <v>8</v>
      </c>
      <c r="E80" s="264"/>
      <c r="F80" s="264"/>
    </row>
    <row r="81" spans="1:6" x14ac:dyDescent="0.2">
      <c r="A81" s="84" t="str">
        <f t="shared" ref="A81:A94" si="2">LEFT(A80,4)+5&amp;"–"&amp;RIGHT(A80,4)+5</f>
        <v>2034–2039</v>
      </c>
      <c r="B81" s="100">
        <v>1637</v>
      </c>
      <c r="C81" s="100">
        <v>13</v>
      </c>
      <c r="D81" s="263"/>
      <c r="E81" s="264"/>
      <c r="F81" s="264"/>
    </row>
    <row r="82" spans="1:6" x14ac:dyDescent="0.2">
      <c r="A82" s="84" t="str">
        <f t="shared" si="2"/>
        <v>2039–2044</v>
      </c>
      <c r="B82" s="100"/>
      <c r="C82" s="100"/>
      <c r="D82" s="260" t="s">
        <v>131</v>
      </c>
      <c r="E82" s="260"/>
      <c r="F82" s="260"/>
    </row>
    <row r="83" spans="1:6" ht="15" customHeight="1" x14ac:dyDescent="0.2">
      <c r="A83" s="84" t="str">
        <f t="shared" si="2"/>
        <v>2044–2049</v>
      </c>
      <c r="B83" s="100"/>
      <c r="C83" s="100"/>
      <c r="D83" s="261" t="str">
        <f>"If yes, record the dollar amount of any payments made for residual value guarantees below for fiscal year "&amp;$B$8&amp;":"</f>
        <v>If yes, record the dollar amount of any payments made for residual value guarantees below for fiscal year 2023–2024:</v>
      </c>
      <c r="E83" s="262"/>
      <c r="F83" s="262"/>
    </row>
    <row r="84" spans="1:6" x14ac:dyDescent="0.2">
      <c r="A84" s="84" t="str">
        <f t="shared" si="2"/>
        <v>2049–2054</v>
      </c>
      <c r="B84" s="100"/>
      <c r="C84" s="100"/>
      <c r="D84" s="261"/>
      <c r="E84" s="262"/>
      <c r="F84" s="262"/>
    </row>
    <row r="85" spans="1:6" x14ac:dyDescent="0.2">
      <c r="A85" s="84" t="str">
        <f t="shared" si="2"/>
        <v>2054–2059</v>
      </c>
      <c r="B85" s="100"/>
      <c r="C85" s="100"/>
      <c r="D85" s="260">
        <v>0</v>
      </c>
      <c r="E85" s="260"/>
      <c r="F85" s="260"/>
    </row>
    <row r="86" spans="1:6" ht="15" customHeight="1" x14ac:dyDescent="0.2">
      <c r="A86" s="84" t="str">
        <f t="shared" si="2"/>
        <v>2059–2064</v>
      </c>
      <c r="B86" s="100"/>
      <c r="C86" s="100"/>
      <c r="D86" s="26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62"/>
      <c r="F86" s="262"/>
    </row>
    <row r="87" spans="1:6" x14ac:dyDescent="0.2">
      <c r="A87" s="84" t="str">
        <f t="shared" si="2"/>
        <v>2064–2069</v>
      </c>
      <c r="B87" s="100"/>
      <c r="C87" s="100"/>
      <c r="D87" s="261"/>
      <c r="E87" s="262"/>
      <c r="F87" s="262"/>
    </row>
    <row r="88" spans="1:6" x14ac:dyDescent="0.2">
      <c r="A88" s="84" t="str">
        <f t="shared" si="2"/>
        <v>2069–2074</v>
      </c>
      <c r="B88" s="100"/>
      <c r="C88" s="100"/>
      <c r="D88" s="260">
        <v>0</v>
      </c>
      <c r="E88" s="260"/>
      <c r="F88" s="260"/>
    </row>
    <row r="89" spans="1:6" x14ac:dyDescent="0.2">
      <c r="A89" s="84" t="str">
        <f t="shared" si="2"/>
        <v>2074–2079</v>
      </c>
      <c r="B89" s="100"/>
      <c r="C89" s="100"/>
      <c r="D89" s="263"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64"/>
      <c r="F89" s="264"/>
    </row>
    <row r="90" spans="1:6" x14ac:dyDescent="0.2">
      <c r="A90" s="84" t="str">
        <f t="shared" si="2"/>
        <v>2079–2084</v>
      </c>
      <c r="B90" s="100"/>
      <c r="C90" s="100"/>
      <c r="D90" s="263"/>
      <c r="E90" s="264"/>
      <c r="F90" s="264"/>
    </row>
    <row r="91" spans="1:6" ht="15" customHeight="1" x14ac:dyDescent="0.2">
      <c r="A91" s="84" t="str">
        <f t="shared" si="2"/>
        <v>2084–2089</v>
      </c>
      <c r="B91" s="100"/>
      <c r="C91" s="100"/>
      <c r="D91" s="260" t="s">
        <v>131</v>
      </c>
      <c r="E91" s="260"/>
      <c r="F91" s="26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0" t="s">
        <v>131</v>
      </c>
      <c r="E93" s="260"/>
      <c r="F93" s="26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0">
        <v>0</v>
      </c>
      <c r="E95" s="260"/>
      <c r="F95" s="26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tabColor theme="9" tint="0.59999389629810485"/>
  </sheetPr>
  <dimension ref="B1:Q20"/>
  <sheetViews>
    <sheetView zoomScale="90" zoomScaleNormal="90" workbookViewId="0">
      <selection activeCell="R27" sqref="R27"/>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0001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3860 - Department of Water Resources</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15</v>
      </c>
      <c r="I7" s="73"/>
      <c r="J7" s="74" t="s">
        <v>16</v>
      </c>
      <c r="K7" s="73"/>
      <c r="L7" s="72" t="str">
        <f>CONCATENATE("Balance        June 30, ",RIGHT(J4,4))</f>
        <v>Balance        June 30, 2024</v>
      </c>
      <c r="M7" s="73"/>
      <c r="N7" s="72" t="s">
        <v>17</v>
      </c>
      <c r="O7" s="73"/>
      <c r="P7" s="72" t="s">
        <v>18</v>
      </c>
      <c r="Q7" s="71"/>
    </row>
    <row r="8" spans="2:17" x14ac:dyDescent="0.25">
      <c r="B8" s="69"/>
      <c r="F8" s="226" t="s">
        <v>1686</v>
      </c>
      <c r="G8" s="73"/>
      <c r="H8" s="227" t="s">
        <v>1830</v>
      </c>
      <c r="I8" s="73"/>
      <c r="J8" s="227" t="s">
        <v>1831</v>
      </c>
      <c r="K8" s="73"/>
      <c r="L8" s="227"/>
      <c r="M8" s="73"/>
      <c r="N8" s="227" t="s">
        <v>1687</v>
      </c>
      <c r="O8" s="73"/>
      <c r="P8" s="225"/>
      <c r="Q8" s="71"/>
    </row>
    <row r="9" spans="2:17" x14ac:dyDescent="0.25">
      <c r="B9" s="69"/>
      <c r="C9" s="73" t="s">
        <v>19</v>
      </c>
      <c r="Q9" s="71"/>
    </row>
    <row r="10" spans="2:17" ht="18.75" thickBot="1" x14ac:dyDescent="0.3">
      <c r="B10" s="69"/>
      <c r="D10" s="63" t="s">
        <v>20</v>
      </c>
      <c r="F10" s="107">
        <f>'LS-Fund 0001 Journal Entries'!K23+'LS-Fund 0140 Journal Entries'!K23+'LS-Fund 0465 Journal Entries'!K23+'LS-Fund 0545 Journal Entries'!K23+'LS-Fund 0890 Journal Entries'!K23+'LS-Fund 3057 Journal Entries'!K23+'LS-Fund 3237 Journal Entries'!K23+'LS-Fund 3398 Journal Entries'!K23+'LS-Fund 3413 Journal Entries'!K23+'LS-Fund 6001 Journal Entries'!K23+'LS-Fund 6005 Journal Entries'!K23+'LS-Fund 6026 Journal Entries'!K23+'LS-Fund 6027 Journal Entries'!K23+'LS-Fund 6031 Journal Entries'!K23+'LS-Fund 6051 Journal Entries'!K23+'LS-Fund 6083 Journal Entries'!K23+'LS-Fund 6088 Journal Entries'!K23</f>
        <v>15992240</v>
      </c>
      <c r="G10" s="103"/>
      <c r="H10" s="107">
        <f>'LS-Fund 0001 Journal Entries'!K48+'LS-Fund 0140 Journal Entries'!K48+'LS-Fund 0465 Journal Entries'!K48+'LS-Fund 0545 Journal Entries'!K48+'LS-Fund 0890 Journal Entries'!K48+'LS-Fund 3057 Journal Entries'!K48+'LS-Fund 3237 Journal Entries'!K48+'LS-Fund 3398 Journal Entries'!K48+'LS-Fund 3413 Journal Entries'!K48+'LS-Fund 6001 Journal Entries'!K48+'LS-Fund 6005 Journal Entries'!K48+'LS-Fund 6026 Journal Entries'!K48+'LS-Fund 6027 Journal Entries'!K48+'LS-Fund 6031 Journal Entries'!K48+'LS-Fund 6051 Journal Entries'!K48+'LS-Fund 6083 Journal Entries'!K48+'LS-Fund 6088 Journal Entries'!K48+'LS-Fund 0001 Journal Entries'!K113+'LS-Fund 0140 Journal Entries'!K113+'LS-Fund 0465 Journal Entries'!K113+'LS-Fund 0545 Journal Entries'!K113+'LS-Fund 0890 Journal Entries'!K113+'LS-Fund 3057 Journal Entries'!K113+'LS-Fund 3237 Journal Entries'!K113+'LS-Fund 3398 Journal Entries'!K113+'LS-Fund 3413 Journal Entries'!K113+'LS-Fund 6001 Journal Entries'!K113+'LS-Fund 6005 Journal Entries'!K113+'LS-Fund 6026 Journal Entries'!K113+'LS-Fund 6027 Journal Entries'!K113+'LS-Fund 6031 Journal Entries'!K113+'LS-Fund 6051 Journal Entries'!K113+'LS-Fund 6083 Journal Entries'!K113+'LS-Fund 6088 Journal Entries'!K113</f>
        <v>5017677</v>
      </c>
      <c r="I10" s="103"/>
      <c r="J10" s="107">
        <f>'LS-Fund 0001 Journal Entries'!J68+'LS-Fund 0140 Journal Entries'!J68+'LS-Fund 0465 Journal Entries'!J68+'LS-Fund 0545 Journal Entries'!J68+'LS-Fund 0890 Journal Entries'!J68+'LS-Fund 3057 Journal Entries'!J68+'LS-Fund 3237 Journal Entries'!J68+'LS-Fund 3398 Journal Entries'!J68+'LS-Fund 3413 Journal Entries'!J68+'LS-Fund 6001 Journal Entries'!J68+'LS-Fund 6005 Journal Entries'!J68+'LS-Fund 6026 Journal Entries'!J68+'LS-Fund 6027 Journal Entries'!J68+'LS-Fund 6031 Journal Entries'!J68+'LS-Fund 6051 Journal Entries'!J68+'LS-Fund 6083 Journal Entries'!J68+'LS-Fund 6088 Journal Entries'!J68+'LS-Fund 0001 Journal Entries'!J96+'LS-Fund 0140 Journal Entries'!J96+'LS-Fund 0465 Journal Entries'!J96+'LS-Fund 0545 Journal Entries'!J96+'LS-Fund 0890 Journal Entries'!J96+'LS-Fund 3057 Journal Entries'!J96+'LS-Fund 3237 Journal Entries'!J96+'LS-Fund 3398 Journal Entries'!J96+'LS-Fund 3413 Journal Entries'!J96+'LS-Fund 6001 Journal Entries'!J96+'LS-Fund 6005 Journal Entries'!J96+'LS-Fund 6026 Journal Entries'!J96+'LS-Fund 6027 Journal Entries'!J96+'LS-Fund 6031 Journal Entries'!J96+'LS-Fund 6051 Journal Entries'!J96+'LS-Fund 6083 Journal Entries'!J96+'LS-Fund 6088 Journal Entries'!J96</f>
        <v>2987775</v>
      </c>
      <c r="K10" s="103"/>
      <c r="L10" s="109">
        <f>SUM(F10+H10-J10)</f>
        <v>18022142</v>
      </c>
      <c r="M10" s="103"/>
      <c r="N10" s="107">
        <f>'LS-Fund 0001 Journal Entries'!J75+'LS-Fund 0140 Journal Entries'!J75+'LS-Fund 0465 Journal Entries'!J75+'LS-Fund 0545 Journal Entries'!J75+'LS-Fund 0890 Journal Entries'!J75+'LS-Fund 3057 Journal Entries'!J75+'LS-Fund 3237 Journal Entries'!J75+'LS-Fund 3398 Journal Entries'!J75+'LS-Fund 3413 Journal Entries'!J75+'LS-Fund 6001 Journal Entries'!J75+'LS-Fund 6005 Journal Entries'!J75+'LS-Fund 6026 Journal Entries'!J75+'LS-Fund 6027 Journal Entries'!J75+'LS-Fund 6031 Journal Entries'!J75+'LS-Fund 6051 Journal Entries'!J75+'LS-Fund 6083 Journal Entries'!J75+'LS-Fund 6088 Journal Entries'!J75</f>
        <v>3056742</v>
      </c>
      <c r="O10" s="103"/>
      <c r="P10" s="109">
        <f>L10-N10</f>
        <v>14965400</v>
      </c>
      <c r="Q10" s="71"/>
    </row>
    <row r="11" spans="2:17" ht="19.5" thickTop="1" thickBot="1" x14ac:dyDescent="0.3">
      <c r="B11" s="69"/>
      <c r="C11" s="73" t="s">
        <v>22</v>
      </c>
      <c r="F11" s="108">
        <f>SUM(F10:F10)</f>
        <v>15992240</v>
      </c>
      <c r="G11" s="103"/>
      <c r="H11" s="108">
        <f>SUM(H10:H10)</f>
        <v>5017677</v>
      </c>
      <c r="I11" s="103"/>
      <c r="J11" s="108">
        <f>SUM(J10:J10)</f>
        <v>2987775</v>
      </c>
      <c r="K11" s="103"/>
      <c r="L11" s="108">
        <f>SUM(L10:L10)</f>
        <v>18022142</v>
      </c>
      <c r="M11" s="103"/>
      <c r="N11" s="108">
        <f>SUM(N10:N10)</f>
        <v>3056742</v>
      </c>
      <c r="O11" s="103"/>
      <c r="P11" s="108">
        <f>SUM(P10:P10)</f>
        <v>14965400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f>'LS-Fund 3100 Journal Entries'!N23</f>
        <v>57468</v>
      </c>
      <c r="G18" s="103"/>
      <c r="H18" s="107">
        <f>'LS-Fund 3100 Journal Entries'!K48+'LS-Fund 3100 Journal Entries'!K113</f>
        <v>30681</v>
      </c>
      <c r="I18" s="103"/>
      <c r="J18" s="107">
        <f>'LS-Fund 3100 Journal Entries'!J68+'LS-Fund 3100 Journal Entries'!J96</f>
        <v>16483</v>
      </c>
      <c r="K18" s="103"/>
      <c r="L18" s="109">
        <f>SUM(F18+H18-J18)</f>
        <v>71666</v>
      </c>
      <c r="M18" s="103"/>
      <c r="N18" s="107">
        <f>'LS-Fund 3100 Journal Entries'!J75</f>
        <v>12143</v>
      </c>
      <c r="O18" s="103"/>
      <c r="P18" s="109">
        <f>L18-N18</f>
        <v>59523</v>
      </c>
      <c r="Q18" s="71"/>
    </row>
    <row r="19" spans="2:17" ht="19.5" thickTop="1" thickBot="1" x14ac:dyDescent="0.3">
      <c r="B19" s="69"/>
      <c r="C19" s="73" t="s">
        <v>147</v>
      </c>
      <c r="F19" s="108">
        <f>SUM(F18:F18)</f>
        <v>57468</v>
      </c>
      <c r="G19" s="103"/>
      <c r="H19" s="108">
        <f>SUM(H18:H18)</f>
        <v>30681</v>
      </c>
      <c r="I19" s="103"/>
      <c r="J19" s="108">
        <f>SUM(J18:J18)</f>
        <v>16483</v>
      </c>
      <c r="K19" s="103"/>
      <c r="L19" s="108">
        <f>SUM(L18:L18)</f>
        <v>71666</v>
      </c>
      <c r="M19" s="103"/>
      <c r="N19" s="108">
        <f>SUM(N18:N18)</f>
        <v>12143</v>
      </c>
      <c r="O19" s="103"/>
      <c r="P19" s="108">
        <f>SUM(P18:P18)</f>
        <v>59523</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tabColor theme="9" tint="0.59999389629810485"/>
    <pageSetUpPr fitToPage="1"/>
  </sheetPr>
  <dimension ref="A1:S577"/>
  <sheetViews>
    <sheetView showGridLines="0" tabSelected="1" zoomScaleNormal="100" workbookViewId="0">
      <selection activeCell="N42" sqref="N4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76" t="s">
        <v>164</v>
      </c>
      <c r="B5" s="276"/>
      <c r="C5" s="276"/>
      <c r="D5" s="276"/>
      <c r="E5" s="276"/>
      <c r="F5" s="276"/>
      <c r="G5" s="276"/>
      <c r="H5" s="276"/>
      <c r="I5" s="276"/>
      <c r="J5" s="276"/>
      <c r="K5" s="276"/>
      <c r="L5" s="276"/>
      <c r="M5" s="276"/>
      <c r="N5" s="276"/>
      <c r="O5" s="276"/>
      <c r="P5" s="276"/>
      <c r="Q5" s="276"/>
    </row>
    <row r="6" spans="1:17" ht="15" customHeight="1" x14ac:dyDescent="0.25">
      <c r="A6" s="276"/>
      <c r="B6" s="276"/>
      <c r="C6" s="276"/>
      <c r="D6" s="276"/>
      <c r="E6" s="276"/>
      <c r="F6" s="276"/>
      <c r="G6" s="276"/>
      <c r="H6" s="276"/>
      <c r="I6" s="276"/>
      <c r="J6" s="276"/>
      <c r="K6" s="276"/>
      <c r="L6" s="276"/>
      <c r="M6" s="276"/>
      <c r="N6" s="276"/>
      <c r="O6" s="276"/>
      <c r="P6" s="276"/>
      <c r="Q6" s="276"/>
    </row>
    <row r="7" spans="1:17" x14ac:dyDescent="0.25">
      <c r="A7" s="276"/>
      <c r="B7" s="276"/>
      <c r="C7" s="276"/>
      <c r="D7" s="276"/>
      <c r="E7" s="276"/>
      <c r="F7" s="276"/>
      <c r="G7" s="276"/>
      <c r="H7" s="276"/>
      <c r="I7" s="276"/>
      <c r="J7" s="276"/>
      <c r="K7" s="276"/>
      <c r="L7" s="276"/>
      <c r="M7" s="276"/>
      <c r="N7" s="276"/>
      <c r="O7" s="276"/>
      <c r="P7" s="276"/>
      <c r="Q7" s="276"/>
    </row>
    <row r="8" spans="1:17" ht="15" customHeight="1" x14ac:dyDescent="0.25">
      <c r="A8" s="277" t="s">
        <v>1660</v>
      </c>
      <c r="B8" s="277"/>
      <c r="C8" s="277"/>
      <c r="D8" s="277"/>
      <c r="E8" s="277"/>
      <c r="F8" s="277"/>
      <c r="G8" s="277"/>
      <c r="H8" s="277"/>
      <c r="I8" s="277"/>
      <c r="J8" s="277"/>
      <c r="K8" s="277"/>
      <c r="L8" s="277"/>
      <c r="M8" s="277"/>
      <c r="N8" s="277"/>
      <c r="O8" s="277"/>
      <c r="P8" s="277"/>
      <c r="Q8" s="277"/>
    </row>
    <row r="9" spans="1:17" x14ac:dyDescent="0.25">
      <c r="A9" s="277"/>
      <c r="B9" s="277"/>
      <c r="C9" s="277"/>
      <c r="D9" s="277"/>
      <c r="E9" s="277"/>
      <c r="F9" s="277"/>
      <c r="G9" s="277"/>
      <c r="H9" s="277"/>
      <c r="I9" s="277"/>
      <c r="J9" s="277"/>
      <c r="K9" s="277"/>
      <c r="L9" s="277"/>
      <c r="M9" s="277"/>
      <c r="N9" s="277"/>
      <c r="O9" s="277"/>
      <c r="P9" s="277"/>
      <c r="Q9" s="277"/>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78" t="s">
        <v>153</v>
      </c>
      <c r="C13" s="278"/>
      <c r="D13" s="278"/>
      <c r="E13" s="278"/>
      <c r="F13" s="278"/>
      <c r="G13" s="278"/>
      <c r="H13" s="278"/>
      <c r="I13" s="278"/>
      <c r="J13" s="278"/>
      <c r="K13" s="278"/>
      <c r="L13" s="278"/>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1829</v>
      </c>
      <c r="I15" s="125" t="s">
        <v>156</v>
      </c>
      <c r="J15" s="125" t="s">
        <v>1832</v>
      </c>
      <c r="K15" s="126"/>
      <c r="L15" s="125"/>
      <c r="M15" s="126"/>
      <c r="N15" s="127" t="s">
        <v>158</v>
      </c>
      <c r="O15" s="124"/>
      <c r="P15" s="128" t="s">
        <v>159</v>
      </c>
      <c r="Q15" s="121"/>
    </row>
    <row r="16" spans="1:17" ht="15" customHeight="1" x14ac:dyDescent="0.25">
      <c r="A16" s="129"/>
      <c r="B16" s="130">
        <f>'LS-Fund 0001 Journal Entries'!K23+'LS-Fund 0140 Journal Entries'!K23+'LS-Fund 0465 Journal Entries'!K23+'LS-Fund 0545 Journal Entries'!K23+'LS-Fund 0890 Journal Entries'!K23+'LS-Fund 3057 Journal Entries'!K23+'LS-Fund 3237 Journal Entries'!K23+'LS-Fund 3398 Journal Entries'!K23+'LS-Fund 3413 Journal Entries'!K23+'LS-Fund 6001 Journal Entries'!K23+'LS-Fund 6005 Journal Entries'!K23+'LS-Fund 6026 Journal Entries'!K23+'LS-Fund 6027 Journal Entries'!K23+'LS-Fund 6031 Journal Entries'!K23+'LS-Fund 6051 Journal Entries'!K23+'LS-Fund 6083 Journal Entries'!K23+'LS-Fund 6088 Journal Entries'!K23</f>
        <v>15992240</v>
      </c>
      <c r="C16" s="168" t="s">
        <v>156</v>
      </c>
      <c r="D16" s="130">
        <f>'LS-Fund 0001 Journal Entries'!K48+'LS-Fund 0140 Journal Entries'!K48+'LS-Fund 0465 Journal Entries'!K48+'LS-Fund 0545 Journal Entries'!K48+'LS-Fund 0890 Journal Entries'!K48+'LS-Fund 3057 Journal Entries'!K48+'LS-Fund 3237 Journal Entries'!K48+'LS-Fund 3398 Journal Entries'!K48+'LS-Fund 3413 Journal Entries'!K48+'LS-Fund 6001 Journal Entries'!K48+'LS-Fund 6005 Journal Entries'!K48+'LS-Fund 6026 Journal Entries'!K48+'LS-Fund 6027 Journal Entries'!K48+'LS-Fund 6031 Journal Entries'!K48+'LS-Fund 6051 Journal Entries'!K48+'LS-Fund 6083 Journal Entries'!K48+'LS-Fund 6088 Journal Entries'!K48</f>
        <v>5017677</v>
      </c>
      <c r="E16" s="170" t="s">
        <v>157</v>
      </c>
      <c r="F16" s="130">
        <f>'LS-Fund 0001 Journal Entries'!J68+'LS-Fund 0140 Journal Entries'!J68+'LS-Fund 0465 Journal Entries'!J68+'LS-Fund 0545 Journal Entries'!J68+'LS-Fund 0890 Journal Entries'!J68+'LS-Fund 3057 Journal Entries'!J68+'LS-Fund 3237 Journal Entries'!J68+'LS-Fund 3398 Journal Entries'!J68+'LS-Fund 3413 Journal Entries'!J68+'LS-Fund 6001 Journal Entries'!J68+'LS-Fund 6005 Journal Entries'!J68+'LS-Fund 6026 Journal Entries'!J68+'LS-Fund 6027 Journal Entries'!J68+'LS-Fund 6031 Journal Entries'!J68+'LS-Fund 6051 Journal Entries'!J68+'LS-Fund 6083 Journal Entries'!J68+'LS-Fund 6088 Journal Entries'!J68</f>
        <v>2987775</v>
      </c>
      <c r="G16" s="169" t="s">
        <v>157</v>
      </c>
      <c r="H16" s="130">
        <f>'LS-Fund 0001 Journal Entries'!J96+'LS-Fund 0140 Journal Entries'!J96+'LS-Fund 0465 Journal Entries'!J96+'LS-Fund 0545 Journal Entries'!J96+'LS-Fund 0890 Journal Entries'!J96+'LS-Fund 3057 Journal Entries'!J96+'LS-Fund 3237 Journal Entries'!J96+'LS-Fund 3398 Journal Entries'!J96+'LS-Fund 3413 Journal Entries'!J96+'LS-Fund 6001 Journal Entries'!J96+'LS-Fund 6005 Journal Entries'!J96+'LS-Fund 6026 Journal Entries'!J96+'LS-Fund 6027 Journal Entries'!J96+'LS-Fund 6031 Journal Entries'!J96+'LS-Fund 6051 Journal Entries'!J96+'LS-Fund 6083 Journal Entries'!J96+'LS-Fund 6088 Journal Entries'!J96</f>
        <v>0</v>
      </c>
      <c r="I16" s="169" t="s">
        <v>156</v>
      </c>
      <c r="J16" s="130">
        <f>'LS-Fund 0001 Journal Entries'!K113+'LS-Fund 0140 Journal Entries'!K113+'LS-Fund 0465 Journal Entries'!K113+'LS-Fund 0545 Journal Entries'!K113+'LS-Fund 0890 Journal Entries'!K113+'LS-Fund 3057 Journal Entries'!K113+'LS-Fund 3237 Journal Entries'!K113+'LS-Fund 3398 Journal Entries'!K113+'LS-Fund 3413 Journal Entries'!K113+'LS-Fund 6001 Journal Entries'!K113+'LS-Fund 6005 Journal Entries'!K113+'LS-Fund 6026 Journal Entries'!K113+'LS-Fund 6027 Journal Entries'!K113+'LS-Fund 6031 Journal Entries'!K113+'LS-Fund 6051 Journal Entries'!K113+'LS-Fund 6083 Journal Entries'!K113+'LS-Fund 6088 Journal Entries'!K113</f>
        <v>0</v>
      </c>
      <c r="K16" s="170" t="s">
        <v>160</v>
      </c>
      <c r="L16" s="133">
        <f>+B16+D16-F16-H16+J16</f>
        <v>18022142</v>
      </c>
      <c r="M16" s="132"/>
      <c r="N16" s="134">
        <f>SUM('LS-Department Note Disclosure'!B13:B36)</f>
        <v>18022142</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78" t="s">
        <v>153</v>
      </c>
      <c r="C21" s="278"/>
      <c r="D21" s="278"/>
      <c r="E21" s="278"/>
      <c r="F21" s="278"/>
      <c r="G21" s="278"/>
      <c r="H21" s="278"/>
      <c r="I21" s="278"/>
      <c r="J21" s="278"/>
      <c r="K21" s="278"/>
      <c r="L21" s="278"/>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1829</v>
      </c>
      <c r="I23" s="125" t="s">
        <v>156</v>
      </c>
      <c r="J23" s="125" t="s">
        <v>1832</v>
      </c>
      <c r="K23" s="126"/>
      <c r="L23" s="125"/>
      <c r="M23" s="126"/>
      <c r="N23" s="127" t="s">
        <v>158</v>
      </c>
      <c r="O23" s="124"/>
      <c r="P23" s="128" t="s">
        <v>159</v>
      </c>
      <c r="Q23" s="121"/>
    </row>
    <row r="24" spans="1:17" ht="15" customHeight="1" x14ac:dyDescent="0.25">
      <c r="A24" s="129"/>
      <c r="B24" s="130"/>
      <c r="C24" s="168" t="s">
        <v>156</v>
      </c>
      <c r="D24" s="130"/>
      <c r="E24" s="170" t="s">
        <v>157</v>
      </c>
      <c r="F24" s="130"/>
      <c r="G24" s="169" t="s">
        <v>157</v>
      </c>
      <c r="H24" s="130"/>
      <c r="I24" s="169" t="s">
        <v>156</v>
      </c>
      <c r="J24" s="130"/>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78" t="s">
        <v>153</v>
      </c>
      <c r="C30" s="278"/>
      <c r="D30" s="278"/>
      <c r="E30" s="278"/>
      <c r="F30" s="278"/>
      <c r="G30" s="278"/>
      <c r="H30" s="278"/>
      <c r="I30" s="278"/>
      <c r="J30" s="278"/>
      <c r="K30" s="278"/>
      <c r="L30" s="278"/>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1829</v>
      </c>
      <c r="I32" s="125" t="s">
        <v>156</v>
      </c>
      <c r="J32" s="125" t="s">
        <v>1832</v>
      </c>
      <c r="K32" s="126"/>
      <c r="L32" s="125"/>
      <c r="M32" s="126"/>
      <c r="N32" s="127" t="s">
        <v>158</v>
      </c>
      <c r="O32" s="124"/>
      <c r="P32" s="128" t="s">
        <v>159</v>
      </c>
      <c r="Q32" s="121"/>
    </row>
    <row r="33" spans="1:17" ht="15" customHeight="1" x14ac:dyDescent="0.25">
      <c r="A33" s="129"/>
      <c r="B33" s="130">
        <f>'LS-Fund 3100 Journal Entries'!K23</f>
        <v>57468</v>
      </c>
      <c r="C33" s="168" t="s">
        <v>156</v>
      </c>
      <c r="D33" s="130">
        <f>'LS-Fund 3100 Journal Entries'!K48</f>
        <v>0</v>
      </c>
      <c r="E33" s="170" t="s">
        <v>157</v>
      </c>
      <c r="F33" s="130">
        <f>'LS-Fund 3100 Journal Entries'!J68</f>
        <v>16483</v>
      </c>
      <c r="G33" s="169" t="s">
        <v>157</v>
      </c>
      <c r="H33" s="130">
        <f>'LS-Fund 3100 Journal Entries'!J96</f>
        <v>0</v>
      </c>
      <c r="I33" s="169" t="s">
        <v>156</v>
      </c>
      <c r="J33" s="130">
        <f>'LS-Fund 3100 Journal Entries'!K113</f>
        <v>30681</v>
      </c>
      <c r="K33" s="170" t="s">
        <v>160</v>
      </c>
      <c r="L33" s="133">
        <f>+B33+D33-F33-H33+J33</f>
        <v>71666</v>
      </c>
      <c r="M33" s="132"/>
      <c r="N33" s="134">
        <f>SUM('LS-Department Note Disclosure'!B75:B98)</f>
        <v>71666</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78" t="s">
        <v>153</v>
      </c>
      <c r="C40" s="278"/>
      <c r="D40" s="278"/>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2024–2025 Principal Payments</v>
      </c>
      <c r="O41" s="124"/>
      <c r="P41" s="128" t="s">
        <v>159</v>
      </c>
      <c r="Q41" s="121"/>
    </row>
    <row r="42" spans="1:17" ht="15" customHeight="1" x14ac:dyDescent="0.25">
      <c r="A42" s="121"/>
      <c r="B42" s="130">
        <f>'LS-Fund 0001 Journal Entries'!J75+'LS-Fund 0140 Journal Entries'!J75+'LS-Fund 0465 Journal Entries'!J75+'LS-Fund 0545 Journal Entries'!J75+'LS-Fund 0890 Journal Entries'!J75+'LS-Fund 3057 Journal Entries'!J75+'LS-Fund 3237 Journal Entries'!J75+'LS-Fund 3398 Journal Entries'!J75+'LS-Fund 3413 Journal Entries'!J75+'LS-Fund 6001 Journal Entries'!J75+'LS-Fund 6005 Journal Entries'!J75+'LS-Fund 6026 Journal Entries'!J75+'LS-Fund 6027 Journal Entries'!J75+'LS-Fund 6031 Journal Entries'!J75+'LS-Fund 6051 Journal Entries'!J75+'LS-Fund 6083 Journal Entries'!J75+'LS-Fund 6088 Journal Entries'!J75</f>
        <v>3056742</v>
      </c>
      <c r="C42" s="138"/>
      <c r="E42" s="138"/>
      <c r="G42" s="167"/>
      <c r="H42" s="167"/>
      <c r="I42" s="167"/>
      <c r="J42" s="167"/>
      <c r="K42" s="138"/>
      <c r="L42" s="138"/>
      <c r="M42" s="139"/>
      <c r="N42" s="134">
        <f>'LS-Department Note Disclosure'!B13</f>
        <v>3056742</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78" t="s">
        <v>153</v>
      </c>
      <c r="C47" s="278"/>
      <c r="D47" s="278"/>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2024–2025 Principal Payments</v>
      </c>
      <c r="O48" s="124"/>
      <c r="P48" s="128" t="s">
        <v>159</v>
      </c>
      <c r="Q48" s="121"/>
    </row>
    <row r="49" spans="1:17" x14ac:dyDescent="0.25">
      <c r="A49" s="121"/>
      <c r="B49" s="130"/>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78" t="s">
        <v>153</v>
      </c>
      <c r="C55" s="278"/>
      <c r="D55" s="278"/>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2024–2025 Principal Payments</v>
      </c>
      <c r="O56" s="124"/>
      <c r="P56" s="128" t="s">
        <v>159</v>
      </c>
      <c r="Q56" s="121"/>
    </row>
    <row r="57" spans="1:17" x14ac:dyDescent="0.25">
      <c r="A57" s="121"/>
      <c r="B57" s="130">
        <f>'LS-Fund 3100 Journal Entries'!J75</f>
        <v>12143</v>
      </c>
      <c r="C57" s="138"/>
      <c r="E57" s="138"/>
      <c r="G57" s="167"/>
      <c r="H57" s="167"/>
      <c r="I57" s="167"/>
      <c r="J57" s="167"/>
      <c r="K57" s="138"/>
      <c r="L57" s="138"/>
      <c r="M57" s="139"/>
      <c r="N57" s="134">
        <f>'LS-Department Note Disclosure'!B75</f>
        <v>12143</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79" t="s">
        <v>153</v>
      </c>
      <c r="C64" s="279"/>
      <c r="D64" s="279"/>
      <c r="E64" s="279"/>
      <c r="F64" s="279"/>
      <c r="G64" s="279"/>
      <c r="H64" s="279"/>
      <c r="I64" s="141"/>
      <c r="J64" s="123" t="s">
        <v>1659</v>
      </c>
      <c r="K64" s="141"/>
      <c r="L64" s="279" t="s">
        <v>14</v>
      </c>
      <c r="M64" s="279"/>
      <c r="N64" s="279"/>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15992240</v>
      </c>
      <c r="J66" s="143">
        <f>SUM(D66)</f>
        <v>15992240</v>
      </c>
      <c r="L66" s="144" t="str">
        <f>CONCATENATE("Balance July 1, ",LEFT('LS-Department Note Disclosure'!$B$8,4))</f>
        <v>Balance July 1, 2023</v>
      </c>
      <c r="N66" s="143">
        <f>'LS-Lease Liabilities'!F10</f>
        <v>15992240</v>
      </c>
      <c r="P66" s="135">
        <f>J66-N66</f>
        <v>0</v>
      </c>
    </row>
    <row r="67" spans="1:17" x14ac:dyDescent="0.25">
      <c r="B67" s="125" t="s">
        <v>167</v>
      </c>
      <c r="D67" s="143">
        <f>$D$16</f>
        <v>5017677</v>
      </c>
      <c r="E67" s="171" t="s">
        <v>156</v>
      </c>
      <c r="F67" s="125" t="s">
        <v>1832</v>
      </c>
      <c r="H67" s="143">
        <f>$J$16</f>
        <v>0</v>
      </c>
      <c r="J67" s="143">
        <f>SUM(D67,H67)</f>
        <v>5017677</v>
      </c>
      <c r="L67" s="144" t="s">
        <v>15</v>
      </c>
      <c r="N67" s="143">
        <f>'LS-Lease Liabilities'!H10</f>
        <v>5017677</v>
      </c>
      <c r="P67" s="135">
        <f t="shared" ref="P67:P69" si="0">J67-N67</f>
        <v>0</v>
      </c>
    </row>
    <row r="68" spans="1:17" x14ac:dyDescent="0.25">
      <c r="B68" s="125" t="s">
        <v>162</v>
      </c>
      <c r="D68" s="143">
        <f>$F$16</f>
        <v>2987775</v>
      </c>
      <c r="E68" s="171" t="s">
        <v>156</v>
      </c>
      <c r="F68" s="125" t="s">
        <v>1829</v>
      </c>
      <c r="H68" s="143">
        <f>$H$16</f>
        <v>0</v>
      </c>
      <c r="J68" s="143">
        <f>SUM(D68,H68)</f>
        <v>2987775</v>
      </c>
      <c r="L68" s="144" t="s">
        <v>16</v>
      </c>
      <c r="N68" s="143">
        <f>'LS-Lease Liabilities'!J10</f>
        <v>2987775</v>
      </c>
      <c r="P68" s="135">
        <f t="shared" si="0"/>
        <v>0</v>
      </c>
    </row>
    <row r="69" spans="1:17" x14ac:dyDescent="0.25">
      <c r="B69" s="125" t="s">
        <v>166</v>
      </c>
      <c r="D69" s="143">
        <f>$B$42</f>
        <v>3056742</v>
      </c>
      <c r="J69" s="143">
        <f>SUM(D69)</f>
        <v>3056742</v>
      </c>
      <c r="L69" s="144" t="s">
        <v>17</v>
      </c>
      <c r="N69" s="143">
        <f>'LS-Lease Liabilities'!N10</f>
        <v>3056742</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79" t="s">
        <v>153</v>
      </c>
      <c r="C75" s="279"/>
      <c r="D75" s="279"/>
      <c r="E75" s="279"/>
      <c r="F75" s="279"/>
      <c r="G75" s="279"/>
      <c r="H75" s="279"/>
      <c r="I75" s="141"/>
      <c r="J75" s="123" t="s">
        <v>1659</v>
      </c>
      <c r="K75" s="141"/>
      <c r="L75" s="279" t="s">
        <v>14</v>
      </c>
      <c r="M75" s="279"/>
      <c r="N75" s="279"/>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167</v>
      </c>
      <c r="D78" s="143">
        <f>D24</f>
        <v>0</v>
      </c>
      <c r="E78" s="171" t="s">
        <v>156</v>
      </c>
      <c r="F78" s="125" t="s">
        <v>1832</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1829</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79" t="s">
        <v>153</v>
      </c>
      <c r="C86" s="279"/>
      <c r="D86" s="279"/>
      <c r="E86" s="279"/>
      <c r="F86" s="279"/>
      <c r="G86" s="279"/>
      <c r="H86" s="279"/>
      <c r="I86" s="141"/>
      <c r="J86" s="123" t="s">
        <v>1659</v>
      </c>
      <c r="K86" s="141"/>
      <c r="L86" s="279" t="s">
        <v>14</v>
      </c>
      <c r="M86" s="279"/>
      <c r="N86" s="279"/>
    </row>
    <row r="87" spans="2:16" x14ac:dyDescent="0.25">
      <c r="L87" s="121"/>
      <c r="M87" s="121"/>
      <c r="N87" s="121"/>
      <c r="O87" s="121"/>
      <c r="P87" s="128" t="s">
        <v>159</v>
      </c>
    </row>
    <row r="88" spans="2:16" x14ac:dyDescent="0.25">
      <c r="B88" s="125" t="s">
        <v>155</v>
      </c>
      <c r="D88" s="143">
        <f>B33</f>
        <v>57468</v>
      </c>
      <c r="J88" s="143">
        <f>SUM(D88)</f>
        <v>57468</v>
      </c>
      <c r="L88" s="144" t="str">
        <f>CONCATENATE("Balance July 1, ",LEFT('LS-Department Note Disclosure'!$B$8,4))</f>
        <v>Balance July 1, 2023</v>
      </c>
      <c r="N88" s="143">
        <f>'LS-Lease Liabilities'!F18</f>
        <v>57468</v>
      </c>
      <c r="P88" s="135">
        <f>J88-N88</f>
        <v>0</v>
      </c>
    </row>
    <row r="89" spans="2:16" x14ac:dyDescent="0.25">
      <c r="B89" s="125" t="s">
        <v>167</v>
      </c>
      <c r="D89" s="143">
        <f>D33</f>
        <v>0</v>
      </c>
      <c r="E89" s="171" t="s">
        <v>156</v>
      </c>
      <c r="F89" s="125" t="s">
        <v>1832</v>
      </c>
      <c r="H89" s="143">
        <f>$J$33</f>
        <v>30681</v>
      </c>
      <c r="J89" s="143">
        <f>SUM(D89,H89)</f>
        <v>30681</v>
      </c>
      <c r="L89" s="144" t="s">
        <v>15</v>
      </c>
      <c r="N89" s="143">
        <f>'LS-Lease Liabilities'!H18</f>
        <v>30681</v>
      </c>
      <c r="P89" s="135">
        <f t="shared" ref="P89:P91" si="2">J89-N89</f>
        <v>0</v>
      </c>
    </row>
    <row r="90" spans="2:16" x14ac:dyDescent="0.25">
      <c r="B90" s="125" t="s">
        <v>162</v>
      </c>
      <c r="D90" s="143">
        <f>F33</f>
        <v>16483</v>
      </c>
      <c r="E90" s="171" t="s">
        <v>156</v>
      </c>
      <c r="F90" s="125" t="s">
        <v>1829</v>
      </c>
      <c r="H90" s="143">
        <f>$H$33</f>
        <v>0</v>
      </c>
      <c r="J90" s="143">
        <f>SUM(D90,H90)</f>
        <v>16483</v>
      </c>
      <c r="L90" s="144" t="s">
        <v>16</v>
      </c>
      <c r="N90" s="143">
        <f>'LS-Lease Liabilities'!J18</f>
        <v>16483</v>
      </c>
      <c r="P90" s="135">
        <f t="shared" si="2"/>
        <v>0</v>
      </c>
    </row>
    <row r="91" spans="2:16" x14ac:dyDescent="0.25">
      <c r="B91" s="125" t="s">
        <v>166</v>
      </c>
      <c r="D91" s="143">
        <f>B57</f>
        <v>12143</v>
      </c>
      <c r="J91" s="143">
        <f>SUM(D91)</f>
        <v>12143</v>
      </c>
      <c r="L91" s="144" t="s">
        <v>17</v>
      </c>
      <c r="N91" s="143">
        <f>'LS-Lease Liabilities'!N18</f>
        <v>12143</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80" t="s">
        <v>1782</v>
      </c>
      <c r="B1" s="281"/>
      <c r="C1" s="281"/>
      <c r="D1" s="281"/>
      <c r="E1" s="281"/>
      <c r="F1" s="282"/>
    </row>
    <row r="2" spans="1:6" x14ac:dyDescent="0.25">
      <c r="A2" s="283"/>
      <c r="B2" s="284"/>
      <c r="C2" s="284"/>
      <c r="D2" s="284"/>
      <c r="E2" s="284"/>
      <c r="F2" s="285"/>
    </row>
    <row r="4" spans="1:6" ht="15" x14ac:dyDescent="0.25">
      <c r="A4" s="241" t="s">
        <v>1723</v>
      </c>
      <c r="B4" s="242" t="s">
        <v>1842</v>
      </c>
    </row>
    <row r="5" spans="1:6" ht="15" x14ac:dyDescent="0.25">
      <c r="A5" s="241" t="s">
        <v>1724</v>
      </c>
      <c r="B5" s="242" t="s">
        <v>1843</v>
      </c>
    </row>
    <row r="6" spans="1:6" ht="15" x14ac:dyDescent="0.25">
      <c r="A6" s="241"/>
      <c r="B6" s="242"/>
    </row>
    <row r="7" spans="1:6" ht="15" x14ac:dyDescent="0.25">
      <c r="A7" s="243" t="s">
        <v>1768</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1783</v>
      </c>
      <c r="B11" s="240" t="s">
        <v>1747</v>
      </c>
      <c r="C11" s="240" t="s">
        <v>1735</v>
      </c>
      <c r="D11" s="240" t="s">
        <v>1742</v>
      </c>
      <c r="E11" s="240" t="s">
        <v>1745</v>
      </c>
      <c r="F11" s="240" t="s">
        <v>1746</v>
      </c>
    </row>
    <row r="12" spans="1:6" ht="42.75" x14ac:dyDescent="0.25">
      <c r="A12" s="240" t="s">
        <v>1783</v>
      </c>
      <c r="B12" s="240" t="s">
        <v>1738</v>
      </c>
      <c r="C12" s="240" t="s">
        <v>1735</v>
      </c>
      <c r="D12" s="240" t="s">
        <v>1743</v>
      </c>
      <c r="E12" s="240" t="s">
        <v>1739</v>
      </c>
      <c r="F12" s="240" t="s">
        <v>1740</v>
      </c>
    </row>
    <row r="13" spans="1:6" ht="71.25" x14ac:dyDescent="0.25">
      <c r="A13" s="240" t="s">
        <v>1783</v>
      </c>
      <c r="B13" s="240" t="s">
        <v>1748</v>
      </c>
      <c r="C13" s="240" t="s">
        <v>1744</v>
      </c>
      <c r="D13" s="240" t="s">
        <v>1735</v>
      </c>
      <c r="E13" s="240" t="s">
        <v>1736</v>
      </c>
      <c r="F13" s="240" t="s">
        <v>1737</v>
      </c>
    </row>
    <row r="14" spans="1:6" ht="28.5" x14ac:dyDescent="0.25">
      <c r="A14" s="240" t="s">
        <v>1783</v>
      </c>
      <c r="B14" s="240" t="s">
        <v>1749</v>
      </c>
      <c r="C14" s="240" t="s">
        <v>1735</v>
      </c>
      <c r="D14" s="240" t="s">
        <v>1788</v>
      </c>
      <c r="E14" s="240" t="s">
        <v>1750</v>
      </c>
      <c r="F14" s="240" t="s">
        <v>1737</v>
      </c>
    </row>
    <row r="15" spans="1:6" ht="71.25" x14ac:dyDescent="0.25">
      <c r="A15" s="240" t="s">
        <v>1783</v>
      </c>
      <c r="B15" s="240" t="s">
        <v>1789</v>
      </c>
      <c r="C15" s="240" t="s">
        <v>1735</v>
      </c>
      <c r="D15" s="240" t="s">
        <v>1792</v>
      </c>
      <c r="E15" s="240" t="s">
        <v>1790</v>
      </c>
      <c r="F15" s="240" t="s">
        <v>1791</v>
      </c>
    </row>
    <row r="16" spans="1:6" ht="57" x14ac:dyDescent="0.25">
      <c r="A16" s="240" t="s">
        <v>1783</v>
      </c>
      <c r="B16" s="240" t="s">
        <v>1793</v>
      </c>
      <c r="C16" s="240" t="s">
        <v>1794</v>
      </c>
      <c r="D16" s="240" t="s">
        <v>1795</v>
      </c>
      <c r="E16" s="240" t="s">
        <v>1796</v>
      </c>
      <c r="F16" s="240" t="s">
        <v>1737</v>
      </c>
    </row>
    <row r="17" spans="1:6" ht="114" x14ac:dyDescent="0.25">
      <c r="A17" s="240" t="s">
        <v>1783</v>
      </c>
      <c r="B17" s="240" t="s">
        <v>1797</v>
      </c>
      <c r="C17" s="240" t="s">
        <v>1735</v>
      </c>
      <c r="D17" s="240" t="s">
        <v>1755</v>
      </c>
      <c r="E17" s="240" t="s">
        <v>1799</v>
      </c>
      <c r="F17" s="240" t="s">
        <v>1800</v>
      </c>
    </row>
    <row r="18" spans="1:6" ht="99.75" x14ac:dyDescent="0.25">
      <c r="A18" s="240" t="s">
        <v>1783</v>
      </c>
      <c r="B18" s="240" t="s">
        <v>1798</v>
      </c>
      <c r="C18" s="240" t="s">
        <v>1735</v>
      </c>
      <c r="D18" s="240" t="s">
        <v>1756</v>
      </c>
      <c r="E18" s="240" t="s">
        <v>1802</v>
      </c>
      <c r="F18" s="240" t="s">
        <v>1801</v>
      </c>
    </row>
    <row r="19" spans="1:6" ht="28.5" x14ac:dyDescent="0.25">
      <c r="A19" s="240" t="s">
        <v>1783</v>
      </c>
      <c r="B19" s="240" t="s">
        <v>1757</v>
      </c>
      <c r="C19" s="240" t="s">
        <v>1735</v>
      </c>
      <c r="D19" s="240" t="s">
        <v>1803</v>
      </c>
      <c r="E19" s="240" t="s">
        <v>1804</v>
      </c>
      <c r="F19" s="240" t="s">
        <v>1737</v>
      </c>
    </row>
    <row r="20" spans="1:6" ht="85.5" x14ac:dyDescent="0.25">
      <c r="A20" s="240" t="s">
        <v>1784</v>
      </c>
      <c r="B20" s="240" t="s">
        <v>1732</v>
      </c>
      <c r="C20" s="240" t="s">
        <v>1758</v>
      </c>
      <c r="D20" s="240" t="s">
        <v>1759</v>
      </c>
      <c r="E20" s="240" t="s">
        <v>1763</v>
      </c>
      <c r="F20" s="240" t="s">
        <v>1805</v>
      </c>
    </row>
    <row r="21" spans="1:6" ht="85.5" x14ac:dyDescent="0.25">
      <c r="A21" s="240" t="s">
        <v>1784</v>
      </c>
      <c r="B21" s="240" t="s">
        <v>1761</v>
      </c>
      <c r="C21" s="240" t="s">
        <v>1735</v>
      </c>
      <c r="D21" s="240" t="s">
        <v>1806</v>
      </c>
      <c r="E21" s="240" t="s">
        <v>1762</v>
      </c>
      <c r="F21" s="240" t="s">
        <v>1805</v>
      </c>
    </row>
    <row r="22" spans="1:6" ht="42.75" x14ac:dyDescent="0.25">
      <c r="A22" s="240" t="s">
        <v>1784</v>
      </c>
      <c r="B22" s="240" t="s">
        <v>1807</v>
      </c>
      <c r="C22" s="240" t="s">
        <v>1808</v>
      </c>
      <c r="D22" s="240" t="s">
        <v>1809</v>
      </c>
      <c r="E22" s="240" t="s">
        <v>1810</v>
      </c>
      <c r="F22" s="240" t="s">
        <v>1811</v>
      </c>
    </row>
    <row r="23" spans="1:6" ht="99.75" x14ac:dyDescent="0.25">
      <c r="A23" s="240" t="s">
        <v>1785</v>
      </c>
      <c r="B23" s="240" t="s">
        <v>1786</v>
      </c>
      <c r="C23" s="240" t="s">
        <v>1735</v>
      </c>
      <c r="D23" s="240" t="s">
        <v>1787</v>
      </c>
      <c r="E23" s="240" t="s">
        <v>1812</v>
      </c>
      <c r="F23" s="240" t="s">
        <v>1766</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1" t="s">
        <v>1667</v>
      </c>
      <c r="B1" s="251"/>
      <c r="C1" s="251"/>
      <c r="D1" s="251"/>
      <c r="E1" s="251"/>
      <c r="F1" s="251"/>
      <c r="G1" s="251"/>
      <c r="H1" s="251"/>
      <c r="I1" s="251"/>
      <c r="J1" s="251"/>
      <c r="K1" s="251"/>
      <c r="L1" s="5"/>
      <c r="M1" s="5"/>
      <c r="N1" s="5"/>
      <c r="O1" s="5"/>
      <c r="P1" s="5"/>
      <c r="Q1" s="5"/>
      <c r="R1" s="5"/>
      <c r="S1" s="5"/>
    </row>
    <row r="2" spans="1:19" ht="17.45" customHeight="1" x14ac:dyDescent="0.25">
      <c r="A2" s="290" t="s">
        <v>0</v>
      </c>
      <c r="B2" s="290"/>
      <c r="C2" s="290"/>
      <c r="D2" s="290"/>
      <c r="E2" s="290"/>
      <c r="F2" s="290"/>
      <c r="G2" s="290"/>
      <c r="H2" s="290"/>
      <c r="I2" s="290"/>
      <c r="J2" s="36"/>
      <c r="L2" s="5"/>
      <c r="M2" s="5"/>
      <c r="N2" s="5"/>
      <c r="O2" s="5"/>
      <c r="P2" s="5"/>
      <c r="Q2" s="5"/>
      <c r="R2" s="5"/>
      <c r="S2" s="5"/>
    </row>
    <row r="3" spans="1:19" ht="17.45" customHeight="1" x14ac:dyDescent="0.25">
      <c r="A3" s="289" t="s">
        <v>1</v>
      </c>
      <c r="B3" s="289"/>
      <c r="C3" s="289"/>
      <c r="D3" s="289"/>
      <c r="E3" s="95"/>
      <c r="H3" s="7"/>
      <c r="I3" s="7"/>
      <c r="J3" s="7"/>
      <c r="K3" s="7"/>
      <c r="L3" s="7"/>
      <c r="M3" s="7"/>
      <c r="N3" s="7"/>
      <c r="O3" s="7"/>
      <c r="P3" s="7"/>
      <c r="Q3" s="7"/>
      <c r="R3" s="7"/>
    </row>
    <row r="4" spans="1:19" ht="17.45" customHeight="1" x14ac:dyDescent="0.25">
      <c r="A4" s="289" t="s">
        <v>209</v>
      </c>
      <c r="B4" s="289"/>
      <c r="C4" s="289"/>
      <c r="D4" s="289"/>
      <c r="E4" s="97"/>
      <c r="H4" s="7"/>
      <c r="I4" s="7"/>
      <c r="J4" s="7"/>
      <c r="K4" s="7"/>
      <c r="L4" s="7"/>
      <c r="M4" s="7"/>
      <c r="N4" s="7"/>
      <c r="O4" s="7"/>
      <c r="P4" s="7"/>
      <c r="Q4" s="7"/>
      <c r="R4" s="7"/>
    </row>
    <row r="5" spans="1:19" ht="17.45" customHeight="1" x14ac:dyDescent="0.25">
      <c r="A5" s="289" t="s">
        <v>1684</v>
      </c>
      <c r="B5" s="289"/>
      <c r="C5" s="289"/>
      <c r="D5" s="289"/>
      <c r="E5" s="161"/>
      <c r="H5" s="7"/>
      <c r="I5" s="7"/>
      <c r="J5" s="8"/>
      <c r="K5" s="8"/>
      <c r="L5" s="8"/>
      <c r="M5" s="8"/>
      <c r="N5" s="8"/>
      <c r="O5" s="8"/>
      <c r="P5" s="8"/>
      <c r="Q5" s="7"/>
      <c r="R5" s="7"/>
    </row>
    <row r="6" spans="1:19" ht="17.45" customHeight="1" x14ac:dyDescent="0.25">
      <c r="A6" s="289" t="s">
        <v>1685</v>
      </c>
      <c r="B6" s="289"/>
      <c r="C6" s="289"/>
      <c r="D6" s="289"/>
      <c r="E6" s="97"/>
      <c r="G6" s="8"/>
      <c r="H6" s="8"/>
      <c r="I6" s="8"/>
      <c r="J6" s="8"/>
      <c r="K6" s="8"/>
      <c r="L6" s="8"/>
      <c r="M6" s="8"/>
      <c r="N6" s="8"/>
      <c r="O6" s="8"/>
      <c r="P6" s="8"/>
      <c r="Q6" s="7"/>
      <c r="R6" s="7"/>
    </row>
    <row r="7" spans="1:19" ht="17.45" customHeight="1" x14ac:dyDescent="0.25">
      <c r="A7" s="289" t="s">
        <v>3</v>
      </c>
      <c r="B7" s="289"/>
      <c r="C7" s="289"/>
      <c r="D7" s="289"/>
      <c r="E7" s="35"/>
      <c r="G7" s="8"/>
      <c r="H7" s="8"/>
      <c r="I7" s="8"/>
      <c r="J7" s="8"/>
      <c r="K7" s="8"/>
      <c r="L7" s="8"/>
      <c r="M7" s="8"/>
      <c r="N7" s="8"/>
      <c r="O7" s="8"/>
      <c r="P7" s="8"/>
      <c r="Q7" s="7"/>
      <c r="R7" s="7"/>
    </row>
    <row r="8" spans="1:19" ht="17.45" customHeight="1" x14ac:dyDescent="0.25">
      <c r="A8" s="289" t="s">
        <v>1641</v>
      </c>
      <c r="B8" s="289"/>
      <c r="C8" s="289"/>
      <c r="D8" s="289"/>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7" t="s">
        <v>1672</v>
      </c>
      <c r="N13" s="258"/>
      <c r="O13" s="188"/>
      <c r="P13" s="257" t="s">
        <v>1668</v>
      </c>
      <c r="Q13" s="258"/>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6"/>
      <c r="P29" s="286"/>
      <c r="Q29" s="286"/>
      <c r="R29" s="286"/>
      <c r="S29" s="286"/>
      <c r="T29" s="286"/>
      <c r="U29" s="286"/>
      <c r="V29" s="286"/>
    </row>
    <row r="30" spans="1:22" ht="17.45" customHeight="1" x14ac:dyDescent="0.2">
      <c r="B30" s="287" t="str">
        <f>IF($E$7="Governmental","Dr: Acct 0775 - OTHER INCOME","Dr: Acct 0755 - SALES &amp; SERVICES")</f>
        <v>Dr: Acct 0755 - SALES &amp; SERVICES</v>
      </c>
      <c r="C30" s="287"/>
      <c r="D30" s="287"/>
      <c r="E30" s="287"/>
      <c r="F30" s="287"/>
      <c r="G30" s="287"/>
      <c r="H30" s="287"/>
      <c r="I30" s="287"/>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6" t="s">
        <v>216</v>
      </c>
      <c r="C36" s="266" t="s">
        <v>214</v>
      </c>
      <c r="D36" s="266" t="s">
        <v>214</v>
      </c>
      <c r="E36" s="266"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6" t="s">
        <v>217</v>
      </c>
      <c r="C41" s="266"/>
      <c r="D41" s="266"/>
      <c r="E41" s="266"/>
      <c r="F41" s="20"/>
      <c r="G41" s="20"/>
      <c r="H41" s="20"/>
      <c r="I41" s="20"/>
      <c r="J41" s="196"/>
      <c r="K41" s="32"/>
      <c r="L41" s="9"/>
      <c r="R41" s="9"/>
      <c r="S41" s="9"/>
      <c r="T41" s="9"/>
      <c r="U41" s="9"/>
      <c r="V41" s="9"/>
    </row>
    <row r="42" spans="1:22" ht="17.45" customHeight="1" x14ac:dyDescent="0.2">
      <c r="A42" s="15"/>
      <c r="B42" s="20"/>
      <c r="C42" s="266" t="s">
        <v>215</v>
      </c>
      <c r="D42" s="266" t="s">
        <v>218</v>
      </c>
      <c r="E42" s="266" t="s">
        <v>218</v>
      </c>
      <c r="F42" s="20"/>
      <c r="G42" s="20"/>
      <c r="H42" s="20"/>
      <c r="I42" s="20"/>
      <c r="J42" s="32"/>
      <c r="K42" s="196"/>
      <c r="O42" s="9"/>
      <c r="P42" s="9"/>
      <c r="Q42" s="9"/>
      <c r="R42" s="9"/>
      <c r="S42" s="9"/>
      <c r="T42" s="9"/>
      <c r="U42" s="9"/>
      <c r="V42" s="9"/>
    </row>
    <row r="43" spans="1:22" ht="17.45" customHeight="1" x14ac:dyDescent="0.2">
      <c r="A43" s="15"/>
      <c r="B43" s="288" t="s">
        <v>1815</v>
      </c>
      <c r="C43" s="288"/>
      <c r="D43" s="288"/>
      <c r="E43" s="288"/>
      <c r="F43" s="288"/>
      <c r="G43" s="288"/>
      <c r="H43" s="288"/>
      <c r="I43" s="288"/>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8"/>
      <c r="C44" s="288"/>
      <c r="D44" s="288"/>
      <c r="E44" s="288"/>
      <c r="F44" s="288"/>
      <c r="G44" s="288"/>
      <c r="H44" s="288"/>
      <c r="I44" s="288"/>
      <c r="K44" s="27"/>
      <c r="L44" s="9"/>
      <c r="M44" s="19"/>
      <c r="O44" s="28"/>
    </row>
    <row r="45" spans="1:22" ht="17.45" customHeight="1" x14ac:dyDescent="0.25">
      <c r="A45" s="15"/>
      <c r="B45" s="288"/>
      <c r="C45" s="288"/>
      <c r="D45" s="288"/>
      <c r="E45" s="288"/>
      <c r="F45" s="288"/>
      <c r="G45" s="288"/>
      <c r="H45" s="288"/>
      <c r="I45" s="288"/>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1834</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66" t="s">
        <v>1656</v>
      </c>
      <c r="C51" s="266" t="s">
        <v>1655</v>
      </c>
      <c r="D51" s="266"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1833</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0" t="s">
        <v>150</v>
      </c>
      <c r="B1" s="270"/>
      <c r="C1" s="270"/>
      <c r="D1" s="270"/>
      <c r="E1" s="270"/>
      <c r="F1" s="158"/>
      <c r="G1" s="5"/>
      <c r="H1" s="5"/>
      <c r="I1" s="5"/>
      <c r="J1" s="5"/>
      <c r="K1" s="5"/>
      <c r="L1" s="5"/>
      <c r="M1" s="5"/>
      <c r="N1" s="5"/>
      <c r="O1" s="5"/>
      <c r="P1" s="5"/>
      <c r="Q1" s="5"/>
      <c r="R1" s="5"/>
      <c r="S1" s="5"/>
    </row>
    <row r="2" spans="1:19" ht="48" customHeight="1" x14ac:dyDescent="0.25">
      <c r="A2" s="269" t="s">
        <v>148</v>
      </c>
      <c r="B2" s="269"/>
      <c r="C2" s="269"/>
      <c r="D2" s="269"/>
      <c r="E2" s="269"/>
      <c r="F2" s="99"/>
      <c r="G2" s="5"/>
      <c r="H2" s="5"/>
      <c r="I2" s="5"/>
      <c r="J2" s="5"/>
      <c r="K2" s="5"/>
      <c r="L2" s="5"/>
      <c r="M2" s="5"/>
      <c r="N2" s="5"/>
      <c r="O2" s="5"/>
      <c r="P2" s="5"/>
      <c r="Q2" s="5"/>
      <c r="R2" s="5"/>
      <c r="S2" s="5"/>
    </row>
    <row r="3" spans="1:19" ht="33" customHeight="1" x14ac:dyDescent="0.25">
      <c r="A3" s="294" t="s">
        <v>212</v>
      </c>
      <c r="B3" s="294"/>
      <c r="C3" s="294"/>
      <c r="E3" s="57"/>
      <c r="F3" s="57"/>
      <c r="G3" s="57"/>
      <c r="H3" s="57"/>
      <c r="I3" s="57"/>
      <c r="J3" s="57"/>
      <c r="K3" s="57"/>
      <c r="L3" s="57"/>
      <c r="M3" s="57"/>
      <c r="N3" s="57"/>
      <c r="O3" s="57"/>
      <c r="P3" s="6"/>
      <c r="Q3" s="6"/>
      <c r="R3" s="6"/>
      <c r="S3" s="6"/>
    </row>
    <row r="4" spans="1:19" ht="31.15" customHeight="1" x14ac:dyDescent="0.25">
      <c r="A4" s="275" t="s">
        <v>7</v>
      </c>
      <c r="B4" s="275"/>
      <c r="C4" s="275"/>
      <c r="E4" s="57"/>
      <c r="F4" s="57"/>
      <c r="G4" s="57"/>
      <c r="H4" s="57"/>
      <c r="I4" s="57"/>
      <c r="J4" s="57"/>
      <c r="K4" s="57"/>
      <c r="L4" s="57"/>
      <c r="M4" s="57"/>
      <c r="N4" s="57"/>
      <c r="O4" s="57"/>
      <c r="P4" s="6"/>
      <c r="Q4" s="6"/>
      <c r="R4" s="6"/>
      <c r="S4" s="6"/>
    </row>
    <row r="5" spans="1:19" ht="30.6" customHeight="1" x14ac:dyDescent="0.25">
      <c r="A5" s="275" t="s">
        <v>9</v>
      </c>
      <c r="B5" s="275"/>
      <c r="C5" s="27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2" t="s">
        <v>24</v>
      </c>
      <c r="C9" s="292"/>
      <c r="D9" s="52"/>
      <c r="F9" s="81"/>
      <c r="G9" s="81"/>
      <c r="H9" s="81"/>
      <c r="I9" s="81"/>
      <c r="J9" s="81"/>
      <c r="K9" s="81"/>
      <c r="L9" s="81"/>
      <c r="M9" s="81"/>
      <c r="N9" s="81"/>
      <c r="O9" s="81"/>
      <c r="P9" s="6"/>
      <c r="Q9" s="6"/>
      <c r="R9" s="6"/>
      <c r="S9" s="6"/>
    </row>
    <row r="10" spans="1:19" ht="15.75" x14ac:dyDescent="0.25">
      <c r="A10" s="12" t="s">
        <v>210</v>
      </c>
      <c r="B10" s="293"/>
      <c r="C10" s="293"/>
      <c r="D10" s="82"/>
      <c r="F10" s="38"/>
      <c r="G10" s="38"/>
      <c r="H10" s="38"/>
      <c r="I10" s="38"/>
      <c r="J10" s="38"/>
      <c r="K10" s="38"/>
      <c r="L10" s="38"/>
      <c r="M10" s="38"/>
      <c r="N10" s="38"/>
      <c r="O10" s="38"/>
      <c r="P10" s="6"/>
      <c r="Q10" s="6"/>
      <c r="R10" s="6"/>
      <c r="S10" s="6"/>
    </row>
    <row r="11" spans="1:19" ht="15.75" x14ac:dyDescent="0.25">
      <c r="A11" s="12" t="s">
        <v>209</v>
      </c>
      <c r="B11" s="292"/>
      <c r="C11" s="292"/>
      <c r="D11" s="82"/>
      <c r="F11" s="5"/>
      <c r="G11" s="5"/>
      <c r="H11" s="5"/>
      <c r="I11" s="5"/>
      <c r="J11" s="5"/>
      <c r="K11" s="5"/>
      <c r="L11" s="5"/>
      <c r="M11" s="5"/>
      <c r="N11" s="5"/>
      <c r="O11" s="5"/>
      <c r="P11" s="5"/>
      <c r="Q11" s="5"/>
      <c r="R11" s="5"/>
      <c r="S11" s="5"/>
    </row>
    <row r="12" spans="1:19" ht="30" customHeight="1" x14ac:dyDescent="0.25">
      <c r="A12" s="291" t="s">
        <v>10</v>
      </c>
      <c r="B12" s="291"/>
      <c r="C12" s="291"/>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2"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2"/>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2"/>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2"/>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2"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2"/>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6" t="str">
        <f>B9</f>
        <v>2022–2023</v>
      </c>
      <c r="C40" s="266"/>
      <c r="D40" s="20"/>
      <c r="F40" s="89"/>
      <c r="G40" s="89"/>
      <c r="H40" s="89"/>
      <c r="I40" s="89"/>
    </row>
    <row r="41" spans="1:19" ht="15.75" x14ac:dyDescent="0.25">
      <c r="A41" s="12" t="s">
        <v>210</v>
      </c>
      <c r="B41" s="268">
        <f>B10</f>
        <v>0</v>
      </c>
      <c r="C41" s="268"/>
      <c r="D41" s="91"/>
    </row>
    <row r="42" spans="1:19" ht="15.75" x14ac:dyDescent="0.25">
      <c r="A42" s="12" t="s">
        <v>209</v>
      </c>
      <c r="B42" s="266">
        <f>B11</f>
        <v>0</v>
      </c>
      <c r="C42" s="266"/>
      <c r="D42" s="55"/>
    </row>
    <row r="43" spans="1:19" ht="30" customHeight="1" x14ac:dyDescent="0.25">
      <c r="A43" s="291" t="s">
        <v>10</v>
      </c>
      <c r="B43" s="291"/>
      <c r="C43" s="291"/>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2" t="s">
        <v>219</v>
      </c>
    </row>
    <row r="46" spans="1:19" x14ac:dyDescent="0.2">
      <c r="A46" s="84" t="str">
        <f>LEFT(A45,4)+1&amp;"–"&amp;RIGHT(A45,4)+1</f>
        <v>2024–2025</v>
      </c>
      <c r="B46" s="2"/>
      <c r="C46" s="2"/>
      <c r="D46" s="62"/>
      <c r="E46" s="262"/>
    </row>
    <row r="47" spans="1:19" x14ac:dyDescent="0.2">
      <c r="A47" s="84" t="str">
        <f>LEFT(A46,4)+1&amp;"–"&amp;RIGHT(A46,4)+1</f>
        <v>2025–2026</v>
      </c>
      <c r="B47" s="2"/>
      <c r="C47" s="2"/>
      <c r="D47" s="62"/>
      <c r="E47" s="262"/>
    </row>
    <row r="48" spans="1:19" ht="15" customHeight="1" x14ac:dyDescent="0.2">
      <c r="A48" s="84" t="str">
        <f>LEFT(A47,4)+1&amp;"–"&amp;RIGHT(A47,4)+1</f>
        <v>2026–2027</v>
      </c>
      <c r="B48" s="2"/>
      <c r="C48" s="2"/>
      <c r="D48" s="87"/>
      <c r="E48" s="262"/>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2"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2"/>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6" t="str">
        <f>B40</f>
        <v>2022–2023</v>
      </c>
      <c r="C71" s="266"/>
      <c r="D71" s="20"/>
    </row>
    <row r="72" spans="1:19" ht="15.75" x14ac:dyDescent="0.25">
      <c r="A72" s="12" t="s">
        <v>210</v>
      </c>
      <c r="B72" s="268">
        <f>B41</f>
        <v>0</v>
      </c>
      <c r="C72" s="268"/>
      <c r="D72" s="91"/>
    </row>
    <row r="73" spans="1:19" ht="15.75" x14ac:dyDescent="0.25">
      <c r="A73" s="12" t="s">
        <v>209</v>
      </c>
      <c r="B73" s="266">
        <f>B42</f>
        <v>0</v>
      </c>
      <c r="C73" s="266"/>
      <c r="D73" s="55"/>
    </row>
    <row r="74" spans="1:19" ht="30" customHeight="1" x14ac:dyDescent="0.25">
      <c r="A74" s="291" t="s">
        <v>10</v>
      </c>
      <c r="B74" s="291"/>
      <c r="C74" s="291"/>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2" t="s">
        <v>219</v>
      </c>
    </row>
    <row r="77" spans="1:19" x14ac:dyDescent="0.2">
      <c r="A77" s="84" t="str">
        <f>LEFT(A76,4)+1&amp;"–"&amp;RIGHT(A76,4)+1</f>
        <v>2024–2025</v>
      </c>
      <c r="B77" s="2"/>
      <c r="C77" s="2"/>
      <c r="D77" s="62"/>
      <c r="E77" s="262"/>
    </row>
    <row r="78" spans="1:19" x14ac:dyDescent="0.2">
      <c r="A78" s="84" t="str">
        <f>LEFT(A77,4)+1&amp;"–"&amp;RIGHT(A77,4)+1</f>
        <v>2025–2026</v>
      </c>
      <c r="B78" s="2"/>
      <c r="C78" s="2"/>
      <c r="D78" s="62"/>
      <c r="E78" s="262"/>
    </row>
    <row r="79" spans="1:19" x14ac:dyDescent="0.2">
      <c r="A79" s="84" t="str">
        <f>LEFT(A78,4)+1&amp;"–"&amp;RIGHT(A78,4)+1</f>
        <v>2026–2027</v>
      </c>
      <c r="B79" s="2"/>
      <c r="C79" s="2"/>
      <c r="D79" s="87"/>
      <c r="E79" s="262"/>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2"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2"/>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4">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76" t="s">
        <v>1675</v>
      </c>
      <c r="B5" s="276"/>
      <c r="C5" s="276"/>
      <c r="D5" s="276"/>
      <c r="E5" s="276"/>
      <c r="F5" s="276"/>
      <c r="G5" s="276"/>
      <c r="H5" s="276"/>
      <c r="I5" s="276"/>
      <c r="J5" s="276"/>
      <c r="K5" s="276"/>
      <c r="L5" s="276"/>
      <c r="M5" s="276"/>
      <c r="N5" s="276"/>
      <c r="O5" s="276"/>
      <c r="P5" s="276"/>
      <c r="Q5" s="276"/>
    </row>
    <row r="6" spans="1:17" ht="15" customHeight="1" x14ac:dyDescent="0.25">
      <c r="A6" s="276"/>
      <c r="B6" s="276"/>
      <c r="C6" s="276"/>
      <c r="D6" s="276"/>
      <c r="E6" s="276"/>
      <c r="F6" s="276"/>
      <c r="G6" s="276"/>
      <c r="H6" s="276"/>
      <c r="I6" s="276"/>
      <c r="J6" s="276"/>
      <c r="K6" s="276"/>
      <c r="L6" s="276"/>
      <c r="M6" s="276"/>
      <c r="N6" s="276"/>
      <c r="O6" s="276"/>
      <c r="P6" s="276"/>
      <c r="Q6" s="276"/>
    </row>
    <row r="7" spans="1:17" x14ac:dyDescent="0.25">
      <c r="A7" s="276"/>
      <c r="B7" s="276"/>
      <c r="C7" s="276"/>
      <c r="D7" s="276"/>
      <c r="E7" s="276"/>
      <c r="F7" s="276"/>
      <c r="G7" s="276"/>
      <c r="H7" s="276"/>
      <c r="I7" s="276"/>
      <c r="J7" s="276"/>
      <c r="K7" s="276"/>
      <c r="L7" s="276"/>
      <c r="M7" s="276"/>
      <c r="N7" s="276"/>
      <c r="O7" s="276"/>
      <c r="P7" s="276"/>
      <c r="Q7" s="276"/>
    </row>
    <row r="8" spans="1:17" ht="15" customHeight="1" x14ac:dyDescent="0.25">
      <c r="A8" s="277" t="s">
        <v>1660</v>
      </c>
      <c r="B8" s="277"/>
      <c r="C8" s="277"/>
      <c r="D8" s="277"/>
      <c r="E8" s="277"/>
      <c r="F8" s="277"/>
      <c r="G8" s="277"/>
      <c r="H8" s="277"/>
      <c r="I8" s="277"/>
      <c r="J8" s="277"/>
      <c r="K8" s="277"/>
      <c r="L8" s="277"/>
      <c r="M8" s="277"/>
      <c r="N8" s="277"/>
      <c r="O8" s="277"/>
      <c r="P8" s="277"/>
      <c r="Q8" s="277"/>
    </row>
    <row r="9" spans="1:17" x14ac:dyDescent="0.25">
      <c r="A9" s="277"/>
      <c r="B9" s="277"/>
      <c r="C9" s="277"/>
      <c r="D9" s="277"/>
      <c r="E9" s="277"/>
      <c r="F9" s="277"/>
      <c r="G9" s="277"/>
      <c r="H9" s="277"/>
      <c r="I9" s="277"/>
      <c r="J9" s="277"/>
      <c r="K9" s="277"/>
      <c r="L9" s="277"/>
      <c r="M9" s="277"/>
      <c r="N9" s="277"/>
      <c r="O9" s="277"/>
      <c r="P9" s="277"/>
      <c r="Q9" s="277"/>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78" t="s">
        <v>153</v>
      </c>
      <c r="C13" s="278"/>
      <c r="D13" s="278"/>
      <c r="E13" s="278"/>
      <c r="F13" s="278"/>
      <c r="G13" s="278"/>
      <c r="H13" s="278"/>
      <c r="I13" s="278"/>
      <c r="J13" s="278"/>
      <c r="K13" s="278"/>
      <c r="L13" s="278"/>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78" t="s">
        <v>153</v>
      </c>
      <c r="C21" s="278"/>
      <c r="D21" s="278"/>
      <c r="E21" s="278"/>
      <c r="F21" s="278"/>
      <c r="G21" s="278"/>
      <c r="H21" s="278"/>
      <c r="I21" s="278"/>
      <c r="J21" s="278"/>
      <c r="K21" s="278"/>
      <c r="L21" s="278"/>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78" t="s">
        <v>153</v>
      </c>
      <c r="C30" s="278"/>
      <c r="D30" s="278"/>
      <c r="E30" s="278"/>
      <c r="F30" s="278"/>
      <c r="G30" s="278"/>
      <c r="H30" s="278"/>
      <c r="I30" s="278"/>
      <c r="J30" s="278"/>
      <c r="K30" s="278"/>
      <c r="L30" s="278"/>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78" t="s">
        <v>153</v>
      </c>
      <c r="C40" s="278"/>
      <c r="D40" s="278"/>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2024–2025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78" t="s">
        <v>153</v>
      </c>
      <c r="C47" s="278"/>
      <c r="D47" s="278"/>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2024–2025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78" t="s">
        <v>153</v>
      </c>
      <c r="C55" s="278"/>
      <c r="D55" s="278"/>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2024–2025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5">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80" t="s">
        <v>1779</v>
      </c>
      <c r="B1" s="281"/>
      <c r="C1" s="281"/>
      <c r="D1" s="281"/>
      <c r="E1" s="281"/>
      <c r="F1" s="282"/>
    </row>
    <row r="2" spans="1:6" x14ac:dyDescent="0.25">
      <c r="A2" s="283"/>
      <c r="B2" s="284"/>
      <c r="C2" s="284"/>
      <c r="D2" s="284"/>
      <c r="E2" s="284"/>
      <c r="F2" s="285"/>
    </row>
    <row r="4" spans="1:6" ht="15" x14ac:dyDescent="0.25">
      <c r="A4" s="241" t="s">
        <v>1723</v>
      </c>
      <c r="B4" s="242" t="s">
        <v>1842</v>
      </c>
    </row>
    <row r="5" spans="1:6" ht="15" x14ac:dyDescent="0.25">
      <c r="A5" s="241" t="s">
        <v>1724</v>
      </c>
      <c r="B5" s="242" t="s">
        <v>1843</v>
      </c>
    </row>
    <row r="6" spans="1:6" ht="15" x14ac:dyDescent="0.25">
      <c r="A6" s="241"/>
      <c r="B6" s="242"/>
    </row>
    <row r="7" spans="1:6" ht="15" x14ac:dyDescent="0.25">
      <c r="A7" s="243" t="s">
        <v>1768</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1773</v>
      </c>
      <c r="B11" s="240" t="s">
        <v>1732</v>
      </c>
      <c r="C11" s="240" t="s">
        <v>1733</v>
      </c>
      <c r="D11" s="240" t="s">
        <v>1733</v>
      </c>
      <c r="E11" s="240" t="s">
        <v>1813</v>
      </c>
      <c r="F11" s="240" t="s">
        <v>1776</v>
      </c>
    </row>
    <row r="12" spans="1:6" ht="28.5" x14ac:dyDescent="0.25">
      <c r="A12" s="240" t="s">
        <v>1773</v>
      </c>
      <c r="B12" s="240" t="s">
        <v>1747</v>
      </c>
      <c r="C12" s="240" t="s">
        <v>1735</v>
      </c>
      <c r="D12" s="240" t="s">
        <v>1742</v>
      </c>
      <c r="E12" s="240" t="s">
        <v>1745</v>
      </c>
      <c r="F12" s="240" t="s">
        <v>1746</v>
      </c>
    </row>
    <row r="13" spans="1:6" ht="71.25" x14ac:dyDescent="0.25">
      <c r="A13" s="240" t="s">
        <v>1773</v>
      </c>
      <c r="B13" s="240" t="s">
        <v>1748</v>
      </c>
      <c r="C13" s="240" t="s">
        <v>1734</v>
      </c>
      <c r="D13" s="240" t="s">
        <v>1735</v>
      </c>
      <c r="E13" s="240" t="s">
        <v>1736</v>
      </c>
      <c r="F13" s="240" t="s">
        <v>1737</v>
      </c>
    </row>
    <row r="14" spans="1:6" ht="42.75" x14ac:dyDescent="0.25">
      <c r="A14" s="240" t="s">
        <v>1773</v>
      </c>
      <c r="B14" s="240" t="s">
        <v>1738</v>
      </c>
      <c r="C14" s="240" t="s">
        <v>1735</v>
      </c>
      <c r="D14" s="240" t="s">
        <v>1743</v>
      </c>
      <c r="E14" s="240" t="s">
        <v>1739</v>
      </c>
      <c r="F14" s="240" t="s">
        <v>1740</v>
      </c>
    </row>
    <row r="15" spans="1:6" ht="42.75" x14ac:dyDescent="0.25">
      <c r="A15" s="240" t="s">
        <v>1773</v>
      </c>
      <c r="B15" s="240" t="s">
        <v>1741</v>
      </c>
      <c r="C15" s="240" t="s">
        <v>1735</v>
      </c>
      <c r="D15" s="240" t="s">
        <v>1744</v>
      </c>
      <c r="E15" s="240" t="s">
        <v>1769</v>
      </c>
      <c r="F15" s="240" t="s">
        <v>1737</v>
      </c>
    </row>
    <row r="16" spans="1:6" ht="28.5" x14ac:dyDescent="0.25">
      <c r="A16" s="240" t="s">
        <v>1773</v>
      </c>
      <c r="B16" s="240" t="s">
        <v>1749</v>
      </c>
      <c r="C16" s="240" t="s">
        <v>1735</v>
      </c>
      <c r="D16" s="240" t="s">
        <v>1777</v>
      </c>
      <c r="E16" s="240" t="s">
        <v>1750</v>
      </c>
      <c r="F16" s="240" t="s">
        <v>1737</v>
      </c>
    </row>
    <row r="17" spans="1:6" ht="85.5" x14ac:dyDescent="0.25">
      <c r="A17" s="240" t="s">
        <v>1773</v>
      </c>
      <c r="B17" s="240" t="s">
        <v>1751</v>
      </c>
      <c r="C17" s="240" t="s">
        <v>1752</v>
      </c>
      <c r="D17" s="240" t="s">
        <v>1753</v>
      </c>
      <c r="E17" s="240" t="s">
        <v>1770</v>
      </c>
      <c r="F17" s="240" t="s">
        <v>1778</v>
      </c>
    </row>
    <row r="18" spans="1:6" ht="99.75" x14ac:dyDescent="0.25">
      <c r="A18" s="240" t="s">
        <v>1773</v>
      </c>
      <c r="B18" s="240" t="s">
        <v>1771</v>
      </c>
      <c r="C18" s="240" t="s">
        <v>1754</v>
      </c>
      <c r="D18" s="240" t="s">
        <v>1824</v>
      </c>
      <c r="E18" s="240" t="s">
        <v>1772</v>
      </c>
      <c r="F18" s="240" t="s">
        <v>1737</v>
      </c>
    </row>
    <row r="19" spans="1:6" ht="28.5" x14ac:dyDescent="0.25">
      <c r="A19" s="240" t="s">
        <v>1773</v>
      </c>
      <c r="B19" s="240" t="s">
        <v>1837</v>
      </c>
      <c r="C19" s="240" t="s">
        <v>1840</v>
      </c>
      <c r="D19" s="240" t="s">
        <v>1838</v>
      </c>
      <c r="E19" s="240" t="s">
        <v>1839</v>
      </c>
      <c r="F19" s="240" t="s">
        <v>1737</v>
      </c>
    </row>
    <row r="20" spans="1:6" ht="28.5" x14ac:dyDescent="0.25">
      <c r="A20" s="240" t="s">
        <v>1773</v>
      </c>
      <c r="B20" s="240" t="s">
        <v>1757</v>
      </c>
      <c r="C20" s="240" t="s">
        <v>1735</v>
      </c>
      <c r="D20" s="240" t="s">
        <v>1825</v>
      </c>
      <c r="E20" s="240" t="s">
        <v>1780</v>
      </c>
      <c r="F20" s="240" t="s">
        <v>1737</v>
      </c>
    </row>
    <row r="21" spans="1:6" ht="114" x14ac:dyDescent="0.25">
      <c r="A21" s="240" t="s">
        <v>1774</v>
      </c>
      <c r="B21" s="240" t="s">
        <v>1764</v>
      </c>
      <c r="C21" s="240" t="s">
        <v>1765</v>
      </c>
      <c r="D21" s="240" t="s">
        <v>1765</v>
      </c>
      <c r="E21" s="240" t="s">
        <v>1781</v>
      </c>
      <c r="F21" s="240" t="s">
        <v>1760</v>
      </c>
    </row>
    <row r="22" spans="1:6" ht="42.75" x14ac:dyDescent="0.25">
      <c r="A22" s="240" t="s">
        <v>1774</v>
      </c>
      <c r="B22" s="240" t="s">
        <v>1767</v>
      </c>
      <c r="C22" s="240" t="s">
        <v>1735</v>
      </c>
      <c r="D22" s="240" t="s">
        <v>1743</v>
      </c>
      <c r="E22" s="240" t="s">
        <v>1775</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6">
    <tabColor rgb="FFC198E0"/>
    <pageSetUpPr fitToPage="1"/>
  </sheetPr>
  <dimension ref="A1:S169"/>
  <sheetViews>
    <sheetView zoomScale="70" zoomScaleNormal="70" workbookViewId="0">
      <selection sqref="A1:F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1" t="s">
        <v>1666</v>
      </c>
      <c r="B1" s="251"/>
      <c r="C1" s="251"/>
      <c r="D1" s="251"/>
      <c r="E1" s="251"/>
      <c r="F1" s="251"/>
      <c r="G1" s="251"/>
      <c r="H1" s="251"/>
      <c r="I1" s="251"/>
      <c r="J1" s="251"/>
      <c r="K1" s="251"/>
      <c r="L1" s="151"/>
      <c r="M1" s="151"/>
      <c r="N1" s="151"/>
      <c r="O1" s="151"/>
    </row>
    <row r="2" spans="1:19" ht="15" customHeight="1" x14ac:dyDescent="0.25">
      <c r="A2" s="290" t="s">
        <v>0</v>
      </c>
      <c r="B2" s="290"/>
      <c r="C2" s="290"/>
      <c r="D2" s="290"/>
      <c r="E2" s="290"/>
      <c r="F2" s="290"/>
      <c r="G2" s="290"/>
      <c r="H2" s="290"/>
      <c r="I2" s="290"/>
      <c r="J2" s="290"/>
      <c r="K2" s="290"/>
      <c r="L2" s="165"/>
      <c r="M2" s="165"/>
      <c r="N2" s="165"/>
      <c r="O2" s="165"/>
    </row>
    <row r="3" spans="1:19" ht="15.75" x14ac:dyDescent="0.25">
      <c r="A3" s="252" t="s">
        <v>13</v>
      </c>
      <c r="B3" s="252"/>
      <c r="C3" s="252"/>
      <c r="D3" s="252"/>
      <c r="E3" s="252"/>
      <c r="F3" s="253" t="s">
        <v>24</v>
      </c>
      <c r="G3" s="253"/>
      <c r="H3" s="253"/>
      <c r="I3" s="253"/>
    </row>
    <row r="4" spans="1:19" ht="15.75" x14ac:dyDescent="0.2">
      <c r="A4" s="252" t="s">
        <v>209</v>
      </c>
      <c r="B4" s="252"/>
      <c r="C4" s="252"/>
      <c r="D4" s="252"/>
      <c r="E4" s="252"/>
      <c r="F4" s="254"/>
      <c r="G4" s="254"/>
      <c r="H4" s="254"/>
      <c r="I4" s="254"/>
      <c r="L4" s="39"/>
      <c r="M4" s="39"/>
      <c r="N4" s="39"/>
      <c r="O4" s="39"/>
      <c r="P4" s="39"/>
      <c r="Q4" s="39"/>
    </row>
    <row r="5" spans="1:19" ht="15.75" x14ac:dyDescent="0.2">
      <c r="A5" s="252" t="s">
        <v>1640</v>
      </c>
      <c r="B5" s="252"/>
      <c r="C5" s="252"/>
      <c r="D5" s="252"/>
      <c r="E5" s="252"/>
      <c r="F5" s="254"/>
      <c r="G5" s="254"/>
      <c r="H5" s="254"/>
      <c r="I5" s="254"/>
      <c r="L5" s="40"/>
      <c r="M5" s="40"/>
      <c r="N5" s="40"/>
      <c r="O5" s="40"/>
      <c r="P5" s="39"/>
      <c r="Q5" s="39"/>
    </row>
    <row r="6" spans="1:19" ht="18" x14ac:dyDescent="0.25">
      <c r="A6" s="252" t="s">
        <v>2</v>
      </c>
      <c r="B6" s="252"/>
      <c r="C6" s="252"/>
      <c r="D6" s="252"/>
      <c r="E6" s="252"/>
      <c r="F6" s="255"/>
      <c r="G6" s="255"/>
      <c r="H6" s="255"/>
      <c r="I6" s="255"/>
      <c r="K6" s="96"/>
      <c r="L6" s="40"/>
      <c r="M6" s="40"/>
      <c r="N6" s="40"/>
      <c r="O6" s="40"/>
      <c r="P6" s="39"/>
      <c r="Q6" s="39"/>
    </row>
    <row r="7" spans="1:19" ht="18" x14ac:dyDescent="0.25">
      <c r="A7" s="252" t="s">
        <v>3</v>
      </c>
      <c r="B7" s="252"/>
      <c r="C7" s="252"/>
      <c r="D7" s="252"/>
      <c r="E7" s="252"/>
      <c r="F7" s="255"/>
      <c r="G7" s="255"/>
      <c r="H7" s="255"/>
      <c r="I7" s="255"/>
      <c r="K7" s="96"/>
      <c r="L7" s="40"/>
      <c r="M7" s="40"/>
      <c r="N7" s="40"/>
      <c r="O7" s="40"/>
      <c r="P7" s="39"/>
      <c r="Q7" s="39"/>
    </row>
    <row r="8" spans="1:19" ht="18" x14ac:dyDescent="0.25">
      <c r="A8" s="252" t="s">
        <v>1641</v>
      </c>
      <c r="B8" s="252"/>
      <c r="C8" s="252"/>
      <c r="D8" s="252"/>
      <c r="E8" s="252"/>
      <c r="F8" s="255"/>
      <c r="G8" s="255"/>
      <c r="H8" s="255"/>
      <c r="I8" s="255"/>
      <c r="K8" s="96"/>
      <c r="L8" s="40"/>
      <c r="M8" s="40"/>
      <c r="N8" s="40"/>
      <c r="O8" s="40"/>
      <c r="P8" s="39"/>
      <c r="Q8" s="39"/>
    </row>
    <row r="9" spans="1:19" ht="15.75" x14ac:dyDescent="0.25">
      <c r="A9" s="252" t="s">
        <v>1639</v>
      </c>
      <c r="B9" s="252"/>
      <c r="C9" s="252"/>
      <c r="D9" s="252"/>
      <c r="E9" s="252"/>
      <c r="F9" s="256" t="str">
        <f>IFERROR(IF(F7="Proprietary","Proprietary Fund",VLOOKUP(F5,qryIndex02a!$A$2:$K$654,4,FALSE)),"Unidentified")</f>
        <v>Unidentified</v>
      </c>
      <c r="G9" s="256"/>
      <c r="H9" s="256"/>
      <c r="I9" s="256"/>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1816</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1818</v>
      </c>
      <c r="C14" s="191"/>
      <c r="D14" s="191"/>
      <c r="E14" s="191"/>
      <c r="F14" s="192"/>
      <c r="G14" s="192"/>
      <c r="H14" s="182"/>
      <c r="I14" s="182"/>
      <c r="J14" s="187"/>
      <c r="K14" s="187"/>
      <c r="M14" s="257" t="s">
        <v>1671</v>
      </c>
      <c r="N14" s="258"/>
      <c r="P14" s="257" t="s">
        <v>1668</v>
      </c>
      <c r="Q14" s="258"/>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1819</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1820</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1822</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1823</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1817</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1821</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1836</v>
      </c>
      <c r="D68" s="193"/>
      <c r="E68" s="193"/>
      <c r="F68" s="194"/>
      <c r="G68" s="194"/>
      <c r="H68" s="195"/>
      <c r="I68" s="195"/>
      <c r="J68" s="220"/>
      <c r="K68" s="196"/>
    </row>
    <row r="69" spans="1:12" ht="16.5" customHeight="1" x14ac:dyDescent="0.2">
      <c r="A69" s="99"/>
      <c r="B69" s="295" t="s">
        <v>1814</v>
      </c>
      <c r="C69" s="295"/>
      <c r="D69" s="295"/>
      <c r="E69" s="295"/>
      <c r="F69" s="295"/>
      <c r="G69" s="295"/>
      <c r="H69" s="295"/>
      <c r="I69" s="295"/>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5"/>
      <c r="C70" s="295"/>
      <c r="D70" s="295"/>
      <c r="E70" s="295"/>
      <c r="F70" s="295"/>
      <c r="G70" s="295"/>
      <c r="H70" s="295"/>
      <c r="I70" s="295"/>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1841</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7">
    <tabColor rgb="FFC198E0"/>
  </sheetPr>
  <dimension ref="B1:Q20"/>
  <sheetViews>
    <sheetView zoomScale="90" zoomScaleNormal="9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24</vt:i4>
      </vt:variant>
    </vt:vector>
  </HeadingPairs>
  <TitlesOfParts>
    <vt:vector size="54" baseType="lpstr">
      <vt:lpstr>Drop Down Menus</vt:lpstr>
      <vt:lpstr>qryIndex02a</vt:lpstr>
      <vt:lpstr>LS-Fund 0001 Journal Entries</vt:lpstr>
      <vt:lpstr>LS-Fund 0140 Journal Entries</vt:lpstr>
      <vt:lpstr>LS-Fund 0465 Journal Entries</vt:lpstr>
      <vt:lpstr>LS-Fund 0545 Journal Entries</vt:lpstr>
      <vt:lpstr>LS-Fund 0890 Journal Entries</vt:lpstr>
      <vt:lpstr>LS-Fund 3057 Journal Entries</vt:lpstr>
      <vt:lpstr>LS-Fund 3237 Journal Entries</vt:lpstr>
      <vt:lpstr>LS-Fund 3398 Journal Entries</vt:lpstr>
      <vt:lpstr>LS-Fund 3413 Journal Entries</vt:lpstr>
      <vt:lpstr>LS-Fund 6001 Journal Entries</vt:lpstr>
      <vt:lpstr>LS-Fund 6005 Journal Entries</vt:lpstr>
      <vt:lpstr>LS-Fund 6026 Journal Entries</vt:lpstr>
      <vt:lpstr>LS-Fund 6027 Journal Entries</vt:lpstr>
      <vt:lpstr>LS-Fund 6031 Journal Entries</vt:lpstr>
      <vt:lpstr>LS-Fund 6051 Journal Entries</vt:lpstr>
      <vt:lpstr>LS-Fund 6083 Journal Entries</vt:lpstr>
      <vt:lpstr>LS-Fund 6088 Journal Entries</vt:lpstr>
      <vt:lpstr>LS-Fund 3100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'LS-Fund 0140 Journal Entries'!Print_Area</vt:lpstr>
      <vt:lpstr>'LS-Fund 0465 Journal Entries'!Print_Area</vt:lpstr>
      <vt:lpstr>'LS-Fund 0545 Journal Entries'!Print_Area</vt:lpstr>
      <vt:lpstr>'LS-Fund 0890 Journal Entries'!Print_Area</vt:lpstr>
      <vt:lpstr>'LS-Fund 3057 Journal Entries'!Print_Area</vt:lpstr>
      <vt:lpstr>'LS-Fund 3100 Journal Entries'!Print_Area</vt:lpstr>
      <vt:lpstr>'LS-Fund 3237 Journal Entries'!Print_Area</vt:lpstr>
      <vt:lpstr>'LS-Fund 3398 Journal Entries'!Print_Area</vt:lpstr>
      <vt:lpstr>'LS-Fund 3413 Journal Entries'!Print_Area</vt:lpstr>
      <vt:lpstr>'LS-Fund 6001 Journal Entries'!Print_Area</vt:lpstr>
      <vt:lpstr>'LS-Fund 6005 Journal Entries'!Print_Area</vt:lpstr>
      <vt:lpstr>'LS-Fund 6026 Journal Entries'!Print_Area</vt:lpstr>
      <vt:lpstr>'LS-Fund 6027 Journal Entries'!Print_Area</vt:lpstr>
      <vt:lpstr>'LS-Fund 6031 Journal Entries'!Print_Area</vt:lpstr>
      <vt:lpstr>'LS-Fund 6051 Journal Entries'!Print_Area</vt:lpstr>
      <vt:lpstr>'LS-Fund 6083 Journal Entries'!Print_Area</vt:lpstr>
      <vt:lpstr>'LS-Fund 6088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dcterms:created xsi:type="dcterms:W3CDTF">2023-03-08T17:19:33Z</dcterms:created>
  <dcterms:modified xsi:type="dcterms:W3CDTF">2025-03-13T00:21:10Z</dcterms:modified>
</cp:coreProperties>
</file>